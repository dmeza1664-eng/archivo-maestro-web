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LANTA3\OneDrive\Escritorio\PLANTILLAS\"/>
    </mc:Choice>
  </mc:AlternateContent>
  <xr:revisionPtr revIDLastSave="0" documentId="13_ncr:1_{777B6086-2747-40DF-AB55-45541622685A}" xr6:coauthVersionLast="47" xr6:coauthVersionMax="47" xr10:uidLastSave="{00000000-0000-0000-0000-000000000000}"/>
  <bookViews>
    <workbookView xWindow="-24405" yWindow="0" windowWidth="12210" windowHeight="12885" tabRatio="815" firstSheet="14" activeTab="14" xr2:uid="{49ED7A6A-C0B6-4F67-A966-56F0DC31D01D}"/>
  </bookViews>
  <sheets>
    <sheet name="RAIZ" sheetId="1" r:id="rId1"/>
    <sheet name="Suc. Amado Nervo" sheetId="2" r:id="rId2"/>
    <sheet name="Suc. León" sheetId="4" r:id="rId3"/>
    <sheet name="Suc. Vistas" sheetId="19" r:id="rId4"/>
    <sheet name="Suc. Xalisco" sheetId="20" r:id="rId5"/>
    <sheet name="Suc. Dos de Agosto" sheetId="12" r:id="rId6"/>
    <sheet name="Suc. Mololoa" sheetId="9" r:id="rId7"/>
    <sheet name="Suc. Boulevard" sheetId="7" r:id="rId8"/>
    <sheet name="Suc. Plaza" sheetId="11" r:id="rId9"/>
    <sheet name="San Cayetano" sheetId="5" r:id="rId10"/>
    <sheet name="Suc. La Nueva Canasta" sheetId="10" state="hidden" r:id="rId11"/>
    <sheet name="LALO VARAS" sheetId="15" r:id="rId12"/>
    <sheet name="Suc. Santiago 2" sheetId="16" r:id="rId13"/>
    <sheet name="Suc. Ruiz" sheetId="13" r:id="rId14"/>
    <sheet name="Suc. Tuxpan" sheetId="18" r:id="rId15"/>
    <sheet name="Suc. Acaponeta" sheetId="6" r:id="rId16"/>
    <sheet name="Suc. Tecuala" sheetId="17" r:id="rId17"/>
    <sheet name="Suc. Compostela" sheetId="8" r:id="rId18"/>
    <sheet name="Suc. Sanblas" sheetId="14" r:id="rId19"/>
    <sheet name="Suc. Varas" sheetId="25" r:id="rId20"/>
    <sheet name="Suc. Santa María del Oro" sheetId="31" r:id="rId21"/>
    <sheet name="Suc. Villa Hidalgo" sheetId="32" r:id="rId22"/>
    <sheet name="Suc. Peñita" sheetId="33" r:id="rId23"/>
    <sheet name="ATRASADOS CF" sheetId="36" r:id="rId24"/>
    <sheet name="GRAL. SUC. LOCALES" sheetId="21" r:id="rId25"/>
    <sheet name="GRAL. SUC. FORANEAS" sheetId="22" r:id="rId26"/>
    <sheet name="ETIQUETAS CF" sheetId="35" r:id="rId27"/>
    <sheet name="EXISTENCIA EN SUCURSALES" sheetId="24" r:id="rId28"/>
    <sheet name="DISTRIBUCIÓN EN SUCURSALES" sheetId="26" r:id="rId29"/>
    <sheet name="STOCK DE SUCURSALES (2)" sheetId="34" r:id="rId30"/>
    <sheet name="TOTAL A TENER SUC.(EXIST.+DIST)" sheetId="29" r:id="rId31"/>
    <sheet name="EXIST. SUCURSALES Y RESTANTE CF" sheetId="27" state="hidden" r:id="rId32"/>
    <sheet name="EXIST. SUC.-DISTR.-C.F.-RESTANT" sheetId="28" state="hidden" r:id="rId33"/>
    <sheet name="Hoja1" sheetId="23" state="hidden" r:id="rId34"/>
  </sheets>
  <definedNames>
    <definedName name="_xlnm._FilterDatabase" localSheetId="23" hidden="1">'ATRASADOS CF'!$E$1:$E$150</definedName>
    <definedName name="_xlnm._FilterDatabase" localSheetId="27" hidden="1">'EXISTENCIA EN SUCURSALES'!$A$2:$Z$150</definedName>
    <definedName name="_xlnm._FilterDatabase" localSheetId="24" hidden="1">'GRAL. SUC. LOCALES'!$A$2:$L$2</definedName>
    <definedName name="_xlnm._FilterDatabase" localSheetId="11" hidden="1">'LALO VARAS'!$A$2:$L$117</definedName>
    <definedName name="_xlnm._FilterDatabase" localSheetId="9" hidden="1">'San Cayetano'!$A$2:$H$150</definedName>
    <definedName name="_xlnm._FilterDatabase" localSheetId="29" hidden="1">'STOCK DE SUCURSALES (2)'!$A$2:$Z$150</definedName>
    <definedName name="_xlnm._FilterDatabase" localSheetId="15" hidden="1">'Suc. Acaponeta'!$A$2:$N$117</definedName>
    <definedName name="_xlnm._FilterDatabase" localSheetId="1" hidden="1">'Suc. Amado Nervo'!$A$2:$G$150</definedName>
    <definedName name="_xlnm._FilterDatabase" localSheetId="7" hidden="1">'Suc. Boulevard'!$A$2:$H$150</definedName>
    <definedName name="_xlnm._FilterDatabase" localSheetId="17" hidden="1">'Suc. Compostela'!$A$2:$L$150</definedName>
    <definedName name="_xlnm._FilterDatabase" localSheetId="5" hidden="1">'Suc. Dos de Agosto'!$A$2:$H$150</definedName>
    <definedName name="_xlnm._FilterDatabase" localSheetId="10" hidden="1">'Suc. La Nueva Canasta'!$A$2:$H$170</definedName>
    <definedName name="_xlnm._FilterDatabase" localSheetId="2" hidden="1">'Suc. León'!$A$2:$H$150</definedName>
    <definedName name="_xlnm._FilterDatabase" localSheetId="6" hidden="1">'Suc. Mololoa'!$A$2:$H$150</definedName>
    <definedName name="_xlnm._FilterDatabase" localSheetId="22" hidden="1">'Suc. Peñita'!$A$2:$L$150</definedName>
    <definedName name="_xlnm._FilterDatabase" localSheetId="8" hidden="1">'Suc. Plaza'!$A$2:$H$150</definedName>
    <definedName name="_xlnm._FilterDatabase" localSheetId="13" hidden="1">'Suc. Ruiz'!$A$2:$M$150</definedName>
    <definedName name="_xlnm._FilterDatabase" localSheetId="18" hidden="1">'Suc. Sanblas'!$A$2:$L$117</definedName>
    <definedName name="_xlnm._FilterDatabase" localSheetId="20" hidden="1">'Suc. Santa María del Oro'!$A$2:$L$150</definedName>
    <definedName name="_xlnm._FilterDatabase" localSheetId="12" hidden="1">'Suc. Santiago 2'!$A$2:$L$117</definedName>
    <definedName name="_xlnm._FilterDatabase" localSheetId="16" hidden="1">'Suc. Tecuala'!$A$2:$L$117</definedName>
    <definedName name="_xlnm._FilterDatabase" localSheetId="14" hidden="1">'Suc. Tuxpan'!$A$2:$N$150</definedName>
    <definedName name="_xlnm._FilterDatabase" localSheetId="19" hidden="1">'Suc. Varas'!$A$2:$L$117</definedName>
    <definedName name="_xlnm._FilterDatabase" localSheetId="21" hidden="1">'Suc. Villa Hidalgo'!$A$2:$L$117</definedName>
    <definedName name="_xlnm._FilterDatabase" localSheetId="3" hidden="1">'Suc. Vistas'!$A$2:$H$150</definedName>
    <definedName name="_xlnm._FilterDatabase" localSheetId="4" hidden="1">'Suc. Xalisco'!$A$2:$H$150</definedName>
    <definedName name="_xlnm._FilterDatabase" localSheetId="30" hidden="1">'TOTAL A TENER SUC.(EXIST.+DIST)'!$A$2:$Z$150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1" i="2" l="1"/>
  <c r="C8" i="2"/>
  <c r="C3" i="2"/>
  <c r="C50" i="2"/>
  <c r="C33" i="2"/>
  <c r="C38" i="2"/>
  <c r="G149" i="4"/>
  <c r="G113" i="4"/>
  <c r="G105" i="4"/>
  <c r="G91" i="4"/>
  <c r="G78" i="4"/>
  <c r="G55" i="4"/>
  <c r="G52" i="4"/>
  <c r="G49" i="4"/>
  <c r="G32" i="4"/>
  <c r="G18" i="4"/>
  <c r="G149" i="2"/>
  <c r="G113" i="2"/>
  <c r="G105" i="2"/>
  <c r="G91" i="2"/>
  <c r="G78" i="2"/>
  <c r="G55" i="2"/>
  <c r="G52" i="2"/>
  <c r="G49" i="2"/>
  <c r="G32" i="2"/>
  <c r="G18" i="2"/>
  <c r="G79" i="4" l="1"/>
  <c r="G117" i="4" s="1"/>
  <c r="G150" i="4" s="1"/>
  <c r="G79" i="2"/>
  <c r="G117" i="2" s="1"/>
  <c r="G150" i="2" s="1"/>
  <c r="G149" i="15"/>
  <c r="G113" i="15"/>
  <c r="G105" i="15"/>
  <c r="G91" i="15"/>
  <c r="G78" i="15"/>
  <c r="G55" i="15"/>
  <c r="G52" i="15"/>
  <c r="G49" i="15"/>
  <c r="G32" i="15"/>
  <c r="G18" i="15"/>
  <c r="G79" i="15" l="1"/>
  <c r="G117" i="15" s="1"/>
  <c r="G150" i="15" s="1"/>
  <c r="G149" i="33"/>
  <c r="G113" i="33"/>
  <c r="G105" i="33"/>
  <c r="G91" i="33"/>
  <c r="G78" i="33"/>
  <c r="G55" i="33"/>
  <c r="G52" i="33"/>
  <c r="G49" i="33"/>
  <c r="G32" i="33"/>
  <c r="G18" i="33"/>
  <c r="G79" i="33" s="1"/>
  <c r="G117" i="33" s="1"/>
  <c r="C4" i="2"/>
  <c r="C100" i="2"/>
  <c r="G150" i="33" l="1"/>
  <c r="C63" i="4"/>
  <c r="C50" i="4"/>
  <c r="C3" i="4" l="1"/>
  <c r="C8" i="4"/>
  <c r="C54" i="4"/>
  <c r="C81" i="4"/>
  <c r="C101" i="4"/>
  <c r="C102" i="4"/>
  <c r="C107" i="4"/>
  <c r="C110" i="4"/>
  <c r="C125" i="4"/>
  <c r="C129" i="4"/>
  <c r="C132" i="4"/>
  <c r="C132" i="2"/>
  <c r="C10" i="2"/>
  <c r="C9" i="2"/>
  <c r="C6" i="2"/>
  <c r="AH80" i="29" l="1"/>
  <c r="AH92" i="29"/>
  <c r="AH106" i="29"/>
  <c r="G149" i="31"/>
  <c r="G113" i="31"/>
  <c r="G105" i="31"/>
  <c r="G91" i="31"/>
  <c r="G78" i="31"/>
  <c r="G55" i="31"/>
  <c r="G52" i="31"/>
  <c r="G49" i="31"/>
  <c r="G32" i="31"/>
  <c r="G18" i="31"/>
  <c r="G79" i="31" l="1"/>
  <c r="G117" i="31" s="1"/>
  <c r="G150" i="31" s="1"/>
  <c r="C125" i="24" l="1"/>
  <c r="G108" i="24"/>
  <c r="B82" i="21"/>
  <c r="C82" i="21"/>
  <c r="D82" i="21"/>
  <c r="E82" i="21"/>
  <c r="F82" i="21"/>
  <c r="G82" i="21"/>
  <c r="H82" i="21"/>
  <c r="I82" i="21"/>
  <c r="J82" i="21"/>
  <c r="K82" i="21"/>
  <c r="B83" i="21"/>
  <c r="C83" i="21"/>
  <c r="D83" i="21"/>
  <c r="E83" i="21"/>
  <c r="F83" i="21"/>
  <c r="G83" i="21"/>
  <c r="H83" i="21"/>
  <c r="I83" i="21"/>
  <c r="J83" i="21"/>
  <c r="K83" i="21"/>
  <c r="B84" i="21"/>
  <c r="C84" i="21"/>
  <c r="D84" i="21"/>
  <c r="E84" i="21"/>
  <c r="F84" i="21"/>
  <c r="G84" i="21"/>
  <c r="H84" i="21"/>
  <c r="I84" i="21"/>
  <c r="J84" i="21"/>
  <c r="K84" i="21"/>
  <c r="B85" i="21"/>
  <c r="C85" i="21"/>
  <c r="D85" i="21"/>
  <c r="E85" i="21"/>
  <c r="F85" i="21"/>
  <c r="G85" i="21"/>
  <c r="H85" i="21"/>
  <c r="I85" i="21"/>
  <c r="J85" i="21"/>
  <c r="K85" i="21"/>
  <c r="B86" i="21"/>
  <c r="C86" i="21"/>
  <c r="D86" i="21"/>
  <c r="E86" i="21"/>
  <c r="F86" i="21"/>
  <c r="G86" i="21"/>
  <c r="H86" i="21"/>
  <c r="I86" i="21"/>
  <c r="J86" i="21"/>
  <c r="K86" i="21"/>
  <c r="B87" i="21"/>
  <c r="C87" i="21"/>
  <c r="D87" i="21"/>
  <c r="E87" i="21"/>
  <c r="F87" i="21"/>
  <c r="G87" i="21"/>
  <c r="H87" i="21"/>
  <c r="I87" i="21"/>
  <c r="J87" i="21"/>
  <c r="K87" i="21"/>
  <c r="B57" i="21"/>
  <c r="C57" i="21"/>
  <c r="D57" i="21"/>
  <c r="E57" i="21"/>
  <c r="F57" i="21"/>
  <c r="G57" i="21"/>
  <c r="H57" i="21"/>
  <c r="I57" i="21"/>
  <c r="J57" i="21"/>
  <c r="K57" i="21"/>
  <c r="B58" i="21"/>
  <c r="C58" i="21"/>
  <c r="D58" i="21"/>
  <c r="E58" i="21"/>
  <c r="F58" i="21"/>
  <c r="G58" i="21"/>
  <c r="H58" i="21"/>
  <c r="I58" i="21"/>
  <c r="J58" i="21"/>
  <c r="K58" i="21"/>
  <c r="B59" i="21"/>
  <c r="C59" i="21"/>
  <c r="D59" i="21"/>
  <c r="E59" i="21"/>
  <c r="F59" i="21"/>
  <c r="G59" i="21"/>
  <c r="H59" i="21"/>
  <c r="I59" i="21"/>
  <c r="J59" i="21"/>
  <c r="K59" i="21"/>
  <c r="B60" i="21"/>
  <c r="C60" i="21"/>
  <c r="D60" i="21"/>
  <c r="E60" i="21"/>
  <c r="F60" i="21"/>
  <c r="G60" i="21"/>
  <c r="H60" i="21"/>
  <c r="I60" i="21"/>
  <c r="J60" i="21"/>
  <c r="K60" i="21"/>
  <c r="B61" i="21"/>
  <c r="C61" i="21"/>
  <c r="D61" i="21"/>
  <c r="E61" i="21"/>
  <c r="F61" i="21"/>
  <c r="G61" i="21"/>
  <c r="H61" i="21"/>
  <c r="I61" i="21"/>
  <c r="J61" i="21"/>
  <c r="K61" i="21"/>
  <c r="B62" i="21"/>
  <c r="C62" i="21"/>
  <c r="D62" i="21"/>
  <c r="E62" i="21"/>
  <c r="F62" i="21"/>
  <c r="G62" i="21"/>
  <c r="H62" i="21"/>
  <c r="I62" i="21"/>
  <c r="J62" i="21"/>
  <c r="K62" i="21"/>
  <c r="B63" i="21"/>
  <c r="C63" i="21"/>
  <c r="D63" i="21"/>
  <c r="E63" i="21"/>
  <c r="F63" i="21"/>
  <c r="G63" i="21"/>
  <c r="H63" i="21"/>
  <c r="I63" i="21"/>
  <c r="J63" i="21"/>
  <c r="K63" i="21"/>
  <c r="B64" i="21"/>
  <c r="C64" i="21"/>
  <c r="D64" i="21"/>
  <c r="E64" i="21"/>
  <c r="F64" i="21"/>
  <c r="G64" i="21"/>
  <c r="H64" i="21"/>
  <c r="I64" i="21"/>
  <c r="J64" i="21"/>
  <c r="K64" i="21"/>
  <c r="B65" i="21"/>
  <c r="C65" i="21"/>
  <c r="D65" i="21"/>
  <c r="E65" i="21"/>
  <c r="F65" i="21"/>
  <c r="G65" i="21"/>
  <c r="H65" i="21"/>
  <c r="I65" i="21"/>
  <c r="J65" i="21"/>
  <c r="K65" i="21"/>
  <c r="B66" i="21"/>
  <c r="C66" i="21"/>
  <c r="D66" i="21"/>
  <c r="E66" i="21"/>
  <c r="F66" i="21"/>
  <c r="G66" i="21"/>
  <c r="H66" i="21"/>
  <c r="I66" i="21"/>
  <c r="J66" i="21"/>
  <c r="K66" i="21"/>
  <c r="B67" i="21"/>
  <c r="C67" i="21"/>
  <c r="D67" i="21"/>
  <c r="E67" i="21"/>
  <c r="F67" i="21"/>
  <c r="G67" i="21"/>
  <c r="H67" i="21"/>
  <c r="I67" i="21"/>
  <c r="J67" i="21"/>
  <c r="K67" i="21"/>
  <c r="B68" i="21"/>
  <c r="C68" i="21"/>
  <c r="D68" i="21"/>
  <c r="E68" i="21"/>
  <c r="F68" i="21"/>
  <c r="G68" i="21"/>
  <c r="H68" i="21"/>
  <c r="I68" i="21"/>
  <c r="J68" i="21"/>
  <c r="K68" i="21"/>
  <c r="B69" i="21"/>
  <c r="C69" i="21"/>
  <c r="D69" i="21"/>
  <c r="E69" i="21"/>
  <c r="F69" i="21"/>
  <c r="G69" i="21"/>
  <c r="H69" i="21"/>
  <c r="I69" i="21"/>
  <c r="J69" i="21"/>
  <c r="K69" i="21"/>
  <c r="B70" i="21"/>
  <c r="C70" i="21"/>
  <c r="D70" i="21"/>
  <c r="E70" i="21"/>
  <c r="F70" i="21"/>
  <c r="G70" i="21"/>
  <c r="H70" i="21"/>
  <c r="I70" i="21"/>
  <c r="J70" i="21"/>
  <c r="K70" i="21"/>
  <c r="B71" i="21"/>
  <c r="C71" i="21"/>
  <c r="D71" i="21"/>
  <c r="E71" i="21"/>
  <c r="F71" i="21"/>
  <c r="G71" i="21"/>
  <c r="H71" i="21"/>
  <c r="I71" i="21"/>
  <c r="J71" i="21"/>
  <c r="K71" i="21"/>
  <c r="B54" i="21"/>
  <c r="C54" i="21"/>
  <c r="D54" i="21"/>
  <c r="E54" i="21"/>
  <c r="F54" i="21"/>
  <c r="G54" i="21"/>
  <c r="H54" i="21"/>
  <c r="I54" i="21"/>
  <c r="J54" i="21"/>
  <c r="K54" i="21"/>
  <c r="B51" i="21"/>
  <c r="C51" i="21"/>
  <c r="D51" i="21"/>
  <c r="E51" i="21"/>
  <c r="F51" i="21"/>
  <c r="G51" i="21"/>
  <c r="H51" i="21"/>
  <c r="I51" i="21"/>
  <c r="J51" i="21"/>
  <c r="K51" i="21"/>
  <c r="B34" i="21"/>
  <c r="C34" i="21"/>
  <c r="D34" i="21"/>
  <c r="E34" i="21"/>
  <c r="F34" i="21"/>
  <c r="G34" i="21"/>
  <c r="H34" i="21"/>
  <c r="I34" i="21"/>
  <c r="J34" i="21"/>
  <c r="K34" i="21"/>
  <c r="B35" i="21"/>
  <c r="C35" i="21"/>
  <c r="D35" i="21"/>
  <c r="E35" i="21"/>
  <c r="F35" i="21"/>
  <c r="G35" i="21"/>
  <c r="H35" i="21"/>
  <c r="I35" i="21"/>
  <c r="J35" i="21"/>
  <c r="K35" i="21"/>
  <c r="B36" i="21"/>
  <c r="C36" i="21"/>
  <c r="D36" i="21"/>
  <c r="E36" i="21"/>
  <c r="F36" i="21"/>
  <c r="G36" i="21"/>
  <c r="H36" i="21"/>
  <c r="I36" i="21"/>
  <c r="J36" i="21"/>
  <c r="K36" i="21"/>
  <c r="B37" i="21"/>
  <c r="C37" i="21"/>
  <c r="D37" i="21"/>
  <c r="E37" i="21"/>
  <c r="F37" i="21"/>
  <c r="G37" i="21"/>
  <c r="H37" i="21"/>
  <c r="I37" i="21"/>
  <c r="J37" i="21"/>
  <c r="K37" i="21"/>
  <c r="B38" i="21"/>
  <c r="C38" i="21"/>
  <c r="D38" i="21"/>
  <c r="E38" i="21"/>
  <c r="F38" i="21"/>
  <c r="G38" i="21"/>
  <c r="H38" i="21"/>
  <c r="I38" i="21"/>
  <c r="J38" i="21"/>
  <c r="K38" i="21"/>
  <c r="B39" i="21"/>
  <c r="C39" i="21"/>
  <c r="D39" i="21"/>
  <c r="E39" i="21"/>
  <c r="F39" i="21"/>
  <c r="G39" i="21"/>
  <c r="H39" i="21"/>
  <c r="I39" i="21"/>
  <c r="J39" i="21"/>
  <c r="K39" i="21"/>
  <c r="B40" i="21"/>
  <c r="C40" i="21"/>
  <c r="D40" i="21"/>
  <c r="E40" i="21"/>
  <c r="F40" i="21"/>
  <c r="G40" i="21"/>
  <c r="H40" i="21"/>
  <c r="I40" i="21"/>
  <c r="J40" i="21"/>
  <c r="K40" i="21"/>
  <c r="B41" i="21"/>
  <c r="C41" i="21"/>
  <c r="D41" i="21"/>
  <c r="E41" i="21"/>
  <c r="F41" i="21"/>
  <c r="G41" i="21"/>
  <c r="H41" i="21"/>
  <c r="I41" i="21"/>
  <c r="J41" i="21"/>
  <c r="K41" i="21"/>
  <c r="B20" i="21"/>
  <c r="C20" i="21"/>
  <c r="D20" i="21"/>
  <c r="E20" i="21"/>
  <c r="F20" i="21"/>
  <c r="G20" i="21"/>
  <c r="H20" i="21"/>
  <c r="I20" i="21"/>
  <c r="J20" i="21"/>
  <c r="K20" i="21"/>
  <c r="B21" i="21"/>
  <c r="C21" i="21"/>
  <c r="D21" i="21"/>
  <c r="E21" i="21"/>
  <c r="F21" i="21"/>
  <c r="G21" i="21"/>
  <c r="H21" i="21"/>
  <c r="I21" i="21"/>
  <c r="J21" i="21"/>
  <c r="K21" i="21"/>
  <c r="B22" i="21"/>
  <c r="C22" i="21"/>
  <c r="D22" i="21"/>
  <c r="E22" i="21"/>
  <c r="F22" i="21"/>
  <c r="G22" i="21"/>
  <c r="H22" i="21"/>
  <c r="I22" i="21"/>
  <c r="J22" i="21"/>
  <c r="K22" i="21"/>
  <c r="B23" i="21"/>
  <c r="C23" i="21"/>
  <c r="D23" i="21"/>
  <c r="E23" i="21"/>
  <c r="F23" i="21"/>
  <c r="G23" i="21"/>
  <c r="H23" i="21"/>
  <c r="I23" i="21"/>
  <c r="J23" i="21"/>
  <c r="K23" i="21"/>
  <c r="B24" i="21"/>
  <c r="C24" i="21"/>
  <c r="D24" i="21"/>
  <c r="E24" i="21"/>
  <c r="F24" i="21"/>
  <c r="G24" i="21"/>
  <c r="H24" i="21"/>
  <c r="I24" i="21"/>
  <c r="J24" i="21"/>
  <c r="K24" i="21"/>
  <c r="B25" i="21"/>
  <c r="C25" i="21"/>
  <c r="D25" i="21"/>
  <c r="E25" i="21"/>
  <c r="F25" i="21"/>
  <c r="G25" i="21"/>
  <c r="H25" i="21"/>
  <c r="I25" i="21"/>
  <c r="J25" i="21"/>
  <c r="K25" i="21"/>
  <c r="B4" i="21"/>
  <c r="C4" i="21"/>
  <c r="D4" i="21"/>
  <c r="E4" i="21"/>
  <c r="F4" i="21"/>
  <c r="G4" i="21"/>
  <c r="H4" i="21"/>
  <c r="I4" i="21"/>
  <c r="J4" i="21"/>
  <c r="K4" i="21"/>
  <c r="B5" i="21"/>
  <c r="C5" i="21"/>
  <c r="D5" i="21"/>
  <c r="E5" i="21"/>
  <c r="F5" i="21"/>
  <c r="G5" i="21"/>
  <c r="H5" i="21"/>
  <c r="I5" i="21"/>
  <c r="J5" i="21"/>
  <c r="K5" i="21"/>
  <c r="B6" i="21"/>
  <c r="C6" i="21"/>
  <c r="D6" i="21"/>
  <c r="E6" i="21"/>
  <c r="F6" i="21"/>
  <c r="G6" i="21"/>
  <c r="H6" i="21"/>
  <c r="I6" i="21"/>
  <c r="J6" i="21"/>
  <c r="K6" i="21"/>
  <c r="B7" i="21"/>
  <c r="C7" i="21"/>
  <c r="D7" i="21"/>
  <c r="E7" i="21"/>
  <c r="F7" i="21"/>
  <c r="G7" i="21"/>
  <c r="H7" i="21"/>
  <c r="I7" i="21"/>
  <c r="J7" i="21"/>
  <c r="K7" i="21"/>
  <c r="B8" i="21"/>
  <c r="C8" i="21"/>
  <c r="D8" i="21"/>
  <c r="E8" i="21"/>
  <c r="F8" i="21"/>
  <c r="G8" i="21"/>
  <c r="H8" i="21"/>
  <c r="I8" i="21"/>
  <c r="J8" i="21"/>
  <c r="K8" i="21"/>
  <c r="B9" i="21"/>
  <c r="C9" i="21"/>
  <c r="D9" i="21"/>
  <c r="E9" i="21"/>
  <c r="F9" i="21"/>
  <c r="G9" i="21"/>
  <c r="H9" i="21"/>
  <c r="I9" i="21"/>
  <c r="J9" i="21"/>
  <c r="K9" i="21"/>
  <c r="B10" i="21"/>
  <c r="C10" i="21"/>
  <c r="D10" i="21"/>
  <c r="E10" i="21"/>
  <c r="F10" i="21"/>
  <c r="G10" i="21"/>
  <c r="H10" i="21"/>
  <c r="I10" i="21"/>
  <c r="J10" i="21"/>
  <c r="K10" i="21"/>
  <c r="B11" i="21"/>
  <c r="C11" i="21"/>
  <c r="D11" i="21"/>
  <c r="E11" i="21"/>
  <c r="F11" i="21"/>
  <c r="G11" i="21"/>
  <c r="H11" i="21"/>
  <c r="I11" i="21"/>
  <c r="J11" i="21"/>
  <c r="K11" i="21"/>
  <c r="B119" i="21"/>
  <c r="C119" i="21"/>
  <c r="D119" i="21"/>
  <c r="E119" i="21"/>
  <c r="F119" i="21"/>
  <c r="G119" i="21"/>
  <c r="H119" i="21"/>
  <c r="I119" i="21"/>
  <c r="J119" i="21"/>
  <c r="K119" i="21"/>
  <c r="B120" i="21"/>
  <c r="C120" i="21"/>
  <c r="D120" i="21"/>
  <c r="E120" i="21"/>
  <c r="F120" i="21"/>
  <c r="G120" i="21"/>
  <c r="H120" i="21"/>
  <c r="I120" i="21"/>
  <c r="J120" i="21"/>
  <c r="K120" i="21"/>
  <c r="B121" i="21"/>
  <c r="C121" i="21"/>
  <c r="D121" i="21"/>
  <c r="E121" i="21"/>
  <c r="F121" i="21"/>
  <c r="G121" i="21"/>
  <c r="H121" i="21"/>
  <c r="I121" i="21"/>
  <c r="J121" i="21"/>
  <c r="K121" i="21"/>
  <c r="B122" i="21"/>
  <c r="C122" i="21"/>
  <c r="D122" i="21"/>
  <c r="E122" i="21"/>
  <c r="F122" i="21"/>
  <c r="G122" i="21"/>
  <c r="H122" i="21"/>
  <c r="I122" i="21"/>
  <c r="J122" i="21"/>
  <c r="K122" i="21"/>
  <c r="B123" i="21"/>
  <c r="C123" i="21"/>
  <c r="D123" i="21"/>
  <c r="E123" i="21"/>
  <c r="F123" i="21"/>
  <c r="G123" i="21"/>
  <c r="H123" i="21"/>
  <c r="I123" i="21"/>
  <c r="J123" i="21"/>
  <c r="K123" i="21"/>
  <c r="B124" i="21"/>
  <c r="C124" i="21"/>
  <c r="D124" i="21"/>
  <c r="E124" i="21"/>
  <c r="F124" i="21"/>
  <c r="G124" i="21"/>
  <c r="H124" i="21"/>
  <c r="I124" i="21"/>
  <c r="J124" i="21"/>
  <c r="K124" i="21"/>
  <c r="B125" i="21"/>
  <c r="C125" i="21"/>
  <c r="D125" i="21"/>
  <c r="E125" i="21"/>
  <c r="F125" i="21"/>
  <c r="G125" i="21"/>
  <c r="H125" i="21"/>
  <c r="I125" i="21"/>
  <c r="J125" i="21"/>
  <c r="K125" i="21"/>
  <c r="B126" i="21"/>
  <c r="C126" i="21"/>
  <c r="D126" i="21"/>
  <c r="E126" i="21"/>
  <c r="F126" i="21"/>
  <c r="G126" i="21"/>
  <c r="H126" i="21"/>
  <c r="I126" i="21"/>
  <c r="J126" i="21"/>
  <c r="K126" i="21"/>
  <c r="B127" i="21"/>
  <c r="C127" i="21"/>
  <c r="D127" i="21"/>
  <c r="E127" i="21"/>
  <c r="F127" i="21"/>
  <c r="G127" i="21"/>
  <c r="H127" i="21"/>
  <c r="I127" i="21"/>
  <c r="J127" i="21"/>
  <c r="K127" i="21"/>
  <c r="B128" i="21"/>
  <c r="C128" i="21"/>
  <c r="D128" i="21"/>
  <c r="E128" i="21"/>
  <c r="F128" i="21"/>
  <c r="G128" i="21"/>
  <c r="H128" i="21"/>
  <c r="I128" i="21"/>
  <c r="J128" i="21"/>
  <c r="K128" i="21"/>
  <c r="B129" i="21"/>
  <c r="C129" i="21"/>
  <c r="D129" i="21"/>
  <c r="E129" i="21"/>
  <c r="F129" i="21"/>
  <c r="G129" i="21"/>
  <c r="H129" i="21"/>
  <c r="I129" i="21"/>
  <c r="J129" i="21"/>
  <c r="K129" i="21"/>
  <c r="B130" i="21"/>
  <c r="C130" i="21"/>
  <c r="D130" i="21"/>
  <c r="E130" i="21"/>
  <c r="F130" i="21"/>
  <c r="G130" i="21"/>
  <c r="H130" i="21"/>
  <c r="I130" i="21"/>
  <c r="J130" i="21"/>
  <c r="K130" i="21"/>
  <c r="B131" i="21"/>
  <c r="C131" i="21"/>
  <c r="D131" i="21"/>
  <c r="E131" i="21"/>
  <c r="F131" i="21"/>
  <c r="G131" i="21"/>
  <c r="H131" i="21"/>
  <c r="I131" i="21"/>
  <c r="J131" i="21"/>
  <c r="K131" i="21"/>
  <c r="B132" i="21"/>
  <c r="C132" i="21"/>
  <c r="D132" i="21"/>
  <c r="E132" i="21"/>
  <c r="F132" i="21"/>
  <c r="G132" i="21"/>
  <c r="H132" i="21"/>
  <c r="I132" i="21"/>
  <c r="J132" i="21"/>
  <c r="K132" i="21"/>
  <c r="B133" i="21"/>
  <c r="C133" i="21"/>
  <c r="D133" i="21"/>
  <c r="E133" i="21"/>
  <c r="F133" i="21"/>
  <c r="G133" i="21"/>
  <c r="H133" i="21"/>
  <c r="I133" i="21"/>
  <c r="J133" i="21"/>
  <c r="K133" i="21"/>
  <c r="B134" i="21"/>
  <c r="C134" i="21"/>
  <c r="D134" i="21"/>
  <c r="E134" i="21"/>
  <c r="F134" i="21"/>
  <c r="G134" i="21"/>
  <c r="H134" i="21"/>
  <c r="I134" i="21"/>
  <c r="J134" i="21"/>
  <c r="K134" i="21"/>
  <c r="B135" i="21"/>
  <c r="C135" i="21"/>
  <c r="D135" i="21"/>
  <c r="E135" i="21"/>
  <c r="F135" i="21"/>
  <c r="G135" i="21"/>
  <c r="H135" i="21"/>
  <c r="I135" i="21"/>
  <c r="J135" i="21"/>
  <c r="K135" i="21"/>
  <c r="B136" i="21"/>
  <c r="C136" i="21"/>
  <c r="D136" i="21"/>
  <c r="E136" i="21"/>
  <c r="F136" i="21"/>
  <c r="G136" i="21"/>
  <c r="H136" i="21"/>
  <c r="I136" i="21"/>
  <c r="J136" i="21"/>
  <c r="K136" i="21"/>
  <c r="B137" i="21"/>
  <c r="C137" i="21"/>
  <c r="D137" i="21"/>
  <c r="E137" i="21"/>
  <c r="F137" i="21"/>
  <c r="G137" i="21"/>
  <c r="H137" i="21"/>
  <c r="I137" i="21"/>
  <c r="J137" i="21"/>
  <c r="K137" i="21"/>
  <c r="B138" i="21"/>
  <c r="C138" i="21"/>
  <c r="D138" i="21"/>
  <c r="E138" i="21"/>
  <c r="F138" i="21"/>
  <c r="G138" i="21"/>
  <c r="H138" i="21"/>
  <c r="I138" i="21"/>
  <c r="J138" i="21"/>
  <c r="K138" i="21"/>
  <c r="B139" i="21"/>
  <c r="C139" i="21"/>
  <c r="D139" i="21"/>
  <c r="E139" i="21"/>
  <c r="F139" i="21"/>
  <c r="G139" i="21"/>
  <c r="H139" i="21"/>
  <c r="I139" i="21"/>
  <c r="J139" i="21"/>
  <c r="K139" i="21"/>
  <c r="B140" i="21"/>
  <c r="C140" i="21"/>
  <c r="D140" i="21"/>
  <c r="E140" i="21"/>
  <c r="F140" i="21"/>
  <c r="G140" i="21"/>
  <c r="H140" i="21"/>
  <c r="I140" i="21"/>
  <c r="J140" i="21"/>
  <c r="K140" i="21"/>
  <c r="B115" i="21"/>
  <c r="C115" i="21"/>
  <c r="D115" i="21"/>
  <c r="E115" i="21"/>
  <c r="F115" i="21"/>
  <c r="G115" i="21"/>
  <c r="H115" i="21"/>
  <c r="I115" i="21"/>
  <c r="J115" i="21"/>
  <c r="K115" i="21"/>
  <c r="B116" i="21"/>
  <c r="C116" i="21"/>
  <c r="D116" i="21"/>
  <c r="E116" i="21"/>
  <c r="F116" i="21"/>
  <c r="G116" i="21"/>
  <c r="H116" i="21"/>
  <c r="I116" i="21"/>
  <c r="J116" i="21"/>
  <c r="K116" i="21"/>
  <c r="B108" i="21"/>
  <c r="C108" i="21"/>
  <c r="D108" i="21"/>
  <c r="E108" i="21"/>
  <c r="F108" i="21"/>
  <c r="G108" i="21"/>
  <c r="H108" i="21"/>
  <c r="I108" i="21"/>
  <c r="J108" i="21"/>
  <c r="K108" i="21"/>
  <c r="B109" i="21"/>
  <c r="C109" i="21"/>
  <c r="D109" i="21"/>
  <c r="E109" i="21"/>
  <c r="F109" i="21"/>
  <c r="G109" i="21"/>
  <c r="H109" i="21"/>
  <c r="I109" i="21"/>
  <c r="J109" i="21"/>
  <c r="K109" i="21"/>
  <c r="B110" i="21"/>
  <c r="C110" i="21"/>
  <c r="D110" i="21"/>
  <c r="E110" i="21"/>
  <c r="F110" i="21"/>
  <c r="G110" i="21"/>
  <c r="H110" i="21"/>
  <c r="I110" i="21"/>
  <c r="J110" i="21"/>
  <c r="K110" i="21"/>
  <c r="B111" i="21"/>
  <c r="C111" i="21"/>
  <c r="D111" i="21"/>
  <c r="E111" i="21"/>
  <c r="F111" i="21"/>
  <c r="G111" i="21"/>
  <c r="H111" i="21"/>
  <c r="I111" i="21"/>
  <c r="J111" i="21"/>
  <c r="K111" i="21"/>
  <c r="B94" i="21"/>
  <c r="C94" i="21"/>
  <c r="D94" i="21"/>
  <c r="E94" i="21"/>
  <c r="F94" i="21"/>
  <c r="G94" i="21"/>
  <c r="H94" i="21"/>
  <c r="I94" i="21"/>
  <c r="J94" i="21"/>
  <c r="K94" i="21"/>
  <c r="B95" i="21"/>
  <c r="C95" i="21"/>
  <c r="D95" i="21"/>
  <c r="E95" i="21"/>
  <c r="F95" i="21"/>
  <c r="G95" i="21"/>
  <c r="H95" i="21"/>
  <c r="I95" i="21"/>
  <c r="J95" i="21"/>
  <c r="K95" i="21"/>
  <c r="B96" i="21"/>
  <c r="C96" i="21"/>
  <c r="D96" i="21"/>
  <c r="E96" i="21"/>
  <c r="F96" i="21"/>
  <c r="G96" i="21"/>
  <c r="H96" i="21"/>
  <c r="I96" i="21"/>
  <c r="J96" i="21"/>
  <c r="K96" i="21"/>
  <c r="B97" i="21"/>
  <c r="C97" i="21"/>
  <c r="D97" i="21"/>
  <c r="E97" i="21"/>
  <c r="F97" i="21"/>
  <c r="G97" i="21"/>
  <c r="H97" i="21"/>
  <c r="I97" i="21"/>
  <c r="J97" i="21"/>
  <c r="K97" i="21"/>
  <c r="B98" i="21"/>
  <c r="C98" i="21"/>
  <c r="D98" i="21"/>
  <c r="E98" i="21"/>
  <c r="F98" i="21"/>
  <c r="G98" i="21"/>
  <c r="H98" i="21"/>
  <c r="I98" i="21"/>
  <c r="J98" i="21"/>
  <c r="K98" i="21"/>
  <c r="B99" i="21"/>
  <c r="C99" i="21"/>
  <c r="D99" i="21"/>
  <c r="E99" i="21"/>
  <c r="F99" i="21"/>
  <c r="G99" i="21"/>
  <c r="H99" i="21"/>
  <c r="I99" i="21"/>
  <c r="J99" i="21"/>
  <c r="K99" i="21"/>
  <c r="B100" i="21"/>
  <c r="C100" i="21"/>
  <c r="D100" i="21"/>
  <c r="E100" i="21"/>
  <c r="F100" i="21"/>
  <c r="G100" i="21"/>
  <c r="H100" i="21"/>
  <c r="I100" i="21"/>
  <c r="J100" i="21"/>
  <c r="K100" i="21"/>
  <c r="B101" i="21"/>
  <c r="C101" i="21"/>
  <c r="D101" i="21"/>
  <c r="E101" i="21"/>
  <c r="F101" i="21"/>
  <c r="G101" i="21"/>
  <c r="H101" i="21"/>
  <c r="I101" i="21"/>
  <c r="J101" i="21"/>
  <c r="K101" i="21"/>
  <c r="B102" i="21"/>
  <c r="C102" i="21"/>
  <c r="D102" i="21"/>
  <c r="E102" i="21"/>
  <c r="F102" i="21"/>
  <c r="G102" i="21"/>
  <c r="H102" i="21"/>
  <c r="I102" i="21"/>
  <c r="J102" i="21"/>
  <c r="K102" i="21"/>
  <c r="B103" i="21"/>
  <c r="C103" i="21"/>
  <c r="D103" i="21"/>
  <c r="E103" i="21"/>
  <c r="F103" i="21"/>
  <c r="G103" i="21"/>
  <c r="H103" i="21"/>
  <c r="I103" i="21"/>
  <c r="J103" i="21"/>
  <c r="K103" i="21"/>
  <c r="B100" i="24"/>
  <c r="C129" i="24"/>
  <c r="C102" i="24"/>
  <c r="C101" i="24"/>
  <c r="C110" i="24"/>
  <c r="C109" i="4"/>
  <c r="C109" i="24" s="1"/>
  <c r="L85" i="21" l="1"/>
  <c r="L138" i="21"/>
  <c r="L136" i="21"/>
  <c r="L132" i="21"/>
  <c r="L128" i="21"/>
  <c r="L122" i="21"/>
  <c r="L11" i="21"/>
  <c r="L9" i="21"/>
  <c r="L5" i="21"/>
  <c r="L21" i="21"/>
  <c r="L63" i="21"/>
  <c r="L101" i="21"/>
  <c r="L97" i="21"/>
  <c r="L111" i="21"/>
  <c r="L39" i="21"/>
  <c r="L95" i="21"/>
  <c r="L94" i="21"/>
  <c r="L121" i="21"/>
  <c r="L70" i="21"/>
  <c r="L66" i="21"/>
  <c r="L60" i="21"/>
  <c r="L7" i="21"/>
  <c r="L41" i="21"/>
  <c r="L37" i="21"/>
  <c r="L34" i="21"/>
  <c r="L108" i="21"/>
  <c r="L130" i="21"/>
  <c r="L126" i="21"/>
  <c r="L123" i="21"/>
  <c r="L68" i="21"/>
  <c r="L64" i="21"/>
  <c r="L61" i="21"/>
  <c r="L139" i="21"/>
  <c r="L134" i="21"/>
  <c r="L119" i="21"/>
  <c r="L115" i="21"/>
  <c r="L100" i="21"/>
  <c r="L86" i="21"/>
  <c r="L57" i="21"/>
  <c r="L54" i="21"/>
  <c r="L23" i="21"/>
  <c r="L103" i="21"/>
  <c r="L137" i="21"/>
  <c r="L124" i="21"/>
  <c r="L10" i="21"/>
  <c r="L35" i="21"/>
  <c r="L71" i="21"/>
  <c r="L62" i="21"/>
  <c r="L84" i="21"/>
  <c r="L99" i="21"/>
  <c r="L109" i="21"/>
  <c r="L140" i="21"/>
  <c r="L133" i="21"/>
  <c r="L120" i="21"/>
  <c r="L8" i="21"/>
  <c r="L6" i="21"/>
  <c r="L51" i="21"/>
  <c r="L67" i="21"/>
  <c r="L58" i="21"/>
  <c r="L87" i="21"/>
  <c r="L82" i="21"/>
  <c r="L102" i="21"/>
  <c r="L127" i="21"/>
  <c r="L4" i="21"/>
  <c r="L38" i="21"/>
  <c r="L36" i="21"/>
  <c r="L65" i="21"/>
  <c r="L83" i="21"/>
  <c r="L135" i="21"/>
  <c r="L131" i="21"/>
  <c r="L129" i="21"/>
  <c r="L125" i="21"/>
  <c r="L116" i="21"/>
  <c r="L110" i="21"/>
  <c r="L98" i="21"/>
  <c r="L96" i="21"/>
  <c r="L69" i="21"/>
  <c r="L59" i="21"/>
  <c r="L40" i="21"/>
  <c r="L25" i="21"/>
  <c r="L24" i="21"/>
  <c r="L22" i="21"/>
  <c r="L20" i="21"/>
  <c r="F132" i="2"/>
  <c r="B132" i="24"/>
  <c r="F132" i="4"/>
  <c r="C132" i="24"/>
  <c r="E80" i="36"/>
  <c r="E92" i="36"/>
  <c r="E106" i="36"/>
  <c r="C106" i="36"/>
  <c r="C92" i="36"/>
  <c r="C80" i="36"/>
  <c r="A1" i="36"/>
  <c r="O126" i="22"/>
  <c r="O127" i="22"/>
  <c r="O121" i="22"/>
  <c r="O114" i="22"/>
  <c r="O100" i="22"/>
  <c r="G108" i="29" l="1"/>
  <c r="X148" i="34"/>
  <c r="W148" i="34"/>
  <c r="V148" i="34"/>
  <c r="U148" i="34"/>
  <c r="T148" i="34"/>
  <c r="S148" i="34"/>
  <c r="R148" i="34"/>
  <c r="Q148" i="34"/>
  <c r="P148" i="34"/>
  <c r="O148" i="34"/>
  <c r="N148" i="34"/>
  <c r="M148" i="34"/>
  <c r="K148" i="34"/>
  <c r="J148" i="34"/>
  <c r="I148" i="34"/>
  <c r="H148" i="34"/>
  <c r="G148" i="34"/>
  <c r="F148" i="34"/>
  <c r="E148" i="34"/>
  <c r="D148" i="34"/>
  <c r="C148" i="34"/>
  <c r="B148" i="34"/>
  <c r="X147" i="34"/>
  <c r="W147" i="34"/>
  <c r="V147" i="34"/>
  <c r="U147" i="34"/>
  <c r="T147" i="34"/>
  <c r="S147" i="34"/>
  <c r="R147" i="34"/>
  <c r="Q147" i="34"/>
  <c r="P147" i="34"/>
  <c r="O147" i="34"/>
  <c r="N147" i="34"/>
  <c r="M147" i="34"/>
  <c r="K147" i="34"/>
  <c r="J147" i="34"/>
  <c r="I147" i="34"/>
  <c r="H147" i="34"/>
  <c r="G147" i="34"/>
  <c r="F147" i="34"/>
  <c r="E147" i="34"/>
  <c r="D147" i="34"/>
  <c r="C147" i="34"/>
  <c r="B147" i="34"/>
  <c r="X146" i="34"/>
  <c r="W146" i="34"/>
  <c r="V146" i="34"/>
  <c r="U146" i="34"/>
  <c r="T146" i="34"/>
  <c r="S146" i="34"/>
  <c r="R146" i="34"/>
  <c r="Q146" i="34"/>
  <c r="P146" i="34"/>
  <c r="O146" i="34"/>
  <c r="N146" i="34"/>
  <c r="M146" i="34"/>
  <c r="K146" i="34"/>
  <c r="J146" i="34"/>
  <c r="I146" i="34"/>
  <c r="H146" i="34"/>
  <c r="G146" i="34"/>
  <c r="F146" i="34"/>
  <c r="E146" i="34"/>
  <c r="D146" i="34"/>
  <c r="C146" i="34"/>
  <c r="B146" i="34"/>
  <c r="X145" i="34"/>
  <c r="W145" i="34"/>
  <c r="V145" i="34"/>
  <c r="U145" i="34"/>
  <c r="T145" i="34"/>
  <c r="S145" i="34"/>
  <c r="R145" i="34"/>
  <c r="Q145" i="34"/>
  <c r="P145" i="34"/>
  <c r="O145" i="34"/>
  <c r="N145" i="34"/>
  <c r="M145" i="34"/>
  <c r="K145" i="34"/>
  <c r="J145" i="34"/>
  <c r="I145" i="34"/>
  <c r="H145" i="34"/>
  <c r="G145" i="34"/>
  <c r="F145" i="34"/>
  <c r="E145" i="34"/>
  <c r="D145" i="34"/>
  <c r="C145" i="34"/>
  <c r="B145" i="34"/>
  <c r="X144" i="34"/>
  <c r="W144" i="34"/>
  <c r="V144" i="34"/>
  <c r="U144" i="34"/>
  <c r="T144" i="34"/>
  <c r="S144" i="34"/>
  <c r="R144" i="34"/>
  <c r="Q144" i="34"/>
  <c r="P144" i="34"/>
  <c r="O144" i="34"/>
  <c r="N144" i="34"/>
  <c r="M144" i="34"/>
  <c r="K144" i="34"/>
  <c r="J144" i="34"/>
  <c r="I144" i="34"/>
  <c r="H144" i="34"/>
  <c r="G144" i="34"/>
  <c r="F144" i="34"/>
  <c r="E144" i="34"/>
  <c r="D144" i="34"/>
  <c r="C144" i="34"/>
  <c r="B144" i="34"/>
  <c r="X143" i="34"/>
  <c r="W143" i="34"/>
  <c r="V143" i="34"/>
  <c r="U143" i="34"/>
  <c r="T143" i="34"/>
  <c r="S143" i="34"/>
  <c r="R143" i="34"/>
  <c r="Q143" i="34"/>
  <c r="P143" i="34"/>
  <c r="O143" i="34"/>
  <c r="N143" i="34"/>
  <c r="M143" i="34"/>
  <c r="K143" i="34"/>
  <c r="J143" i="34"/>
  <c r="I143" i="34"/>
  <c r="H143" i="34"/>
  <c r="G143" i="34"/>
  <c r="F143" i="34"/>
  <c r="E143" i="34"/>
  <c r="D143" i="34"/>
  <c r="C143" i="34"/>
  <c r="B143" i="34"/>
  <c r="X142" i="34"/>
  <c r="W142" i="34"/>
  <c r="V142" i="34"/>
  <c r="U142" i="34"/>
  <c r="T142" i="34"/>
  <c r="S142" i="34"/>
  <c r="R142" i="34"/>
  <c r="Q142" i="34"/>
  <c r="P142" i="34"/>
  <c r="O142" i="34"/>
  <c r="N142" i="34"/>
  <c r="M142" i="34"/>
  <c r="K142" i="34"/>
  <c r="J142" i="34"/>
  <c r="I142" i="34"/>
  <c r="H142" i="34"/>
  <c r="G142" i="34"/>
  <c r="F142" i="34"/>
  <c r="E142" i="34"/>
  <c r="D142" i="34"/>
  <c r="C142" i="34"/>
  <c r="B142" i="34"/>
  <c r="X141" i="34"/>
  <c r="W141" i="34"/>
  <c r="V141" i="34"/>
  <c r="U141" i="34"/>
  <c r="T141" i="34"/>
  <c r="S141" i="34"/>
  <c r="R141" i="34"/>
  <c r="Q141" i="34"/>
  <c r="P141" i="34"/>
  <c r="O141" i="34"/>
  <c r="N141" i="34"/>
  <c r="M141" i="34"/>
  <c r="K141" i="34"/>
  <c r="J141" i="34"/>
  <c r="I141" i="34"/>
  <c r="H141" i="34"/>
  <c r="G141" i="34"/>
  <c r="F141" i="34"/>
  <c r="E141" i="34"/>
  <c r="D141" i="34"/>
  <c r="C141" i="34"/>
  <c r="B141" i="34"/>
  <c r="X140" i="34"/>
  <c r="W140" i="34"/>
  <c r="V140" i="34"/>
  <c r="U140" i="34"/>
  <c r="T140" i="34"/>
  <c r="S140" i="34"/>
  <c r="R140" i="34"/>
  <c r="Q140" i="34"/>
  <c r="P140" i="34"/>
  <c r="O140" i="34"/>
  <c r="N140" i="34"/>
  <c r="M140" i="34"/>
  <c r="K140" i="34"/>
  <c r="J140" i="34"/>
  <c r="I140" i="34"/>
  <c r="H140" i="34"/>
  <c r="G140" i="34"/>
  <c r="F140" i="34"/>
  <c r="E140" i="34"/>
  <c r="D140" i="34"/>
  <c r="C140" i="34"/>
  <c r="B140" i="34"/>
  <c r="X139" i="34"/>
  <c r="W139" i="34"/>
  <c r="V139" i="34"/>
  <c r="U139" i="34"/>
  <c r="T139" i="34"/>
  <c r="S139" i="34"/>
  <c r="R139" i="34"/>
  <c r="Q139" i="34"/>
  <c r="P139" i="34"/>
  <c r="O139" i="34"/>
  <c r="N139" i="34"/>
  <c r="M139" i="34"/>
  <c r="K139" i="34"/>
  <c r="J139" i="34"/>
  <c r="I139" i="34"/>
  <c r="H139" i="34"/>
  <c r="G139" i="34"/>
  <c r="F139" i="34"/>
  <c r="E139" i="34"/>
  <c r="D139" i="34"/>
  <c r="C139" i="34"/>
  <c r="B139" i="34"/>
  <c r="X138" i="34"/>
  <c r="W138" i="34"/>
  <c r="V138" i="34"/>
  <c r="U138" i="34"/>
  <c r="T138" i="34"/>
  <c r="S138" i="34"/>
  <c r="R138" i="34"/>
  <c r="Q138" i="34"/>
  <c r="P138" i="34"/>
  <c r="O138" i="34"/>
  <c r="N138" i="34"/>
  <c r="M138" i="34"/>
  <c r="K138" i="34"/>
  <c r="J138" i="34"/>
  <c r="I138" i="34"/>
  <c r="H138" i="34"/>
  <c r="G138" i="34"/>
  <c r="F138" i="34"/>
  <c r="E138" i="34"/>
  <c r="D138" i="34"/>
  <c r="C138" i="34"/>
  <c r="B138" i="34"/>
  <c r="X137" i="34"/>
  <c r="W137" i="34"/>
  <c r="V137" i="34"/>
  <c r="U137" i="34"/>
  <c r="T137" i="34"/>
  <c r="S137" i="34"/>
  <c r="R137" i="34"/>
  <c r="Q137" i="34"/>
  <c r="P137" i="34"/>
  <c r="O137" i="34"/>
  <c r="N137" i="34"/>
  <c r="M137" i="34"/>
  <c r="K137" i="34"/>
  <c r="J137" i="34"/>
  <c r="I137" i="34"/>
  <c r="H137" i="34"/>
  <c r="G137" i="34"/>
  <c r="F137" i="34"/>
  <c r="E137" i="34"/>
  <c r="D137" i="34"/>
  <c r="C137" i="34"/>
  <c r="B137" i="34"/>
  <c r="X136" i="34"/>
  <c r="W136" i="34"/>
  <c r="V136" i="34"/>
  <c r="U136" i="34"/>
  <c r="T136" i="34"/>
  <c r="S136" i="34"/>
  <c r="R136" i="34"/>
  <c r="Q136" i="34"/>
  <c r="P136" i="34"/>
  <c r="O136" i="34"/>
  <c r="N136" i="34"/>
  <c r="M136" i="34"/>
  <c r="K136" i="34"/>
  <c r="J136" i="34"/>
  <c r="I136" i="34"/>
  <c r="H136" i="34"/>
  <c r="G136" i="34"/>
  <c r="F136" i="34"/>
  <c r="E136" i="34"/>
  <c r="D136" i="34"/>
  <c r="C136" i="34"/>
  <c r="B136" i="34"/>
  <c r="X135" i="34"/>
  <c r="W135" i="34"/>
  <c r="V135" i="34"/>
  <c r="U135" i="34"/>
  <c r="T135" i="34"/>
  <c r="S135" i="34"/>
  <c r="R135" i="34"/>
  <c r="Q135" i="34"/>
  <c r="P135" i="34"/>
  <c r="O135" i="34"/>
  <c r="N135" i="34"/>
  <c r="M135" i="34"/>
  <c r="K135" i="34"/>
  <c r="J135" i="34"/>
  <c r="I135" i="34"/>
  <c r="H135" i="34"/>
  <c r="G135" i="34"/>
  <c r="F135" i="34"/>
  <c r="E135" i="34"/>
  <c r="D135" i="34"/>
  <c r="C135" i="34"/>
  <c r="B135" i="34"/>
  <c r="X134" i="34"/>
  <c r="W134" i="34"/>
  <c r="V134" i="34"/>
  <c r="U134" i="34"/>
  <c r="T134" i="34"/>
  <c r="S134" i="34"/>
  <c r="R134" i="34"/>
  <c r="Q134" i="34"/>
  <c r="P134" i="34"/>
  <c r="O134" i="34"/>
  <c r="N134" i="34"/>
  <c r="M134" i="34"/>
  <c r="K134" i="34"/>
  <c r="J134" i="34"/>
  <c r="I134" i="34"/>
  <c r="H134" i="34"/>
  <c r="G134" i="34"/>
  <c r="F134" i="34"/>
  <c r="E134" i="34"/>
  <c r="D134" i="34"/>
  <c r="C134" i="34"/>
  <c r="B134" i="34"/>
  <c r="X133" i="34"/>
  <c r="W133" i="34"/>
  <c r="V133" i="34"/>
  <c r="U133" i="34"/>
  <c r="T133" i="34"/>
  <c r="S133" i="34"/>
  <c r="R133" i="34"/>
  <c r="Q133" i="34"/>
  <c r="P133" i="34"/>
  <c r="O133" i="34"/>
  <c r="N133" i="34"/>
  <c r="M133" i="34"/>
  <c r="K133" i="34"/>
  <c r="J133" i="34"/>
  <c r="I133" i="34"/>
  <c r="H133" i="34"/>
  <c r="G133" i="34"/>
  <c r="F133" i="34"/>
  <c r="E133" i="34"/>
  <c r="D133" i="34"/>
  <c r="C133" i="34"/>
  <c r="B133" i="34"/>
  <c r="X132" i="34"/>
  <c r="W132" i="34"/>
  <c r="V132" i="34"/>
  <c r="U132" i="34"/>
  <c r="T132" i="34"/>
  <c r="S132" i="34"/>
  <c r="R132" i="34"/>
  <c r="Q132" i="34"/>
  <c r="P132" i="34"/>
  <c r="O132" i="34"/>
  <c r="N132" i="34"/>
  <c r="M132" i="34"/>
  <c r="K132" i="34"/>
  <c r="J132" i="34"/>
  <c r="I132" i="34"/>
  <c r="H132" i="34"/>
  <c r="G132" i="34"/>
  <c r="F132" i="34"/>
  <c r="E132" i="34"/>
  <c r="D132" i="34"/>
  <c r="C132" i="34"/>
  <c r="B132" i="34"/>
  <c r="X131" i="34"/>
  <c r="W131" i="34"/>
  <c r="V131" i="34"/>
  <c r="U131" i="34"/>
  <c r="T131" i="34"/>
  <c r="S131" i="34"/>
  <c r="R131" i="34"/>
  <c r="Q131" i="34"/>
  <c r="P131" i="34"/>
  <c r="O131" i="34"/>
  <c r="N131" i="34"/>
  <c r="M131" i="34"/>
  <c r="K131" i="34"/>
  <c r="J131" i="34"/>
  <c r="I131" i="34"/>
  <c r="H131" i="34"/>
  <c r="G131" i="34"/>
  <c r="F131" i="34"/>
  <c r="E131" i="34"/>
  <c r="D131" i="34"/>
  <c r="C131" i="34"/>
  <c r="B131" i="34"/>
  <c r="X130" i="34"/>
  <c r="W130" i="34"/>
  <c r="V130" i="34"/>
  <c r="U130" i="34"/>
  <c r="T130" i="34"/>
  <c r="S130" i="34"/>
  <c r="R130" i="34"/>
  <c r="Q130" i="34"/>
  <c r="P130" i="34"/>
  <c r="O130" i="34"/>
  <c r="N130" i="34"/>
  <c r="M130" i="34"/>
  <c r="K130" i="34"/>
  <c r="J130" i="34"/>
  <c r="I130" i="34"/>
  <c r="H130" i="34"/>
  <c r="G130" i="34"/>
  <c r="F130" i="34"/>
  <c r="E130" i="34"/>
  <c r="D130" i="34"/>
  <c r="C130" i="34"/>
  <c r="B130" i="34"/>
  <c r="X129" i="34"/>
  <c r="W129" i="34"/>
  <c r="V129" i="34"/>
  <c r="U129" i="34"/>
  <c r="T129" i="34"/>
  <c r="S129" i="34"/>
  <c r="R129" i="34"/>
  <c r="Q129" i="34"/>
  <c r="P129" i="34"/>
  <c r="O129" i="34"/>
  <c r="N129" i="34"/>
  <c r="M129" i="34"/>
  <c r="K129" i="34"/>
  <c r="J129" i="34"/>
  <c r="I129" i="34"/>
  <c r="H129" i="34"/>
  <c r="G129" i="34"/>
  <c r="F129" i="34"/>
  <c r="E129" i="34"/>
  <c r="D129" i="34"/>
  <c r="C129" i="34"/>
  <c r="B129" i="34"/>
  <c r="X128" i="34"/>
  <c r="W128" i="34"/>
  <c r="V128" i="34"/>
  <c r="U128" i="34"/>
  <c r="T128" i="34"/>
  <c r="S128" i="34"/>
  <c r="R128" i="34"/>
  <c r="Q128" i="34"/>
  <c r="P128" i="34"/>
  <c r="O128" i="34"/>
  <c r="N128" i="34"/>
  <c r="M128" i="34"/>
  <c r="K128" i="34"/>
  <c r="J128" i="34"/>
  <c r="I128" i="34"/>
  <c r="H128" i="34"/>
  <c r="G128" i="34"/>
  <c r="F128" i="34"/>
  <c r="E128" i="34"/>
  <c r="D128" i="34"/>
  <c r="C128" i="34"/>
  <c r="B128" i="34"/>
  <c r="X127" i="34"/>
  <c r="W127" i="34"/>
  <c r="V127" i="34"/>
  <c r="U127" i="34"/>
  <c r="T127" i="34"/>
  <c r="S127" i="34"/>
  <c r="R127" i="34"/>
  <c r="Q127" i="34"/>
  <c r="P127" i="34"/>
  <c r="O127" i="34"/>
  <c r="N127" i="34"/>
  <c r="M127" i="34"/>
  <c r="K127" i="34"/>
  <c r="J127" i="34"/>
  <c r="I127" i="34"/>
  <c r="H127" i="34"/>
  <c r="G127" i="34"/>
  <c r="F127" i="34"/>
  <c r="E127" i="34"/>
  <c r="D127" i="34"/>
  <c r="C127" i="34"/>
  <c r="B127" i="34"/>
  <c r="X126" i="34"/>
  <c r="W126" i="34"/>
  <c r="V126" i="34"/>
  <c r="U126" i="34"/>
  <c r="T126" i="34"/>
  <c r="S126" i="34"/>
  <c r="R126" i="34"/>
  <c r="Q126" i="34"/>
  <c r="P126" i="34"/>
  <c r="O126" i="34"/>
  <c r="N126" i="34"/>
  <c r="M126" i="34"/>
  <c r="K126" i="34"/>
  <c r="J126" i="34"/>
  <c r="I126" i="34"/>
  <c r="H126" i="34"/>
  <c r="G126" i="34"/>
  <c r="F126" i="34"/>
  <c r="E126" i="34"/>
  <c r="D126" i="34"/>
  <c r="C126" i="34"/>
  <c r="B126" i="34"/>
  <c r="X125" i="34"/>
  <c r="W125" i="34"/>
  <c r="V125" i="34"/>
  <c r="U125" i="34"/>
  <c r="T125" i="34"/>
  <c r="S125" i="34"/>
  <c r="R125" i="34"/>
  <c r="Q125" i="34"/>
  <c r="P125" i="34"/>
  <c r="O125" i="34"/>
  <c r="N125" i="34"/>
  <c r="M125" i="34"/>
  <c r="K125" i="34"/>
  <c r="J125" i="34"/>
  <c r="I125" i="34"/>
  <c r="H125" i="34"/>
  <c r="G125" i="34"/>
  <c r="F125" i="34"/>
  <c r="E125" i="34"/>
  <c r="D125" i="34"/>
  <c r="C125" i="34"/>
  <c r="B125" i="34"/>
  <c r="X124" i="34"/>
  <c r="W124" i="34"/>
  <c r="V124" i="34"/>
  <c r="U124" i="34"/>
  <c r="T124" i="34"/>
  <c r="S124" i="34"/>
  <c r="R124" i="34"/>
  <c r="Q124" i="34"/>
  <c r="P124" i="34"/>
  <c r="O124" i="34"/>
  <c r="N124" i="34"/>
  <c r="M124" i="34"/>
  <c r="K124" i="34"/>
  <c r="J124" i="34"/>
  <c r="I124" i="34"/>
  <c r="H124" i="34"/>
  <c r="G124" i="34"/>
  <c r="F124" i="34"/>
  <c r="E124" i="34"/>
  <c r="D124" i="34"/>
  <c r="C124" i="34"/>
  <c r="B124" i="34"/>
  <c r="X123" i="34"/>
  <c r="W123" i="34"/>
  <c r="V123" i="34"/>
  <c r="U123" i="34"/>
  <c r="T123" i="34"/>
  <c r="S123" i="34"/>
  <c r="R123" i="34"/>
  <c r="Q123" i="34"/>
  <c r="P123" i="34"/>
  <c r="O123" i="34"/>
  <c r="N123" i="34"/>
  <c r="M123" i="34"/>
  <c r="K123" i="34"/>
  <c r="J123" i="34"/>
  <c r="I123" i="34"/>
  <c r="H123" i="34"/>
  <c r="G123" i="34"/>
  <c r="F123" i="34"/>
  <c r="E123" i="34"/>
  <c r="D123" i="34"/>
  <c r="C123" i="34"/>
  <c r="B123" i="34"/>
  <c r="X122" i="34"/>
  <c r="W122" i="34"/>
  <c r="V122" i="34"/>
  <c r="U122" i="34"/>
  <c r="T122" i="34"/>
  <c r="S122" i="34"/>
  <c r="R122" i="34"/>
  <c r="Q122" i="34"/>
  <c r="P122" i="34"/>
  <c r="O122" i="34"/>
  <c r="N122" i="34"/>
  <c r="M122" i="34"/>
  <c r="K122" i="34"/>
  <c r="J122" i="34"/>
  <c r="I122" i="34"/>
  <c r="H122" i="34"/>
  <c r="G122" i="34"/>
  <c r="F122" i="34"/>
  <c r="E122" i="34"/>
  <c r="D122" i="34"/>
  <c r="C122" i="34"/>
  <c r="B122" i="34"/>
  <c r="X121" i="34"/>
  <c r="W121" i="34"/>
  <c r="V121" i="34"/>
  <c r="U121" i="34"/>
  <c r="T121" i="34"/>
  <c r="S121" i="34"/>
  <c r="R121" i="34"/>
  <c r="Q121" i="34"/>
  <c r="P121" i="34"/>
  <c r="O121" i="34"/>
  <c r="N121" i="34"/>
  <c r="M121" i="34"/>
  <c r="K121" i="34"/>
  <c r="J121" i="34"/>
  <c r="I121" i="34"/>
  <c r="H121" i="34"/>
  <c r="G121" i="34"/>
  <c r="F121" i="34"/>
  <c r="E121" i="34"/>
  <c r="D121" i="34"/>
  <c r="C121" i="34"/>
  <c r="B121" i="34"/>
  <c r="X120" i="34"/>
  <c r="W120" i="34"/>
  <c r="V120" i="34"/>
  <c r="U120" i="34"/>
  <c r="T120" i="34"/>
  <c r="S120" i="34"/>
  <c r="R120" i="34"/>
  <c r="Q120" i="34"/>
  <c r="P120" i="34"/>
  <c r="O120" i="34"/>
  <c r="N120" i="34"/>
  <c r="M120" i="34"/>
  <c r="K120" i="34"/>
  <c r="J120" i="34"/>
  <c r="I120" i="34"/>
  <c r="H120" i="34"/>
  <c r="G120" i="34"/>
  <c r="F120" i="34"/>
  <c r="E120" i="34"/>
  <c r="D120" i="34"/>
  <c r="C120" i="34"/>
  <c r="B120" i="34"/>
  <c r="X119" i="34"/>
  <c r="W119" i="34"/>
  <c r="V119" i="34"/>
  <c r="U119" i="34"/>
  <c r="T119" i="34"/>
  <c r="S119" i="34"/>
  <c r="R119" i="34"/>
  <c r="Q119" i="34"/>
  <c r="P119" i="34"/>
  <c r="O119" i="34"/>
  <c r="N119" i="34"/>
  <c r="M119" i="34"/>
  <c r="K119" i="34"/>
  <c r="J119" i="34"/>
  <c r="I119" i="34"/>
  <c r="H119" i="34"/>
  <c r="G119" i="34"/>
  <c r="F119" i="34"/>
  <c r="E119" i="34"/>
  <c r="D119" i="34"/>
  <c r="C119" i="34"/>
  <c r="B119" i="34"/>
  <c r="X118" i="34"/>
  <c r="W118" i="34"/>
  <c r="V118" i="34"/>
  <c r="U118" i="34"/>
  <c r="T118" i="34"/>
  <c r="S118" i="34"/>
  <c r="R118" i="34"/>
  <c r="Q118" i="34"/>
  <c r="P118" i="34"/>
  <c r="O118" i="34"/>
  <c r="N118" i="34"/>
  <c r="M118" i="34"/>
  <c r="K118" i="34"/>
  <c r="J118" i="34"/>
  <c r="I118" i="34"/>
  <c r="H118" i="34"/>
  <c r="G118" i="34"/>
  <c r="F118" i="34"/>
  <c r="E118" i="34"/>
  <c r="D118" i="34"/>
  <c r="C118" i="34"/>
  <c r="B118" i="34"/>
  <c r="X116" i="34"/>
  <c r="W116" i="34"/>
  <c r="V116" i="34"/>
  <c r="U116" i="34"/>
  <c r="T116" i="34"/>
  <c r="S116" i="34"/>
  <c r="R116" i="34"/>
  <c r="Q116" i="34"/>
  <c r="P116" i="34"/>
  <c r="O116" i="34"/>
  <c r="N116" i="34"/>
  <c r="M116" i="34"/>
  <c r="K116" i="34"/>
  <c r="J116" i="34"/>
  <c r="I116" i="34"/>
  <c r="H116" i="34"/>
  <c r="G116" i="34"/>
  <c r="F116" i="34"/>
  <c r="E116" i="34"/>
  <c r="D116" i="34"/>
  <c r="C116" i="34"/>
  <c r="B116" i="34"/>
  <c r="X115" i="34"/>
  <c r="W115" i="34"/>
  <c r="V115" i="34"/>
  <c r="U115" i="34"/>
  <c r="T115" i="34"/>
  <c r="S115" i="34"/>
  <c r="R115" i="34"/>
  <c r="Q115" i="34"/>
  <c r="P115" i="34"/>
  <c r="O115" i="34"/>
  <c r="N115" i="34"/>
  <c r="M115" i="34"/>
  <c r="K115" i="34"/>
  <c r="J115" i="34"/>
  <c r="I115" i="34"/>
  <c r="H115" i="34"/>
  <c r="G115" i="34"/>
  <c r="F115" i="34"/>
  <c r="E115" i="34"/>
  <c r="D115" i="34"/>
  <c r="C115" i="34"/>
  <c r="B115" i="34"/>
  <c r="X114" i="34"/>
  <c r="W114" i="34"/>
  <c r="V114" i="34"/>
  <c r="U114" i="34"/>
  <c r="T114" i="34"/>
  <c r="S114" i="34"/>
  <c r="R114" i="34"/>
  <c r="Q114" i="34"/>
  <c r="P114" i="34"/>
  <c r="O114" i="34"/>
  <c r="N114" i="34"/>
  <c r="M114" i="34"/>
  <c r="K114" i="34"/>
  <c r="J114" i="34"/>
  <c r="I114" i="34"/>
  <c r="H114" i="34"/>
  <c r="G114" i="34"/>
  <c r="F114" i="34"/>
  <c r="E114" i="34"/>
  <c r="D114" i="34"/>
  <c r="C114" i="34"/>
  <c r="B114" i="34"/>
  <c r="X112" i="34"/>
  <c r="W112" i="34"/>
  <c r="V112" i="34"/>
  <c r="U112" i="34"/>
  <c r="T112" i="34"/>
  <c r="S112" i="34"/>
  <c r="R112" i="34"/>
  <c r="Q112" i="34"/>
  <c r="P112" i="34"/>
  <c r="O112" i="34"/>
  <c r="N112" i="34"/>
  <c r="M112" i="34"/>
  <c r="K112" i="34"/>
  <c r="J112" i="34"/>
  <c r="I112" i="34"/>
  <c r="H112" i="34"/>
  <c r="G112" i="34"/>
  <c r="F112" i="34"/>
  <c r="E112" i="34"/>
  <c r="D112" i="34"/>
  <c r="C112" i="34"/>
  <c r="B112" i="34"/>
  <c r="X111" i="34"/>
  <c r="W111" i="34"/>
  <c r="V111" i="34"/>
  <c r="U111" i="34"/>
  <c r="T111" i="34"/>
  <c r="S111" i="34"/>
  <c r="R111" i="34"/>
  <c r="Q111" i="34"/>
  <c r="P111" i="34"/>
  <c r="O111" i="34"/>
  <c r="N111" i="34"/>
  <c r="M111" i="34"/>
  <c r="K111" i="34"/>
  <c r="J111" i="34"/>
  <c r="I111" i="34"/>
  <c r="H111" i="34"/>
  <c r="G111" i="34"/>
  <c r="F111" i="34"/>
  <c r="E111" i="34"/>
  <c r="D111" i="34"/>
  <c r="C111" i="34"/>
  <c r="B111" i="34"/>
  <c r="X110" i="34"/>
  <c r="W110" i="34"/>
  <c r="V110" i="34"/>
  <c r="U110" i="34"/>
  <c r="T110" i="34"/>
  <c r="S110" i="34"/>
  <c r="R110" i="34"/>
  <c r="Q110" i="34"/>
  <c r="P110" i="34"/>
  <c r="O110" i="34"/>
  <c r="N110" i="34"/>
  <c r="M110" i="34"/>
  <c r="K110" i="34"/>
  <c r="J110" i="34"/>
  <c r="I110" i="34"/>
  <c r="H110" i="34"/>
  <c r="G110" i="34"/>
  <c r="F110" i="34"/>
  <c r="E110" i="34"/>
  <c r="D110" i="34"/>
  <c r="C110" i="34"/>
  <c r="B110" i="34"/>
  <c r="X109" i="34"/>
  <c r="W109" i="34"/>
  <c r="V109" i="34"/>
  <c r="U109" i="34"/>
  <c r="T109" i="34"/>
  <c r="S109" i="34"/>
  <c r="R109" i="34"/>
  <c r="Q109" i="34"/>
  <c r="P109" i="34"/>
  <c r="O109" i="34"/>
  <c r="N109" i="34"/>
  <c r="M109" i="34"/>
  <c r="K109" i="34"/>
  <c r="J109" i="34"/>
  <c r="I109" i="34"/>
  <c r="H109" i="34"/>
  <c r="G109" i="34"/>
  <c r="F109" i="34"/>
  <c r="E109" i="34"/>
  <c r="D109" i="34"/>
  <c r="C109" i="34"/>
  <c r="B109" i="34"/>
  <c r="X108" i="34"/>
  <c r="W108" i="34"/>
  <c r="V108" i="34"/>
  <c r="U108" i="34"/>
  <c r="T108" i="34"/>
  <c r="S108" i="34"/>
  <c r="R108" i="34"/>
  <c r="Q108" i="34"/>
  <c r="P108" i="34"/>
  <c r="O108" i="34"/>
  <c r="N108" i="34"/>
  <c r="M108" i="34"/>
  <c r="K108" i="34"/>
  <c r="J108" i="34"/>
  <c r="I108" i="34"/>
  <c r="H108" i="34"/>
  <c r="G108" i="34"/>
  <c r="F108" i="34"/>
  <c r="E108" i="34"/>
  <c r="D108" i="34"/>
  <c r="C108" i="34"/>
  <c r="B108" i="34"/>
  <c r="X107" i="34"/>
  <c r="W107" i="34"/>
  <c r="V107" i="34"/>
  <c r="U107" i="34"/>
  <c r="T107" i="34"/>
  <c r="S107" i="34"/>
  <c r="R107" i="34"/>
  <c r="Q107" i="34"/>
  <c r="P107" i="34"/>
  <c r="O107" i="34"/>
  <c r="N107" i="34"/>
  <c r="M107" i="34"/>
  <c r="K107" i="34"/>
  <c r="J107" i="34"/>
  <c r="I107" i="34"/>
  <c r="H107" i="34"/>
  <c r="G107" i="34"/>
  <c r="F107" i="34"/>
  <c r="E107" i="34"/>
  <c r="D107" i="34"/>
  <c r="C107" i="34"/>
  <c r="B107" i="34"/>
  <c r="X104" i="34"/>
  <c r="W104" i="34"/>
  <c r="V104" i="34"/>
  <c r="U104" i="34"/>
  <c r="T104" i="34"/>
  <c r="S104" i="34"/>
  <c r="R104" i="34"/>
  <c r="Q104" i="34"/>
  <c r="P104" i="34"/>
  <c r="O104" i="34"/>
  <c r="N104" i="34"/>
  <c r="M104" i="34"/>
  <c r="K104" i="34"/>
  <c r="J104" i="34"/>
  <c r="I104" i="34"/>
  <c r="H104" i="34"/>
  <c r="G104" i="34"/>
  <c r="F104" i="34"/>
  <c r="E104" i="34"/>
  <c r="D104" i="34"/>
  <c r="C104" i="34"/>
  <c r="B104" i="34"/>
  <c r="X103" i="34"/>
  <c r="W103" i="34"/>
  <c r="V103" i="34"/>
  <c r="U103" i="34"/>
  <c r="T103" i="34"/>
  <c r="S103" i="34"/>
  <c r="R103" i="34"/>
  <c r="Q103" i="34"/>
  <c r="P103" i="34"/>
  <c r="O103" i="34"/>
  <c r="N103" i="34"/>
  <c r="M103" i="34"/>
  <c r="K103" i="34"/>
  <c r="J103" i="34"/>
  <c r="I103" i="34"/>
  <c r="H103" i="34"/>
  <c r="G103" i="34"/>
  <c r="F103" i="34"/>
  <c r="E103" i="34"/>
  <c r="D103" i="34"/>
  <c r="C103" i="34"/>
  <c r="B103" i="34"/>
  <c r="X102" i="34"/>
  <c r="W102" i="34"/>
  <c r="V102" i="34"/>
  <c r="U102" i="34"/>
  <c r="T102" i="34"/>
  <c r="S102" i="34"/>
  <c r="R102" i="34"/>
  <c r="Q102" i="34"/>
  <c r="P102" i="34"/>
  <c r="O102" i="34"/>
  <c r="N102" i="34"/>
  <c r="M102" i="34"/>
  <c r="K102" i="34"/>
  <c r="J102" i="34"/>
  <c r="I102" i="34"/>
  <c r="H102" i="34"/>
  <c r="G102" i="34"/>
  <c r="F102" i="34"/>
  <c r="E102" i="34"/>
  <c r="D102" i="34"/>
  <c r="C102" i="34"/>
  <c r="B102" i="34"/>
  <c r="X101" i="34"/>
  <c r="W101" i="34"/>
  <c r="V101" i="34"/>
  <c r="U101" i="34"/>
  <c r="T101" i="34"/>
  <c r="S101" i="34"/>
  <c r="R101" i="34"/>
  <c r="Q101" i="34"/>
  <c r="P101" i="34"/>
  <c r="O101" i="34"/>
  <c r="N101" i="34"/>
  <c r="M101" i="34"/>
  <c r="K101" i="34"/>
  <c r="J101" i="34"/>
  <c r="I101" i="34"/>
  <c r="H101" i="34"/>
  <c r="G101" i="34"/>
  <c r="F101" i="34"/>
  <c r="E101" i="34"/>
  <c r="D101" i="34"/>
  <c r="C101" i="34"/>
  <c r="B101" i="34"/>
  <c r="X100" i="34"/>
  <c r="W100" i="34"/>
  <c r="V100" i="34"/>
  <c r="U100" i="34"/>
  <c r="T100" i="34"/>
  <c r="S100" i="34"/>
  <c r="R100" i="34"/>
  <c r="Q100" i="34"/>
  <c r="P100" i="34"/>
  <c r="O100" i="34"/>
  <c r="N100" i="34"/>
  <c r="M100" i="34"/>
  <c r="K100" i="34"/>
  <c r="J100" i="34"/>
  <c r="I100" i="34"/>
  <c r="H100" i="34"/>
  <c r="G100" i="34"/>
  <c r="F100" i="34"/>
  <c r="E100" i="34"/>
  <c r="D100" i="34"/>
  <c r="C100" i="34"/>
  <c r="B100" i="34"/>
  <c r="X99" i="34"/>
  <c r="W99" i="34"/>
  <c r="V99" i="34"/>
  <c r="U99" i="34"/>
  <c r="T99" i="34"/>
  <c r="S99" i="34"/>
  <c r="R99" i="34"/>
  <c r="Q99" i="34"/>
  <c r="P99" i="34"/>
  <c r="O99" i="34"/>
  <c r="N99" i="34"/>
  <c r="M99" i="34"/>
  <c r="K99" i="34"/>
  <c r="J99" i="34"/>
  <c r="I99" i="34"/>
  <c r="H99" i="34"/>
  <c r="G99" i="34"/>
  <c r="F99" i="34"/>
  <c r="E99" i="34"/>
  <c r="D99" i="34"/>
  <c r="C99" i="34"/>
  <c r="B99" i="34"/>
  <c r="X98" i="34"/>
  <c r="W98" i="34"/>
  <c r="V98" i="34"/>
  <c r="U98" i="34"/>
  <c r="T98" i="34"/>
  <c r="S98" i="34"/>
  <c r="R98" i="34"/>
  <c r="Q98" i="34"/>
  <c r="P98" i="34"/>
  <c r="O98" i="34"/>
  <c r="N98" i="34"/>
  <c r="M98" i="34"/>
  <c r="K98" i="34"/>
  <c r="J98" i="34"/>
  <c r="I98" i="34"/>
  <c r="H98" i="34"/>
  <c r="G98" i="34"/>
  <c r="F98" i="34"/>
  <c r="E98" i="34"/>
  <c r="D98" i="34"/>
  <c r="C98" i="34"/>
  <c r="B98" i="34"/>
  <c r="X97" i="34"/>
  <c r="W97" i="34"/>
  <c r="V97" i="34"/>
  <c r="U97" i="34"/>
  <c r="T97" i="34"/>
  <c r="S97" i="34"/>
  <c r="R97" i="34"/>
  <c r="Q97" i="34"/>
  <c r="P97" i="34"/>
  <c r="O97" i="34"/>
  <c r="N97" i="34"/>
  <c r="M97" i="34"/>
  <c r="K97" i="34"/>
  <c r="J97" i="34"/>
  <c r="I97" i="34"/>
  <c r="H97" i="34"/>
  <c r="G97" i="34"/>
  <c r="F97" i="34"/>
  <c r="E97" i="34"/>
  <c r="D97" i="34"/>
  <c r="C97" i="34"/>
  <c r="B97" i="34"/>
  <c r="X96" i="34"/>
  <c r="W96" i="34"/>
  <c r="V96" i="34"/>
  <c r="U96" i="34"/>
  <c r="T96" i="34"/>
  <c r="S96" i="34"/>
  <c r="R96" i="34"/>
  <c r="Q96" i="34"/>
  <c r="P96" i="34"/>
  <c r="O96" i="34"/>
  <c r="N96" i="34"/>
  <c r="M96" i="34"/>
  <c r="K96" i="34"/>
  <c r="J96" i="34"/>
  <c r="I96" i="34"/>
  <c r="H96" i="34"/>
  <c r="G96" i="34"/>
  <c r="F96" i="34"/>
  <c r="E96" i="34"/>
  <c r="D96" i="34"/>
  <c r="C96" i="34"/>
  <c r="B96" i="34"/>
  <c r="X95" i="34"/>
  <c r="W95" i="34"/>
  <c r="V95" i="34"/>
  <c r="U95" i="34"/>
  <c r="T95" i="34"/>
  <c r="S95" i="34"/>
  <c r="R95" i="34"/>
  <c r="Q95" i="34"/>
  <c r="P95" i="34"/>
  <c r="O95" i="34"/>
  <c r="N95" i="34"/>
  <c r="M95" i="34"/>
  <c r="K95" i="34"/>
  <c r="J95" i="34"/>
  <c r="I95" i="34"/>
  <c r="H95" i="34"/>
  <c r="G95" i="34"/>
  <c r="F95" i="34"/>
  <c r="E95" i="34"/>
  <c r="D95" i="34"/>
  <c r="C95" i="34"/>
  <c r="B95" i="34"/>
  <c r="X94" i="34"/>
  <c r="W94" i="34"/>
  <c r="V94" i="34"/>
  <c r="U94" i="34"/>
  <c r="T94" i="34"/>
  <c r="S94" i="34"/>
  <c r="R94" i="34"/>
  <c r="Q94" i="34"/>
  <c r="P94" i="34"/>
  <c r="O94" i="34"/>
  <c r="N94" i="34"/>
  <c r="M94" i="34"/>
  <c r="K94" i="34"/>
  <c r="J94" i="34"/>
  <c r="I94" i="34"/>
  <c r="H94" i="34"/>
  <c r="G94" i="34"/>
  <c r="F94" i="34"/>
  <c r="E94" i="34"/>
  <c r="D94" i="34"/>
  <c r="C94" i="34"/>
  <c r="B94" i="34"/>
  <c r="X93" i="34"/>
  <c r="W93" i="34"/>
  <c r="V93" i="34"/>
  <c r="U93" i="34"/>
  <c r="T93" i="34"/>
  <c r="S93" i="34"/>
  <c r="R93" i="34"/>
  <c r="Q93" i="34"/>
  <c r="P93" i="34"/>
  <c r="O93" i="34"/>
  <c r="N93" i="34"/>
  <c r="M93" i="34"/>
  <c r="K93" i="34"/>
  <c r="J93" i="34"/>
  <c r="I93" i="34"/>
  <c r="H93" i="34"/>
  <c r="G93" i="34"/>
  <c r="F93" i="34"/>
  <c r="E93" i="34"/>
  <c r="D93" i="34"/>
  <c r="C93" i="34"/>
  <c r="B93" i="34"/>
  <c r="X90" i="34"/>
  <c r="W90" i="34"/>
  <c r="V90" i="34"/>
  <c r="U90" i="34"/>
  <c r="T90" i="34"/>
  <c r="S90" i="34"/>
  <c r="R90" i="34"/>
  <c r="Q90" i="34"/>
  <c r="P90" i="34"/>
  <c r="O90" i="34"/>
  <c r="N90" i="34"/>
  <c r="M90" i="34"/>
  <c r="K90" i="34"/>
  <c r="J90" i="34"/>
  <c r="I90" i="34"/>
  <c r="H90" i="34"/>
  <c r="G90" i="34"/>
  <c r="F90" i="34"/>
  <c r="E90" i="34"/>
  <c r="D90" i="34"/>
  <c r="C90" i="34"/>
  <c r="B90" i="34"/>
  <c r="X89" i="34"/>
  <c r="W89" i="34"/>
  <c r="V89" i="34"/>
  <c r="U89" i="34"/>
  <c r="T89" i="34"/>
  <c r="S89" i="34"/>
  <c r="R89" i="34"/>
  <c r="Q89" i="34"/>
  <c r="P89" i="34"/>
  <c r="O89" i="34"/>
  <c r="N89" i="34"/>
  <c r="M89" i="34"/>
  <c r="K89" i="34"/>
  <c r="J89" i="34"/>
  <c r="I89" i="34"/>
  <c r="H89" i="34"/>
  <c r="G89" i="34"/>
  <c r="F89" i="34"/>
  <c r="E89" i="34"/>
  <c r="D89" i="34"/>
  <c r="C89" i="34"/>
  <c r="B89" i="34"/>
  <c r="X88" i="34"/>
  <c r="W88" i="34"/>
  <c r="V88" i="34"/>
  <c r="U88" i="34"/>
  <c r="T88" i="34"/>
  <c r="S88" i="34"/>
  <c r="R88" i="34"/>
  <c r="Q88" i="34"/>
  <c r="P88" i="34"/>
  <c r="O88" i="34"/>
  <c r="N88" i="34"/>
  <c r="M88" i="34"/>
  <c r="K88" i="34"/>
  <c r="J88" i="34"/>
  <c r="I88" i="34"/>
  <c r="H88" i="34"/>
  <c r="G88" i="34"/>
  <c r="F88" i="34"/>
  <c r="E88" i="34"/>
  <c r="D88" i="34"/>
  <c r="C88" i="34"/>
  <c r="B88" i="34"/>
  <c r="X87" i="34"/>
  <c r="W87" i="34"/>
  <c r="V87" i="34"/>
  <c r="U87" i="34"/>
  <c r="T87" i="34"/>
  <c r="S87" i="34"/>
  <c r="R87" i="34"/>
  <c r="Q87" i="34"/>
  <c r="P87" i="34"/>
  <c r="O87" i="34"/>
  <c r="N87" i="34"/>
  <c r="M87" i="34"/>
  <c r="K87" i="34"/>
  <c r="J87" i="34"/>
  <c r="I87" i="34"/>
  <c r="H87" i="34"/>
  <c r="G87" i="34"/>
  <c r="F87" i="34"/>
  <c r="E87" i="34"/>
  <c r="D87" i="34"/>
  <c r="C87" i="34"/>
  <c r="B87" i="34"/>
  <c r="X86" i="34"/>
  <c r="W86" i="34"/>
  <c r="V86" i="34"/>
  <c r="U86" i="34"/>
  <c r="T86" i="34"/>
  <c r="S86" i="34"/>
  <c r="R86" i="34"/>
  <c r="Q86" i="34"/>
  <c r="P86" i="34"/>
  <c r="O86" i="34"/>
  <c r="N86" i="34"/>
  <c r="M86" i="34"/>
  <c r="K86" i="34"/>
  <c r="J86" i="34"/>
  <c r="I86" i="34"/>
  <c r="H86" i="34"/>
  <c r="G86" i="34"/>
  <c r="F86" i="34"/>
  <c r="E86" i="34"/>
  <c r="D86" i="34"/>
  <c r="C86" i="34"/>
  <c r="B86" i="34"/>
  <c r="X85" i="34"/>
  <c r="W85" i="34"/>
  <c r="V85" i="34"/>
  <c r="U85" i="34"/>
  <c r="T85" i="34"/>
  <c r="S85" i="34"/>
  <c r="R85" i="34"/>
  <c r="Q85" i="34"/>
  <c r="P85" i="34"/>
  <c r="O85" i="34"/>
  <c r="N85" i="34"/>
  <c r="M85" i="34"/>
  <c r="K85" i="34"/>
  <c r="J85" i="34"/>
  <c r="I85" i="34"/>
  <c r="H85" i="34"/>
  <c r="G85" i="34"/>
  <c r="F85" i="34"/>
  <c r="E85" i="34"/>
  <c r="D85" i="34"/>
  <c r="C85" i="34"/>
  <c r="B85" i="34"/>
  <c r="X84" i="34"/>
  <c r="W84" i="34"/>
  <c r="V84" i="34"/>
  <c r="U84" i="34"/>
  <c r="T84" i="34"/>
  <c r="S84" i="34"/>
  <c r="R84" i="34"/>
  <c r="Q84" i="34"/>
  <c r="P84" i="34"/>
  <c r="O84" i="34"/>
  <c r="N84" i="34"/>
  <c r="M84" i="34"/>
  <c r="K84" i="34"/>
  <c r="J84" i="34"/>
  <c r="I84" i="34"/>
  <c r="H84" i="34"/>
  <c r="G84" i="34"/>
  <c r="F84" i="34"/>
  <c r="E84" i="34"/>
  <c r="D84" i="34"/>
  <c r="C84" i="34"/>
  <c r="B84" i="34"/>
  <c r="X83" i="34"/>
  <c r="W83" i="34"/>
  <c r="V83" i="34"/>
  <c r="U83" i="34"/>
  <c r="T83" i="34"/>
  <c r="S83" i="34"/>
  <c r="R83" i="34"/>
  <c r="Q83" i="34"/>
  <c r="P83" i="34"/>
  <c r="O83" i="34"/>
  <c r="N83" i="34"/>
  <c r="M83" i="34"/>
  <c r="K83" i="34"/>
  <c r="J83" i="34"/>
  <c r="I83" i="34"/>
  <c r="H83" i="34"/>
  <c r="G83" i="34"/>
  <c r="F83" i="34"/>
  <c r="E83" i="34"/>
  <c r="D83" i="34"/>
  <c r="C83" i="34"/>
  <c r="B83" i="34"/>
  <c r="X82" i="34"/>
  <c r="W82" i="34"/>
  <c r="V82" i="34"/>
  <c r="U82" i="34"/>
  <c r="T82" i="34"/>
  <c r="S82" i="34"/>
  <c r="R82" i="34"/>
  <c r="Q82" i="34"/>
  <c r="P82" i="34"/>
  <c r="O82" i="34"/>
  <c r="N82" i="34"/>
  <c r="M82" i="34"/>
  <c r="K82" i="34"/>
  <c r="J82" i="34"/>
  <c r="I82" i="34"/>
  <c r="H82" i="34"/>
  <c r="G82" i="34"/>
  <c r="F82" i="34"/>
  <c r="E82" i="34"/>
  <c r="D82" i="34"/>
  <c r="C82" i="34"/>
  <c r="B82" i="34"/>
  <c r="X81" i="34"/>
  <c r="W81" i="34"/>
  <c r="V81" i="34"/>
  <c r="U81" i="34"/>
  <c r="T81" i="34"/>
  <c r="S81" i="34"/>
  <c r="R81" i="34"/>
  <c r="Q81" i="34"/>
  <c r="P81" i="34"/>
  <c r="O81" i="34"/>
  <c r="N81" i="34"/>
  <c r="M81" i="34"/>
  <c r="K81" i="34"/>
  <c r="J81" i="34"/>
  <c r="I81" i="34"/>
  <c r="H81" i="34"/>
  <c r="G81" i="34"/>
  <c r="F81" i="34"/>
  <c r="E81" i="34"/>
  <c r="D81" i="34"/>
  <c r="C81" i="34"/>
  <c r="B81" i="34"/>
  <c r="X77" i="34"/>
  <c r="W77" i="34"/>
  <c r="V77" i="34"/>
  <c r="U77" i="34"/>
  <c r="T77" i="34"/>
  <c r="S77" i="34"/>
  <c r="R77" i="34"/>
  <c r="Q77" i="34"/>
  <c r="P77" i="34"/>
  <c r="O77" i="34"/>
  <c r="N77" i="34"/>
  <c r="M77" i="34"/>
  <c r="K77" i="34"/>
  <c r="J77" i="34"/>
  <c r="I77" i="34"/>
  <c r="H77" i="34"/>
  <c r="G77" i="34"/>
  <c r="F77" i="34"/>
  <c r="E77" i="34"/>
  <c r="D77" i="34"/>
  <c r="C77" i="34"/>
  <c r="B77" i="34"/>
  <c r="X76" i="34"/>
  <c r="W76" i="34"/>
  <c r="V76" i="34"/>
  <c r="U76" i="34"/>
  <c r="T76" i="34"/>
  <c r="S76" i="34"/>
  <c r="R76" i="34"/>
  <c r="Q76" i="34"/>
  <c r="P76" i="34"/>
  <c r="O76" i="34"/>
  <c r="N76" i="34"/>
  <c r="M76" i="34"/>
  <c r="K76" i="34"/>
  <c r="J76" i="34"/>
  <c r="I76" i="34"/>
  <c r="H76" i="34"/>
  <c r="G76" i="34"/>
  <c r="F76" i="34"/>
  <c r="E76" i="34"/>
  <c r="D76" i="34"/>
  <c r="C76" i="34"/>
  <c r="B76" i="34"/>
  <c r="X75" i="34"/>
  <c r="W75" i="34"/>
  <c r="V75" i="34"/>
  <c r="U75" i="34"/>
  <c r="T75" i="34"/>
  <c r="S75" i="34"/>
  <c r="R75" i="34"/>
  <c r="Q75" i="34"/>
  <c r="P75" i="34"/>
  <c r="O75" i="34"/>
  <c r="N75" i="34"/>
  <c r="M75" i="34"/>
  <c r="K75" i="34"/>
  <c r="J75" i="34"/>
  <c r="I75" i="34"/>
  <c r="H75" i="34"/>
  <c r="G75" i="34"/>
  <c r="F75" i="34"/>
  <c r="E75" i="34"/>
  <c r="D75" i="34"/>
  <c r="C75" i="34"/>
  <c r="B75" i="34"/>
  <c r="X74" i="34"/>
  <c r="W74" i="34"/>
  <c r="V74" i="34"/>
  <c r="U74" i="34"/>
  <c r="T74" i="34"/>
  <c r="S74" i="34"/>
  <c r="R74" i="34"/>
  <c r="Q74" i="34"/>
  <c r="P74" i="34"/>
  <c r="O74" i="34"/>
  <c r="N74" i="34"/>
  <c r="M74" i="34"/>
  <c r="K74" i="34"/>
  <c r="J74" i="34"/>
  <c r="I74" i="34"/>
  <c r="H74" i="34"/>
  <c r="G74" i="34"/>
  <c r="F74" i="34"/>
  <c r="E74" i="34"/>
  <c r="D74" i="34"/>
  <c r="C74" i="34"/>
  <c r="B74" i="34"/>
  <c r="X73" i="34"/>
  <c r="W73" i="34"/>
  <c r="V73" i="34"/>
  <c r="U73" i="34"/>
  <c r="T73" i="34"/>
  <c r="S73" i="34"/>
  <c r="R73" i="34"/>
  <c r="Q73" i="34"/>
  <c r="P73" i="34"/>
  <c r="O73" i="34"/>
  <c r="N73" i="34"/>
  <c r="M73" i="34"/>
  <c r="K73" i="34"/>
  <c r="J73" i="34"/>
  <c r="I73" i="34"/>
  <c r="H73" i="34"/>
  <c r="G73" i="34"/>
  <c r="F73" i="34"/>
  <c r="E73" i="34"/>
  <c r="D73" i="34"/>
  <c r="C73" i="34"/>
  <c r="B73" i="34"/>
  <c r="X72" i="34"/>
  <c r="W72" i="34"/>
  <c r="V72" i="34"/>
  <c r="U72" i="34"/>
  <c r="T72" i="34"/>
  <c r="S72" i="34"/>
  <c r="R72" i="34"/>
  <c r="Q72" i="34"/>
  <c r="P72" i="34"/>
  <c r="O72" i="34"/>
  <c r="N72" i="34"/>
  <c r="M72" i="34"/>
  <c r="K72" i="34"/>
  <c r="J72" i="34"/>
  <c r="I72" i="34"/>
  <c r="H72" i="34"/>
  <c r="G72" i="34"/>
  <c r="F72" i="34"/>
  <c r="E72" i="34"/>
  <c r="D72" i="34"/>
  <c r="C72" i="34"/>
  <c r="B72" i="34"/>
  <c r="X71" i="34"/>
  <c r="W71" i="34"/>
  <c r="V71" i="34"/>
  <c r="U71" i="34"/>
  <c r="T71" i="34"/>
  <c r="S71" i="34"/>
  <c r="R71" i="34"/>
  <c r="Q71" i="34"/>
  <c r="P71" i="34"/>
  <c r="O71" i="34"/>
  <c r="N71" i="34"/>
  <c r="M71" i="34"/>
  <c r="K71" i="34"/>
  <c r="J71" i="34"/>
  <c r="I71" i="34"/>
  <c r="H71" i="34"/>
  <c r="G71" i="34"/>
  <c r="F71" i="34"/>
  <c r="E71" i="34"/>
  <c r="D71" i="34"/>
  <c r="C71" i="34"/>
  <c r="B71" i="34"/>
  <c r="X70" i="34"/>
  <c r="W70" i="34"/>
  <c r="V70" i="34"/>
  <c r="U70" i="34"/>
  <c r="T70" i="34"/>
  <c r="S70" i="34"/>
  <c r="R70" i="34"/>
  <c r="Q70" i="34"/>
  <c r="P70" i="34"/>
  <c r="O70" i="34"/>
  <c r="N70" i="34"/>
  <c r="M70" i="34"/>
  <c r="K70" i="34"/>
  <c r="J70" i="34"/>
  <c r="I70" i="34"/>
  <c r="H70" i="34"/>
  <c r="G70" i="34"/>
  <c r="F70" i="34"/>
  <c r="E70" i="34"/>
  <c r="D70" i="34"/>
  <c r="C70" i="34"/>
  <c r="B70" i="34"/>
  <c r="X69" i="34"/>
  <c r="W69" i="34"/>
  <c r="V69" i="34"/>
  <c r="U69" i="34"/>
  <c r="T69" i="34"/>
  <c r="S69" i="34"/>
  <c r="R69" i="34"/>
  <c r="Q69" i="34"/>
  <c r="P69" i="34"/>
  <c r="O69" i="34"/>
  <c r="N69" i="34"/>
  <c r="M69" i="34"/>
  <c r="K69" i="34"/>
  <c r="J69" i="34"/>
  <c r="I69" i="34"/>
  <c r="H69" i="34"/>
  <c r="G69" i="34"/>
  <c r="F69" i="34"/>
  <c r="E69" i="34"/>
  <c r="D69" i="34"/>
  <c r="C69" i="34"/>
  <c r="B69" i="34"/>
  <c r="X68" i="34"/>
  <c r="W68" i="34"/>
  <c r="V68" i="34"/>
  <c r="U68" i="34"/>
  <c r="T68" i="34"/>
  <c r="S68" i="34"/>
  <c r="R68" i="34"/>
  <c r="Q68" i="34"/>
  <c r="P68" i="34"/>
  <c r="O68" i="34"/>
  <c r="N68" i="34"/>
  <c r="M68" i="34"/>
  <c r="K68" i="34"/>
  <c r="J68" i="34"/>
  <c r="I68" i="34"/>
  <c r="H68" i="34"/>
  <c r="G68" i="34"/>
  <c r="F68" i="34"/>
  <c r="E68" i="34"/>
  <c r="D68" i="34"/>
  <c r="C68" i="34"/>
  <c r="B68" i="34"/>
  <c r="X67" i="34"/>
  <c r="W67" i="34"/>
  <c r="V67" i="34"/>
  <c r="U67" i="34"/>
  <c r="T67" i="34"/>
  <c r="S67" i="34"/>
  <c r="R67" i="34"/>
  <c r="Q67" i="34"/>
  <c r="P67" i="34"/>
  <c r="O67" i="34"/>
  <c r="N67" i="34"/>
  <c r="M67" i="34"/>
  <c r="K67" i="34"/>
  <c r="J67" i="34"/>
  <c r="I67" i="34"/>
  <c r="H67" i="34"/>
  <c r="G67" i="34"/>
  <c r="F67" i="34"/>
  <c r="E67" i="34"/>
  <c r="D67" i="34"/>
  <c r="C67" i="34"/>
  <c r="B67" i="34"/>
  <c r="X66" i="34"/>
  <c r="W66" i="34"/>
  <c r="V66" i="34"/>
  <c r="U66" i="34"/>
  <c r="T66" i="34"/>
  <c r="S66" i="34"/>
  <c r="R66" i="34"/>
  <c r="Q66" i="34"/>
  <c r="P66" i="34"/>
  <c r="O66" i="34"/>
  <c r="N66" i="34"/>
  <c r="M66" i="34"/>
  <c r="K66" i="34"/>
  <c r="J66" i="34"/>
  <c r="I66" i="34"/>
  <c r="H66" i="34"/>
  <c r="G66" i="34"/>
  <c r="F66" i="34"/>
  <c r="E66" i="34"/>
  <c r="D66" i="34"/>
  <c r="C66" i="34"/>
  <c r="B66" i="34"/>
  <c r="X65" i="34"/>
  <c r="W65" i="34"/>
  <c r="V65" i="34"/>
  <c r="U65" i="34"/>
  <c r="T65" i="34"/>
  <c r="S65" i="34"/>
  <c r="R65" i="34"/>
  <c r="Q65" i="34"/>
  <c r="P65" i="34"/>
  <c r="O65" i="34"/>
  <c r="N65" i="34"/>
  <c r="M65" i="34"/>
  <c r="K65" i="34"/>
  <c r="J65" i="34"/>
  <c r="I65" i="34"/>
  <c r="H65" i="34"/>
  <c r="G65" i="34"/>
  <c r="F65" i="34"/>
  <c r="E65" i="34"/>
  <c r="D65" i="34"/>
  <c r="C65" i="34"/>
  <c r="B65" i="34"/>
  <c r="X64" i="34"/>
  <c r="W64" i="34"/>
  <c r="V64" i="34"/>
  <c r="U64" i="34"/>
  <c r="T64" i="34"/>
  <c r="S64" i="34"/>
  <c r="R64" i="34"/>
  <c r="Q64" i="34"/>
  <c r="P64" i="34"/>
  <c r="O64" i="34"/>
  <c r="N64" i="34"/>
  <c r="M64" i="34"/>
  <c r="K64" i="34"/>
  <c r="J64" i="34"/>
  <c r="I64" i="34"/>
  <c r="H64" i="34"/>
  <c r="G64" i="34"/>
  <c r="F64" i="34"/>
  <c r="E64" i="34"/>
  <c r="D64" i="34"/>
  <c r="C64" i="34"/>
  <c r="B64" i="34"/>
  <c r="X63" i="34"/>
  <c r="W63" i="34"/>
  <c r="V63" i="34"/>
  <c r="U63" i="34"/>
  <c r="T63" i="34"/>
  <c r="S63" i="34"/>
  <c r="R63" i="34"/>
  <c r="Q63" i="34"/>
  <c r="P63" i="34"/>
  <c r="O63" i="34"/>
  <c r="N63" i="34"/>
  <c r="M63" i="34"/>
  <c r="K63" i="34"/>
  <c r="J63" i="34"/>
  <c r="I63" i="34"/>
  <c r="H63" i="34"/>
  <c r="G63" i="34"/>
  <c r="F63" i="34"/>
  <c r="E63" i="34"/>
  <c r="D63" i="34"/>
  <c r="C63" i="34"/>
  <c r="B63" i="34"/>
  <c r="X62" i="34"/>
  <c r="W62" i="34"/>
  <c r="V62" i="34"/>
  <c r="U62" i="34"/>
  <c r="T62" i="34"/>
  <c r="S62" i="34"/>
  <c r="R62" i="34"/>
  <c r="Q62" i="34"/>
  <c r="P62" i="34"/>
  <c r="O62" i="34"/>
  <c r="N62" i="34"/>
  <c r="M62" i="34"/>
  <c r="K62" i="34"/>
  <c r="J62" i="34"/>
  <c r="I62" i="34"/>
  <c r="H62" i="34"/>
  <c r="G62" i="34"/>
  <c r="F62" i="34"/>
  <c r="E62" i="34"/>
  <c r="D62" i="34"/>
  <c r="C62" i="34"/>
  <c r="B62" i="34"/>
  <c r="X61" i="34"/>
  <c r="W61" i="34"/>
  <c r="V61" i="34"/>
  <c r="U61" i="34"/>
  <c r="T61" i="34"/>
  <c r="S61" i="34"/>
  <c r="R61" i="34"/>
  <c r="Q61" i="34"/>
  <c r="P61" i="34"/>
  <c r="O61" i="34"/>
  <c r="N61" i="34"/>
  <c r="M61" i="34"/>
  <c r="K61" i="34"/>
  <c r="J61" i="34"/>
  <c r="I61" i="34"/>
  <c r="H61" i="34"/>
  <c r="G61" i="34"/>
  <c r="F61" i="34"/>
  <c r="E61" i="34"/>
  <c r="D61" i="34"/>
  <c r="C61" i="34"/>
  <c r="B61" i="34"/>
  <c r="X60" i="34"/>
  <c r="W60" i="34"/>
  <c r="V60" i="34"/>
  <c r="U60" i="34"/>
  <c r="T60" i="34"/>
  <c r="S60" i="34"/>
  <c r="R60" i="34"/>
  <c r="Q60" i="34"/>
  <c r="P60" i="34"/>
  <c r="O60" i="34"/>
  <c r="N60" i="34"/>
  <c r="M60" i="34"/>
  <c r="K60" i="34"/>
  <c r="J60" i="34"/>
  <c r="I60" i="34"/>
  <c r="H60" i="34"/>
  <c r="G60" i="34"/>
  <c r="F60" i="34"/>
  <c r="E60" i="34"/>
  <c r="D60" i="34"/>
  <c r="C60" i="34"/>
  <c r="B60" i="34"/>
  <c r="X59" i="34"/>
  <c r="W59" i="34"/>
  <c r="V59" i="34"/>
  <c r="U59" i="34"/>
  <c r="T59" i="34"/>
  <c r="S59" i="34"/>
  <c r="R59" i="34"/>
  <c r="Q59" i="34"/>
  <c r="P59" i="34"/>
  <c r="O59" i="34"/>
  <c r="N59" i="34"/>
  <c r="M59" i="34"/>
  <c r="K59" i="34"/>
  <c r="J59" i="34"/>
  <c r="I59" i="34"/>
  <c r="H59" i="34"/>
  <c r="G59" i="34"/>
  <c r="F59" i="34"/>
  <c r="E59" i="34"/>
  <c r="D59" i="34"/>
  <c r="C59" i="34"/>
  <c r="B59" i="34"/>
  <c r="X58" i="34"/>
  <c r="W58" i="34"/>
  <c r="V58" i="34"/>
  <c r="U58" i="34"/>
  <c r="T58" i="34"/>
  <c r="S58" i="34"/>
  <c r="R58" i="34"/>
  <c r="Q58" i="34"/>
  <c r="P58" i="34"/>
  <c r="O58" i="34"/>
  <c r="N58" i="34"/>
  <c r="M58" i="34"/>
  <c r="K58" i="34"/>
  <c r="J58" i="34"/>
  <c r="I58" i="34"/>
  <c r="H58" i="34"/>
  <c r="G58" i="34"/>
  <c r="F58" i="34"/>
  <c r="E58" i="34"/>
  <c r="D58" i="34"/>
  <c r="C58" i="34"/>
  <c r="B58" i="34"/>
  <c r="X57" i="34"/>
  <c r="W57" i="34"/>
  <c r="V57" i="34"/>
  <c r="U57" i="34"/>
  <c r="T57" i="34"/>
  <c r="S57" i="34"/>
  <c r="R57" i="34"/>
  <c r="Q57" i="34"/>
  <c r="P57" i="34"/>
  <c r="O57" i="34"/>
  <c r="N57" i="34"/>
  <c r="M57" i="34"/>
  <c r="K57" i="34"/>
  <c r="J57" i="34"/>
  <c r="I57" i="34"/>
  <c r="H57" i="34"/>
  <c r="G57" i="34"/>
  <c r="F57" i="34"/>
  <c r="E57" i="34"/>
  <c r="D57" i="34"/>
  <c r="C57" i="34"/>
  <c r="B57" i="34"/>
  <c r="X56" i="34"/>
  <c r="W56" i="34"/>
  <c r="V56" i="34"/>
  <c r="U56" i="34"/>
  <c r="T56" i="34"/>
  <c r="S56" i="34"/>
  <c r="R56" i="34"/>
  <c r="Q56" i="34"/>
  <c r="P56" i="34"/>
  <c r="O56" i="34"/>
  <c r="N56" i="34"/>
  <c r="M56" i="34"/>
  <c r="K56" i="34"/>
  <c r="J56" i="34"/>
  <c r="I56" i="34"/>
  <c r="H56" i="34"/>
  <c r="G56" i="34"/>
  <c r="F56" i="34"/>
  <c r="E56" i="34"/>
  <c r="D56" i="34"/>
  <c r="C56" i="34"/>
  <c r="B56" i="34"/>
  <c r="X54" i="34"/>
  <c r="W54" i="34"/>
  <c r="V54" i="34"/>
  <c r="U54" i="34"/>
  <c r="T54" i="34"/>
  <c r="S54" i="34"/>
  <c r="R54" i="34"/>
  <c r="Q54" i="34"/>
  <c r="P54" i="34"/>
  <c r="O54" i="34"/>
  <c r="N54" i="34"/>
  <c r="M54" i="34"/>
  <c r="K54" i="34"/>
  <c r="J54" i="34"/>
  <c r="I54" i="34"/>
  <c r="H54" i="34"/>
  <c r="G54" i="34"/>
  <c r="F54" i="34"/>
  <c r="E54" i="34"/>
  <c r="D54" i="34"/>
  <c r="C54" i="34"/>
  <c r="B54" i="34"/>
  <c r="X53" i="34"/>
  <c r="W53" i="34"/>
  <c r="V53" i="34"/>
  <c r="U53" i="34"/>
  <c r="T53" i="34"/>
  <c r="S53" i="34"/>
  <c r="R53" i="34"/>
  <c r="Q53" i="34"/>
  <c r="P53" i="34"/>
  <c r="O53" i="34"/>
  <c r="N53" i="34"/>
  <c r="M53" i="34"/>
  <c r="K53" i="34"/>
  <c r="J53" i="34"/>
  <c r="I53" i="34"/>
  <c r="H53" i="34"/>
  <c r="G53" i="34"/>
  <c r="F53" i="34"/>
  <c r="E53" i="34"/>
  <c r="D53" i="34"/>
  <c r="C53" i="34"/>
  <c r="B53" i="34"/>
  <c r="X51" i="34"/>
  <c r="W51" i="34"/>
  <c r="V51" i="34"/>
  <c r="U51" i="34"/>
  <c r="T51" i="34"/>
  <c r="S51" i="34"/>
  <c r="R51" i="34"/>
  <c r="Q51" i="34"/>
  <c r="P51" i="34"/>
  <c r="O51" i="34"/>
  <c r="N51" i="34"/>
  <c r="M51" i="34"/>
  <c r="K51" i="34"/>
  <c r="J51" i="34"/>
  <c r="I51" i="34"/>
  <c r="H51" i="34"/>
  <c r="G51" i="34"/>
  <c r="F51" i="34"/>
  <c r="E51" i="34"/>
  <c r="D51" i="34"/>
  <c r="C51" i="34"/>
  <c r="B51" i="34"/>
  <c r="X50" i="34"/>
  <c r="W50" i="34"/>
  <c r="V50" i="34"/>
  <c r="U50" i="34"/>
  <c r="T50" i="34"/>
  <c r="S50" i="34"/>
  <c r="R50" i="34"/>
  <c r="Q50" i="34"/>
  <c r="P50" i="34"/>
  <c r="O50" i="34"/>
  <c r="N50" i="34"/>
  <c r="M50" i="34"/>
  <c r="K50" i="34"/>
  <c r="J50" i="34"/>
  <c r="I50" i="34"/>
  <c r="H50" i="34"/>
  <c r="G50" i="34"/>
  <c r="F50" i="34"/>
  <c r="E50" i="34"/>
  <c r="D50" i="34"/>
  <c r="C50" i="34"/>
  <c r="B50" i="34"/>
  <c r="X48" i="34"/>
  <c r="W48" i="34"/>
  <c r="V48" i="34"/>
  <c r="U48" i="34"/>
  <c r="T48" i="34"/>
  <c r="S48" i="34"/>
  <c r="R48" i="34"/>
  <c r="Q48" i="34"/>
  <c r="P48" i="34"/>
  <c r="O48" i="34"/>
  <c r="N48" i="34"/>
  <c r="M48" i="34"/>
  <c r="K48" i="34"/>
  <c r="J48" i="34"/>
  <c r="I48" i="34"/>
  <c r="H48" i="34"/>
  <c r="G48" i="34"/>
  <c r="F48" i="34"/>
  <c r="E48" i="34"/>
  <c r="D48" i="34"/>
  <c r="C48" i="34"/>
  <c r="B48" i="34"/>
  <c r="X47" i="34"/>
  <c r="W47" i="34"/>
  <c r="V47" i="34"/>
  <c r="U47" i="34"/>
  <c r="T47" i="34"/>
  <c r="S47" i="34"/>
  <c r="R47" i="34"/>
  <c r="Q47" i="34"/>
  <c r="P47" i="34"/>
  <c r="O47" i="34"/>
  <c r="N47" i="34"/>
  <c r="M47" i="34"/>
  <c r="K47" i="34"/>
  <c r="J47" i="34"/>
  <c r="I47" i="34"/>
  <c r="H47" i="34"/>
  <c r="G47" i="34"/>
  <c r="F47" i="34"/>
  <c r="E47" i="34"/>
  <c r="D47" i="34"/>
  <c r="C47" i="34"/>
  <c r="B47" i="34"/>
  <c r="X46" i="34"/>
  <c r="W46" i="34"/>
  <c r="V46" i="34"/>
  <c r="U46" i="34"/>
  <c r="T46" i="34"/>
  <c r="S46" i="34"/>
  <c r="R46" i="34"/>
  <c r="Q46" i="34"/>
  <c r="P46" i="34"/>
  <c r="O46" i="34"/>
  <c r="N46" i="34"/>
  <c r="M46" i="34"/>
  <c r="K46" i="34"/>
  <c r="J46" i="34"/>
  <c r="I46" i="34"/>
  <c r="H46" i="34"/>
  <c r="G46" i="34"/>
  <c r="F46" i="34"/>
  <c r="E46" i="34"/>
  <c r="D46" i="34"/>
  <c r="C46" i="34"/>
  <c r="B46" i="34"/>
  <c r="X45" i="34"/>
  <c r="W45" i="34"/>
  <c r="V45" i="34"/>
  <c r="U45" i="34"/>
  <c r="T45" i="34"/>
  <c r="S45" i="34"/>
  <c r="R45" i="34"/>
  <c r="Q45" i="34"/>
  <c r="P45" i="34"/>
  <c r="O45" i="34"/>
  <c r="N45" i="34"/>
  <c r="M45" i="34"/>
  <c r="K45" i="34"/>
  <c r="J45" i="34"/>
  <c r="I45" i="34"/>
  <c r="H45" i="34"/>
  <c r="G45" i="34"/>
  <c r="F45" i="34"/>
  <c r="E45" i="34"/>
  <c r="D45" i="34"/>
  <c r="C45" i="34"/>
  <c r="B45" i="34"/>
  <c r="X44" i="34"/>
  <c r="W44" i="34"/>
  <c r="V44" i="34"/>
  <c r="U44" i="34"/>
  <c r="T44" i="34"/>
  <c r="S44" i="34"/>
  <c r="R44" i="34"/>
  <c r="Q44" i="34"/>
  <c r="P44" i="34"/>
  <c r="O44" i="34"/>
  <c r="N44" i="34"/>
  <c r="M44" i="34"/>
  <c r="K44" i="34"/>
  <c r="J44" i="34"/>
  <c r="I44" i="34"/>
  <c r="H44" i="34"/>
  <c r="G44" i="34"/>
  <c r="F44" i="34"/>
  <c r="E44" i="34"/>
  <c r="D44" i="34"/>
  <c r="C44" i="34"/>
  <c r="B44" i="34"/>
  <c r="X43" i="34"/>
  <c r="W43" i="34"/>
  <c r="V43" i="34"/>
  <c r="U43" i="34"/>
  <c r="T43" i="34"/>
  <c r="S43" i="34"/>
  <c r="R43" i="34"/>
  <c r="Q43" i="34"/>
  <c r="P43" i="34"/>
  <c r="O43" i="34"/>
  <c r="N43" i="34"/>
  <c r="M43" i="34"/>
  <c r="K43" i="34"/>
  <c r="J43" i="34"/>
  <c r="I43" i="34"/>
  <c r="H43" i="34"/>
  <c r="G43" i="34"/>
  <c r="F43" i="34"/>
  <c r="E43" i="34"/>
  <c r="D43" i="34"/>
  <c r="C43" i="34"/>
  <c r="B43" i="34"/>
  <c r="X42" i="34"/>
  <c r="W42" i="34"/>
  <c r="V42" i="34"/>
  <c r="U42" i="34"/>
  <c r="T42" i="34"/>
  <c r="S42" i="34"/>
  <c r="R42" i="34"/>
  <c r="Q42" i="34"/>
  <c r="P42" i="34"/>
  <c r="O42" i="34"/>
  <c r="N42" i="34"/>
  <c r="M42" i="34"/>
  <c r="K42" i="34"/>
  <c r="J42" i="34"/>
  <c r="I42" i="34"/>
  <c r="H42" i="34"/>
  <c r="G42" i="34"/>
  <c r="F42" i="34"/>
  <c r="E42" i="34"/>
  <c r="D42" i="34"/>
  <c r="C42" i="34"/>
  <c r="B42" i="34"/>
  <c r="X41" i="34"/>
  <c r="W41" i="34"/>
  <c r="V41" i="34"/>
  <c r="U41" i="34"/>
  <c r="T41" i="34"/>
  <c r="S41" i="34"/>
  <c r="R41" i="34"/>
  <c r="Q41" i="34"/>
  <c r="P41" i="34"/>
  <c r="O41" i="34"/>
  <c r="N41" i="34"/>
  <c r="M41" i="34"/>
  <c r="K41" i="34"/>
  <c r="J41" i="34"/>
  <c r="I41" i="34"/>
  <c r="H41" i="34"/>
  <c r="G41" i="34"/>
  <c r="F41" i="34"/>
  <c r="E41" i="34"/>
  <c r="D41" i="34"/>
  <c r="C41" i="34"/>
  <c r="B41" i="34"/>
  <c r="X40" i="34"/>
  <c r="W40" i="34"/>
  <c r="V40" i="34"/>
  <c r="U40" i="34"/>
  <c r="T40" i="34"/>
  <c r="S40" i="34"/>
  <c r="R40" i="34"/>
  <c r="Q40" i="34"/>
  <c r="P40" i="34"/>
  <c r="O40" i="34"/>
  <c r="N40" i="34"/>
  <c r="M40" i="34"/>
  <c r="K40" i="34"/>
  <c r="J40" i="34"/>
  <c r="I40" i="34"/>
  <c r="H40" i="34"/>
  <c r="G40" i="34"/>
  <c r="F40" i="34"/>
  <c r="E40" i="34"/>
  <c r="D40" i="34"/>
  <c r="C40" i="34"/>
  <c r="B40" i="34"/>
  <c r="X39" i="34"/>
  <c r="W39" i="34"/>
  <c r="V39" i="34"/>
  <c r="U39" i="34"/>
  <c r="T39" i="34"/>
  <c r="S39" i="34"/>
  <c r="R39" i="34"/>
  <c r="Q39" i="34"/>
  <c r="P39" i="34"/>
  <c r="O39" i="34"/>
  <c r="N39" i="34"/>
  <c r="M39" i="34"/>
  <c r="K39" i="34"/>
  <c r="J39" i="34"/>
  <c r="I39" i="34"/>
  <c r="H39" i="34"/>
  <c r="G39" i="34"/>
  <c r="F39" i="34"/>
  <c r="E39" i="34"/>
  <c r="D39" i="34"/>
  <c r="C39" i="34"/>
  <c r="B39" i="34"/>
  <c r="X38" i="34"/>
  <c r="W38" i="34"/>
  <c r="V38" i="34"/>
  <c r="U38" i="34"/>
  <c r="T38" i="34"/>
  <c r="S38" i="34"/>
  <c r="R38" i="34"/>
  <c r="Q38" i="34"/>
  <c r="P38" i="34"/>
  <c r="O38" i="34"/>
  <c r="N38" i="34"/>
  <c r="M38" i="34"/>
  <c r="K38" i="34"/>
  <c r="J38" i="34"/>
  <c r="I38" i="34"/>
  <c r="H38" i="34"/>
  <c r="G38" i="34"/>
  <c r="F38" i="34"/>
  <c r="E38" i="34"/>
  <c r="D38" i="34"/>
  <c r="C38" i="34"/>
  <c r="B38" i="34"/>
  <c r="X37" i="34"/>
  <c r="W37" i="34"/>
  <c r="V37" i="34"/>
  <c r="U37" i="34"/>
  <c r="T37" i="34"/>
  <c r="S37" i="34"/>
  <c r="R37" i="34"/>
  <c r="Q37" i="34"/>
  <c r="P37" i="34"/>
  <c r="O37" i="34"/>
  <c r="N37" i="34"/>
  <c r="M37" i="34"/>
  <c r="K37" i="34"/>
  <c r="J37" i="34"/>
  <c r="I37" i="34"/>
  <c r="H37" i="34"/>
  <c r="G37" i="34"/>
  <c r="F37" i="34"/>
  <c r="E37" i="34"/>
  <c r="D37" i="34"/>
  <c r="C37" i="34"/>
  <c r="B37" i="34"/>
  <c r="X36" i="34"/>
  <c r="W36" i="34"/>
  <c r="V36" i="34"/>
  <c r="U36" i="34"/>
  <c r="T36" i="34"/>
  <c r="S36" i="34"/>
  <c r="R36" i="34"/>
  <c r="Q36" i="34"/>
  <c r="P36" i="34"/>
  <c r="O36" i="34"/>
  <c r="N36" i="34"/>
  <c r="M36" i="34"/>
  <c r="K36" i="34"/>
  <c r="J36" i="34"/>
  <c r="I36" i="34"/>
  <c r="H36" i="34"/>
  <c r="G36" i="34"/>
  <c r="F36" i="34"/>
  <c r="E36" i="34"/>
  <c r="D36" i="34"/>
  <c r="C36" i="34"/>
  <c r="B36" i="34"/>
  <c r="X35" i="34"/>
  <c r="W35" i="34"/>
  <c r="V35" i="34"/>
  <c r="U35" i="34"/>
  <c r="T35" i="34"/>
  <c r="S35" i="34"/>
  <c r="R35" i="34"/>
  <c r="Q35" i="34"/>
  <c r="P35" i="34"/>
  <c r="O35" i="34"/>
  <c r="N35" i="34"/>
  <c r="M35" i="34"/>
  <c r="K35" i="34"/>
  <c r="J35" i="34"/>
  <c r="I35" i="34"/>
  <c r="H35" i="34"/>
  <c r="G35" i="34"/>
  <c r="F35" i="34"/>
  <c r="E35" i="34"/>
  <c r="D35" i="34"/>
  <c r="C35" i="34"/>
  <c r="B35" i="34"/>
  <c r="X34" i="34"/>
  <c r="W34" i="34"/>
  <c r="V34" i="34"/>
  <c r="U34" i="34"/>
  <c r="T34" i="34"/>
  <c r="S34" i="34"/>
  <c r="R34" i="34"/>
  <c r="Q34" i="34"/>
  <c r="P34" i="34"/>
  <c r="O34" i="34"/>
  <c r="N34" i="34"/>
  <c r="M34" i="34"/>
  <c r="K34" i="34"/>
  <c r="J34" i="34"/>
  <c r="I34" i="34"/>
  <c r="H34" i="34"/>
  <c r="G34" i="34"/>
  <c r="F34" i="34"/>
  <c r="E34" i="34"/>
  <c r="D34" i="34"/>
  <c r="C34" i="34"/>
  <c r="B34" i="34"/>
  <c r="X33" i="34"/>
  <c r="W33" i="34"/>
  <c r="V33" i="34"/>
  <c r="U33" i="34"/>
  <c r="T33" i="34"/>
  <c r="S33" i="34"/>
  <c r="R33" i="34"/>
  <c r="Q33" i="34"/>
  <c r="P33" i="34"/>
  <c r="O33" i="34"/>
  <c r="N33" i="34"/>
  <c r="M33" i="34"/>
  <c r="K33" i="34"/>
  <c r="J33" i="34"/>
  <c r="I33" i="34"/>
  <c r="H33" i="34"/>
  <c r="G33" i="34"/>
  <c r="F33" i="34"/>
  <c r="E33" i="34"/>
  <c r="D33" i="34"/>
  <c r="C33" i="34"/>
  <c r="B33" i="34"/>
  <c r="X31" i="34"/>
  <c r="W31" i="34"/>
  <c r="V31" i="34"/>
  <c r="U31" i="34"/>
  <c r="T31" i="34"/>
  <c r="S31" i="34"/>
  <c r="R31" i="34"/>
  <c r="Q31" i="34"/>
  <c r="P31" i="34"/>
  <c r="O31" i="34"/>
  <c r="N31" i="34"/>
  <c r="M31" i="34"/>
  <c r="K31" i="34"/>
  <c r="J31" i="34"/>
  <c r="I31" i="34"/>
  <c r="H31" i="34"/>
  <c r="G31" i="34"/>
  <c r="F31" i="34"/>
  <c r="E31" i="34"/>
  <c r="D31" i="34"/>
  <c r="C31" i="34"/>
  <c r="B31" i="34"/>
  <c r="X30" i="34"/>
  <c r="W30" i="34"/>
  <c r="V30" i="34"/>
  <c r="U30" i="34"/>
  <c r="T30" i="34"/>
  <c r="S30" i="34"/>
  <c r="R30" i="34"/>
  <c r="Q30" i="34"/>
  <c r="P30" i="34"/>
  <c r="O30" i="34"/>
  <c r="N30" i="34"/>
  <c r="M30" i="34"/>
  <c r="K30" i="34"/>
  <c r="J30" i="34"/>
  <c r="I30" i="34"/>
  <c r="H30" i="34"/>
  <c r="G30" i="34"/>
  <c r="F30" i="34"/>
  <c r="E30" i="34"/>
  <c r="D30" i="34"/>
  <c r="C30" i="34"/>
  <c r="B30" i="34"/>
  <c r="X29" i="34"/>
  <c r="W29" i="34"/>
  <c r="V29" i="34"/>
  <c r="U29" i="34"/>
  <c r="T29" i="34"/>
  <c r="S29" i="34"/>
  <c r="R29" i="34"/>
  <c r="Q29" i="34"/>
  <c r="P29" i="34"/>
  <c r="O29" i="34"/>
  <c r="N29" i="34"/>
  <c r="M29" i="34"/>
  <c r="K29" i="34"/>
  <c r="J29" i="34"/>
  <c r="I29" i="34"/>
  <c r="H29" i="34"/>
  <c r="G29" i="34"/>
  <c r="F29" i="34"/>
  <c r="E29" i="34"/>
  <c r="D29" i="34"/>
  <c r="C29" i="34"/>
  <c r="B29" i="34"/>
  <c r="X28" i="34"/>
  <c r="W28" i="34"/>
  <c r="V28" i="34"/>
  <c r="U28" i="34"/>
  <c r="T28" i="34"/>
  <c r="S28" i="34"/>
  <c r="R28" i="34"/>
  <c r="Q28" i="34"/>
  <c r="P28" i="34"/>
  <c r="O28" i="34"/>
  <c r="N28" i="34"/>
  <c r="M28" i="34"/>
  <c r="K28" i="34"/>
  <c r="J28" i="34"/>
  <c r="I28" i="34"/>
  <c r="H28" i="34"/>
  <c r="G28" i="34"/>
  <c r="F28" i="34"/>
  <c r="E28" i="34"/>
  <c r="D28" i="34"/>
  <c r="C28" i="34"/>
  <c r="B28" i="34"/>
  <c r="X27" i="34"/>
  <c r="W27" i="34"/>
  <c r="V27" i="34"/>
  <c r="U27" i="34"/>
  <c r="T27" i="34"/>
  <c r="S27" i="34"/>
  <c r="R27" i="34"/>
  <c r="Q27" i="34"/>
  <c r="P27" i="34"/>
  <c r="O27" i="34"/>
  <c r="N27" i="34"/>
  <c r="M27" i="34"/>
  <c r="K27" i="34"/>
  <c r="J27" i="34"/>
  <c r="I27" i="34"/>
  <c r="H27" i="34"/>
  <c r="G27" i="34"/>
  <c r="F27" i="34"/>
  <c r="E27" i="34"/>
  <c r="D27" i="34"/>
  <c r="C27" i="34"/>
  <c r="B27" i="34"/>
  <c r="X26" i="34"/>
  <c r="W26" i="34"/>
  <c r="V26" i="34"/>
  <c r="U26" i="34"/>
  <c r="T26" i="34"/>
  <c r="S26" i="34"/>
  <c r="R26" i="34"/>
  <c r="Q26" i="34"/>
  <c r="P26" i="34"/>
  <c r="O26" i="34"/>
  <c r="N26" i="34"/>
  <c r="M26" i="34"/>
  <c r="K26" i="34"/>
  <c r="J26" i="34"/>
  <c r="I26" i="34"/>
  <c r="H26" i="34"/>
  <c r="G26" i="34"/>
  <c r="F26" i="34"/>
  <c r="E26" i="34"/>
  <c r="D26" i="34"/>
  <c r="C26" i="34"/>
  <c r="B26" i="34"/>
  <c r="X25" i="34"/>
  <c r="W25" i="34"/>
  <c r="V25" i="34"/>
  <c r="U25" i="34"/>
  <c r="T25" i="34"/>
  <c r="S25" i="34"/>
  <c r="R25" i="34"/>
  <c r="Q25" i="34"/>
  <c r="P25" i="34"/>
  <c r="O25" i="34"/>
  <c r="N25" i="34"/>
  <c r="M25" i="34"/>
  <c r="K25" i="34"/>
  <c r="J25" i="34"/>
  <c r="I25" i="34"/>
  <c r="H25" i="34"/>
  <c r="G25" i="34"/>
  <c r="F25" i="34"/>
  <c r="E25" i="34"/>
  <c r="D25" i="34"/>
  <c r="C25" i="34"/>
  <c r="B25" i="34"/>
  <c r="X24" i="34"/>
  <c r="W24" i="34"/>
  <c r="V24" i="34"/>
  <c r="U24" i="34"/>
  <c r="T24" i="34"/>
  <c r="S24" i="34"/>
  <c r="R24" i="34"/>
  <c r="Q24" i="34"/>
  <c r="P24" i="34"/>
  <c r="O24" i="34"/>
  <c r="N24" i="34"/>
  <c r="M24" i="34"/>
  <c r="K24" i="34"/>
  <c r="J24" i="34"/>
  <c r="I24" i="34"/>
  <c r="H24" i="34"/>
  <c r="G24" i="34"/>
  <c r="F24" i="34"/>
  <c r="E24" i="34"/>
  <c r="D24" i="34"/>
  <c r="C24" i="34"/>
  <c r="B24" i="34"/>
  <c r="X23" i="34"/>
  <c r="W23" i="34"/>
  <c r="V23" i="34"/>
  <c r="U23" i="34"/>
  <c r="T23" i="34"/>
  <c r="S23" i="34"/>
  <c r="R23" i="34"/>
  <c r="Q23" i="34"/>
  <c r="P23" i="34"/>
  <c r="O23" i="34"/>
  <c r="N23" i="34"/>
  <c r="M23" i="34"/>
  <c r="K23" i="34"/>
  <c r="J23" i="34"/>
  <c r="I23" i="34"/>
  <c r="H23" i="34"/>
  <c r="G23" i="34"/>
  <c r="F23" i="34"/>
  <c r="E23" i="34"/>
  <c r="D23" i="34"/>
  <c r="C23" i="34"/>
  <c r="B23" i="34"/>
  <c r="X22" i="34"/>
  <c r="W22" i="34"/>
  <c r="V22" i="34"/>
  <c r="U22" i="34"/>
  <c r="T22" i="34"/>
  <c r="S22" i="34"/>
  <c r="R22" i="34"/>
  <c r="Q22" i="34"/>
  <c r="P22" i="34"/>
  <c r="O22" i="34"/>
  <c r="N22" i="34"/>
  <c r="M22" i="34"/>
  <c r="K22" i="34"/>
  <c r="J22" i="34"/>
  <c r="I22" i="34"/>
  <c r="H22" i="34"/>
  <c r="G22" i="34"/>
  <c r="F22" i="34"/>
  <c r="E22" i="34"/>
  <c r="D22" i="34"/>
  <c r="C22" i="34"/>
  <c r="B22" i="34"/>
  <c r="X21" i="34"/>
  <c r="W21" i="34"/>
  <c r="V21" i="34"/>
  <c r="U21" i="34"/>
  <c r="T21" i="34"/>
  <c r="S21" i="34"/>
  <c r="R21" i="34"/>
  <c r="Q21" i="34"/>
  <c r="P21" i="34"/>
  <c r="O21" i="34"/>
  <c r="N21" i="34"/>
  <c r="M21" i="34"/>
  <c r="K21" i="34"/>
  <c r="J21" i="34"/>
  <c r="I21" i="34"/>
  <c r="H21" i="34"/>
  <c r="G21" i="34"/>
  <c r="F21" i="34"/>
  <c r="E21" i="34"/>
  <c r="D21" i="34"/>
  <c r="C21" i="34"/>
  <c r="B21" i="34"/>
  <c r="X20" i="34"/>
  <c r="W20" i="34"/>
  <c r="V20" i="34"/>
  <c r="U20" i="34"/>
  <c r="T20" i="34"/>
  <c r="S20" i="34"/>
  <c r="R20" i="34"/>
  <c r="Q20" i="34"/>
  <c r="P20" i="34"/>
  <c r="O20" i="34"/>
  <c r="N20" i="34"/>
  <c r="M20" i="34"/>
  <c r="K20" i="34"/>
  <c r="J20" i="34"/>
  <c r="I20" i="34"/>
  <c r="H20" i="34"/>
  <c r="G20" i="34"/>
  <c r="F20" i="34"/>
  <c r="E20" i="34"/>
  <c r="D20" i="34"/>
  <c r="C20" i="34"/>
  <c r="B20" i="34"/>
  <c r="X19" i="34"/>
  <c r="W19" i="34"/>
  <c r="V19" i="34"/>
  <c r="U19" i="34"/>
  <c r="T19" i="34"/>
  <c r="S19" i="34"/>
  <c r="R19" i="34"/>
  <c r="Q19" i="34"/>
  <c r="P19" i="34"/>
  <c r="O19" i="34"/>
  <c r="N19" i="34"/>
  <c r="M19" i="34"/>
  <c r="K19" i="34"/>
  <c r="J19" i="34"/>
  <c r="I19" i="34"/>
  <c r="H19" i="34"/>
  <c r="G19" i="34"/>
  <c r="F19" i="34"/>
  <c r="E19" i="34"/>
  <c r="D19" i="34"/>
  <c r="C19" i="34"/>
  <c r="B19" i="34"/>
  <c r="X17" i="34"/>
  <c r="W17" i="34"/>
  <c r="V17" i="34"/>
  <c r="U17" i="34"/>
  <c r="T17" i="34"/>
  <c r="S17" i="34"/>
  <c r="R17" i="34"/>
  <c r="Q17" i="34"/>
  <c r="P17" i="34"/>
  <c r="O17" i="34"/>
  <c r="N17" i="34"/>
  <c r="M17" i="34"/>
  <c r="K17" i="34"/>
  <c r="J17" i="34"/>
  <c r="I17" i="34"/>
  <c r="H17" i="34"/>
  <c r="G17" i="34"/>
  <c r="F17" i="34"/>
  <c r="E17" i="34"/>
  <c r="D17" i="34"/>
  <c r="C17" i="34"/>
  <c r="B17" i="34"/>
  <c r="X16" i="34"/>
  <c r="W16" i="34"/>
  <c r="V16" i="34"/>
  <c r="U16" i="34"/>
  <c r="T16" i="34"/>
  <c r="S16" i="34"/>
  <c r="R16" i="34"/>
  <c r="Q16" i="34"/>
  <c r="P16" i="34"/>
  <c r="O16" i="34"/>
  <c r="N16" i="34"/>
  <c r="M16" i="34"/>
  <c r="K16" i="34"/>
  <c r="J16" i="34"/>
  <c r="I16" i="34"/>
  <c r="H16" i="34"/>
  <c r="G16" i="34"/>
  <c r="F16" i="34"/>
  <c r="E16" i="34"/>
  <c r="D16" i="34"/>
  <c r="C16" i="34"/>
  <c r="B16" i="34"/>
  <c r="X15" i="34"/>
  <c r="W15" i="34"/>
  <c r="V15" i="34"/>
  <c r="U15" i="34"/>
  <c r="T15" i="34"/>
  <c r="S15" i="34"/>
  <c r="R15" i="34"/>
  <c r="Q15" i="34"/>
  <c r="P15" i="34"/>
  <c r="O15" i="34"/>
  <c r="N15" i="34"/>
  <c r="M15" i="34"/>
  <c r="K15" i="34"/>
  <c r="J15" i="34"/>
  <c r="I15" i="34"/>
  <c r="H15" i="34"/>
  <c r="G15" i="34"/>
  <c r="F15" i="34"/>
  <c r="E15" i="34"/>
  <c r="D15" i="34"/>
  <c r="C15" i="34"/>
  <c r="B15" i="34"/>
  <c r="X14" i="34"/>
  <c r="W14" i="34"/>
  <c r="V14" i="34"/>
  <c r="U14" i="34"/>
  <c r="T14" i="34"/>
  <c r="S14" i="34"/>
  <c r="R14" i="34"/>
  <c r="Q14" i="34"/>
  <c r="P14" i="34"/>
  <c r="O14" i="34"/>
  <c r="N14" i="34"/>
  <c r="M14" i="34"/>
  <c r="K14" i="34"/>
  <c r="J14" i="34"/>
  <c r="I14" i="34"/>
  <c r="H14" i="34"/>
  <c r="G14" i="34"/>
  <c r="F14" i="34"/>
  <c r="E14" i="34"/>
  <c r="D14" i="34"/>
  <c r="C14" i="34"/>
  <c r="B14" i="34"/>
  <c r="X13" i="34"/>
  <c r="W13" i="34"/>
  <c r="V13" i="34"/>
  <c r="U13" i="34"/>
  <c r="T13" i="34"/>
  <c r="S13" i="34"/>
  <c r="R13" i="34"/>
  <c r="Q13" i="34"/>
  <c r="P13" i="34"/>
  <c r="O13" i="34"/>
  <c r="N13" i="34"/>
  <c r="M13" i="34"/>
  <c r="K13" i="34"/>
  <c r="J13" i="34"/>
  <c r="I13" i="34"/>
  <c r="H13" i="34"/>
  <c r="G13" i="34"/>
  <c r="F13" i="34"/>
  <c r="E13" i="34"/>
  <c r="D13" i="34"/>
  <c r="C13" i="34"/>
  <c r="B13" i="34"/>
  <c r="X12" i="34"/>
  <c r="W12" i="34"/>
  <c r="V12" i="34"/>
  <c r="U12" i="34"/>
  <c r="T12" i="34"/>
  <c r="S12" i="34"/>
  <c r="R12" i="34"/>
  <c r="Q12" i="34"/>
  <c r="P12" i="34"/>
  <c r="O12" i="34"/>
  <c r="N12" i="34"/>
  <c r="M12" i="34"/>
  <c r="K12" i="34"/>
  <c r="J12" i="34"/>
  <c r="I12" i="34"/>
  <c r="H12" i="34"/>
  <c r="G12" i="34"/>
  <c r="F12" i="34"/>
  <c r="E12" i="34"/>
  <c r="D12" i="34"/>
  <c r="C12" i="34"/>
  <c r="B12" i="34"/>
  <c r="X11" i="34"/>
  <c r="W11" i="34"/>
  <c r="V11" i="34"/>
  <c r="U11" i="34"/>
  <c r="T11" i="34"/>
  <c r="S11" i="34"/>
  <c r="R11" i="34"/>
  <c r="Q11" i="34"/>
  <c r="P11" i="34"/>
  <c r="O11" i="34"/>
  <c r="N11" i="34"/>
  <c r="M11" i="34"/>
  <c r="K11" i="34"/>
  <c r="J11" i="34"/>
  <c r="I11" i="34"/>
  <c r="H11" i="34"/>
  <c r="G11" i="34"/>
  <c r="F11" i="34"/>
  <c r="E11" i="34"/>
  <c r="D11" i="34"/>
  <c r="C11" i="34"/>
  <c r="B11" i="34"/>
  <c r="X10" i="34"/>
  <c r="W10" i="34"/>
  <c r="V10" i="34"/>
  <c r="U10" i="34"/>
  <c r="T10" i="34"/>
  <c r="S10" i="34"/>
  <c r="R10" i="34"/>
  <c r="Q10" i="34"/>
  <c r="P10" i="34"/>
  <c r="O10" i="34"/>
  <c r="N10" i="34"/>
  <c r="M10" i="34"/>
  <c r="K10" i="34"/>
  <c r="J10" i="34"/>
  <c r="I10" i="34"/>
  <c r="H10" i="34"/>
  <c r="G10" i="34"/>
  <c r="F10" i="34"/>
  <c r="E10" i="34"/>
  <c r="D10" i="34"/>
  <c r="C10" i="34"/>
  <c r="B10" i="34"/>
  <c r="X9" i="34"/>
  <c r="W9" i="34"/>
  <c r="V9" i="34"/>
  <c r="U9" i="34"/>
  <c r="T9" i="34"/>
  <c r="S9" i="34"/>
  <c r="R9" i="34"/>
  <c r="Q9" i="34"/>
  <c r="P9" i="34"/>
  <c r="O9" i="34"/>
  <c r="N9" i="34"/>
  <c r="M9" i="34"/>
  <c r="K9" i="34"/>
  <c r="J9" i="34"/>
  <c r="I9" i="34"/>
  <c r="H9" i="34"/>
  <c r="G9" i="34"/>
  <c r="F9" i="34"/>
  <c r="E9" i="34"/>
  <c r="D9" i="34"/>
  <c r="C9" i="34"/>
  <c r="B9" i="34"/>
  <c r="X8" i="34"/>
  <c r="W8" i="34"/>
  <c r="V8" i="34"/>
  <c r="U8" i="34"/>
  <c r="T8" i="34"/>
  <c r="S8" i="34"/>
  <c r="R8" i="34"/>
  <c r="Q8" i="34"/>
  <c r="P8" i="34"/>
  <c r="O8" i="34"/>
  <c r="N8" i="34"/>
  <c r="M8" i="34"/>
  <c r="K8" i="34"/>
  <c r="J8" i="34"/>
  <c r="I8" i="34"/>
  <c r="H8" i="34"/>
  <c r="G8" i="34"/>
  <c r="F8" i="34"/>
  <c r="E8" i="34"/>
  <c r="D8" i="34"/>
  <c r="C8" i="34"/>
  <c r="B8" i="34"/>
  <c r="X7" i="34"/>
  <c r="W7" i="34"/>
  <c r="V7" i="34"/>
  <c r="U7" i="34"/>
  <c r="T7" i="34"/>
  <c r="S7" i="34"/>
  <c r="R7" i="34"/>
  <c r="Q7" i="34"/>
  <c r="P7" i="34"/>
  <c r="O7" i="34"/>
  <c r="N7" i="34"/>
  <c r="M7" i="34"/>
  <c r="K7" i="34"/>
  <c r="J7" i="34"/>
  <c r="I7" i="34"/>
  <c r="H7" i="34"/>
  <c r="G7" i="34"/>
  <c r="F7" i="34"/>
  <c r="E7" i="34"/>
  <c r="D7" i="34"/>
  <c r="C7" i="34"/>
  <c r="B7" i="34"/>
  <c r="X6" i="34"/>
  <c r="W6" i="34"/>
  <c r="V6" i="34"/>
  <c r="U6" i="34"/>
  <c r="T6" i="34"/>
  <c r="S6" i="34"/>
  <c r="R6" i="34"/>
  <c r="Q6" i="34"/>
  <c r="P6" i="34"/>
  <c r="O6" i="34"/>
  <c r="N6" i="34"/>
  <c r="M6" i="34"/>
  <c r="K6" i="34"/>
  <c r="J6" i="34"/>
  <c r="I6" i="34"/>
  <c r="H6" i="34"/>
  <c r="G6" i="34"/>
  <c r="F6" i="34"/>
  <c r="E6" i="34"/>
  <c r="D6" i="34"/>
  <c r="C6" i="34"/>
  <c r="B6" i="34"/>
  <c r="X5" i="34"/>
  <c r="W5" i="34"/>
  <c r="V5" i="34"/>
  <c r="U5" i="34"/>
  <c r="T5" i="34"/>
  <c r="S5" i="34"/>
  <c r="R5" i="34"/>
  <c r="Q5" i="34"/>
  <c r="P5" i="34"/>
  <c r="O5" i="34"/>
  <c r="N5" i="34"/>
  <c r="M5" i="34"/>
  <c r="K5" i="34"/>
  <c r="J5" i="34"/>
  <c r="I5" i="34"/>
  <c r="H5" i="34"/>
  <c r="G5" i="34"/>
  <c r="F5" i="34"/>
  <c r="E5" i="34"/>
  <c r="D5" i="34"/>
  <c r="C5" i="34"/>
  <c r="B5" i="34"/>
  <c r="X4" i="34"/>
  <c r="W4" i="34"/>
  <c r="V4" i="34"/>
  <c r="U4" i="34"/>
  <c r="T4" i="34"/>
  <c r="S4" i="34"/>
  <c r="R4" i="34"/>
  <c r="Q4" i="34"/>
  <c r="P4" i="34"/>
  <c r="O4" i="34"/>
  <c r="N4" i="34"/>
  <c r="M4" i="34"/>
  <c r="K4" i="34"/>
  <c r="J4" i="34"/>
  <c r="I4" i="34"/>
  <c r="H4" i="34"/>
  <c r="G4" i="34"/>
  <c r="F4" i="34"/>
  <c r="E4" i="34"/>
  <c r="D4" i="34"/>
  <c r="C4" i="34"/>
  <c r="B4" i="34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K148" i="26"/>
  <c r="J148" i="26"/>
  <c r="I148" i="26"/>
  <c r="H148" i="26"/>
  <c r="G148" i="26"/>
  <c r="F148" i="26"/>
  <c r="E148" i="26"/>
  <c r="D148" i="26"/>
  <c r="C148" i="26"/>
  <c r="B148" i="26"/>
  <c r="X147" i="26"/>
  <c r="W147" i="26"/>
  <c r="V147" i="26"/>
  <c r="U147" i="26"/>
  <c r="T147" i="26"/>
  <c r="S147" i="26"/>
  <c r="R147" i="26"/>
  <c r="Q147" i="26"/>
  <c r="P147" i="26"/>
  <c r="O147" i="26"/>
  <c r="N147" i="26"/>
  <c r="M147" i="26"/>
  <c r="K147" i="26"/>
  <c r="J147" i="26"/>
  <c r="I147" i="26"/>
  <c r="H147" i="26"/>
  <c r="G147" i="26"/>
  <c r="F147" i="26"/>
  <c r="E147" i="26"/>
  <c r="D147" i="26"/>
  <c r="C147" i="26"/>
  <c r="B147" i="26"/>
  <c r="X146" i="26"/>
  <c r="W146" i="26"/>
  <c r="V146" i="26"/>
  <c r="U146" i="26"/>
  <c r="T146" i="26"/>
  <c r="S146" i="26"/>
  <c r="R146" i="26"/>
  <c r="Q146" i="26"/>
  <c r="P146" i="26"/>
  <c r="O146" i="26"/>
  <c r="N146" i="26"/>
  <c r="M146" i="26"/>
  <c r="K146" i="26"/>
  <c r="J146" i="26"/>
  <c r="I146" i="26"/>
  <c r="H146" i="26"/>
  <c r="G146" i="26"/>
  <c r="F146" i="26"/>
  <c r="E146" i="26"/>
  <c r="D146" i="26"/>
  <c r="C146" i="26"/>
  <c r="B146" i="26"/>
  <c r="X145" i="26"/>
  <c r="W145" i="26"/>
  <c r="V145" i="26"/>
  <c r="U145" i="26"/>
  <c r="T145" i="26"/>
  <c r="S145" i="26"/>
  <c r="R145" i="26"/>
  <c r="Q145" i="26"/>
  <c r="P145" i="26"/>
  <c r="O145" i="26"/>
  <c r="N145" i="26"/>
  <c r="M145" i="26"/>
  <c r="K145" i="26"/>
  <c r="J145" i="26"/>
  <c r="I145" i="26"/>
  <c r="H145" i="26"/>
  <c r="G145" i="26"/>
  <c r="F145" i="26"/>
  <c r="E145" i="26"/>
  <c r="D145" i="26"/>
  <c r="C145" i="26"/>
  <c r="B145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K144" i="26"/>
  <c r="J144" i="26"/>
  <c r="I144" i="26"/>
  <c r="H144" i="26"/>
  <c r="G144" i="26"/>
  <c r="F144" i="26"/>
  <c r="E144" i="26"/>
  <c r="D144" i="26"/>
  <c r="C144" i="26"/>
  <c r="B144" i="26"/>
  <c r="X143" i="26"/>
  <c r="W143" i="26"/>
  <c r="V143" i="26"/>
  <c r="U143" i="26"/>
  <c r="T143" i="26"/>
  <c r="S143" i="26"/>
  <c r="R143" i="26"/>
  <c r="Q143" i="26"/>
  <c r="P143" i="26"/>
  <c r="O143" i="26"/>
  <c r="N143" i="26"/>
  <c r="M143" i="26"/>
  <c r="K143" i="26"/>
  <c r="J143" i="26"/>
  <c r="I143" i="26"/>
  <c r="H143" i="26"/>
  <c r="G143" i="26"/>
  <c r="F143" i="26"/>
  <c r="E143" i="26"/>
  <c r="D143" i="26"/>
  <c r="C143" i="26"/>
  <c r="B143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K142" i="26"/>
  <c r="J142" i="26"/>
  <c r="I142" i="26"/>
  <c r="H142" i="26"/>
  <c r="G142" i="26"/>
  <c r="F142" i="26"/>
  <c r="E142" i="26"/>
  <c r="D142" i="26"/>
  <c r="C142" i="26"/>
  <c r="B142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K141" i="26"/>
  <c r="J141" i="26"/>
  <c r="I141" i="26"/>
  <c r="H141" i="26"/>
  <c r="G141" i="26"/>
  <c r="F141" i="26"/>
  <c r="E141" i="26"/>
  <c r="D141" i="26"/>
  <c r="C141" i="26"/>
  <c r="B141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K140" i="26"/>
  <c r="J140" i="26"/>
  <c r="I140" i="26"/>
  <c r="H140" i="26"/>
  <c r="G140" i="26"/>
  <c r="F140" i="26"/>
  <c r="E140" i="26"/>
  <c r="D140" i="26"/>
  <c r="C140" i="26"/>
  <c r="B140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K139" i="26"/>
  <c r="J139" i="26"/>
  <c r="I139" i="26"/>
  <c r="H139" i="26"/>
  <c r="G139" i="26"/>
  <c r="F139" i="26"/>
  <c r="E139" i="26"/>
  <c r="D139" i="26"/>
  <c r="C139" i="26"/>
  <c r="B139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K138" i="26"/>
  <c r="J138" i="26"/>
  <c r="I138" i="26"/>
  <c r="H138" i="26"/>
  <c r="G138" i="26"/>
  <c r="F138" i="26"/>
  <c r="E138" i="26"/>
  <c r="D138" i="26"/>
  <c r="C138" i="26"/>
  <c r="B138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K137" i="26"/>
  <c r="J137" i="26"/>
  <c r="I137" i="26"/>
  <c r="H137" i="26"/>
  <c r="G137" i="26"/>
  <c r="F137" i="26"/>
  <c r="E137" i="26"/>
  <c r="D137" i="26"/>
  <c r="C137" i="26"/>
  <c r="B137" i="26"/>
  <c r="X136" i="26"/>
  <c r="W136" i="26"/>
  <c r="V136" i="26"/>
  <c r="U136" i="26"/>
  <c r="T136" i="26"/>
  <c r="S136" i="26"/>
  <c r="R136" i="26"/>
  <c r="Q136" i="26"/>
  <c r="P136" i="26"/>
  <c r="O136" i="26"/>
  <c r="N136" i="26"/>
  <c r="M136" i="26"/>
  <c r="K136" i="26"/>
  <c r="J136" i="26"/>
  <c r="I136" i="26"/>
  <c r="H136" i="26"/>
  <c r="G136" i="26"/>
  <c r="F136" i="26"/>
  <c r="E136" i="26"/>
  <c r="D136" i="26"/>
  <c r="C136" i="26"/>
  <c r="B136" i="26"/>
  <c r="X135" i="26"/>
  <c r="W135" i="26"/>
  <c r="V135" i="26"/>
  <c r="U135" i="26"/>
  <c r="T135" i="26"/>
  <c r="S135" i="26"/>
  <c r="R135" i="26"/>
  <c r="Q135" i="26"/>
  <c r="P135" i="26"/>
  <c r="O135" i="26"/>
  <c r="N135" i="26"/>
  <c r="M135" i="26"/>
  <c r="K135" i="26"/>
  <c r="J135" i="26"/>
  <c r="I135" i="26"/>
  <c r="H135" i="26"/>
  <c r="G135" i="26"/>
  <c r="F135" i="26"/>
  <c r="E135" i="26"/>
  <c r="D135" i="26"/>
  <c r="C135" i="26"/>
  <c r="B135" i="26"/>
  <c r="X134" i="26"/>
  <c r="W134" i="26"/>
  <c r="V134" i="26"/>
  <c r="U134" i="26"/>
  <c r="T134" i="26"/>
  <c r="S134" i="26"/>
  <c r="R134" i="26"/>
  <c r="Q134" i="26"/>
  <c r="P134" i="26"/>
  <c r="O134" i="26"/>
  <c r="N134" i="26"/>
  <c r="M134" i="26"/>
  <c r="K134" i="26"/>
  <c r="J134" i="26"/>
  <c r="I134" i="26"/>
  <c r="H134" i="26"/>
  <c r="G134" i="26"/>
  <c r="F134" i="26"/>
  <c r="E134" i="26"/>
  <c r="D134" i="26"/>
  <c r="C134" i="26"/>
  <c r="B134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K133" i="26"/>
  <c r="J133" i="26"/>
  <c r="I133" i="26"/>
  <c r="H133" i="26"/>
  <c r="G133" i="26"/>
  <c r="F133" i="26"/>
  <c r="E133" i="26"/>
  <c r="D133" i="26"/>
  <c r="C133" i="26"/>
  <c r="B133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K132" i="26"/>
  <c r="J132" i="26"/>
  <c r="I132" i="26"/>
  <c r="H132" i="26"/>
  <c r="G132" i="26"/>
  <c r="F132" i="26"/>
  <c r="E132" i="26"/>
  <c r="D132" i="26"/>
  <c r="C132" i="26"/>
  <c r="C132" i="29" s="1"/>
  <c r="B132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K131" i="26"/>
  <c r="J131" i="26"/>
  <c r="I131" i="26"/>
  <c r="H131" i="26"/>
  <c r="G131" i="26"/>
  <c r="F131" i="26"/>
  <c r="E131" i="26"/>
  <c r="D131" i="26"/>
  <c r="C131" i="26"/>
  <c r="B131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K130" i="26"/>
  <c r="J130" i="26"/>
  <c r="I130" i="26"/>
  <c r="H130" i="26"/>
  <c r="G130" i="26"/>
  <c r="F130" i="26"/>
  <c r="E130" i="26"/>
  <c r="D130" i="26"/>
  <c r="C130" i="26"/>
  <c r="B130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K129" i="26"/>
  <c r="J129" i="26"/>
  <c r="I129" i="26"/>
  <c r="H129" i="26"/>
  <c r="G129" i="26"/>
  <c r="F129" i="26"/>
  <c r="E129" i="26"/>
  <c r="D129" i="26"/>
  <c r="C129" i="26"/>
  <c r="B129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K128" i="26"/>
  <c r="J128" i="26"/>
  <c r="I128" i="26"/>
  <c r="H128" i="26"/>
  <c r="G128" i="26"/>
  <c r="F128" i="26"/>
  <c r="E128" i="26"/>
  <c r="D128" i="26"/>
  <c r="C128" i="26"/>
  <c r="B128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K127" i="26"/>
  <c r="J127" i="26"/>
  <c r="I127" i="26"/>
  <c r="H127" i="26"/>
  <c r="G127" i="26"/>
  <c r="F127" i="26"/>
  <c r="E127" i="26"/>
  <c r="D127" i="26"/>
  <c r="C127" i="26"/>
  <c r="B127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K126" i="26"/>
  <c r="J126" i="26"/>
  <c r="I126" i="26"/>
  <c r="H126" i="26"/>
  <c r="G126" i="26"/>
  <c r="F126" i="26"/>
  <c r="E126" i="26"/>
  <c r="D126" i="26"/>
  <c r="C126" i="26"/>
  <c r="B126" i="26"/>
  <c r="X125" i="26"/>
  <c r="W125" i="26"/>
  <c r="V125" i="26"/>
  <c r="U125" i="26"/>
  <c r="T125" i="26"/>
  <c r="S125" i="26"/>
  <c r="R125" i="26"/>
  <c r="Q125" i="26"/>
  <c r="P125" i="26"/>
  <c r="O125" i="26"/>
  <c r="N125" i="26"/>
  <c r="M125" i="26"/>
  <c r="K125" i="26"/>
  <c r="J125" i="26"/>
  <c r="I125" i="26"/>
  <c r="H125" i="26"/>
  <c r="G125" i="26"/>
  <c r="F125" i="26"/>
  <c r="E125" i="26"/>
  <c r="D125" i="26"/>
  <c r="C125" i="26"/>
  <c r="C125" i="29" s="1"/>
  <c r="B125" i="26"/>
  <c r="X124" i="26"/>
  <c r="W124" i="26"/>
  <c r="V124" i="26"/>
  <c r="U124" i="26"/>
  <c r="T124" i="26"/>
  <c r="S124" i="26"/>
  <c r="R124" i="26"/>
  <c r="Q124" i="26"/>
  <c r="P124" i="26"/>
  <c r="O124" i="26"/>
  <c r="N124" i="26"/>
  <c r="M124" i="26"/>
  <c r="K124" i="26"/>
  <c r="J124" i="26"/>
  <c r="I124" i="26"/>
  <c r="H124" i="26"/>
  <c r="G124" i="26"/>
  <c r="F124" i="26"/>
  <c r="E124" i="26"/>
  <c r="D124" i="26"/>
  <c r="C124" i="26"/>
  <c r="B124" i="26"/>
  <c r="X123" i="26"/>
  <c r="W123" i="26"/>
  <c r="V123" i="26"/>
  <c r="U123" i="26"/>
  <c r="T123" i="26"/>
  <c r="S123" i="26"/>
  <c r="R123" i="26"/>
  <c r="Q123" i="26"/>
  <c r="P123" i="26"/>
  <c r="O123" i="26"/>
  <c r="N123" i="26"/>
  <c r="M123" i="26"/>
  <c r="K123" i="26"/>
  <c r="J123" i="26"/>
  <c r="I123" i="26"/>
  <c r="H123" i="26"/>
  <c r="G123" i="26"/>
  <c r="F123" i="26"/>
  <c r="E123" i="26"/>
  <c r="D123" i="26"/>
  <c r="C123" i="26"/>
  <c r="B123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K122" i="26"/>
  <c r="J122" i="26"/>
  <c r="I122" i="26"/>
  <c r="H122" i="26"/>
  <c r="G122" i="26"/>
  <c r="F122" i="26"/>
  <c r="E122" i="26"/>
  <c r="D122" i="26"/>
  <c r="C122" i="26"/>
  <c r="B122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K121" i="26"/>
  <c r="J121" i="26"/>
  <c r="I121" i="26"/>
  <c r="H121" i="26"/>
  <c r="G121" i="26"/>
  <c r="F121" i="26"/>
  <c r="E121" i="26"/>
  <c r="D121" i="26"/>
  <c r="C121" i="26"/>
  <c r="B121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K120" i="26"/>
  <c r="J120" i="26"/>
  <c r="I120" i="26"/>
  <c r="H120" i="26"/>
  <c r="G120" i="26"/>
  <c r="F120" i="26"/>
  <c r="E120" i="26"/>
  <c r="D120" i="26"/>
  <c r="C120" i="26"/>
  <c r="B120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K119" i="26"/>
  <c r="J119" i="26"/>
  <c r="I119" i="26"/>
  <c r="H119" i="26"/>
  <c r="G119" i="26"/>
  <c r="F119" i="26"/>
  <c r="E119" i="26"/>
  <c r="D119" i="26"/>
  <c r="C119" i="26"/>
  <c r="B119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K118" i="26"/>
  <c r="J118" i="26"/>
  <c r="I118" i="26"/>
  <c r="H118" i="26"/>
  <c r="G118" i="26"/>
  <c r="F118" i="26"/>
  <c r="E118" i="26"/>
  <c r="D118" i="26"/>
  <c r="C118" i="26"/>
  <c r="B118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K116" i="26"/>
  <c r="J116" i="26"/>
  <c r="I116" i="26"/>
  <c r="H116" i="26"/>
  <c r="G116" i="26"/>
  <c r="F116" i="26"/>
  <c r="E116" i="26"/>
  <c r="D116" i="26"/>
  <c r="C116" i="26"/>
  <c r="B116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K115" i="26"/>
  <c r="J115" i="26"/>
  <c r="I115" i="26"/>
  <c r="H115" i="26"/>
  <c r="G115" i="26"/>
  <c r="F115" i="26"/>
  <c r="E115" i="26"/>
  <c r="D115" i="26"/>
  <c r="C115" i="26"/>
  <c r="B115" i="26"/>
  <c r="X114" i="26"/>
  <c r="W114" i="26"/>
  <c r="V114" i="26"/>
  <c r="U114" i="26"/>
  <c r="T114" i="26"/>
  <c r="S114" i="26"/>
  <c r="R114" i="26"/>
  <c r="Q114" i="26"/>
  <c r="P114" i="26"/>
  <c r="O114" i="26"/>
  <c r="N114" i="26"/>
  <c r="M114" i="26"/>
  <c r="K114" i="26"/>
  <c r="J114" i="26"/>
  <c r="I114" i="26"/>
  <c r="H114" i="26"/>
  <c r="G114" i="26"/>
  <c r="F114" i="26"/>
  <c r="E114" i="26"/>
  <c r="D114" i="26"/>
  <c r="C114" i="26"/>
  <c r="B114" i="26"/>
  <c r="X112" i="26"/>
  <c r="W112" i="26"/>
  <c r="V112" i="26"/>
  <c r="U112" i="26"/>
  <c r="T112" i="26"/>
  <c r="S112" i="26"/>
  <c r="R112" i="26"/>
  <c r="Q112" i="26"/>
  <c r="P112" i="26"/>
  <c r="O112" i="26"/>
  <c r="N112" i="26"/>
  <c r="M112" i="26"/>
  <c r="K112" i="26"/>
  <c r="J112" i="26"/>
  <c r="I112" i="26"/>
  <c r="H112" i="26"/>
  <c r="G112" i="26"/>
  <c r="F112" i="26"/>
  <c r="E112" i="26"/>
  <c r="D112" i="26"/>
  <c r="C112" i="26"/>
  <c r="B112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K111" i="26"/>
  <c r="J111" i="26"/>
  <c r="I111" i="26"/>
  <c r="H111" i="26"/>
  <c r="G111" i="26"/>
  <c r="F111" i="26"/>
  <c r="E111" i="26"/>
  <c r="D111" i="26"/>
  <c r="C111" i="26"/>
  <c r="B111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K110" i="26"/>
  <c r="J110" i="26"/>
  <c r="I110" i="26"/>
  <c r="H110" i="26"/>
  <c r="G110" i="26"/>
  <c r="F110" i="26"/>
  <c r="E110" i="26"/>
  <c r="D110" i="26"/>
  <c r="C110" i="26"/>
  <c r="B110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K109" i="26"/>
  <c r="J109" i="26"/>
  <c r="I109" i="26"/>
  <c r="H109" i="26"/>
  <c r="G109" i="26"/>
  <c r="F109" i="26"/>
  <c r="E109" i="26"/>
  <c r="D109" i="26"/>
  <c r="C109" i="26"/>
  <c r="B109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K108" i="26"/>
  <c r="J108" i="26"/>
  <c r="I108" i="26"/>
  <c r="H108" i="26"/>
  <c r="G108" i="26"/>
  <c r="F108" i="26"/>
  <c r="E108" i="26"/>
  <c r="D108" i="26"/>
  <c r="C108" i="26"/>
  <c r="B108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K107" i="26"/>
  <c r="J107" i="26"/>
  <c r="I107" i="26"/>
  <c r="H107" i="26"/>
  <c r="G107" i="26"/>
  <c r="F107" i="26"/>
  <c r="E107" i="26"/>
  <c r="D107" i="26"/>
  <c r="C107" i="26"/>
  <c r="B107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K104" i="26"/>
  <c r="J104" i="26"/>
  <c r="I104" i="26"/>
  <c r="H104" i="26"/>
  <c r="G104" i="26"/>
  <c r="F104" i="26"/>
  <c r="E104" i="26"/>
  <c r="D104" i="26"/>
  <c r="C104" i="26"/>
  <c r="B104" i="26"/>
  <c r="X103" i="26"/>
  <c r="W103" i="26"/>
  <c r="V103" i="26"/>
  <c r="U103" i="26"/>
  <c r="T103" i="26"/>
  <c r="S103" i="26"/>
  <c r="R103" i="26"/>
  <c r="Q103" i="26"/>
  <c r="P103" i="26"/>
  <c r="O103" i="26"/>
  <c r="N103" i="26"/>
  <c r="M103" i="26"/>
  <c r="K103" i="26"/>
  <c r="J103" i="26"/>
  <c r="I103" i="26"/>
  <c r="H103" i="26"/>
  <c r="G103" i="26"/>
  <c r="F103" i="26"/>
  <c r="E103" i="26"/>
  <c r="D103" i="26"/>
  <c r="C103" i="26"/>
  <c r="B103" i="26"/>
  <c r="X102" i="26"/>
  <c r="W102" i="26"/>
  <c r="V102" i="26"/>
  <c r="U102" i="26"/>
  <c r="T102" i="26"/>
  <c r="S102" i="26"/>
  <c r="R102" i="26"/>
  <c r="Q102" i="26"/>
  <c r="P102" i="26"/>
  <c r="O102" i="26"/>
  <c r="N102" i="26"/>
  <c r="M102" i="26"/>
  <c r="K102" i="26"/>
  <c r="J102" i="26"/>
  <c r="I102" i="26"/>
  <c r="H102" i="26"/>
  <c r="G102" i="26"/>
  <c r="F102" i="26"/>
  <c r="E102" i="26"/>
  <c r="D102" i="26"/>
  <c r="C102" i="26"/>
  <c r="C102" i="29" s="1"/>
  <c r="B102" i="26"/>
  <c r="X101" i="26"/>
  <c r="W101" i="26"/>
  <c r="V101" i="26"/>
  <c r="U101" i="26"/>
  <c r="T101" i="26"/>
  <c r="S101" i="26"/>
  <c r="R101" i="26"/>
  <c r="Q101" i="26"/>
  <c r="P101" i="26"/>
  <c r="O101" i="26"/>
  <c r="N101" i="26"/>
  <c r="M101" i="26"/>
  <c r="K101" i="26"/>
  <c r="J101" i="26"/>
  <c r="I101" i="26"/>
  <c r="H101" i="26"/>
  <c r="G101" i="26"/>
  <c r="F101" i="26"/>
  <c r="E101" i="26"/>
  <c r="D101" i="26"/>
  <c r="C101" i="26"/>
  <c r="C101" i="29" s="1"/>
  <c r="B101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K100" i="26"/>
  <c r="J100" i="26"/>
  <c r="I100" i="26"/>
  <c r="H100" i="26"/>
  <c r="G100" i="26"/>
  <c r="F100" i="26"/>
  <c r="E100" i="26"/>
  <c r="D100" i="26"/>
  <c r="C100" i="26"/>
  <c r="B100" i="26"/>
  <c r="B100" i="29" s="1"/>
  <c r="X99" i="26"/>
  <c r="W99" i="26"/>
  <c r="V99" i="26"/>
  <c r="U99" i="26"/>
  <c r="T99" i="26"/>
  <c r="S99" i="26"/>
  <c r="R99" i="26"/>
  <c r="Q99" i="26"/>
  <c r="P99" i="26"/>
  <c r="O99" i="26"/>
  <c r="N99" i="26"/>
  <c r="M99" i="26"/>
  <c r="K99" i="26"/>
  <c r="J99" i="26"/>
  <c r="I99" i="26"/>
  <c r="H99" i="26"/>
  <c r="G99" i="26"/>
  <c r="F99" i="26"/>
  <c r="E99" i="26"/>
  <c r="D99" i="26"/>
  <c r="C99" i="26"/>
  <c r="B99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K98" i="26"/>
  <c r="J98" i="26"/>
  <c r="I98" i="26"/>
  <c r="H98" i="26"/>
  <c r="G98" i="26"/>
  <c r="F98" i="26"/>
  <c r="E98" i="26"/>
  <c r="D98" i="26"/>
  <c r="C98" i="26"/>
  <c r="B98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K97" i="26"/>
  <c r="J97" i="26"/>
  <c r="I97" i="26"/>
  <c r="H97" i="26"/>
  <c r="G97" i="26"/>
  <c r="F97" i="26"/>
  <c r="E97" i="26"/>
  <c r="D97" i="26"/>
  <c r="C97" i="26"/>
  <c r="B97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K96" i="26"/>
  <c r="J96" i="26"/>
  <c r="I96" i="26"/>
  <c r="H96" i="26"/>
  <c r="G96" i="26"/>
  <c r="F96" i="26"/>
  <c r="E96" i="26"/>
  <c r="D96" i="26"/>
  <c r="C96" i="26"/>
  <c r="B96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K95" i="26"/>
  <c r="J95" i="26"/>
  <c r="I95" i="26"/>
  <c r="H95" i="26"/>
  <c r="G95" i="26"/>
  <c r="F95" i="26"/>
  <c r="E95" i="26"/>
  <c r="D95" i="26"/>
  <c r="C95" i="26"/>
  <c r="B95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K94" i="26"/>
  <c r="J94" i="26"/>
  <c r="I94" i="26"/>
  <c r="H94" i="26"/>
  <c r="G94" i="26"/>
  <c r="F94" i="26"/>
  <c r="E94" i="26"/>
  <c r="D94" i="26"/>
  <c r="C94" i="26"/>
  <c r="B94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K93" i="26"/>
  <c r="J93" i="26"/>
  <c r="I93" i="26"/>
  <c r="H93" i="26"/>
  <c r="G93" i="26"/>
  <c r="F93" i="26"/>
  <c r="E93" i="26"/>
  <c r="D93" i="26"/>
  <c r="C93" i="26"/>
  <c r="B93" i="26"/>
  <c r="X90" i="26"/>
  <c r="W90" i="26"/>
  <c r="V90" i="26"/>
  <c r="U90" i="26"/>
  <c r="T90" i="26"/>
  <c r="S90" i="26"/>
  <c r="R90" i="26"/>
  <c r="Q90" i="26"/>
  <c r="P90" i="26"/>
  <c r="O90" i="26"/>
  <c r="N90" i="26"/>
  <c r="M90" i="26"/>
  <c r="K90" i="26"/>
  <c r="J90" i="26"/>
  <c r="I90" i="26"/>
  <c r="H90" i="26"/>
  <c r="G90" i="26"/>
  <c r="F90" i="26"/>
  <c r="E90" i="26"/>
  <c r="D90" i="26"/>
  <c r="C90" i="26"/>
  <c r="B90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K89" i="26"/>
  <c r="J89" i="26"/>
  <c r="I89" i="26"/>
  <c r="H89" i="26"/>
  <c r="G89" i="26"/>
  <c r="F89" i="26"/>
  <c r="E89" i="26"/>
  <c r="D89" i="26"/>
  <c r="C89" i="26"/>
  <c r="B89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K88" i="26"/>
  <c r="J88" i="26"/>
  <c r="I88" i="26"/>
  <c r="H88" i="26"/>
  <c r="G88" i="26"/>
  <c r="F88" i="26"/>
  <c r="E88" i="26"/>
  <c r="D88" i="26"/>
  <c r="C88" i="26"/>
  <c r="B88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K87" i="26"/>
  <c r="J87" i="26"/>
  <c r="I87" i="26"/>
  <c r="H87" i="26"/>
  <c r="G87" i="26"/>
  <c r="F87" i="26"/>
  <c r="E87" i="26"/>
  <c r="D87" i="26"/>
  <c r="C87" i="26"/>
  <c r="B87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K86" i="26"/>
  <c r="J86" i="26"/>
  <c r="I86" i="26"/>
  <c r="H86" i="26"/>
  <c r="G86" i="26"/>
  <c r="F86" i="26"/>
  <c r="E86" i="26"/>
  <c r="D86" i="26"/>
  <c r="C86" i="26"/>
  <c r="B86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K85" i="26"/>
  <c r="J85" i="26"/>
  <c r="I85" i="26"/>
  <c r="H85" i="26"/>
  <c r="G85" i="26"/>
  <c r="F85" i="26"/>
  <c r="E85" i="26"/>
  <c r="D85" i="26"/>
  <c r="C85" i="26"/>
  <c r="B85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K84" i="26"/>
  <c r="J84" i="26"/>
  <c r="I84" i="26"/>
  <c r="H84" i="26"/>
  <c r="G84" i="26"/>
  <c r="F84" i="26"/>
  <c r="E84" i="26"/>
  <c r="D84" i="26"/>
  <c r="C84" i="26"/>
  <c r="B84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K83" i="26"/>
  <c r="J83" i="26"/>
  <c r="I83" i="26"/>
  <c r="H83" i="26"/>
  <c r="G83" i="26"/>
  <c r="F83" i="26"/>
  <c r="E83" i="26"/>
  <c r="D83" i="26"/>
  <c r="C83" i="26"/>
  <c r="B83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K82" i="26"/>
  <c r="J82" i="26"/>
  <c r="I82" i="26"/>
  <c r="H82" i="26"/>
  <c r="G82" i="26"/>
  <c r="F82" i="26"/>
  <c r="E82" i="26"/>
  <c r="D82" i="26"/>
  <c r="C82" i="26"/>
  <c r="B82" i="26"/>
  <c r="X81" i="26"/>
  <c r="W81" i="26"/>
  <c r="V81" i="26"/>
  <c r="U81" i="26"/>
  <c r="T81" i="26"/>
  <c r="S81" i="26"/>
  <c r="R81" i="26"/>
  <c r="Q81" i="26"/>
  <c r="P81" i="26"/>
  <c r="O81" i="26"/>
  <c r="N81" i="26"/>
  <c r="M81" i="26"/>
  <c r="K81" i="26"/>
  <c r="J81" i="26"/>
  <c r="I81" i="26"/>
  <c r="H81" i="26"/>
  <c r="G81" i="26"/>
  <c r="F81" i="26"/>
  <c r="E81" i="26"/>
  <c r="D81" i="26"/>
  <c r="C81" i="26"/>
  <c r="B81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K77" i="26"/>
  <c r="J77" i="26"/>
  <c r="I77" i="26"/>
  <c r="H77" i="26"/>
  <c r="G77" i="26"/>
  <c r="F77" i="26"/>
  <c r="E77" i="26"/>
  <c r="D77" i="26"/>
  <c r="C77" i="26"/>
  <c r="B77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K76" i="26"/>
  <c r="J76" i="26"/>
  <c r="I76" i="26"/>
  <c r="H76" i="26"/>
  <c r="G76" i="26"/>
  <c r="F76" i="26"/>
  <c r="E76" i="26"/>
  <c r="D76" i="26"/>
  <c r="C76" i="26"/>
  <c r="B76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K75" i="26"/>
  <c r="J75" i="26"/>
  <c r="I75" i="26"/>
  <c r="H75" i="26"/>
  <c r="G75" i="26"/>
  <c r="F75" i="26"/>
  <c r="E75" i="26"/>
  <c r="D75" i="26"/>
  <c r="C75" i="26"/>
  <c r="B75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K74" i="26"/>
  <c r="J74" i="26"/>
  <c r="I74" i="26"/>
  <c r="H74" i="26"/>
  <c r="G74" i="26"/>
  <c r="F74" i="26"/>
  <c r="E74" i="26"/>
  <c r="D74" i="26"/>
  <c r="C74" i="26"/>
  <c r="B74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K73" i="26"/>
  <c r="J73" i="26"/>
  <c r="I73" i="26"/>
  <c r="H73" i="26"/>
  <c r="G73" i="26"/>
  <c r="F73" i="26"/>
  <c r="E73" i="26"/>
  <c r="D73" i="26"/>
  <c r="C73" i="26"/>
  <c r="B73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K72" i="26"/>
  <c r="J72" i="26"/>
  <c r="I72" i="26"/>
  <c r="H72" i="26"/>
  <c r="G72" i="26"/>
  <c r="F72" i="26"/>
  <c r="E72" i="26"/>
  <c r="D72" i="26"/>
  <c r="C72" i="26"/>
  <c r="B72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K71" i="26"/>
  <c r="J71" i="26"/>
  <c r="I71" i="26"/>
  <c r="H71" i="26"/>
  <c r="G71" i="26"/>
  <c r="F71" i="26"/>
  <c r="E71" i="26"/>
  <c r="D71" i="26"/>
  <c r="C71" i="26"/>
  <c r="B71" i="26"/>
  <c r="X70" i="26"/>
  <c r="W70" i="26"/>
  <c r="V70" i="26"/>
  <c r="U70" i="26"/>
  <c r="T70" i="26"/>
  <c r="S70" i="26"/>
  <c r="R70" i="26"/>
  <c r="Q70" i="26"/>
  <c r="P70" i="26"/>
  <c r="O70" i="26"/>
  <c r="N70" i="26"/>
  <c r="M70" i="26"/>
  <c r="K70" i="26"/>
  <c r="J70" i="26"/>
  <c r="I70" i="26"/>
  <c r="H70" i="26"/>
  <c r="G70" i="26"/>
  <c r="F70" i="26"/>
  <c r="E70" i="26"/>
  <c r="D70" i="26"/>
  <c r="C70" i="26"/>
  <c r="B70" i="26"/>
  <c r="X69" i="26"/>
  <c r="W69" i="26"/>
  <c r="V69" i="26"/>
  <c r="U69" i="26"/>
  <c r="T69" i="26"/>
  <c r="S69" i="26"/>
  <c r="R69" i="26"/>
  <c r="Q69" i="26"/>
  <c r="P69" i="26"/>
  <c r="O69" i="26"/>
  <c r="N69" i="26"/>
  <c r="M69" i="26"/>
  <c r="K69" i="26"/>
  <c r="J69" i="26"/>
  <c r="I69" i="26"/>
  <c r="H69" i="26"/>
  <c r="G69" i="26"/>
  <c r="F69" i="26"/>
  <c r="E69" i="26"/>
  <c r="D69" i="26"/>
  <c r="C69" i="26"/>
  <c r="B69" i="26"/>
  <c r="X68" i="26"/>
  <c r="W68" i="26"/>
  <c r="V68" i="26"/>
  <c r="U68" i="26"/>
  <c r="T68" i="26"/>
  <c r="S68" i="26"/>
  <c r="R68" i="26"/>
  <c r="Q68" i="26"/>
  <c r="P68" i="26"/>
  <c r="O68" i="26"/>
  <c r="N68" i="26"/>
  <c r="M68" i="26"/>
  <c r="K68" i="26"/>
  <c r="J68" i="26"/>
  <c r="I68" i="26"/>
  <c r="H68" i="26"/>
  <c r="G68" i="26"/>
  <c r="F68" i="26"/>
  <c r="E68" i="26"/>
  <c r="D68" i="26"/>
  <c r="C68" i="26"/>
  <c r="B68" i="26"/>
  <c r="X67" i="26"/>
  <c r="W67" i="26"/>
  <c r="V67" i="26"/>
  <c r="U67" i="26"/>
  <c r="T67" i="26"/>
  <c r="S67" i="26"/>
  <c r="R67" i="26"/>
  <c r="Q67" i="26"/>
  <c r="P67" i="26"/>
  <c r="O67" i="26"/>
  <c r="N67" i="26"/>
  <c r="M67" i="26"/>
  <c r="K67" i="26"/>
  <c r="J67" i="26"/>
  <c r="I67" i="26"/>
  <c r="H67" i="26"/>
  <c r="G67" i="26"/>
  <c r="F67" i="26"/>
  <c r="E67" i="26"/>
  <c r="D67" i="26"/>
  <c r="C67" i="26"/>
  <c r="B67" i="26"/>
  <c r="X66" i="26"/>
  <c r="W66" i="26"/>
  <c r="V66" i="26"/>
  <c r="U66" i="26"/>
  <c r="T66" i="26"/>
  <c r="S66" i="26"/>
  <c r="R66" i="26"/>
  <c r="Q66" i="26"/>
  <c r="P66" i="26"/>
  <c r="O66" i="26"/>
  <c r="N66" i="26"/>
  <c r="M66" i="26"/>
  <c r="K66" i="26"/>
  <c r="J66" i="26"/>
  <c r="I66" i="26"/>
  <c r="H66" i="26"/>
  <c r="G66" i="26"/>
  <c r="F66" i="26"/>
  <c r="E66" i="26"/>
  <c r="D66" i="26"/>
  <c r="C66" i="26"/>
  <c r="B66" i="26"/>
  <c r="X65" i="26"/>
  <c r="W65" i="26"/>
  <c r="V65" i="26"/>
  <c r="U65" i="26"/>
  <c r="T65" i="26"/>
  <c r="S65" i="26"/>
  <c r="R65" i="26"/>
  <c r="Q65" i="26"/>
  <c r="P65" i="26"/>
  <c r="O65" i="26"/>
  <c r="N65" i="26"/>
  <c r="M65" i="26"/>
  <c r="K65" i="26"/>
  <c r="J65" i="26"/>
  <c r="I65" i="26"/>
  <c r="H65" i="26"/>
  <c r="G65" i="26"/>
  <c r="F65" i="26"/>
  <c r="E65" i="26"/>
  <c r="D65" i="26"/>
  <c r="C65" i="26"/>
  <c r="B65" i="26"/>
  <c r="X64" i="26"/>
  <c r="W64" i="26"/>
  <c r="V64" i="26"/>
  <c r="U64" i="26"/>
  <c r="T64" i="26"/>
  <c r="S64" i="26"/>
  <c r="R64" i="26"/>
  <c r="Q64" i="26"/>
  <c r="P64" i="26"/>
  <c r="O64" i="26"/>
  <c r="N64" i="26"/>
  <c r="M64" i="26"/>
  <c r="K64" i="26"/>
  <c r="J64" i="26"/>
  <c r="I64" i="26"/>
  <c r="H64" i="26"/>
  <c r="G64" i="26"/>
  <c r="F64" i="26"/>
  <c r="E64" i="26"/>
  <c r="D64" i="26"/>
  <c r="C64" i="26"/>
  <c r="B64" i="26"/>
  <c r="X63" i="26"/>
  <c r="W63" i="26"/>
  <c r="V63" i="26"/>
  <c r="U63" i="26"/>
  <c r="T63" i="26"/>
  <c r="S63" i="26"/>
  <c r="R63" i="26"/>
  <c r="Q63" i="26"/>
  <c r="P63" i="26"/>
  <c r="O63" i="26"/>
  <c r="N63" i="26"/>
  <c r="M63" i="26"/>
  <c r="K63" i="26"/>
  <c r="J63" i="26"/>
  <c r="I63" i="26"/>
  <c r="H63" i="26"/>
  <c r="G63" i="26"/>
  <c r="F63" i="26"/>
  <c r="E63" i="26"/>
  <c r="D63" i="26"/>
  <c r="C63" i="26"/>
  <c r="B63" i="26"/>
  <c r="X62" i="26"/>
  <c r="W62" i="26"/>
  <c r="V62" i="26"/>
  <c r="U62" i="26"/>
  <c r="T62" i="26"/>
  <c r="S62" i="26"/>
  <c r="R62" i="26"/>
  <c r="Q62" i="26"/>
  <c r="P62" i="26"/>
  <c r="O62" i="26"/>
  <c r="N62" i="26"/>
  <c r="M62" i="26"/>
  <c r="K62" i="26"/>
  <c r="J62" i="26"/>
  <c r="I62" i="26"/>
  <c r="H62" i="26"/>
  <c r="G62" i="26"/>
  <c r="F62" i="26"/>
  <c r="E62" i="26"/>
  <c r="D62" i="26"/>
  <c r="C62" i="26"/>
  <c r="B62" i="26"/>
  <c r="X61" i="26"/>
  <c r="W61" i="26"/>
  <c r="V61" i="26"/>
  <c r="U61" i="26"/>
  <c r="T61" i="26"/>
  <c r="S61" i="26"/>
  <c r="R61" i="26"/>
  <c r="Q61" i="26"/>
  <c r="P61" i="26"/>
  <c r="O61" i="26"/>
  <c r="N61" i="26"/>
  <c r="M61" i="26"/>
  <c r="K61" i="26"/>
  <c r="J61" i="26"/>
  <c r="I61" i="26"/>
  <c r="H61" i="26"/>
  <c r="G61" i="26"/>
  <c r="F61" i="26"/>
  <c r="E61" i="26"/>
  <c r="D61" i="26"/>
  <c r="C61" i="26"/>
  <c r="B61" i="26"/>
  <c r="X60" i="26"/>
  <c r="W60" i="26"/>
  <c r="V60" i="26"/>
  <c r="U60" i="26"/>
  <c r="T60" i="26"/>
  <c r="S60" i="26"/>
  <c r="R60" i="26"/>
  <c r="Q60" i="26"/>
  <c r="P60" i="26"/>
  <c r="O60" i="26"/>
  <c r="N60" i="26"/>
  <c r="M60" i="26"/>
  <c r="K60" i="26"/>
  <c r="J60" i="26"/>
  <c r="I60" i="26"/>
  <c r="H60" i="26"/>
  <c r="G60" i="26"/>
  <c r="F60" i="26"/>
  <c r="E60" i="26"/>
  <c r="D60" i="26"/>
  <c r="C60" i="26"/>
  <c r="B60" i="26"/>
  <c r="X59" i="26"/>
  <c r="W59" i="26"/>
  <c r="V59" i="26"/>
  <c r="U59" i="26"/>
  <c r="T59" i="26"/>
  <c r="S59" i="26"/>
  <c r="R59" i="26"/>
  <c r="Q59" i="26"/>
  <c r="P59" i="26"/>
  <c r="O59" i="26"/>
  <c r="N59" i="26"/>
  <c r="M59" i="26"/>
  <c r="K59" i="26"/>
  <c r="J59" i="26"/>
  <c r="I59" i="26"/>
  <c r="H59" i="26"/>
  <c r="G59" i="26"/>
  <c r="F59" i="26"/>
  <c r="E59" i="26"/>
  <c r="D59" i="26"/>
  <c r="C59" i="26"/>
  <c r="B59" i="26"/>
  <c r="X58" i="26"/>
  <c r="W58" i="26"/>
  <c r="V58" i="26"/>
  <c r="U58" i="26"/>
  <c r="T58" i="26"/>
  <c r="S58" i="26"/>
  <c r="R58" i="26"/>
  <c r="Q58" i="26"/>
  <c r="P58" i="26"/>
  <c r="O58" i="26"/>
  <c r="N58" i="26"/>
  <c r="M58" i="26"/>
  <c r="K58" i="26"/>
  <c r="J58" i="26"/>
  <c r="I58" i="26"/>
  <c r="H58" i="26"/>
  <c r="G58" i="26"/>
  <c r="F58" i="26"/>
  <c r="E58" i="26"/>
  <c r="D58" i="26"/>
  <c r="C58" i="26"/>
  <c r="B58" i="26"/>
  <c r="X57" i="26"/>
  <c r="W57" i="26"/>
  <c r="V57" i="26"/>
  <c r="U57" i="26"/>
  <c r="T57" i="26"/>
  <c r="S57" i="26"/>
  <c r="R57" i="26"/>
  <c r="Q57" i="26"/>
  <c r="P57" i="26"/>
  <c r="O57" i="26"/>
  <c r="N57" i="26"/>
  <c r="M57" i="26"/>
  <c r="K57" i="26"/>
  <c r="J57" i="26"/>
  <c r="I57" i="26"/>
  <c r="H57" i="26"/>
  <c r="G57" i="26"/>
  <c r="F57" i="26"/>
  <c r="E57" i="26"/>
  <c r="D57" i="26"/>
  <c r="C57" i="26"/>
  <c r="B57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K56" i="26"/>
  <c r="J56" i="26"/>
  <c r="I56" i="26"/>
  <c r="H56" i="26"/>
  <c r="G56" i="26"/>
  <c r="F56" i="26"/>
  <c r="E56" i="26"/>
  <c r="D56" i="26"/>
  <c r="C56" i="26"/>
  <c r="B56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K54" i="26"/>
  <c r="J54" i="26"/>
  <c r="I54" i="26"/>
  <c r="H54" i="26"/>
  <c r="G54" i="26"/>
  <c r="F54" i="26"/>
  <c r="E54" i="26"/>
  <c r="D54" i="26"/>
  <c r="C54" i="26"/>
  <c r="B54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K53" i="26"/>
  <c r="J53" i="26"/>
  <c r="I53" i="26"/>
  <c r="H53" i="26"/>
  <c r="G53" i="26"/>
  <c r="F53" i="26"/>
  <c r="E53" i="26"/>
  <c r="D53" i="26"/>
  <c r="C53" i="26"/>
  <c r="B53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K51" i="26"/>
  <c r="J51" i="26"/>
  <c r="I51" i="26"/>
  <c r="H51" i="26"/>
  <c r="G51" i="26"/>
  <c r="F51" i="26"/>
  <c r="E51" i="26"/>
  <c r="D51" i="26"/>
  <c r="C51" i="26"/>
  <c r="B51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K50" i="26"/>
  <c r="J50" i="26"/>
  <c r="I50" i="26"/>
  <c r="H50" i="26"/>
  <c r="G50" i="26"/>
  <c r="F50" i="26"/>
  <c r="E50" i="26"/>
  <c r="D50" i="26"/>
  <c r="C50" i="26"/>
  <c r="B50" i="26"/>
  <c r="X48" i="26"/>
  <c r="W48" i="26"/>
  <c r="V48" i="26"/>
  <c r="U48" i="26"/>
  <c r="T48" i="26"/>
  <c r="S48" i="26"/>
  <c r="R48" i="26"/>
  <c r="Q48" i="26"/>
  <c r="P48" i="26"/>
  <c r="O48" i="26"/>
  <c r="N48" i="26"/>
  <c r="M48" i="26"/>
  <c r="K48" i="26"/>
  <c r="J48" i="26"/>
  <c r="I48" i="26"/>
  <c r="H48" i="26"/>
  <c r="G48" i="26"/>
  <c r="F48" i="26"/>
  <c r="E48" i="26"/>
  <c r="D48" i="26"/>
  <c r="C48" i="26"/>
  <c r="B48" i="26"/>
  <c r="X47" i="26"/>
  <c r="W47" i="26"/>
  <c r="V47" i="26"/>
  <c r="U47" i="26"/>
  <c r="T47" i="26"/>
  <c r="S47" i="26"/>
  <c r="R47" i="26"/>
  <c r="Q47" i="26"/>
  <c r="P47" i="26"/>
  <c r="O47" i="26"/>
  <c r="N47" i="26"/>
  <c r="M47" i="26"/>
  <c r="K47" i="26"/>
  <c r="J47" i="26"/>
  <c r="I47" i="26"/>
  <c r="H47" i="26"/>
  <c r="G47" i="26"/>
  <c r="F47" i="26"/>
  <c r="E47" i="26"/>
  <c r="D47" i="26"/>
  <c r="C47" i="26"/>
  <c r="B47" i="26"/>
  <c r="X46" i="26"/>
  <c r="W46" i="26"/>
  <c r="V46" i="26"/>
  <c r="U46" i="26"/>
  <c r="T46" i="26"/>
  <c r="S46" i="26"/>
  <c r="R46" i="26"/>
  <c r="Q46" i="26"/>
  <c r="P46" i="26"/>
  <c r="O46" i="26"/>
  <c r="N46" i="26"/>
  <c r="M46" i="26"/>
  <c r="K46" i="26"/>
  <c r="J46" i="26"/>
  <c r="I46" i="26"/>
  <c r="H46" i="26"/>
  <c r="G46" i="26"/>
  <c r="F46" i="26"/>
  <c r="E46" i="26"/>
  <c r="D46" i="26"/>
  <c r="C46" i="26"/>
  <c r="B46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K45" i="26"/>
  <c r="J45" i="26"/>
  <c r="I45" i="26"/>
  <c r="H45" i="26"/>
  <c r="G45" i="26"/>
  <c r="F45" i="26"/>
  <c r="E45" i="26"/>
  <c r="D45" i="26"/>
  <c r="C45" i="26"/>
  <c r="B45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K44" i="26"/>
  <c r="J44" i="26"/>
  <c r="I44" i="26"/>
  <c r="H44" i="26"/>
  <c r="G44" i="26"/>
  <c r="F44" i="26"/>
  <c r="E44" i="26"/>
  <c r="D44" i="26"/>
  <c r="C44" i="26"/>
  <c r="B44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K43" i="26"/>
  <c r="J43" i="26"/>
  <c r="I43" i="26"/>
  <c r="H43" i="26"/>
  <c r="G43" i="26"/>
  <c r="F43" i="26"/>
  <c r="E43" i="26"/>
  <c r="D43" i="26"/>
  <c r="C43" i="26"/>
  <c r="B43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K42" i="26"/>
  <c r="J42" i="26"/>
  <c r="I42" i="26"/>
  <c r="H42" i="26"/>
  <c r="G42" i="26"/>
  <c r="F42" i="26"/>
  <c r="E42" i="26"/>
  <c r="D42" i="26"/>
  <c r="C42" i="26"/>
  <c r="B42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K41" i="26"/>
  <c r="J41" i="26"/>
  <c r="I41" i="26"/>
  <c r="H41" i="26"/>
  <c r="G41" i="26"/>
  <c r="F41" i="26"/>
  <c r="E41" i="26"/>
  <c r="D41" i="26"/>
  <c r="C41" i="26"/>
  <c r="B41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K40" i="26"/>
  <c r="J40" i="26"/>
  <c r="I40" i="26"/>
  <c r="H40" i="26"/>
  <c r="G40" i="26"/>
  <c r="F40" i="26"/>
  <c r="E40" i="26"/>
  <c r="D40" i="26"/>
  <c r="C40" i="26"/>
  <c r="B40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K39" i="26"/>
  <c r="J39" i="26"/>
  <c r="I39" i="26"/>
  <c r="H39" i="26"/>
  <c r="G39" i="26"/>
  <c r="F39" i="26"/>
  <c r="E39" i="26"/>
  <c r="D39" i="26"/>
  <c r="C39" i="26"/>
  <c r="B39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K38" i="26"/>
  <c r="J38" i="26"/>
  <c r="I38" i="26"/>
  <c r="H38" i="26"/>
  <c r="G38" i="26"/>
  <c r="F38" i="26"/>
  <c r="E38" i="26"/>
  <c r="D38" i="26"/>
  <c r="C38" i="26"/>
  <c r="B38" i="26"/>
  <c r="X37" i="26"/>
  <c r="W37" i="26"/>
  <c r="V37" i="26"/>
  <c r="U37" i="26"/>
  <c r="T37" i="26"/>
  <c r="S37" i="26"/>
  <c r="R37" i="26"/>
  <c r="Q37" i="26"/>
  <c r="P37" i="26"/>
  <c r="O37" i="26"/>
  <c r="N37" i="26"/>
  <c r="M37" i="26"/>
  <c r="K37" i="26"/>
  <c r="J37" i="26"/>
  <c r="I37" i="26"/>
  <c r="H37" i="26"/>
  <c r="G37" i="26"/>
  <c r="F37" i="26"/>
  <c r="E37" i="26"/>
  <c r="D37" i="26"/>
  <c r="C37" i="26"/>
  <c r="B37" i="26"/>
  <c r="X36" i="26"/>
  <c r="W36" i="26"/>
  <c r="V36" i="26"/>
  <c r="U36" i="26"/>
  <c r="T36" i="26"/>
  <c r="S36" i="26"/>
  <c r="R36" i="26"/>
  <c r="Q36" i="26"/>
  <c r="P36" i="26"/>
  <c r="O36" i="26"/>
  <c r="N36" i="26"/>
  <c r="M36" i="26"/>
  <c r="K36" i="26"/>
  <c r="J36" i="26"/>
  <c r="I36" i="26"/>
  <c r="H36" i="26"/>
  <c r="G36" i="26"/>
  <c r="F36" i="26"/>
  <c r="E36" i="26"/>
  <c r="D36" i="26"/>
  <c r="C36" i="26"/>
  <c r="B36" i="26"/>
  <c r="X35" i="26"/>
  <c r="W35" i="26"/>
  <c r="V35" i="26"/>
  <c r="U35" i="26"/>
  <c r="T35" i="26"/>
  <c r="S35" i="26"/>
  <c r="R35" i="26"/>
  <c r="Q35" i="26"/>
  <c r="P35" i="26"/>
  <c r="O35" i="26"/>
  <c r="N35" i="26"/>
  <c r="M35" i="26"/>
  <c r="K35" i="26"/>
  <c r="J35" i="26"/>
  <c r="I35" i="26"/>
  <c r="H35" i="26"/>
  <c r="G35" i="26"/>
  <c r="F35" i="26"/>
  <c r="E35" i="26"/>
  <c r="D35" i="26"/>
  <c r="C35" i="26"/>
  <c r="B35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K34" i="26"/>
  <c r="J34" i="26"/>
  <c r="I34" i="26"/>
  <c r="H34" i="26"/>
  <c r="G34" i="26"/>
  <c r="F34" i="26"/>
  <c r="E34" i="26"/>
  <c r="D34" i="26"/>
  <c r="C34" i="26"/>
  <c r="B34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K33" i="26"/>
  <c r="J33" i="26"/>
  <c r="I33" i="26"/>
  <c r="H33" i="26"/>
  <c r="G33" i="26"/>
  <c r="F33" i="26"/>
  <c r="E33" i="26"/>
  <c r="D33" i="26"/>
  <c r="C33" i="26"/>
  <c r="B33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K31" i="26"/>
  <c r="J31" i="26"/>
  <c r="I31" i="26"/>
  <c r="H31" i="26"/>
  <c r="G31" i="26"/>
  <c r="F31" i="26"/>
  <c r="E31" i="26"/>
  <c r="D31" i="26"/>
  <c r="C31" i="26"/>
  <c r="B31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K30" i="26"/>
  <c r="J30" i="26"/>
  <c r="I30" i="26"/>
  <c r="H30" i="26"/>
  <c r="G30" i="26"/>
  <c r="F30" i="26"/>
  <c r="E30" i="26"/>
  <c r="D30" i="26"/>
  <c r="C30" i="26"/>
  <c r="B30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K29" i="26"/>
  <c r="J29" i="26"/>
  <c r="I29" i="26"/>
  <c r="H29" i="26"/>
  <c r="G29" i="26"/>
  <c r="F29" i="26"/>
  <c r="E29" i="26"/>
  <c r="D29" i="26"/>
  <c r="C29" i="26"/>
  <c r="B29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K28" i="26"/>
  <c r="J28" i="26"/>
  <c r="I28" i="26"/>
  <c r="H28" i="26"/>
  <c r="G28" i="26"/>
  <c r="F28" i="26"/>
  <c r="E28" i="26"/>
  <c r="D28" i="26"/>
  <c r="C28" i="26"/>
  <c r="B28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K27" i="26"/>
  <c r="J27" i="26"/>
  <c r="I27" i="26"/>
  <c r="H27" i="26"/>
  <c r="G27" i="26"/>
  <c r="F27" i="26"/>
  <c r="E27" i="26"/>
  <c r="D27" i="26"/>
  <c r="C27" i="26"/>
  <c r="B27" i="26"/>
  <c r="X26" i="26"/>
  <c r="W26" i="26"/>
  <c r="V26" i="26"/>
  <c r="U26" i="26"/>
  <c r="T26" i="26"/>
  <c r="S26" i="26"/>
  <c r="R26" i="26"/>
  <c r="Q26" i="26"/>
  <c r="P26" i="26"/>
  <c r="O26" i="26"/>
  <c r="N26" i="26"/>
  <c r="M26" i="26"/>
  <c r="K26" i="26"/>
  <c r="J26" i="26"/>
  <c r="I26" i="26"/>
  <c r="H26" i="26"/>
  <c r="G26" i="26"/>
  <c r="F26" i="26"/>
  <c r="E26" i="26"/>
  <c r="D26" i="26"/>
  <c r="C26" i="26"/>
  <c r="B26" i="26"/>
  <c r="X25" i="26"/>
  <c r="W25" i="26"/>
  <c r="V25" i="26"/>
  <c r="U25" i="26"/>
  <c r="T25" i="26"/>
  <c r="S25" i="26"/>
  <c r="R25" i="26"/>
  <c r="Q25" i="26"/>
  <c r="P25" i="26"/>
  <c r="O25" i="26"/>
  <c r="N25" i="26"/>
  <c r="M25" i="26"/>
  <c r="K25" i="26"/>
  <c r="J25" i="26"/>
  <c r="I25" i="26"/>
  <c r="H25" i="26"/>
  <c r="G25" i="26"/>
  <c r="F25" i="26"/>
  <c r="E25" i="26"/>
  <c r="D25" i="26"/>
  <c r="C25" i="26"/>
  <c r="B25" i="26"/>
  <c r="X24" i="26"/>
  <c r="W24" i="26"/>
  <c r="V24" i="26"/>
  <c r="U24" i="26"/>
  <c r="T24" i="26"/>
  <c r="S24" i="26"/>
  <c r="R24" i="26"/>
  <c r="Q24" i="26"/>
  <c r="P24" i="26"/>
  <c r="O24" i="26"/>
  <c r="N24" i="26"/>
  <c r="M24" i="26"/>
  <c r="K24" i="26"/>
  <c r="J24" i="26"/>
  <c r="I24" i="26"/>
  <c r="H24" i="26"/>
  <c r="G24" i="26"/>
  <c r="F24" i="26"/>
  <c r="E24" i="26"/>
  <c r="D24" i="26"/>
  <c r="C24" i="26"/>
  <c r="B24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K23" i="26"/>
  <c r="J23" i="26"/>
  <c r="I23" i="26"/>
  <c r="H23" i="26"/>
  <c r="G23" i="26"/>
  <c r="F23" i="26"/>
  <c r="E23" i="26"/>
  <c r="D23" i="26"/>
  <c r="C23" i="26"/>
  <c r="B23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K22" i="26"/>
  <c r="J22" i="26"/>
  <c r="I22" i="26"/>
  <c r="H22" i="26"/>
  <c r="G22" i="26"/>
  <c r="F22" i="26"/>
  <c r="E22" i="26"/>
  <c r="D22" i="26"/>
  <c r="C22" i="26"/>
  <c r="B22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K21" i="26"/>
  <c r="J21" i="26"/>
  <c r="I21" i="26"/>
  <c r="H21" i="26"/>
  <c r="G21" i="26"/>
  <c r="F21" i="26"/>
  <c r="E21" i="26"/>
  <c r="D21" i="26"/>
  <c r="C21" i="26"/>
  <c r="B21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K20" i="26"/>
  <c r="J20" i="26"/>
  <c r="I20" i="26"/>
  <c r="H20" i="26"/>
  <c r="G20" i="26"/>
  <c r="F20" i="26"/>
  <c r="E20" i="26"/>
  <c r="D20" i="26"/>
  <c r="C20" i="26"/>
  <c r="B20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K19" i="26"/>
  <c r="J19" i="26"/>
  <c r="I19" i="26"/>
  <c r="H19" i="26"/>
  <c r="G19" i="26"/>
  <c r="F19" i="26"/>
  <c r="E19" i="26"/>
  <c r="D19" i="26"/>
  <c r="C19" i="26"/>
  <c r="B19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K17" i="26"/>
  <c r="J17" i="26"/>
  <c r="I17" i="26"/>
  <c r="H17" i="26"/>
  <c r="G17" i="26"/>
  <c r="F17" i="26"/>
  <c r="E17" i="26"/>
  <c r="D17" i="26"/>
  <c r="C17" i="26"/>
  <c r="B17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K16" i="26"/>
  <c r="J16" i="26"/>
  <c r="I16" i="26"/>
  <c r="H16" i="26"/>
  <c r="G16" i="26"/>
  <c r="F16" i="26"/>
  <c r="E16" i="26"/>
  <c r="D16" i="26"/>
  <c r="C16" i="26"/>
  <c r="B16" i="26"/>
  <c r="X15" i="26"/>
  <c r="W15" i="26"/>
  <c r="V15" i="26"/>
  <c r="U15" i="26"/>
  <c r="T15" i="26"/>
  <c r="S15" i="26"/>
  <c r="R15" i="26"/>
  <c r="Q15" i="26"/>
  <c r="P15" i="26"/>
  <c r="O15" i="26"/>
  <c r="N15" i="26"/>
  <c r="M15" i="26"/>
  <c r="K15" i="26"/>
  <c r="J15" i="26"/>
  <c r="I15" i="26"/>
  <c r="H15" i="26"/>
  <c r="G15" i="26"/>
  <c r="F15" i="26"/>
  <c r="E15" i="26"/>
  <c r="D15" i="26"/>
  <c r="C15" i="26"/>
  <c r="B15" i="26"/>
  <c r="X14" i="26"/>
  <c r="W14" i="26"/>
  <c r="V14" i="26"/>
  <c r="U14" i="26"/>
  <c r="T14" i="26"/>
  <c r="S14" i="26"/>
  <c r="R14" i="26"/>
  <c r="Q14" i="26"/>
  <c r="P14" i="26"/>
  <c r="O14" i="26"/>
  <c r="N14" i="26"/>
  <c r="M14" i="26"/>
  <c r="K14" i="26"/>
  <c r="J14" i="26"/>
  <c r="I14" i="26"/>
  <c r="H14" i="26"/>
  <c r="G14" i="26"/>
  <c r="F14" i="26"/>
  <c r="E14" i="26"/>
  <c r="D14" i="26"/>
  <c r="C14" i="26"/>
  <c r="B14" i="26"/>
  <c r="X13" i="26"/>
  <c r="W13" i="26"/>
  <c r="V13" i="26"/>
  <c r="U13" i="26"/>
  <c r="T13" i="26"/>
  <c r="S13" i="26"/>
  <c r="R13" i="26"/>
  <c r="Q13" i="26"/>
  <c r="P13" i="26"/>
  <c r="O13" i="26"/>
  <c r="N13" i="26"/>
  <c r="M13" i="26"/>
  <c r="K13" i="26"/>
  <c r="J13" i="26"/>
  <c r="I13" i="26"/>
  <c r="H13" i="26"/>
  <c r="G13" i="26"/>
  <c r="F13" i="26"/>
  <c r="E13" i="26"/>
  <c r="D13" i="26"/>
  <c r="C13" i="26"/>
  <c r="B13" i="26"/>
  <c r="X12" i="26"/>
  <c r="W12" i="26"/>
  <c r="V12" i="26"/>
  <c r="U12" i="26"/>
  <c r="T12" i="26"/>
  <c r="S12" i="26"/>
  <c r="R12" i="26"/>
  <c r="Q12" i="26"/>
  <c r="P12" i="26"/>
  <c r="O12" i="26"/>
  <c r="N12" i="26"/>
  <c r="M12" i="26"/>
  <c r="K12" i="26"/>
  <c r="J12" i="26"/>
  <c r="I12" i="26"/>
  <c r="H12" i="26"/>
  <c r="G12" i="26"/>
  <c r="F12" i="26"/>
  <c r="E12" i="26"/>
  <c r="D12" i="26"/>
  <c r="C12" i="26"/>
  <c r="B12" i="26"/>
  <c r="X11" i="26"/>
  <c r="W11" i="26"/>
  <c r="V11" i="26"/>
  <c r="U11" i="26"/>
  <c r="T11" i="26"/>
  <c r="S11" i="26"/>
  <c r="R11" i="26"/>
  <c r="Q11" i="26"/>
  <c r="P11" i="26"/>
  <c r="O11" i="26"/>
  <c r="N11" i="26"/>
  <c r="M11" i="26"/>
  <c r="K11" i="26"/>
  <c r="J11" i="26"/>
  <c r="I11" i="26"/>
  <c r="H11" i="26"/>
  <c r="G11" i="26"/>
  <c r="F11" i="26"/>
  <c r="E11" i="26"/>
  <c r="D11" i="26"/>
  <c r="C11" i="26"/>
  <c r="B11" i="26"/>
  <c r="X10" i="26"/>
  <c r="W10" i="26"/>
  <c r="V10" i="26"/>
  <c r="U10" i="26"/>
  <c r="T10" i="26"/>
  <c r="S10" i="26"/>
  <c r="R10" i="26"/>
  <c r="Q10" i="26"/>
  <c r="P10" i="26"/>
  <c r="O10" i="26"/>
  <c r="N10" i="26"/>
  <c r="M10" i="26"/>
  <c r="K10" i="26"/>
  <c r="J10" i="26"/>
  <c r="I10" i="26"/>
  <c r="H10" i="26"/>
  <c r="G10" i="26"/>
  <c r="F10" i="26"/>
  <c r="E10" i="26"/>
  <c r="D10" i="26"/>
  <c r="C10" i="26"/>
  <c r="B10" i="26"/>
  <c r="X9" i="26"/>
  <c r="W9" i="26"/>
  <c r="V9" i="26"/>
  <c r="U9" i="26"/>
  <c r="T9" i="26"/>
  <c r="S9" i="26"/>
  <c r="R9" i="26"/>
  <c r="Q9" i="26"/>
  <c r="P9" i="26"/>
  <c r="O9" i="26"/>
  <c r="N9" i="26"/>
  <c r="M9" i="26"/>
  <c r="K9" i="26"/>
  <c r="J9" i="26"/>
  <c r="I9" i="26"/>
  <c r="H9" i="26"/>
  <c r="G9" i="26"/>
  <c r="F9" i="26"/>
  <c r="E9" i="26"/>
  <c r="D9" i="26"/>
  <c r="C9" i="26"/>
  <c r="B9" i="26"/>
  <c r="X8" i="26"/>
  <c r="W8" i="26"/>
  <c r="V8" i="26"/>
  <c r="U8" i="26"/>
  <c r="T8" i="26"/>
  <c r="S8" i="26"/>
  <c r="R8" i="26"/>
  <c r="Q8" i="26"/>
  <c r="P8" i="26"/>
  <c r="O8" i="26"/>
  <c r="N8" i="26"/>
  <c r="M8" i="26"/>
  <c r="K8" i="26"/>
  <c r="J8" i="26"/>
  <c r="I8" i="26"/>
  <c r="H8" i="26"/>
  <c r="G8" i="26"/>
  <c r="F8" i="26"/>
  <c r="E8" i="26"/>
  <c r="D8" i="26"/>
  <c r="C8" i="26"/>
  <c r="B8" i="26"/>
  <c r="X7" i="26"/>
  <c r="W7" i="26"/>
  <c r="V7" i="26"/>
  <c r="U7" i="26"/>
  <c r="T7" i="26"/>
  <c r="S7" i="26"/>
  <c r="R7" i="26"/>
  <c r="Q7" i="26"/>
  <c r="P7" i="26"/>
  <c r="O7" i="26"/>
  <c r="N7" i="26"/>
  <c r="M7" i="26"/>
  <c r="K7" i="26"/>
  <c r="J7" i="26"/>
  <c r="I7" i="26"/>
  <c r="H7" i="26"/>
  <c r="G7" i="26"/>
  <c r="F7" i="26"/>
  <c r="E7" i="26"/>
  <c r="D7" i="26"/>
  <c r="C7" i="26"/>
  <c r="B7" i="26"/>
  <c r="X6" i="26"/>
  <c r="W6" i="26"/>
  <c r="V6" i="26"/>
  <c r="U6" i="26"/>
  <c r="T6" i="26"/>
  <c r="S6" i="26"/>
  <c r="R6" i="26"/>
  <c r="Q6" i="26"/>
  <c r="P6" i="26"/>
  <c r="O6" i="26"/>
  <c r="N6" i="26"/>
  <c r="M6" i="26"/>
  <c r="K6" i="26"/>
  <c r="J6" i="26"/>
  <c r="I6" i="26"/>
  <c r="H6" i="26"/>
  <c r="G6" i="26"/>
  <c r="F6" i="26"/>
  <c r="E6" i="26"/>
  <c r="D6" i="26"/>
  <c r="C6" i="26"/>
  <c r="B6" i="26"/>
  <c r="X5" i="26"/>
  <c r="W5" i="26"/>
  <c r="V5" i="26"/>
  <c r="U5" i="26"/>
  <c r="T5" i="26"/>
  <c r="S5" i="26"/>
  <c r="R5" i="26"/>
  <c r="Q5" i="26"/>
  <c r="P5" i="26"/>
  <c r="O5" i="26"/>
  <c r="N5" i="26"/>
  <c r="M5" i="26"/>
  <c r="K5" i="26"/>
  <c r="J5" i="26"/>
  <c r="I5" i="26"/>
  <c r="H5" i="26"/>
  <c r="G5" i="26"/>
  <c r="F5" i="26"/>
  <c r="E5" i="26"/>
  <c r="D5" i="26"/>
  <c r="C5" i="26"/>
  <c r="B5" i="26"/>
  <c r="X4" i="26"/>
  <c r="W4" i="26"/>
  <c r="V4" i="26"/>
  <c r="U4" i="26"/>
  <c r="T4" i="26"/>
  <c r="S4" i="26"/>
  <c r="R4" i="26"/>
  <c r="Q4" i="26"/>
  <c r="P4" i="26"/>
  <c r="O4" i="26"/>
  <c r="N4" i="26"/>
  <c r="M4" i="26"/>
  <c r="K4" i="26"/>
  <c r="J4" i="26"/>
  <c r="I4" i="26"/>
  <c r="H4" i="26"/>
  <c r="G4" i="26"/>
  <c r="F4" i="26"/>
  <c r="E4" i="26"/>
  <c r="D4" i="26"/>
  <c r="C4" i="26"/>
  <c r="B4" i="26"/>
  <c r="AB148" i="24"/>
  <c r="AB147" i="24"/>
  <c r="AB146" i="24"/>
  <c r="AB145" i="24"/>
  <c r="AB144" i="24"/>
  <c r="AB143" i="24"/>
  <c r="AB142" i="24"/>
  <c r="AB127" i="24"/>
  <c r="AB126" i="24"/>
  <c r="AB121" i="24"/>
  <c r="AB114" i="24"/>
  <c r="AB112" i="24"/>
  <c r="AB104" i="24"/>
  <c r="AB100" i="24"/>
  <c r="AB90" i="24"/>
  <c r="AB89" i="24"/>
  <c r="AB88" i="24"/>
  <c r="AB87" i="24"/>
  <c r="AB77" i="24"/>
  <c r="AB76" i="24"/>
  <c r="AB75" i="24"/>
  <c r="AB74" i="24"/>
  <c r="AB73" i="24"/>
  <c r="AB72" i="24"/>
  <c r="AB48" i="24"/>
  <c r="AB47" i="24"/>
  <c r="AB46" i="24"/>
  <c r="AB45" i="24"/>
  <c r="AB44" i="24"/>
  <c r="AB43" i="24"/>
  <c r="AB42" i="24"/>
  <c r="AB31" i="24"/>
  <c r="AB30" i="24"/>
  <c r="AB29" i="24"/>
  <c r="AB28" i="24"/>
  <c r="AB27" i="24"/>
  <c r="AB26" i="24"/>
  <c r="AB17" i="24"/>
  <c r="AB16" i="24"/>
  <c r="AB15" i="24"/>
  <c r="AB14" i="24"/>
  <c r="AB13" i="24"/>
  <c r="AB12" i="24"/>
  <c r="O148" i="22"/>
  <c r="M148" i="22"/>
  <c r="L148" i="22"/>
  <c r="K148" i="22"/>
  <c r="J148" i="22"/>
  <c r="I148" i="22"/>
  <c r="H148" i="22"/>
  <c r="G148" i="22"/>
  <c r="F148" i="22"/>
  <c r="E148" i="22"/>
  <c r="D148" i="22"/>
  <c r="C148" i="22"/>
  <c r="B148" i="22"/>
  <c r="O147" i="22"/>
  <c r="M147" i="22"/>
  <c r="L147" i="22"/>
  <c r="K147" i="22"/>
  <c r="J147" i="22"/>
  <c r="I147" i="22"/>
  <c r="H147" i="22"/>
  <c r="G147" i="22"/>
  <c r="F147" i="22"/>
  <c r="E147" i="22"/>
  <c r="D147" i="22"/>
  <c r="C147" i="22"/>
  <c r="B147" i="22"/>
  <c r="O146" i="22"/>
  <c r="M146" i="22"/>
  <c r="L146" i="22"/>
  <c r="K146" i="22"/>
  <c r="J146" i="22"/>
  <c r="I146" i="22"/>
  <c r="H146" i="22"/>
  <c r="G146" i="22"/>
  <c r="F146" i="22"/>
  <c r="E146" i="22"/>
  <c r="D146" i="22"/>
  <c r="C146" i="22"/>
  <c r="B146" i="22"/>
  <c r="O145" i="22"/>
  <c r="M145" i="22"/>
  <c r="L145" i="22"/>
  <c r="K145" i="22"/>
  <c r="J145" i="22"/>
  <c r="I145" i="22"/>
  <c r="H145" i="22"/>
  <c r="G145" i="22"/>
  <c r="F145" i="22"/>
  <c r="E145" i="22"/>
  <c r="D145" i="22"/>
  <c r="C145" i="22"/>
  <c r="B145" i="22"/>
  <c r="O144" i="22"/>
  <c r="M144" i="22"/>
  <c r="L144" i="22"/>
  <c r="K144" i="22"/>
  <c r="J144" i="22"/>
  <c r="I144" i="22"/>
  <c r="H144" i="22"/>
  <c r="G144" i="22"/>
  <c r="F144" i="22"/>
  <c r="E144" i="22"/>
  <c r="D144" i="22"/>
  <c r="C144" i="22"/>
  <c r="B144" i="22"/>
  <c r="O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O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M141" i="22"/>
  <c r="L141" i="22"/>
  <c r="K141" i="22"/>
  <c r="J141" i="22"/>
  <c r="I141" i="22"/>
  <c r="H141" i="22"/>
  <c r="G141" i="22"/>
  <c r="F141" i="22"/>
  <c r="E141" i="22"/>
  <c r="D141" i="22"/>
  <c r="C141" i="22"/>
  <c r="B141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M132" i="22"/>
  <c r="L132" i="22"/>
  <c r="K132" i="22"/>
  <c r="J132" i="22"/>
  <c r="I132" i="22"/>
  <c r="H132" i="22"/>
  <c r="G132" i="22"/>
  <c r="F132" i="22"/>
  <c r="E132" i="22"/>
  <c r="D132" i="22"/>
  <c r="C132" i="22"/>
  <c r="B132" i="22"/>
  <c r="M131" i="22"/>
  <c r="L131" i="22"/>
  <c r="K131" i="22"/>
  <c r="J131" i="22"/>
  <c r="I131" i="22"/>
  <c r="H131" i="22"/>
  <c r="G131" i="22"/>
  <c r="F131" i="22"/>
  <c r="E131" i="22"/>
  <c r="D131" i="22"/>
  <c r="C131" i="22"/>
  <c r="B131" i="22"/>
  <c r="M130" i="22"/>
  <c r="L130" i="22"/>
  <c r="K130" i="22"/>
  <c r="J130" i="22"/>
  <c r="I130" i="22"/>
  <c r="H130" i="22"/>
  <c r="G130" i="22"/>
  <c r="F130" i="22"/>
  <c r="E130" i="22"/>
  <c r="D130" i="22"/>
  <c r="C130" i="22"/>
  <c r="B130" i="22"/>
  <c r="M129" i="22"/>
  <c r="L129" i="22"/>
  <c r="K129" i="22"/>
  <c r="J129" i="22"/>
  <c r="I129" i="22"/>
  <c r="H129" i="22"/>
  <c r="G129" i="22"/>
  <c r="F129" i="22"/>
  <c r="E129" i="22"/>
  <c r="D129" i="22"/>
  <c r="C129" i="22"/>
  <c r="B129" i="22"/>
  <c r="M128" i="22"/>
  <c r="L128" i="22"/>
  <c r="K128" i="22"/>
  <c r="J128" i="22"/>
  <c r="I128" i="22"/>
  <c r="H128" i="22"/>
  <c r="G128" i="22"/>
  <c r="F128" i="22"/>
  <c r="E128" i="22"/>
  <c r="D128" i="22"/>
  <c r="C128" i="22"/>
  <c r="B128" i="22"/>
  <c r="M127" i="22"/>
  <c r="L127" i="22"/>
  <c r="K127" i="22"/>
  <c r="J127" i="22"/>
  <c r="I127" i="22"/>
  <c r="H127" i="22"/>
  <c r="G127" i="22"/>
  <c r="F127" i="22"/>
  <c r="E127" i="22"/>
  <c r="D127" i="22"/>
  <c r="C127" i="22"/>
  <c r="B127" i="22"/>
  <c r="M126" i="22"/>
  <c r="L126" i="22"/>
  <c r="K126" i="22"/>
  <c r="J126" i="22"/>
  <c r="I126" i="22"/>
  <c r="H126" i="22"/>
  <c r="G126" i="22"/>
  <c r="F126" i="22"/>
  <c r="E126" i="22"/>
  <c r="D126" i="22"/>
  <c r="C126" i="22"/>
  <c r="B126" i="22"/>
  <c r="M125" i="22"/>
  <c r="L125" i="22"/>
  <c r="K125" i="22"/>
  <c r="J125" i="22"/>
  <c r="I125" i="22"/>
  <c r="H125" i="22"/>
  <c r="G125" i="22"/>
  <c r="F125" i="22"/>
  <c r="E125" i="22"/>
  <c r="D125" i="22"/>
  <c r="C125" i="22"/>
  <c r="B125" i="22"/>
  <c r="M124" i="22"/>
  <c r="L124" i="22"/>
  <c r="K124" i="22"/>
  <c r="J124" i="22"/>
  <c r="I124" i="22"/>
  <c r="H124" i="22"/>
  <c r="G124" i="22"/>
  <c r="F124" i="22"/>
  <c r="E124" i="22"/>
  <c r="D124" i="22"/>
  <c r="C124" i="22"/>
  <c r="B124" i="22"/>
  <c r="M123" i="22"/>
  <c r="L123" i="22"/>
  <c r="K123" i="22"/>
  <c r="J123" i="22"/>
  <c r="I123" i="22"/>
  <c r="H123" i="22"/>
  <c r="G123" i="22"/>
  <c r="F123" i="22"/>
  <c r="E123" i="22"/>
  <c r="D123" i="22"/>
  <c r="C123" i="22"/>
  <c r="B123" i="22"/>
  <c r="M122" i="22"/>
  <c r="L122" i="22"/>
  <c r="K122" i="22"/>
  <c r="J122" i="22"/>
  <c r="I122" i="22"/>
  <c r="H122" i="22"/>
  <c r="G122" i="22"/>
  <c r="F122" i="22"/>
  <c r="E122" i="22"/>
  <c r="D122" i="22"/>
  <c r="C122" i="22"/>
  <c r="B122" i="22"/>
  <c r="M121" i="22"/>
  <c r="L121" i="22"/>
  <c r="K121" i="22"/>
  <c r="J121" i="22"/>
  <c r="I121" i="22"/>
  <c r="H121" i="22"/>
  <c r="G121" i="22"/>
  <c r="F121" i="22"/>
  <c r="E121" i="22"/>
  <c r="D121" i="22"/>
  <c r="C121" i="22"/>
  <c r="B121" i="22"/>
  <c r="M120" i="22"/>
  <c r="L120" i="22"/>
  <c r="K120" i="22"/>
  <c r="J120" i="22"/>
  <c r="I120" i="22"/>
  <c r="H120" i="22"/>
  <c r="G120" i="22"/>
  <c r="F120" i="22"/>
  <c r="E120" i="22"/>
  <c r="D120" i="22"/>
  <c r="C120" i="22"/>
  <c r="B120" i="22"/>
  <c r="M119" i="22"/>
  <c r="L119" i="22"/>
  <c r="K119" i="22"/>
  <c r="J119" i="22"/>
  <c r="I119" i="22"/>
  <c r="H119" i="22"/>
  <c r="G119" i="22"/>
  <c r="F119" i="22"/>
  <c r="E119" i="22"/>
  <c r="D119" i="22"/>
  <c r="C119" i="22"/>
  <c r="B119" i="22"/>
  <c r="M118" i="22"/>
  <c r="L118" i="22"/>
  <c r="K118" i="22"/>
  <c r="J118" i="22"/>
  <c r="I118" i="22"/>
  <c r="H118" i="22"/>
  <c r="G118" i="22"/>
  <c r="F118" i="22"/>
  <c r="E118" i="22"/>
  <c r="D118" i="22"/>
  <c r="C118" i="22"/>
  <c r="B118" i="22"/>
  <c r="M116" i="22"/>
  <c r="L116" i="22"/>
  <c r="K116" i="22"/>
  <c r="J116" i="22"/>
  <c r="I116" i="22"/>
  <c r="H116" i="22"/>
  <c r="G116" i="22"/>
  <c r="F116" i="22"/>
  <c r="E116" i="22"/>
  <c r="D116" i="22"/>
  <c r="C116" i="22"/>
  <c r="B116" i="22"/>
  <c r="M115" i="22"/>
  <c r="L115" i="22"/>
  <c r="K115" i="22"/>
  <c r="J115" i="22"/>
  <c r="I115" i="22"/>
  <c r="H115" i="22"/>
  <c r="G115" i="22"/>
  <c r="F115" i="22"/>
  <c r="E115" i="22"/>
  <c r="D115" i="22"/>
  <c r="C115" i="22"/>
  <c r="B115" i="22"/>
  <c r="M114" i="22"/>
  <c r="L114" i="22"/>
  <c r="K114" i="22"/>
  <c r="J114" i="22"/>
  <c r="I114" i="22"/>
  <c r="H114" i="22"/>
  <c r="G114" i="22"/>
  <c r="F114" i="22"/>
  <c r="E114" i="22"/>
  <c r="D114" i="22"/>
  <c r="C114" i="22"/>
  <c r="B114" i="22"/>
  <c r="O112" i="22"/>
  <c r="M112" i="22"/>
  <c r="L112" i="22"/>
  <c r="K112" i="22"/>
  <c r="J112" i="22"/>
  <c r="I112" i="22"/>
  <c r="H112" i="22"/>
  <c r="G112" i="22"/>
  <c r="F112" i="22"/>
  <c r="E112" i="22"/>
  <c r="D112" i="22"/>
  <c r="C112" i="22"/>
  <c r="B112" i="22"/>
  <c r="M111" i="22"/>
  <c r="L111" i="22"/>
  <c r="K111" i="22"/>
  <c r="J111" i="22"/>
  <c r="I111" i="22"/>
  <c r="H111" i="22"/>
  <c r="G111" i="22"/>
  <c r="F111" i="22"/>
  <c r="E111" i="22"/>
  <c r="D111" i="22"/>
  <c r="C111" i="22"/>
  <c r="B111" i="22"/>
  <c r="M110" i="22"/>
  <c r="L110" i="22"/>
  <c r="K110" i="22"/>
  <c r="J110" i="22"/>
  <c r="I110" i="22"/>
  <c r="H110" i="22"/>
  <c r="G110" i="22"/>
  <c r="F110" i="22"/>
  <c r="E110" i="22"/>
  <c r="D110" i="22"/>
  <c r="C110" i="22"/>
  <c r="B110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M108" i="22"/>
  <c r="L108" i="22"/>
  <c r="K108" i="22"/>
  <c r="J108" i="22"/>
  <c r="I108" i="22"/>
  <c r="H108" i="22"/>
  <c r="G108" i="22"/>
  <c r="F108" i="22"/>
  <c r="E108" i="22"/>
  <c r="D108" i="22"/>
  <c r="C108" i="22"/>
  <c r="B108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O104" i="22"/>
  <c r="M104" i="22"/>
  <c r="L104" i="22"/>
  <c r="K104" i="22"/>
  <c r="J104" i="22"/>
  <c r="I104" i="22"/>
  <c r="H104" i="22"/>
  <c r="G104" i="22"/>
  <c r="F104" i="22"/>
  <c r="E104" i="22"/>
  <c r="D104" i="22"/>
  <c r="C104" i="22"/>
  <c r="B104" i="22"/>
  <c r="M103" i="22"/>
  <c r="L103" i="22"/>
  <c r="K103" i="22"/>
  <c r="J103" i="22"/>
  <c r="I103" i="22"/>
  <c r="H103" i="22"/>
  <c r="G103" i="22"/>
  <c r="F103" i="22"/>
  <c r="E103" i="22"/>
  <c r="D103" i="22"/>
  <c r="C103" i="22"/>
  <c r="B103" i="22"/>
  <c r="M102" i="22"/>
  <c r="L102" i="22"/>
  <c r="K102" i="22"/>
  <c r="J102" i="22"/>
  <c r="I102" i="22"/>
  <c r="H102" i="22"/>
  <c r="G102" i="22"/>
  <c r="F102" i="22"/>
  <c r="E102" i="22"/>
  <c r="D102" i="22"/>
  <c r="C102" i="22"/>
  <c r="B102" i="22"/>
  <c r="M101" i="22"/>
  <c r="L101" i="22"/>
  <c r="K101" i="22"/>
  <c r="J101" i="22"/>
  <c r="I101" i="22"/>
  <c r="H101" i="22"/>
  <c r="G101" i="22"/>
  <c r="F101" i="22"/>
  <c r="E101" i="22"/>
  <c r="D101" i="22"/>
  <c r="C101" i="22"/>
  <c r="B101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O90" i="22"/>
  <c r="M90" i="22"/>
  <c r="L90" i="22"/>
  <c r="K90" i="22"/>
  <c r="J90" i="22"/>
  <c r="I90" i="22"/>
  <c r="H90" i="22"/>
  <c r="G90" i="22"/>
  <c r="F90" i="22"/>
  <c r="E90" i="22"/>
  <c r="D90" i="22"/>
  <c r="C90" i="22"/>
  <c r="B90" i="22"/>
  <c r="O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O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O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M81" i="22"/>
  <c r="L81" i="22"/>
  <c r="K81" i="22"/>
  <c r="J81" i="22"/>
  <c r="I81" i="22"/>
  <c r="H81" i="22"/>
  <c r="G81" i="22"/>
  <c r="F81" i="22"/>
  <c r="E81" i="22"/>
  <c r="D81" i="22"/>
  <c r="C81" i="22"/>
  <c r="B81" i="22"/>
  <c r="O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O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O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O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O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O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M70" i="22"/>
  <c r="L70" i="22"/>
  <c r="K70" i="22"/>
  <c r="J70" i="22"/>
  <c r="I70" i="22"/>
  <c r="H70" i="22"/>
  <c r="G70" i="22"/>
  <c r="F70" i="22"/>
  <c r="E70" i="22"/>
  <c r="D70" i="22"/>
  <c r="C70" i="22"/>
  <c r="B70" i="22"/>
  <c r="M69" i="22"/>
  <c r="L69" i="22"/>
  <c r="K69" i="22"/>
  <c r="J69" i="22"/>
  <c r="I69" i="22"/>
  <c r="H69" i="22"/>
  <c r="G69" i="22"/>
  <c r="F69" i="22"/>
  <c r="E69" i="22"/>
  <c r="D69" i="22"/>
  <c r="C69" i="22"/>
  <c r="B69" i="22"/>
  <c r="M68" i="22"/>
  <c r="L68" i="22"/>
  <c r="K68" i="22"/>
  <c r="J68" i="22"/>
  <c r="I68" i="22"/>
  <c r="H68" i="22"/>
  <c r="G68" i="22"/>
  <c r="F68" i="22"/>
  <c r="E68" i="22"/>
  <c r="D68" i="22"/>
  <c r="C68" i="22"/>
  <c r="B68" i="22"/>
  <c r="M67" i="22"/>
  <c r="L67" i="22"/>
  <c r="K67" i="22"/>
  <c r="J67" i="22"/>
  <c r="I67" i="22"/>
  <c r="H67" i="22"/>
  <c r="G67" i="22"/>
  <c r="F67" i="22"/>
  <c r="E67" i="22"/>
  <c r="D67" i="22"/>
  <c r="C67" i="22"/>
  <c r="B67" i="22"/>
  <c r="M66" i="22"/>
  <c r="L66" i="22"/>
  <c r="K66" i="22"/>
  <c r="J66" i="22"/>
  <c r="I66" i="22"/>
  <c r="H66" i="22"/>
  <c r="G66" i="22"/>
  <c r="F66" i="22"/>
  <c r="E66" i="22"/>
  <c r="D66" i="22"/>
  <c r="C66" i="22"/>
  <c r="B66" i="22"/>
  <c r="M65" i="22"/>
  <c r="L65" i="22"/>
  <c r="K65" i="22"/>
  <c r="J65" i="22"/>
  <c r="I65" i="22"/>
  <c r="H65" i="22"/>
  <c r="G65" i="22"/>
  <c r="F65" i="22"/>
  <c r="E65" i="22"/>
  <c r="D65" i="22"/>
  <c r="C65" i="22"/>
  <c r="B65" i="22"/>
  <c r="M64" i="22"/>
  <c r="L64" i="22"/>
  <c r="K64" i="22"/>
  <c r="J64" i="22"/>
  <c r="I64" i="22"/>
  <c r="H64" i="22"/>
  <c r="G64" i="22"/>
  <c r="F64" i="22"/>
  <c r="E64" i="22"/>
  <c r="D64" i="22"/>
  <c r="C64" i="22"/>
  <c r="B64" i="22"/>
  <c r="M63" i="22"/>
  <c r="L63" i="22"/>
  <c r="K63" i="22"/>
  <c r="J63" i="22"/>
  <c r="I63" i="22"/>
  <c r="H63" i="22"/>
  <c r="G63" i="22"/>
  <c r="F63" i="22"/>
  <c r="E63" i="22"/>
  <c r="D63" i="22"/>
  <c r="C63" i="22"/>
  <c r="B63" i="22"/>
  <c r="M62" i="22"/>
  <c r="L62" i="22"/>
  <c r="K62" i="22"/>
  <c r="J62" i="22"/>
  <c r="I62" i="22"/>
  <c r="H62" i="22"/>
  <c r="G62" i="22"/>
  <c r="F62" i="22"/>
  <c r="E62" i="22"/>
  <c r="D62" i="22"/>
  <c r="C62" i="22"/>
  <c r="B62" i="22"/>
  <c r="M61" i="22"/>
  <c r="L61" i="22"/>
  <c r="K61" i="22"/>
  <c r="J61" i="22"/>
  <c r="I61" i="22"/>
  <c r="H61" i="22"/>
  <c r="G61" i="22"/>
  <c r="F61" i="22"/>
  <c r="E61" i="22"/>
  <c r="D61" i="22"/>
  <c r="C61" i="22"/>
  <c r="B61" i="22"/>
  <c r="M60" i="22"/>
  <c r="L60" i="22"/>
  <c r="K60" i="22"/>
  <c r="J60" i="22"/>
  <c r="I60" i="22"/>
  <c r="H60" i="22"/>
  <c r="G60" i="22"/>
  <c r="F60" i="22"/>
  <c r="E60" i="22"/>
  <c r="D60" i="22"/>
  <c r="C60" i="22"/>
  <c r="B60" i="22"/>
  <c r="M59" i="22"/>
  <c r="L59" i="22"/>
  <c r="K59" i="22"/>
  <c r="J59" i="22"/>
  <c r="I59" i="22"/>
  <c r="H59" i="22"/>
  <c r="G59" i="22"/>
  <c r="F59" i="22"/>
  <c r="E59" i="22"/>
  <c r="D59" i="22"/>
  <c r="C59" i="22"/>
  <c r="B59" i="22"/>
  <c r="M58" i="22"/>
  <c r="L58" i="22"/>
  <c r="K58" i="22"/>
  <c r="J58" i="22"/>
  <c r="I58" i="22"/>
  <c r="H58" i="22"/>
  <c r="G58" i="22"/>
  <c r="F58" i="22"/>
  <c r="E58" i="22"/>
  <c r="D58" i="22"/>
  <c r="C58" i="22"/>
  <c r="B58" i="22"/>
  <c r="M57" i="22"/>
  <c r="L57" i="22"/>
  <c r="K57" i="22"/>
  <c r="J57" i="22"/>
  <c r="I57" i="22"/>
  <c r="H57" i="22"/>
  <c r="G57" i="22"/>
  <c r="F57" i="22"/>
  <c r="E57" i="22"/>
  <c r="D57" i="22"/>
  <c r="C57" i="22"/>
  <c r="B57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O48" i="22"/>
  <c r="M48" i="22"/>
  <c r="L48" i="22"/>
  <c r="K48" i="22"/>
  <c r="J48" i="22"/>
  <c r="I48" i="22"/>
  <c r="H48" i="22"/>
  <c r="G48" i="22"/>
  <c r="F48" i="22"/>
  <c r="E48" i="22"/>
  <c r="D48" i="22"/>
  <c r="C48" i="22"/>
  <c r="B48" i="22"/>
  <c r="O47" i="22"/>
  <c r="M47" i="22"/>
  <c r="L47" i="22"/>
  <c r="K47" i="22"/>
  <c r="J47" i="22"/>
  <c r="I47" i="22"/>
  <c r="H47" i="22"/>
  <c r="G47" i="22"/>
  <c r="F47" i="22"/>
  <c r="E47" i="22"/>
  <c r="D47" i="22"/>
  <c r="C47" i="22"/>
  <c r="B47" i="22"/>
  <c r="O46" i="22"/>
  <c r="M46" i="22"/>
  <c r="L46" i="22"/>
  <c r="K46" i="22"/>
  <c r="J46" i="22"/>
  <c r="I46" i="22"/>
  <c r="H46" i="22"/>
  <c r="G46" i="22"/>
  <c r="F46" i="22"/>
  <c r="E46" i="22"/>
  <c r="D46" i="22"/>
  <c r="C46" i="22"/>
  <c r="B46" i="22"/>
  <c r="O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O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O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O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M37" i="22"/>
  <c r="L37" i="22"/>
  <c r="K37" i="22"/>
  <c r="J37" i="22"/>
  <c r="I37" i="22"/>
  <c r="H37" i="22"/>
  <c r="G37" i="22"/>
  <c r="F37" i="22"/>
  <c r="E37" i="22"/>
  <c r="D37" i="22"/>
  <c r="C37" i="22"/>
  <c r="B37" i="22"/>
  <c r="M36" i="22"/>
  <c r="L36" i="22"/>
  <c r="K36" i="22"/>
  <c r="J36" i="22"/>
  <c r="I36" i="22"/>
  <c r="H36" i="22"/>
  <c r="G36" i="22"/>
  <c r="F36" i="22"/>
  <c r="E36" i="22"/>
  <c r="D36" i="22"/>
  <c r="C36" i="22"/>
  <c r="B36" i="22"/>
  <c r="M35" i="22"/>
  <c r="L35" i="22"/>
  <c r="K35" i="22"/>
  <c r="J35" i="22"/>
  <c r="I35" i="22"/>
  <c r="H35" i="22"/>
  <c r="G35" i="22"/>
  <c r="F35" i="22"/>
  <c r="E35" i="22"/>
  <c r="D35" i="22"/>
  <c r="C35" i="22"/>
  <c r="B35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O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O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O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O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O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O26" i="22"/>
  <c r="M26" i="22"/>
  <c r="L26" i="22"/>
  <c r="K26" i="22"/>
  <c r="J26" i="22"/>
  <c r="I26" i="22"/>
  <c r="H26" i="22"/>
  <c r="G26" i="22"/>
  <c r="F26" i="22"/>
  <c r="E26" i="22"/>
  <c r="D26" i="22"/>
  <c r="C26" i="22"/>
  <c r="B26" i="22"/>
  <c r="M25" i="22"/>
  <c r="L25" i="22"/>
  <c r="K25" i="22"/>
  <c r="J25" i="22"/>
  <c r="I25" i="22"/>
  <c r="H25" i="22"/>
  <c r="G25" i="22"/>
  <c r="F25" i="22"/>
  <c r="E25" i="22"/>
  <c r="D25" i="22"/>
  <c r="C25" i="22"/>
  <c r="B25" i="22"/>
  <c r="M24" i="22"/>
  <c r="L24" i="22"/>
  <c r="K24" i="22"/>
  <c r="J24" i="22"/>
  <c r="I24" i="22"/>
  <c r="H24" i="22"/>
  <c r="G24" i="22"/>
  <c r="F24" i="22"/>
  <c r="E24" i="22"/>
  <c r="D24" i="22"/>
  <c r="C24" i="22"/>
  <c r="B24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O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O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O15" i="22"/>
  <c r="M15" i="22"/>
  <c r="L15" i="22"/>
  <c r="K15" i="22"/>
  <c r="J15" i="22"/>
  <c r="I15" i="22"/>
  <c r="H15" i="22"/>
  <c r="G15" i="22"/>
  <c r="F15" i="22"/>
  <c r="E15" i="22"/>
  <c r="D15" i="22"/>
  <c r="C15" i="22"/>
  <c r="B15" i="22"/>
  <c r="O14" i="22"/>
  <c r="M14" i="22"/>
  <c r="L14" i="22"/>
  <c r="K14" i="22"/>
  <c r="J14" i="22"/>
  <c r="I14" i="22"/>
  <c r="H14" i="22"/>
  <c r="G14" i="22"/>
  <c r="F14" i="22"/>
  <c r="E14" i="22"/>
  <c r="D14" i="22"/>
  <c r="C14" i="22"/>
  <c r="B14" i="22"/>
  <c r="O13" i="22"/>
  <c r="M13" i="22"/>
  <c r="L13" i="22"/>
  <c r="K13" i="22"/>
  <c r="J13" i="22"/>
  <c r="I13" i="22"/>
  <c r="H13" i="22"/>
  <c r="G13" i="22"/>
  <c r="F13" i="22"/>
  <c r="E13" i="22"/>
  <c r="D13" i="22"/>
  <c r="C13" i="22"/>
  <c r="B13" i="22"/>
  <c r="O12" i="22"/>
  <c r="M12" i="22"/>
  <c r="L12" i="22"/>
  <c r="K12" i="22"/>
  <c r="J12" i="22"/>
  <c r="I12" i="22"/>
  <c r="H12" i="22"/>
  <c r="G12" i="22"/>
  <c r="F12" i="22"/>
  <c r="E12" i="22"/>
  <c r="D12" i="22"/>
  <c r="C12" i="22"/>
  <c r="B12" i="22"/>
  <c r="M11" i="22"/>
  <c r="L11" i="22"/>
  <c r="K11" i="22"/>
  <c r="J11" i="22"/>
  <c r="I11" i="22"/>
  <c r="H11" i="22"/>
  <c r="G11" i="22"/>
  <c r="F11" i="22"/>
  <c r="E11" i="22"/>
  <c r="D11" i="22"/>
  <c r="C11" i="22"/>
  <c r="B11" i="22"/>
  <c r="M10" i="22"/>
  <c r="L10" i="22"/>
  <c r="K10" i="22"/>
  <c r="J10" i="22"/>
  <c r="I10" i="22"/>
  <c r="H10" i="22"/>
  <c r="G10" i="22"/>
  <c r="F10" i="22"/>
  <c r="E10" i="22"/>
  <c r="D10" i="22"/>
  <c r="C10" i="22"/>
  <c r="B10" i="22"/>
  <c r="M9" i="22"/>
  <c r="L9" i="22"/>
  <c r="K9" i="22"/>
  <c r="J9" i="22"/>
  <c r="I9" i="22"/>
  <c r="H9" i="22"/>
  <c r="G9" i="22"/>
  <c r="F9" i="22"/>
  <c r="E9" i="22"/>
  <c r="D9" i="22"/>
  <c r="C9" i="22"/>
  <c r="B9" i="22"/>
  <c r="M8" i="22"/>
  <c r="L8" i="22"/>
  <c r="K8" i="22"/>
  <c r="J8" i="22"/>
  <c r="I8" i="22"/>
  <c r="H8" i="22"/>
  <c r="G8" i="22"/>
  <c r="F8" i="22"/>
  <c r="E8" i="22"/>
  <c r="D8" i="22"/>
  <c r="C8" i="22"/>
  <c r="B8" i="22"/>
  <c r="M7" i="22"/>
  <c r="L7" i="22"/>
  <c r="K7" i="22"/>
  <c r="J7" i="22"/>
  <c r="I7" i="22"/>
  <c r="H7" i="22"/>
  <c r="G7" i="22"/>
  <c r="F7" i="22"/>
  <c r="E7" i="22"/>
  <c r="D7" i="22"/>
  <c r="C7" i="22"/>
  <c r="B7" i="22"/>
  <c r="M6" i="22"/>
  <c r="L6" i="22"/>
  <c r="K6" i="22"/>
  <c r="J6" i="22"/>
  <c r="I6" i="22"/>
  <c r="H6" i="22"/>
  <c r="G6" i="22"/>
  <c r="F6" i="22"/>
  <c r="E6" i="22"/>
  <c r="D6" i="22"/>
  <c r="C6" i="22"/>
  <c r="B6" i="22"/>
  <c r="M5" i="22"/>
  <c r="L5" i="22"/>
  <c r="K5" i="22"/>
  <c r="J5" i="22"/>
  <c r="I5" i="22"/>
  <c r="H5" i="22"/>
  <c r="G5" i="22"/>
  <c r="F5" i="22"/>
  <c r="E5" i="22"/>
  <c r="D5" i="22"/>
  <c r="C5" i="22"/>
  <c r="B5" i="22"/>
  <c r="M4" i="22"/>
  <c r="L4" i="22"/>
  <c r="K4" i="22"/>
  <c r="J4" i="22"/>
  <c r="I4" i="22"/>
  <c r="H4" i="22"/>
  <c r="G4" i="22"/>
  <c r="F4" i="22"/>
  <c r="E4" i="22"/>
  <c r="D4" i="22"/>
  <c r="C4" i="22"/>
  <c r="B4" i="22"/>
  <c r="K148" i="21"/>
  <c r="J148" i="21"/>
  <c r="I148" i="21"/>
  <c r="H148" i="21"/>
  <c r="G148" i="21"/>
  <c r="F148" i="21"/>
  <c r="E148" i="21"/>
  <c r="D148" i="21"/>
  <c r="C148" i="21"/>
  <c r="B148" i="21"/>
  <c r="K147" i="21"/>
  <c r="J147" i="21"/>
  <c r="I147" i="21"/>
  <c r="H147" i="21"/>
  <c r="G147" i="21"/>
  <c r="F147" i="21"/>
  <c r="E147" i="21"/>
  <c r="D147" i="21"/>
  <c r="C147" i="21"/>
  <c r="B147" i="21"/>
  <c r="K146" i="21"/>
  <c r="J146" i="21"/>
  <c r="I146" i="21"/>
  <c r="H146" i="21"/>
  <c r="G146" i="21"/>
  <c r="F146" i="21"/>
  <c r="E146" i="21"/>
  <c r="D146" i="21"/>
  <c r="C146" i="21"/>
  <c r="B146" i="21"/>
  <c r="K145" i="21"/>
  <c r="J145" i="21"/>
  <c r="I145" i="21"/>
  <c r="H145" i="21"/>
  <c r="G145" i="21"/>
  <c r="F145" i="21"/>
  <c r="E145" i="21"/>
  <c r="D145" i="21"/>
  <c r="C145" i="21"/>
  <c r="B145" i="21"/>
  <c r="K144" i="21"/>
  <c r="J144" i="21"/>
  <c r="I144" i="21"/>
  <c r="H144" i="21"/>
  <c r="G144" i="21"/>
  <c r="F144" i="21"/>
  <c r="E144" i="21"/>
  <c r="D144" i="21"/>
  <c r="C144" i="21"/>
  <c r="B144" i="21"/>
  <c r="K143" i="21"/>
  <c r="J143" i="21"/>
  <c r="I143" i="21"/>
  <c r="H143" i="21"/>
  <c r="G143" i="21"/>
  <c r="F143" i="21"/>
  <c r="E143" i="21"/>
  <c r="D143" i="21"/>
  <c r="C143" i="21"/>
  <c r="B143" i="21"/>
  <c r="K142" i="21"/>
  <c r="J142" i="21"/>
  <c r="I142" i="21"/>
  <c r="H142" i="21"/>
  <c r="G142" i="21"/>
  <c r="F142" i="21"/>
  <c r="E142" i="21"/>
  <c r="D142" i="21"/>
  <c r="C142" i="21"/>
  <c r="B142" i="21"/>
  <c r="K141" i="21"/>
  <c r="J141" i="21"/>
  <c r="I141" i="21"/>
  <c r="H141" i="21"/>
  <c r="G141" i="21"/>
  <c r="F141" i="21"/>
  <c r="E141" i="21"/>
  <c r="D141" i="21"/>
  <c r="C141" i="21"/>
  <c r="B141" i="21"/>
  <c r="C136" i="36"/>
  <c r="E136" i="36" s="1"/>
  <c r="C125" i="36"/>
  <c r="E125" i="36" s="1"/>
  <c r="C124" i="36"/>
  <c r="E124" i="36" s="1"/>
  <c r="C120" i="36"/>
  <c r="E120" i="36" s="1"/>
  <c r="C119" i="36"/>
  <c r="E119" i="36" s="1"/>
  <c r="K118" i="21"/>
  <c r="J118" i="21"/>
  <c r="I118" i="21"/>
  <c r="H118" i="21"/>
  <c r="G118" i="21"/>
  <c r="F118" i="21"/>
  <c r="E118" i="21"/>
  <c r="D118" i="21"/>
  <c r="C118" i="21"/>
  <c r="B118" i="21"/>
  <c r="K114" i="21"/>
  <c r="J114" i="21"/>
  <c r="I114" i="21"/>
  <c r="H114" i="21"/>
  <c r="G114" i="21"/>
  <c r="F114" i="21"/>
  <c r="E114" i="21"/>
  <c r="D114" i="21"/>
  <c r="C114" i="21"/>
  <c r="B114" i="21"/>
  <c r="K112" i="21"/>
  <c r="J112" i="21"/>
  <c r="I112" i="21"/>
  <c r="H112" i="21"/>
  <c r="G112" i="21"/>
  <c r="F112" i="21"/>
  <c r="E112" i="21"/>
  <c r="D112" i="21"/>
  <c r="C112" i="21"/>
  <c r="B112" i="21"/>
  <c r="C110" i="36"/>
  <c r="E110" i="36" s="1"/>
  <c r="C109" i="36"/>
  <c r="E109" i="36" s="1"/>
  <c r="C108" i="36"/>
  <c r="E108" i="36" s="1"/>
  <c r="K107" i="21"/>
  <c r="J107" i="21"/>
  <c r="I107" i="21"/>
  <c r="H107" i="21"/>
  <c r="G107" i="21"/>
  <c r="F107" i="21"/>
  <c r="E107" i="21"/>
  <c r="D107" i="21"/>
  <c r="C107" i="21"/>
  <c r="B107" i="21"/>
  <c r="K104" i="21"/>
  <c r="J104" i="21"/>
  <c r="I104" i="21"/>
  <c r="H104" i="21"/>
  <c r="G104" i="21"/>
  <c r="F104" i="21"/>
  <c r="E104" i="21"/>
  <c r="D104" i="21"/>
  <c r="C104" i="21"/>
  <c r="B104" i="21"/>
  <c r="C99" i="36"/>
  <c r="E99" i="36" s="1"/>
  <c r="C94" i="36"/>
  <c r="E94" i="36" s="1"/>
  <c r="K93" i="21"/>
  <c r="J93" i="21"/>
  <c r="I93" i="21"/>
  <c r="H93" i="21"/>
  <c r="G93" i="21"/>
  <c r="F93" i="21"/>
  <c r="E93" i="21"/>
  <c r="D93" i="21"/>
  <c r="C93" i="21"/>
  <c r="B93" i="21"/>
  <c r="K90" i="21"/>
  <c r="J90" i="21"/>
  <c r="I90" i="21"/>
  <c r="H90" i="21"/>
  <c r="G90" i="21"/>
  <c r="F90" i="21"/>
  <c r="E90" i="21"/>
  <c r="D90" i="21"/>
  <c r="C90" i="21"/>
  <c r="B90" i="21"/>
  <c r="K89" i="21"/>
  <c r="J89" i="21"/>
  <c r="I89" i="21"/>
  <c r="H89" i="21"/>
  <c r="G89" i="21"/>
  <c r="F89" i="21"/>
  <c r="E89" i="21"/>
  <c r="D89" i="21"/>
  <c r="C89" i="21"/>
  <c r="B89" i="21"/>
  <c r="K88" i="21"/>
  <c r="J88" i="21"/>
  <c r="I88" i="21"/>
  <c r="H88" i="21"/>
  <c r="G88" i="21"/>
  <c r="F88" i="21"/>
  <c r="E88" i="21"/>
  <c r="D88" i="21"/>
  <c r="C88" i="21"/>
  <c r="B88" i="21"/>
  <c r="K81" i="21"/>
  <c r="J81" i="21"/>
  <c r="I81" i="21"/>
  <c r="H81" i="21"/>
  <c r="G81" i="21"/>
  <c r="F81" i="21"/>
  <c r="E81" i="21"/>
  <c r="D81" i="21"/>
  <c r="C81" i="21"/>
  <c r="B81" i="21"/>
  <c r="K77" i="21"/>
  <c r="J77" i="21"/>
  <c r="I77" i="21"/>
  <c r="H77" i="21"/>
  <c r="G77" i="21"/>
  <c r="F77" i="21"/>
  <c r="E77" i="21"/>
  <c r="D77" i="21"/>
  <c r="C77" i="21"/>
  <c r="B77" i="21"/>
  <c r="K76" i="21"/>
  <c r="J76" i="21"/>
  <c r="I76" i="21"/>
  <c r="H76" i="21"/>
  <c r="G76" i="21"/>
  <c r="F76" i="21"/>
  <c r="E76" i="21"/>
  <c r="D76" i="21"/>
  <c r="C76" i="21"/>
  <c r="B76" i="21"/>
  <c r="K75" i="21"/>
  <c r="J75" i="21"/>
  <c r="I75" i="21"/>
  <c r="H75" i="21"/>
  <c r="G75" i="21"/>
  <c r="F75" i="21"/>
  <c r="E75" i="21"/>
  <c r="D75" i="21"/>
  <c r="C75" i="21"/>
  <c r="B75" i="21"/>
  <c r="K74" i="21"/>
  <c r="J74" i="21"/>
  <c r="I74" i="21"/>
  <c r="H74" i="21"/>
  <c r="G74" i="21"/>
  <c r="F74" i="21"/>
  <c r="E74" i="21"/>
  <c r="D74" i="21"/>
  <c r="C74" i="21"/>
  <c r="B74" i="21"/>
  <c r="K73" i="21"/>
  <c r="J73" i="21"/>
  <c r="I73" i="21"/>
  <c r="H73" i="21"/>
  <c r="G73" i="21"/>
  <c r="F73" i="21"/>
  <c r="E73" i="21"/>
  <c r="D73" i="21"/>
  <c r="C73" i="21"/>
  <c r="B73" i="21"/>
  <c r="K72" i="21"/>
  <c r="J72" i="21"/>
  <c r="I72" i="21"/>
  <c r="H72" i="21"/>
  <c r="G72" i="21"/>
  <c r="F72" i="21"/>
  <c r="E72" i="21"/>
  <c r="D72" i="21"/>
  <c r="C72" i="21"/>
  <c r="B72" i="21"/>
  <c r="C70" i="36"/>
  <c r="E70" i="36" s="1"/>
  <c r="C66" i="36"/>
  <c r="E66" i="36" s="1"/>
  <c r="C64" i="36"/>
  <c r="E64" i="36" s="1"/>
  <c r="C62" i="36"/>
  <c r="E62" i="36" s="1"/>
  <c r="C60" i="36"/>
  <c r="E60" i="36" s="1"/>
  <c r="C58" i="36"/>
  <c r="E58" i="36" s="1"/>
  <c r="K56" i="21"/>
  <c r="J56" i="21"/>
  <c r="I56" i="21"/>
  <c r="H56" i="21"/>
  <c r="G56" i="21"/>
  <c r="F56" i="21"/>
  <c r="E56" i="21"/>
  <c r="D56" i="21"/>
  <c r="C56" i="21"/>
  <c r="B56" i="21"/>
  <c r="K53" i="21"/>
  <c r="J53" i="21"/>
  <c r="I53" i="21"/>
  <c r="H53" i="21"/>
  <c r="G53" i="21"/>
  <c r="F53" i="21"/>
  <c r="E53" i="21"/>
  <c r="D53" i="21"/>
  <c r="C53" i="21"/>
  <c r="B53" i="21"/>
  <c r="K50" i="21"/>
  <c r="J50" i="21"/>
  <c r="I50" i="21"/>
  <c r="H50" i="21"/>
  <c r="G50" i="21"/>
  <c r="F50" i="21"/>
  <c r="E50" i="21"/>
  <c r="D50" i="21"/>
  <c r="C50" i="21"/>
  <c r="B50" i="21"/>
  <c r="K48" i="21"/>
  <c r="J48" i="21"/>
  <c r="I48" i="21"/>
  <c r="H48" i="21"/>
  <c r="G48" i="21"/>
  <c r="F48" i="21"/>
  <c r="E48" i="21"/>
  <c r="D48" i="21"/>
  <c r="C48" i="21"/>
  <c r="B48" i="21"/>
  <c r="K47" i="21"/>
  <c r="J47" i="21"/>
  <c r="I47" i="21"/>
  <c r="H47" i="21"/>
  <c r="G47" i="21"/>
  <c r="F47" i="21"/>
  <c r="E47" i="21"/>
  <c r="D47" i="21"/>
  <c r="C47" i="21"/>
  <c r="B47" i="21"/>
  <c r="K46" i="21"/>
  <c r="J46" i="21"/>
  <c r="I46" i="21"/>
  <c r="H46" i="21"/>
  <c r="G46" i="21"/>
  <c r="F46" i="21"/>
  <c r="E46" i="21"/>
  <c r="D46" i="21"/>
  <c r="C46" i="21"/>
  <c r="B46" i="21"/>
  <c r="K45" i="21"/>
  <c r="J45" i="21"/>
  <c r="I45" i="21"/>
  <c r="H45" i="21"/>
  <c r="G45" i="21"/>
  <c r="F45" i="21"/>
  <c r="E45" i="21"/>
  <c r="D45" i="21"/>
  <c r="C45" i="21"/>
  <c r="B45" i="21"/>
  <c r="K44" i="21"/>
  <c r="J44" i="21"/>
  <c r="I44" i="21"/>
  <c r="H44" i="21"/>
  <c r="G44" i="21"/>
  <c r="F44" i="21"/>
  <c r="E44" i="21"/>
  <c r="D44" i="21"/>
  <c r="C44" i="21"/>
  <c r="B44" i="21"/>
  <c r="K43" i="21"/>
  <c r="J43" i="21"/>
  <c r="I43" i="21"/>
  <c r="H43" i="21"/>
  <c r="G43" i="21"/>
  <c r="F43" i="21"/>
  <c r="E43" i="21"/>
  <c r="D43" i="21"/>
  <c r="C43" i="21"/>
  <c r="B43" i="21"/>
  <c r="K42" i="21"/>
  <c r="J42" i="21"/>
  <c r="I42" i="21"/>
  <c r="H42" i="21"/>
  <c r="G42" i="21"/>
  <c r="F42" i="21"/>
  <c r="E42" i="21"/>
  <c r="D42" i="21"/>
  <c r="C42" i="21"/>
  <c r="B42" i="21"/>
  <c r="C37" i="36"/>
  <c r="E37" i="36" s="1"/>
  <c r="K33" i="21"/>
  <c r="J33" i="21"/>
  <c r="I33" i="21"/>
  <c r="H33" i="21"/>
  <c r="G33" i="21"/>
  <c r="F33" i="21"/>
  <c r="E33" i="21"/>
  <c r="D33" i="21"/>
  <c r="C33" i="21"/>
  <c r="B33" i="21"/>
  <c r="K31" i="21"/>
  <c r="J31" i="21"/>
  <c r="I31" i="21"/>
  <c r="H31" i="21"/>
  <c r="G31" i="21"/>
  <c r="F31" i="21"/>
  <c r="E31" i="21"/>
  <c r="D31" i="21"/>
  <c r="C31" i="21"/>
  <c r="B31" i="21"/>
  <c r="K30" i="21"/>
  <c r="J30" i="21"/>
  <c r="I30" i="21"/>
  <c r="H30" i="21"/>
  <c r="G30" i="21"/>
  <c r="F30" i="21"/>
  <c r="E30" i="21"/>
  <c r="D30" i="21"/>
  <c r="C30" i="21"/>
  <c r="B30" i="21"/>
  <c r="K29" i="21"/>
  <c r="J29" i="21"/>
  <c r="I29" i="21"/>
  <c r="H29" i="21"/>
  <c r="G29" i="21"/>
  <c r="F29" i="21"/>
  <c r="E29" i="21"/>
  <c r="D29" i="21"/>
  <c r="C29" i="21"/>
  <c r="B29" i="21"/>
  <c r="K28" i="21"/>
  <c r="J28" i="21"/>
  <c r="I28" i="21"/>
  <c r="H28" i="21"/>
  <c r="G28" i="21"/>
  <c r="F28" i="21"/>
  <c r="E28" i="21"/>
  <c r="D28" i="21"/>
  <c r="C28" i="21"/>
  <c r="B28" i="21"/>
  <c r="K27" i="21"/>
  <c r="J27" i="21"/>
  <c r="I27" i="21"/>
  <c r="H27" i="21"/>
  <c r="G27" i="21"/>
  <c r="F27" i="21"/>
  <c r="E27" i="21"/>
  <c r="D27" i="21"/>
  <c r="C27" i="21"/>
  <c r="B27" i="21"/>
  <c r="K26" i="21"/>
  <c r="J26" i="21"/>
  <c r="I26" i="21"/>
  <c r="H26" i="21"/>
  <c r="G26" i="21"/>
  <c r="F26" i="21"/>
  <c r="E26" i="21"/>
  <c r="D26" i="21"/>
  <c r="C26" i="21"/>
  <c r="B26" i="21"/>
  <c r="K19" i="21"/>
  <c r="J19" i="21"/>
  <c r="I19" i="21"/>
  <c r="H19" i="21"/>
  <c r="G19" i="21"/>
  <c r="F19" i="21"/>
  <c r="E19" i="21"/>
  <c r="D19" i="21"/>
  <c r="C19" i="21"/>
  <c r="B19" i="21"/>
  <c r="K17" i="21"/>
  <c r="J17" i="21"/>
  <c r="I17" i="21"/>
  <c r="H17" i="21"/>
  <c r="G17" i="21"/>
  <c r="F17" i="21"/>
  <c r="E17" i="21"/>
  <c r="D17" i="21"/>
  <c r="C17" i="21"/>
  <c r="B17" i="21"/>
  <c r="K16" i="21"/>
  <c r="J16" i="21"/>
  <c r="I16" i="21"/>
  <c r="H16" i="21"/>
  <c r="G16" i="21"/>
  <c r="F16" i="21"/>
  <c r="E16" i="21"/>
  <c r="D16" i="21"/>
  <c r="C16" i="21"/>
  <c r="B16" i="21"/>
  <c r="K15" i="21"/>
  <c r="J15" i="21"/>
  <c r="I15" i="21"/>
  <c r="H15" i="21"/>
  <c r="G15" i="21"/>
  <c r="F15" i="21"/>
  <c r="E15" i="21"/>
  <c r="D15" i="21"/>
  <c r="C15" i="21"/>
  <c r="B15" i="21"/>
  <c r="K14" i="21"/>
  <c r="J14" i="21"/>
  <c r="I14" i="21"/>
  <c r="H14" i="21"/>
  <c r="G14" i="21"/>
  <c r="F14" i="21"/>
  <c r="E14" i="21"/>
  <c r="D14" i="21"/>
  <c r="C14" i="21"/>
  <c r="B14" i="21"/>
  <c r="K13" i="21"/>
  <c r="J13" i="21"/>
  <c r="I13" i="21"/>
  <c r="H13" i="21"/>
  <c r="G13" i="21"/>
  <c r="F13" i="21"/>
  <c r="E13" i="21"/>
  <c r="D13" i="21"/>
  <c r="C13" i="21"/>
  <c r="B13" i="21"/>
  <c r="K12" i="21"/>
  <c r="J12" i="21"/>
  <c r="I12" i="21"/>
  <c r="H12" i="21"/>
  <c r="G12" i="21"/>
  <c r="F12" i="21"/>
  <c r="E12" i="21"/>
  <c r="D12" i="21"/>
  <c r="C12" i="21"/>
  <c r="B12" i="21"/>
  <c r="C3" i="13"/>
  <c r="C3" i="18"/>
  <c r="C3" i="6"/>
  <c r="M3" i="24" s="1"/>
  <c r="C3" i="17"/>
  <c r="C3" i="8"/>
  <c r="C3" i="14"/>
  <c r="C3" i="25"/>
  <c r="C3" i="31"/>
  <c r="C3" i="32"/>
  <c r="C3" i="33"/>
  <c r="C3" i="16"/>
  <c r="C3" i="12"/>
  <c r="C3" i="9"/>
  <c r="C3" i="7"/>
  <c r="C3" i="11"/>
  <c r="C3" i="5"/>
  <c r="C3" i="15"/>
  <c r="C3" i="20"/>
  <c r="C3" i="19"/>
  <c r="C148" i="4"/>
  <c r="C147" i="4"/>
  <c r="C146" i="4"/>
  <c r="C145" i="4"/>
  <c r="C144" i="4"/>
  <c r="C143" i="4"/>
  <c r="C142" i="4"/>
  <c r="C141" i="4"/>
  <c r="F141" i="4" s="1"/>
  <c r="C140" i="4"/>
  <c r="C140" i="24" s="1"/>
  <c r="C139" i="4"/>
  <c r="C139" i="24" s="1"/>
  <c r="C138" i="4"/>
  <c r="C138" i="24" s="1"/>
  <c r="C137" i="4"/>
  <c r="C137" i="24" s="1"/>
  <c r="C136" i="4"/>
  <c r="C136" i="24" s="1"/>
  <c r="C135" i="4"/>
  <c r="C135" i="24" s="1"/>
  <c r="C134" i="4"/>
  <c r="C134" i="24" s="1"/>
  <c r="C133" i="4"/>
  <c r="C133" i="24" s="1"/>
  <c r="C131" i="4"/>
  <c r="C131" i="24" s="1"/>
  <c r="C130" i="4"/>
  <c r="C130" i="24" s="1"/>
  <c r="C128" i="4"/>
  <c r="C128" i="24" s="1"/>
  <c r="C127" i="4"/>
  <c r="C127" i="24" s="1"/>
  <c r="C126" i="4"/>
  <c r="C126" i="24" s="1"/>
  <c r="C124" i="4"/>
  <c r="C124" i="24" s="1"/>
  <c r="C123" i="4"/>
  <c r="C123" i="24" s="1"/>
  <c r="C122" i="4"/>
  <c r="C122" i="24" s="1"/>
  <c r="C121" i="4"/>
  <c r="C121" i="24" s="1"/>
  <c r="C120" i="4"/>
  <c r="C120" i="24" s="1"/>
  <c r="C119" i="4"/>
  <c r="C119" i="24" s="1"/>
  <c r="C118" i="4"/>
  <c r="C116" i="4"/>
  <c r="C116" i="24" s="1"/>
  <c r="C115" i="4"/>
  <c r="C115" i="24" s="1"/>
  <c r="C114" i="4"/>
  <c r="C112" i="4"/>
  <c r="C111" i="4"/>
  <c r="C111" i="24" s="1"/>
  <c r="C108" i="4"/>
  <c r="C108" i="24" s="1"/>
  <c r="C107" i="24"/>
  <c r="C104" i="4"/>
  <c r="C103" i="4"/>
  <c r="C103" i="24" s="1"/>
  <c r="C100" i="4"/>
  <c r="C100" i="24" s="1"/>
  <c r="C99" i="4"/>
  <c r="C99" i="24" s="1"/>
  <c r="C98" i="4"/>
  <c r="C98" i="24" s="1"/>
  <c r="C97" i="4"/>
  <c r="C97" i="24" s="1"/>
  <c r="C96" i="4"/>
  <c r="C96" i="24" s="1"/>
  <c r="C96" i="29" s="1"/>
  <c r="C95" i="4"/>
  <c r="C95" i="24" s="1"/>
  <c r="C95" i="29" s="1"/>
  <c r="C94" i="4"/>
  <c r="C94" i="24" s="1"/>
  <c r="C93" i="4"/>
  <c r="C90" i="4"/>
  <c r="C89" i="4"/>
  <c r="C88" i="4"/>
  <c r="C87" i="4"/>
  <c r="C86" i="4"/>
  <c r="C85" i="4"/>
  <c r="C84" i="4"/>
  <c r="C83" i="4"/>
  <c r="C82" i="4"/>
  <c r="C81" i="2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2" i="4"/>
  <c r="C61" i="4"/>
  <c r="C60" i="4"/>
  <c r="C59" i="4"/>
  <c r="C58" i="4"/>
  <c r="C57" i="4"/>
  <c r="C56" i="4"/>
  <c r="C54" i="24"/>
  <c r="C53" i="4"/>
  <c r="C51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7" i="4"/>
  <c r="C16" i="4"/>
  <c r="C15" i="4"/>
  <c r="C14" i="4"/>
  <c r="C13" i="4"/>
  <c r="C12" i="4"/>
  <c r="C11" i="4"/>
  <c r="C10" i="4"/>
  <c r="C9" i="4"/>
  <c r="C8" i="24"/>
  <c r="C7" i="4"/>
  <c r="C6" i="4"/>
  <c r="C5" i="4"/>
  <c r="C4" i="4"/>
  <c r="C148" i="19"/>
  <c r="J148" i="24" s="1"/>
  <c r="J148" i="29" s="1"/>
  <c r="C147" i="19"/>
  <c r="J147" i="24" s="1"/>
  <c r="C146" i="19"/>
  <c r="J146" i="24" s="1"/>
  <c r="J146" i="29" s="1"/>
  <c r="C145" i="19"/>
  <c r="J145" i="24" s="1"/>
  <c r="J145" i="29" s="1"/>
  <c r="C144" i="19"/>
  <c r="J144" i="24" s="1"/>
  <c r="J144" i="29" s="1"/>
  <c r="C143" i="19"/>
  <c r="J143" i="24" s="1"/>
  <c r="C142" i="19"/>
  <c r="J142" i="24" s="1"/>
  <c r="J142" i="29" s="1"/>
  <c r="C141" i="19"/>
  <c r="J141" i="24" s="1"/>
  <c r="J141" i="29" s="1"/>
  <c r="C140" i="19"/>
  <c r="F140" i="19" s="1"/>
  <c r="C139" i="19"/>
  <c r="F139" i="19" s="1"/>
  <c r="C138" i="19"/>
  <c r="F138" i="19" s="1"/>
  <c r="C137" i="19"/>
  <c r="F137" i="19" s="1"/>
  <c r="C136" i="19"/>
  <c r="F136" i="19" s="1"/>
  <c r="C135" i="19"/>
  <c r="F135" i="19" s="1"/>
  <c r="C134" i="19"/>
  <c r="F134" i="19" s="1"/>
  <c r="C133" i="19"/>
  <c r="F133" i="19" s="1"/>
  <c r="C132" i="19"/>
  <c r="F132" i="19" s="1"/>
  <c r="C131" i="19"/>
  <c r="F131" i="19" s="1"/>
  <c r="C130" i="19"/>
  <c r="F130" i="19" s="1"/>
  <c r="C129" i="19"/>
  <c r="C128" i="19"/>
  <c r="C127" i="19"/>
  <c r="C126" i="19"/>
  <c r="C125" i="19"/>
  <c r="C124" i="19"/>
  <c r="C123" i="19"/>
  <c r="C122" i="19"/>
  <c r="C121" i="19"/>
  <c r="C120" i="19"/>
  <c r="C119" i="19"/>
  <c r="C118" i="19"/>
  <c r="J118" i="24" s="1"/>
  <c r="J118" i="29" s="1"/>
  <c r="C116" i="19"/>
  <c r="C115" i="19"/>
  <c r="C114" i="19"/>
  <c r="J114" i="24" s="1"/>
  <c r="J114" i="29" s="1"/>
  <c r="C112" i="19"/>
  <c r="J112" i="24" s="1"/>
  <c r="J112" i="29" s="1"/>
  <c r="C111" i="19"/>
  <c r="C110" i="19"/>
  <c r="C109" i="19"/>
  <c r="C108" i="19"/>
  <c r="C107" i="19"/>
  <c r="J107" i="24" s="1"/>
  <c r="J107" i="29" s="1"/>
  <c r="C104" i="19"/>
  <c r="J104" i="24" s="1"/>
  <c r="J104" i="29" s="1"/>
  <c r="C103" i="19"/>
  <c r="J103" i="24" s="1"/>
  <c r="C102" i="19"/>
  <c r="J102" i="24" s="1"/>
  <c r="J102" i="29" s="1"/>
  <c r="C101" i="19"/>
  <c r="J101" i="24" s="1"/>
  <c r="J101" i="29" s="1"/>
  <c r="C100" i="19"/>
  <c r="J100" i="24" s="1"/>
  <c r="J100" i="29" s="1"/>
  <c r="C99" i="19"/>
  <c r="J99" i="24" s="1"/>
  <c r="J99" i="29" s="1"/>
  <c r="C98" i="19"/>
  <c r="J98" i="24" s="1"/>
  <c r="J98" i="29" s="1"/>
  <c r="C97" i="19"/>
  <c r="J97" i="24" s="1"/>
  <c r="J97" i="29" s="1"/>
  <c r="C96" i="19"/>
  <c r="J96" i="24" s="1"/>
  <c r="J96" i="29" s="1"/>
  <c r="C95" i="19"/>
  <c r="J95" i="24" s="1"/>
  <c r="J95" i="29" s="1"/>
  <c r="C94" i="19"/>
  <c r="J94" i="24" s="1"/>
  <c r="J94" i="29" s="1"/>
  <c r="C93" i="19"/>
  <c r="J93" i="24" s="1"/>
  <c r="J93" i="29" s="1"/>
  <c r="C90" i="19"/>
  <c r="J90" i="24" s="1"/>
  <c r="J90" i="29" s="1"/>
  <c r="C89" i="19"/>
  <c r="J89" i="24" s="1"/>
  <c r="J89" i="29" s="1"/>
  <c r="C88" i="19"/>
  <c r="J88" i="24" s="1"/>
  <c r="J88" i="29" s="1"/>
  <c r="C87" i="19"/>
  <c r="J87" i="24" s="1"/>
  <c r="J87" i="29" s="1"/>
  <c r="C86" i="19"/>
  <c r="J86" i="24" s="1"/>
  <c r="J86" i="29" s="1"/>
  <c r="C85" i="19"/>
  <c r="J85" i="24" s="1"/>
  <c r="J85" i="29" s="1"/>
  <c r="C84" i="19"/>
  <c r="J84" i="24" s="1"/>
  <c r="J84" i="29" s="1"/>
  <c r="C83" i="19"/>
  <c r="J83" i="24" s="1"/>
  <c r="J83" i="29" s="1"/>
  <c r="C82" i="19"/>
  <c r="J82" i="24" s="1"/>
  <c r="J82" i="29" s="1"/>
  <c r="C81" i="19"/>
  <c r="J81" i="24" s="1"/>
  <c r="J81" i="29" s="1"/>
  <c r="C77" i="19"/>
  <c r="J77" i="24" s="1"/>
  <c r="J77" i="29" s="1"/>
  <c r="C76" i="19"/>
  <c r="J76" i="24" s="1"/>
  <c r="J76" i="29" s="1"/>
  <c r="C75" i="19"/>
  <c r="J75" i="24" s="1"/>
  <c r="J75" i="29" s="1"/>
  <c r="C74" i="19"/>
  <c r="J74" i="24" s="1"/>
  <c r="J74" i="29" s="1"/>
  <c r="C73" i="19"/>
  <c r="J73" i="24" s="1"/>
  <c r="J73" i="29" s="1"/>
  <c r="C72" i="19"/>
  <c r="J72" i="24" s="1"/>
  <c r="J72" i="29" s="1"/>
  <c r="C71" i="19"/>
  <c r="J71" i="24" s="1"/>
  <c r="J71" i="29" s="1"/>
  <c r="C70" i="19"/>
  <c r="J70" i="24" s="1"/>
  <c r="J70" i="29" s="1"/>
  <c r="C69" i="19"/>
  <c r="J69" i="24" s="1"/>
  <c r="J69" i="29" s="1"/>
  <c r="C68" i="19"/>
  <c r="J68" i="24" s="1"/>
  <c r="J68" i="29" s="1"/>
  <c r="C67" i="19"/>
  <c r="J67" i="24" s="1"/>
  <c r="J67" i="29" s="1"/>
  <c r="C66" i="19"/>
  <c r="J66" i="24" s="1"/>
  <c r="C65" i="19"/>
  <c r="J65" i="24" s="1"/>
  <c r="J65" i="29" s="1"/>
  <c r="C64" i="19"/>
  <c r="J64" i="24" s="1"/>
  <c r="J64" i="29" s="1"/>
  <c r="C63" i="19"/>
  <c r="J63" i="24" s="1"/>
  <c r="J63" i="29" s="1"/>
  <c r="C62" i="19"/>
  <c r="J62" i="24" s="1"/>
  <c r="J62" i="29" s="1"/>
  <c r="C61" i="19"/>
  <c r="J61" i="24" s="1"/>
  <c r="J61" i="29" s="1"/>
  <c r="C60" i="19"/>
  <c r="J60" i="24" s="1"/>
  <c r="J60" i="29" s="1"/>
  <c r="C59" i="19"/>
  <c r="J59" i="24" s="1"/>
  <c r="J59" i="29" s="1"/>
  <c r="C58" i="19"/>
  <c r="J58" i="24" s="1"/>
  <c r="J58" i="29" s="1"/>
  <c r="C57" i="19"/>
  <c r="J57" i="24" s="1"/>
  <c r="J57" i="29" s="1"/>
  <c r="C56" i="19"/>
  <c r="J56" i="24" s="1"/>
  <c r="J56" i="29" s="1"/>
  <c r="C54" i="19"/>
  <c r="J54" i="24" s="1"/>
  <c r="J54" i="29" s="1"/>
  <c r="C53" i="19"/>
  <c r="J53" i="24" s="1"/>
  <c r="C51" i="19"/>
  <c r="J51" i="24" s="1"/>
  <c r="J51" i="29" s="1"/>
  <c r="C50" i="19"/>
  <c r="J50" i="24" s="1"/>
  <c r="J50" i="29" s="1"/>
  <c r="C48" i="19"/>
  <c r="J48" i="24" s="1"/>
  <c r="J48" i="29" s="1"/>
  <c r="C47" i="19"/>
  <c r="J47" i="24" s="1"/>
  <c r="J47" i="29" s="1"/>
  <c r="C46" i="19"/>
  <c r="J46" i="24" s="1"/>
  <c r="J46" i="29" s="1"/>
  <c r="C45" i="19"/>
  <c r="J45" i="24" s="1"/>
  <c r="J45" i="29" s="1"/>
  <c r="C44" i="19"/>
  <c r="J44" i="24" s="1"/>
  <c r="J44" i="29" s="1"/>
  <c r="C43" i="19"/>
  <c r="J43" i="24" s="1"/>
  <c r="J43" i="29" s="1"/>
  <c r="C42" i="19"/>
  <c r="J42" i="24" s="1"/>
  <c r="J42" i="29" s="1"/>
  <c r="C41" i="19"/>
  <c r="J41" i="24" s="1"/>
  <c r="J41" i="29" s="1"/>
  <c r="C40" i="19"/>
  <c r="J40" i="24" s="1"/>
  <c r="J40" i="29" s="1"/>
  <c r="C39" i="19"/>
  <c r="J39" i="24" s="1"/>
  <c r="J39" i="29" s="1"/>
  <c r="C38" i="19"/>
  <c r="J38" i="24" s="1"/>
  <c r="J38" i="29" s="1"/>
  <c r="C37" i="19"/>
  <c r="J37" i="24" s="1"/>
  <c r="J37" i="29" s="1"/>
  <c r="C36" i="19"/>
  <c r="J36" i="24" s="1"/>
  <c r="J36" i="29" s="1"/>
  <c r="C35" i="19"/>
  <c r="J35" i="24" s="1"/>
  <c r="C34" i="19"/>
  <c r="J34" i="24" s="1"/>
  <c r="J34" i="29" s="1"/>
  <c r="C33" i="19"/>
  <c r="J33" i="24" s="1"/>
  <c r="J33" i="29" s="1"/>
  <c r="C31" i="19"/>
  <c r="J31" i="24" s="1"/>
  <c r="J31" i="29" s="1"/>
  <c r="C30" i="19"/>
  <c r="J30" i="24" s="1"/>
  <c r="J30" i="29" s="1"/>
  <c r="C29" i="19"/>
  <c r="J29" i="24" s="1"/>
  <c r="J29" i="29" s="1"/>
  <c r="C28" i="19"/>
  <c r="J28" i="24" s="1"/>
  <c r="J28" i="29" s="1"/>
  <c r="C27" i="19"/>
  <c r="J27" i="24" s="1"/>
  <c r="J27" i="29" s="1"/>
  <c r="C26" i="19"/>
  <c r="J26" i="24" s="1"/>
  <c r="J26" i="29" s="1"/>
  <c r="C25" i="19"/>
  <c r="J25" i="24" s="1"/>
  <c r="J25" i="29" s="1"/>
  <c r="C24" i="19"/>
  <c r="J24" i="24" s="1"/>
  <c r="J24" i="29" s="1"/>
  <c r="C23" i="19"/>
  <c r="J23" i="24" s="1"/>
  <c r="J23" i="29" s="1"/>
  <c r="C22" i="19"/>
  <c r="J22" i="24" s="1"/>
  <c r="J22" i="29" s="1"/>
  <c r="C21" i="19"/>
  <c r="J21" i="24" s="1"/>
  <c r="J21" i="29" s="1"/>
  <c r="C20" i="19"/>
  <c r="J20" i="24" s="1"/>
  <c r="J20" i="29" s="1"/>
  <c r="C19" i="19"/>
  <c r="J19" i="24" s="1"/>
  <c r="J19" i="29" s="1"/>
  <c r="C17" i="19"/>
  <c r="J17" i="24" s="1"/>
  <c r="J17" i="29" s="1"/>
  <c r="C16" i="19"/>
  <c r="J16" i="24" s="1"/>
  <c r="J16" i="29" s="1"/>
  <c r="C15" i="19"/>
  <c r="J15" i="24" s="1"/>
  <c r="J15" i="29" s="1"/>
  <c r="C14" i="19"/>
  <c r="J14" i="24" s="1"/>
  <c r="J14" i="29" s="1"/>
  <c r="C13" i="19"/>
  <c r="J13" i="24" s="1"/>
  <c r="J13" i="29" s="1"/>
  <c r="C12" i="19"/>
  <c r="J12" i="24" s="1"/>
  <c r="J12" i="29" s="1"/>
  <c r="C11" i="19"/>
  <c r="J11" i="24" s="1"/>
  <c r="J11" i="29" s="1"/>
  <c r="C10" i="19"/>
  <c r="J10" i="24" s="1"/>
  <c r="J10" i="29" s="1"/>
  <c r="C9" i="19"/>
  <c r="J9" i="24" s="1"/>
  <c r="J9" i="29" s="1"/>
  <c r="C8" i="19"/>
  <c r="J8" i="24" s="1"/>
  <c r="J8" i="29" s="1"/>
  <c r="C7" i="19"/>
  <c r="J7" i="24" s="1"/>
  <c r="J7" i="29" s="1"/>
  <c r="C6" i="19"/>
  <c r="J6" i="24" s="1"/>
  <c r="J6" i="29" s="1"/>
  <c r="C5" i="19"/>
  <c r="J5" i="24" s="1"/>
  <c r="J5" i="29" s="1"/>
  <c r="C4" i="19"/>
  <c r="J4" i="24" s="1"/>
  <c r="J4" i="29" s="1"/>
  <c r="C148" i="20"/>
  <c r="K148" i="24" s="1"/>
  <c r="K148" i="29" s="1"/>
  <c r="C147" i="20"/>
  <c r="K147" i="24" s="1"/>
  <c r="K147" i="29" s="1"/>
  <c r="C146" i="20"/>
  <c r="K146" i="24" s="1"/>
  <c r="K146" i="29" s="1"/>
  <c r="C145" i="20"/>
  <c r="K145" i="24" s="1"/>
  <c r="K145" i="29" s="1"/>
  <c r="C144" i="20"/>
  <c r="K144" i="24" s="1"/>
  <c r="K144" i="29" s="1"/>
  <c r="C143" i="20"/>
  <c r="K143" i="24" s="1"/>
  <c r="K143" i="29" s="1"/>
  <c r="C142" i="20"/>
  <c r="K142" i="24" s="1"/>
  <c r="C141" i="20"/>
  <c r="K141" i="24" s="1"/>
  <c r="K141" i="29" s="1"/>
  <c r="C140" i="20"/>
  <c r="F140" i="20" s="1"/>
  <c r="C139" i="20"/>
  <c r="F139" i="20" s="1"/>
  <c r="C138" i="20"/>
  <c r="C137" i="20"/>
  <c r="F137" i="20" s="1"/>
  <c r="C136" i="20"/>
  <c r="F136" i="20" s="1"/>
  <c r="C135" i="20"/>
  <c r="F135" i="20" s="1"/>
  <c r="C134" i="20"/>
  <c r="F134" i="20" s="1"/>
  <c r="C133" i="20"/>
  <c r="F133" i="20" s="1"/>
  <c r="C132" i="20"/>
  <c r="F132" i="20" s="1"/>
  <c r="C131" i="20"/>
  <c r="F131" i="20" s="1"/>
  <c r="C130" i="20"/>
  <c r="F130" i="20" s="1"/>
  <c r="C129" i="20"/>
  <c r="F129" i="20" s="1"/>
  <c r="C128" i="20"/>
  <c r="C127" i="20"/>
  <c r="C126" i="20"/>
  <c r="C125" i="20"/>
  <c r="C124" i="20"/>
  <c r="C123" i="20"/>
  <c r="C122" i="20"/>
  <c r="K122" i="24" s="1"/>
  <c r="C121" i="20"/>
  <c r="C120" i="20"/>
  <c r="C119" i="20"/>
  <c r="C118" i="20"/>
  <c r="K118" i="24" s="1"/>
  <c r="K118" i="29" s="1"/>
  <c r="C116" i="20"/>
  <c r="C115" i="20"/>
  <c r="C114" i="20"/>
  <c r="K114" i="24" s="1"/>
  <c r="K114" i="29" s="1"/>
  <c r="C112" i="20"/>
  <c r="K112" i="24" s="1"/>
  <c r="K112" i="29" s="1"/>
  <c r="C111" i="20"/>
  <c r="C110" i="20"/>
  <c r="C109" i="20"/>
  <c r="C108" i="20"/>
  <c r="C107" i="20"/>
  <c r="K107" i="24" s="1"/>
  <c r="K107" i="29" s="1"/>
  <c r="C104" i="20"/>
  <c r="K104" i="24" s="1"/>
  <c r="K104" i="29" s="1"/>
  <c r="C103" i="20"/>
  <c r="K103" i="24" s="1"/>
  <c r="K103" i="29" s="1"/>
  <c r="C102" i="20"/>
  <c r="K102" i="24" s="1"/>
  <c r="K102" i="29" s="1"/>
  <c r="C101" i="20"/>
  <c r="K101" i="24" s="1"/>
  <c r="K101" i="29" s="1"/>
  <c r="C100" i="20"/>
  <c r="K100" i="24" s="1"/>
  <c r="K100" i="29" s="1"/>
  <c r="C99" i="20"/>
  <c r="K99" i="24" s="1"/>
  <c r="K99" i="29" s="1"/>
  <c r="C98" i="20"/>
  <c r="K98" i="24" s="1"/>
  <c r="K98" i="29" s="1"/>
  <c r="C97" i="20"/>
  <c r="K97" i="24" s="1"/>
  <c r="K97" i="29" s="1"/>
  <c r="C96" i="20"/>
  <c r="K96" i="24" s="1"/>
  <c r="K96" i="29" s="1"/>
  <c r="C95" i="20"/>
  <c r="K95" i="24" s="1"/>
  <c r="K95" i="29" s="1"/>
  <c r="C94" i="20"/>
  <c r="K94" i="24" s="1"/>
  <c r="C93" i="20"/>
  <c r="K93" i="24" s="1"/>
  <c r="K93" i="29" s="1"/>
  <c r="C90" i="20"/>
  <c r="K90" i="24" s="1"/>
  <c r="K90" i="29" s="1"/>
  <c r="C89" i="20"/>
  <c r="K89" i="24" s="1"/>
  <c r="K89" i="29" s="1"/>
  <c r="C88" i="20"/>
  <c r="K88" i="24" s="1"/>
  <c r="K88" i="29" s="1"/>
  <c r="C87" i="20"/>
  <c r="K87" i="24" s="1"/>
  <c r="K87" i="29" s="1"/>
  <c r="C86" i="20"/>
  <c r="K86" i="24" s="1"/>
  <c r="K86" i="29" s="1"/>
  <c r="C85" i="20"/>
  <c r="K85" i="24" s="1"/>
  <c r="K85" i="29" s="1"/>
  <c r="C84" i="20"/>
  <c r="K84" i="24" s="1"/>
  <c r="K84" i="29" s="1"/>
  <c r="C83" i="20"/>
  <c r="K83" i="24" s="1"/>
  <c r="K83" i="29" s="1"/>
  <c r="C82" i="20"/>
  <c r="K82" i="24" s="1"/>
  <c r="K82" i="29" s="1"/>
  <c r="C81" i="20"/>
  <c r="K81" i="24" s="1"/>
  <c r="K81" i="29" s="1"/>
  <c r="C77" i="20"/>
  <c r="K77" i="24" s="1"/>
  <c r="K77" i="29" s="1"/>
  <c r="C76" i="20"/>
  <c r="K76" i="24" s="1"/>
  <c r="K76" i="29" s="1"/>
  <c r="C75" i="20"/>
  <c r="K75" i="24" s="1"/>
  <c r="C74" i="20"/>
  <c r="K74" i="24" s="1"/>
  <c r="K74" i="29" s="1"/>
  <c r="C73" i="20"/>
  <c r="K73" i="24" s="1"/>
  <c r="K73" i="29" s="1"/>
  <c r="C72" i="20"/>
  <c r="K72" i="24" s="1"/>
  <c r="K72" i="29" s="1"/>
  <c r="C71" i="20"/>
  <c r="K71" i="24" s="1"/>
  <c r="K71" i="29" s="1"/>
  <c r="C70" i="20"/>
  <c r="K70" i="24" s="1"/>
  <c r="K70" i="29" s="1"/>
  <c r="C69" i="20"/>
  <c r="K69" i="24" s="1"/>
  <c r="K69" i="29" s="1"/>
  <c r="C68" i="20"/>
  <c r="K68" i="24" s="1"/>
  <c r="K68" i="29" s="1"/>
  <c r="C67" i="20"/>
  <c r="K67" i="24" s="1"/>
  <c r="K67" i="29" s="1"/>
  <c r="C66" i="20"/>
  <c r="K66" i="24" s="1"/>
  <c r="K66" i="29" s="1"/>
  <c r="C65" i="20"/>
  <c r="K65" i="24" s="1"/>
  <c r="C64" i="20"/>
  <c r="K64" i="24" s="1"/>
  <c r="K64" i="29" s="1"/>
  <c r="C63" i="20"/>
  <c r="K63" i="24" s="1"/>
  <c r="K63" i="29" s="1"/>
  <c r="C62" i="20"/>
  <c r="K62" i="24" s="1"/>
  <c r="K62" i="29" s="1"/>
  <c r="C61" i="20"/>
  <c r="K61" i="24" s="1"/>
  <c r="K61" i="29" s="1"/>
  <c r="C60" i="20"/>
  <c r="K60" i="24" s="1"/>
  <c r="K60" i="29" s="1"/>
  <c r="C59" i="20"/>
  <c r="K59" i="24" s="1"/>
  <c r="K59" i="29" s="1"/>
  <c r="C58" i="20"/>
  <c r="K58" i="24" s="1"/>
  <c r="K58" i="29" s="1"/>
  <c r="C57" i="20"/>
  <c r="K57" i="24" s="1"/>
  <c r="C56" i="20"/>
  <c r="K56" i="24" s="1"/>
  <c r="K56" i="29" s="1"/>
  <c r="C54" i="20"/>
  <c r="K54" i="24" s="1"/>
  <c r="K54" i="29" s="1"/>
  <c r="C53" i="20"/>
  <c r="K53" i="24" s="1"/>
  <c r="K53" i="29" s="1"/>
  <c r="C51" i="20"/>
  <c r="K51" i="24" s="1"/>
  <c r="K51" i="29" s="1"/>
  <c r="C50" i="20"/>
  <c r="K50" i="24" s="1"/>
  <c r="K50" i="29" s="1"/>
  <c r="C48" i="20"/>
  <c r="K48" i="24" s="1"/>
  <c r="K48" i="29" s="1"/>
  <c r="C47" i="20"/>
  <c r="K47" i="24" s="1"/>
  <c r="K47" i="29" s="1"/>
  <c r="C46" i="20"/>
  <c r="K46" i="24" s="1"/>
  <c r="K46" i="29" s="1"/>
  <c r="C45" i="20"/>
  <c r="K45" i="24" s="1"/>
  <c r="K45" i="29" s="1"/>
  <c r="C44" i="20"/>
  <c r="K44" i="24" s="1"/>
  <c r="K44" i="29" s="1"/>
  <c r="C43" i="20"/>
  <c r="K43" i="24" s="1"/>
  <c r="K43" i="29" s="1"/>
  <c r="C42" i="20"/>
  <c r="K42" i="24" s="1"/>
  <c r="C41" i="20"/>
  <c r="K41" i="24" s="1"/>
  <c r="K41" i="29" s="1"/>
  <c r="C40" i="20"/>
  <c r="K40" i="24" s="1"/>
  <c r="K40" i="29" s="1"/>
  <c r="C39" i="20"/>
  <c r="K39" i="24" s="1"/>
  <c r="K39" i="29" s="1"/>
  <c r="C38" i="20"/>
  <c r="K38" i="24" s="1"/>
  <c r="C37" i="20"/>
  <c r="K37" i="24" s="1"/>
  <c r="K37" i="29" s="1"/>
  <c r="C36" i="20"/>
  <c r="K36" i="24" s="1"/>
  <c r="K36" i="29" s="1"/>
  <c r="C35" i="20"/>
  <c r="K35" i="24" s="1"/>
  <c r="K35" i="29" s="1"/>
  <c r="C34" i="20"/>
  <c r="K34" i="24" s="1"/>
  <c r="K34" i="29" s="1"/>
  <c r="C33" i="20"/>
  <c r="K33" i="24" s="1"/>
  <c r="K33" i="29" s="1"/>
  <c r="C31" i="20"/>
  <c r="K31" i="24" s="1"/>
  <c r="K31" i="29" s="1"/>
  <c r="C30" i="20"/>
  <c r="K30" i="24" s="1"/>
  <c r="K30" i="29" s="1"/>
  <c r="C29" i="20"/>
  <c r="K29" i="24" s="1"/>
  <c r="K29" i="29" s="1"/>
  <c r="C28" i="20"/>
  <c r="K28" i="24" s="1"/>
  <c r="K28" i="29" s="1"/>
  <c r="C27" i="20"/>
  <c r="K27" i="24" s="1"/>
  <c r="K27" i="29" s="1"/>
  <c r="C26" i="20"/>
  <c r="K26" i="24" s="1"/>
  <c r="K26" i="29" s="1"/>
  <c r="C25" i="20"/>
  <c r="K25" i="24" s="1"/>
  <c r="C24" i="20"/>
  <c r="K24" i="24" s="1"/>
  <c r="K24" i="29" s="1"/>
  <c r="C23" i="20"/>
  <c r="K23" i="24" s="1"/>
  <c r="K23" i="29" s="1"/>
  <c r="C22" i="20"/>
  <c r="K22" i="24" s="1"/>
  <c r="K22" i="29" s="1"/>
  <c r="C21" i="20"/>
  <c r="K21" i="24" s="1"/>
  <c r="K21" i="29" s="1"/>
  <c r="C20" i="20"/>
  <c r="K20" i="24" s="1"/>
  <c r="K20" i="29" s="1"/>
  <c r="C19" i="20"/>
  <c r="K19" i="24" s="1"/>
  <c r="K19" i="29" s="1"/>
  <c r="C17" i="20"/>
  <c r="K17" i="24" s="1"/>
  <c r="K17" i="29" s="1"/>
  <c r="C16" i="20"/>
  <c r="K16" i="24" s="1"/>
  <c r="K16" i="29" s="1"/>
  <c r="C15" i="20"/>
  <c r="K15" i="24" s="1"/>
  <c r="C14" i="20"/>
  <c r="K14" i="24" s="1"/>
  <c r="K14" i="29" s="1"/>
  <c r="C13" i="20"/>
  <c r="K13" i="24" s="1"/>
  <c r="K13" i="29" s="1"/>
  <c r="C12" i="20"/>
  <c r="K12" i="24" s="1"/>
  <c r="K12" i="29" s="1"/>
  <c r="C11" i="20"/>
  <c r="K11" i="24" s="1"/>
  <c r="K11" i="29" s="1"/>
  <c r="C10" i="20"/>
  <c r="K10" i="24" s="1"/>
  <c r="K10" i="29" s="1"/>
  <c r="C9" i="20"/>
  <c r="K9" i="24" s="1"/>
  <c r="K9" i="29" s="1"/>
  <c r="C8" i="20"/>
  <c r="K8" i="24" s="1"/>
  <c r="K8" i="29" s="1"/>
  <c r="C7" i="20"/>
  <c r="K7" i="24" s="1"/>
  <c r="K7" i="29" s="1"/>
  <c r="C6" i="20"/>
  <c r="K6" i="24" s="1"/>
  <c r="K6" i="29" s="1"/>
  <c r="C5" i="20"/>
  <c r="K5" i="24" s="1"/>
  <c r="K5" i="29" s="1"/>
  <c r="C4" i="20"/>
  <c r="K4" i="24" s="1"/>
  <c r="K4" i="29" s="1"/>
  <c r="C148" i="12"/>
  <c r="F148" i="24" s="1"/>
  <c r="F148" i="29" s="1"/>
  <c r="C147" i="12"/>
  <c r="F147" i="24" s="1"/>
  <c r="C146" i="12"/>
  <c r="F146" i="24" s="1"/>
  <c r="F146" i="29" s="1"/>
  <c r="C145" i="12"/>
  <c r="F145" i="24" s="1"/>
  <c r="C144" i="12"/>
  <c r="F144" i="24" s="1"/>
  <c r="F144" i="29" s="1"/>
  <c r="C143" i="12"/>
  <c r="F143" i="24" s="1"/>
  <c r="C142" i="12"/>
  <c r="F142" i="24" s="1"/>
  <c r="F142" i="29" s="1"/>
  <c r="C141" i="12"/>
  <c r="C140" i="12"/>
  <c r="F140" i="12" s="1"/>
  <c r="C139" i="12"/>
  <c r="F139" i="12" s="1"/>
  <c r="C138" i="12"/>
  <c r="F138" i="12" s="1"/>
  <c r="C137" i="12"/>
  <c r="F137" i="12" s="1"/>
  <c r="C136" i="12"/>
  <c r="F136" i="12" s="1"/>
  <c r="C135" i="12"/>
  <c r="F135" i="12" s="1"/>
  <c r="C134" i="12"/>
  <c r="C133" i="12"/>
  <c r="F133" i="12" s="1"/>
  <c r="C132" i="12"/>
  <c r="F132" i="12" s="1"/>
  <c r="C131" i="12"/>
  <c r="F131" i="12" s="1"/>
  <c r="C130" i="12"/>
  <c r="F130" i="12" s="1"/>
  <c r="C129" i="12"/>
  <c r="C128" i="12"/>
  <c r="C127" i="12"/>
  <c r="C126" i="12"/>
  <c r="C125" i="12"/>
  <c r="C124" i="12"/>
  <c r="C123" i="12"/>
  <c r="C122" i="12"/>
  <c r="C121" i="12"/>
  <c r="C120" i="12"/>
  <c r="C119" i="12"/>
  <c r="C118" i="12"/>
  <c r="F118" i="24" s="1"/>
  <c r="F118" i="29" s="1"/>
  <c r="C116" i="12"/>
  <c r="C115" i="12"/>
  <c r="C114" i="12"/>
  <c r="F114" i="24" s="1"/>
  <c r="C112" i="12"/>
  <c r="F112" i="24" s="1"/>
  <c r="F112" i="29" s="1"/>
  <c r="C111" i="12"/>
  <c r="C110" i="12"/>
  <c r="C109" i="12"/>
  <c r="C108" i="12"/>
  <c r="C107" i="12"/>
  <c r="F107" i="24" s="1"/>
  <c r="C104" i="12"/>
  <c r="F104" i="24" s="1"/>
  <c r="F104" i="29" s="1"/>
  <c r="C103" i="12"/>
  <c r="F103" i="24" s="1"/>
  <c r="C102" i="12"/>
  <c r="F102" i="24" s="1"/>
  <c r="F102" i="29" s="1"/>
  <c r="C101" i="12"/>
  <c r="F101" i="24" s="1"/>
  <c r="C100" i="12"/>
  <c r="F100" i="24" s="1"/>
  <c r="F100" i="29" s="1"/>
  <c r="C99" i="12"/>
  <c r="F99" i="24" s="1"/>
  <c r="C98" i="12"/>
  <c r="F98" i="24" s="1"/>
  <c r="F98" i="29" s="1"/>
  <c r="C97" i="12"/>
  <c r="F97" i="24" s="1"/>
  <c r="C96" i="12"/>
  <c r="F96" i="24" s="1"/>
  <c r="F96" i="29" s="1"/>
  <c r="C95" i="12"/>
  <c r="F95" i="24" s="1"/>
  <c r="C94" i="12"/>
  <c r="F94" i="24" s="1"/>
  <c r="F94" i="29" s="1"/>
  <c r="C93" i="12"/>
  <c r="F93" i="24" s="1"/>
  <c r="C90" i="12"/>
  <c r="F90" i="24" s="1"/>
  <c r="F90" i="29" s="1"/>
  <c r="C89" i="12"/>
  <c r="F89" i="24" s="1"/>
  <c r="C88" i="12"/>
  <c r="F88" i="24" s="1"/>
  <c r="F88" i="29" s="1"/>
  <c r="C87" i="12"/>
  <c r="F87" i="24" s="1"/>
  <c r="C86" i="12"/>
  <c r="F86" i="24" s="1"/>
  <c r="F86" i="29" s="1"/>
  <c r="C85" i="12"/>
  <c r="F85" i="24" s="1"/>
  <c r="C84" i="12"/>
  <c r="F84" i="24" s="1"/>
  <c r="F84" i="29" s="1"/>
  <c r="C83" i="12"/>
  <c r="F83" i="24" s="1"/>
  <c r="C82" i="12"/>
  <c r="F82" i="24" s="1"/>
  <c r="F82" i="29" s="1"/>
  <c r="C81" i="12"/>
  <c r="F81" i="24" s="1"/>
  <c r="C77" i="12"/>
  <c r="F77" i="24" s="1"/>
  <c r="F77" i="29" s="1"/>
  <c r="C76" i="12"/>
  <c r="F76" i="24" s="1"/>
  <c r="F76" i="29" s="1"/>
  <c r="C75" i="12"/>
  <c r="F75" i="24" s="1"/>
  <c r="F75" i="29" s="1"/>
  <c r="C74" i="12"/>
  <c r="F74" i="24" s="1"/>
  <c r="C73" i="12"/>
  <c r="F73" i="24" s="1"/>
  <c r="F73" i="29" s="1"/>
  <c r="C72" i="12"/>
  <c r="F72" i="24" s="1"/>
  <c r="C71" i="12"/>
  <c r="F71" i="24" s="1"/>
  <c r="F71" i="29" s="1"/>
  <c r="C70" i="12"/>
  <c r="F70" i="24" s="1"/>
  <c r="C69" i="12"/>
  <c r="F69" i="24" s="1"/>
  <c r="F69" i="29" s="1"/>
  <c r="C68" i="12"/>
  <c r="F68" i="24" s="1"/>
  <c r="C67" i="12"/>
  <c r="F67" i="24" s="1"/>
  <c r="F67" i="29" s="1"/>
  <c r="C66" i="12"/>
  <c r="F66" i="24" s="1"/>
  <c r="C65" i="12"/>
  <c r="F65" i="24" s="1"/>
  <c r="F65" i="29" s="1"/>
  <c r="C64" i="12"/>
  <c r="F64" i="24" s="1"/>
  <c r="C63" i="12"/>
  <c r="F63" i="24" s="1"/>
  <c r="F63" i="29" s="1"/>
  <c r="C62" i="12"/>
  <c r="F62" i="24" s="1"/>
  <c r="C61" i="12"/>
  <c r="F61" i="24" s="1"/>
  <c r="F61" i="29" s="1"/>
  <c r="C60" i="12"/>
  <c r="F60" i="24" s="1"/>
  <c r="C59" i="12"/>
  <c r="F59" i="24" s="1"/>
  <c r="F59" i="29" s="1"/>
  <c r="C58" i="12"/>
  <c r="F58" i="24" s="1"/>
  <c r="C57" i="12"/>
  <c r="F57" i="24" s="1"/>
  <c r="F57" i="29" s="1"/>
  <c r="C56" i="12"/>
  <c r="F56" i="24" s="1"/>
  <c r="C54" i="12"/>
  <c r="F54" i="24" s="1"/>
  <c r="F54" i="29" s="1"/>
  <c r="C53" i="12"/>
  <c r="F53" i="24" s="1"/>
  <c r="C51" i="12"/>
  <c r="F51" i="24" s="1"/>
  <c r="F51" i="29" s="1"/>
  <c r="C50" i="12"/>
  <c r="F50" i="24" s="1"/>
  <c r="C48" i="12"/>
  <c r="F48" i="24" s="1"/>
  <c r="F48" i="29" s="1"/>
  <c r="C47" i="12"/>
  <c r="F47" i="24" s="1"/>
  <c r="C46" i="12"/>
  <c r="F46" i="24" s="1"/>
  <c r="F46" i="29" s="1"/>
  <c r="C45" i="12"/>
  <c r="F45" i="24" s="1"/>
  <c r="C44" i="12"/>
  <c r="F44" i="24" s="1"/>
  <c r="F44" i="29" s="1"/>
  <c r="C43" i="12"/>
  <c r="F43" i="24" s="1"/>
  <c r="C42" i="12"/>
  <c r="F42" i="24" s="1"/>
  <c r="F42" i="29" s="1"/>
  <c r="C41" i="12"/>
  <c r="F41" i="24" s="1"/>
  <c r="C40" i="12"/>
  <c r="F40" i="24" s="1"/>
  <c r="F40" i="29" s="1"/>
  <c r="C39" i="12"/>
  <c r="F39" i="24" s="1"/>
  <c r="C38" i="12"/>
  <c r="F38" i="24" s="1"/>
  <c r="F38" i="29" s="1"/>
  <c r="C37" i="12"/>
  <c r="F37" i="24" s="1"/>
  <c r="C36" i="12"/>
  <c r="F36" i="24" s="1"/>
  <c r="F36" i="29" s="1"/>
  <c r="C35" i="12"/>
  <c r="F35" i="24" s="1"/>
  <c r="C34" i="12"/>
  <c r="F34" i="24" s="1"/>
  <c r="F34" i="29" s="1"/>
  <c r="C33" i="12"/>
  <c r="F33" i="24" s="1"/>
  <c r="C31" i="12"/>
  <c r="F31" i="24" s="1"/>
  <c r="F31" i="29" s="1"/>
  <c r="C30" i="12"/>
  <c r="F30" i="24" s="1"/>
  <c r="C29" i="12"/>
  <c r="F29" i="24" s="1"/>
  <c r="F29" i="29" s="1"/>
  <c r="C28" i="12"/>
  <c r="F28" i="24" s="1"/>
  <c r="C27" i="12"/>
  <c r="F27" i="24" s="1"/>
  <c r="F27" i="29" s="1"/>
  <c r="C26" i="12"/>
  <c r="F26" i="24" s="1"/>
  <c r="C25" i="12"/>
  <c r="F25" i="24" s="1"/>
  <c r="F25" i="29" s="1"/>
  <c r="C24" i="12"/>
  <c r="F24" i="24" s="1"/>
  <c r="C23" i="12"/>
  <c r="F23" i="24" s="1"/>
  <c r="F23" i="29" s="1"/>
  <c r="C22" i="12"/>
  <c r="F22" i="24" s="1"/>
  <c r="C21" i="12"/>
  <c r="F21" i="24" s="1"/>
  <c r="F21" i="29" s="1"/>
  <c r="C20" i="12"/>
  <c r="F20" i="24" s="1"/>
  <c r="C19" i="12"/>
  <c r="F19" i="24" s="1"/>
  <c r="F19" i="29" s="1"/>
  <c r="C17" i="12"/>
  <c r="F17" i="24" s="1"/>
  <c r="C16" i="12"/>
  <c r="F16" i="24" s="1"/>
  <c r="F16" i="29" s="1"/>
  <c r="C15" i="12"/>
  <c r="F15" i="24" s="1"/>
  <c r="C14" i="12"/>
  <c r="F14" i="24" s="1"/>
  <c r="F14" i="29" s="1"/>
  <c r="C13" i="12"/>
  <c r="F13" i="24" s="1"/>
  <c r="C12" i="12"/>
  <c r="F12" i="24" s="1"/>
  <c r="F12" i="29" s="1"/>
  <c r="C11" i="12"/>
  <c r="F11" i="24" s="1"/>
  <c r="C10" i="12"/>
  <c r="F10" i="24" s="1"/>
  <c r="F10" i="29" s="1"/>
  <c r="C9" i="12"/>
  <c r="F9" i="24" s="1"/>
  <c r="C8" i="12"/>
  <c r="F8" i="24" s="1"/>
  <c r="F8" i="29" s="1"/>
  <c r="C7" i="12"/>
  <c r="F7" i="24" s="1"/>
  <c r="C6" i="12"/>
  <c r="F6" i="24" s="1"/>
  <c r="F6" i="29" s="1"/>
  <c r="C5" i="12"/>
  <c r="F5" i="24" s="1"/>
  <c r="C4" i="12"/>
  <c r="F4" i="24" s="1"/>
  <c r="F4" i="29" s="1"/>
  <c r="C148" i="9"/>
  <c r="H148" i="24" s="1"/>
  <c r="H148" i="29" s="1"/>
  <c r="C147" i="9"/>
  <c r="H147" i="24" s="1"/>
  <c r="H147" i="29" s="1"/>
  <c r="C146" i="9"/>
  <c r="H146" i="24" s="1"/>
  <c r="H146" i="29" s="1"/>
  <c r="C145" i="9"/>
  <c r="H145" i="24" s="1"/>
  <c r="H145" i="29" s="1"/>
  <c r="C144" i="9"/>
  <c r="H144" i="24" s="1"/>
  <c r="H144" i="29" s="1"/>
  <c r="C143" i="9"/>
  <c r="H143" i="24" s="1"/>
  <c r="H143" i="29" s="1"/>
  <c r="C142" i="9"/>
  <c r="H142" i="24" s="1"/>
  <c r="H142" i="29" s="1"/>
  <c r="C141" i="9"/>
  <c r="C140" i="9"/>
  <c r="F140" i="9" s="1"/>
  <c r="C139" i="9"/>
  <c r="F139" i="9" s="1"/>
  <c r="C138" i="9"/>
  <c r="F138" i="9" s="1"/>
  <c r="C137" i="9"/>
  <c r="F137" i="9" s="1"/>
  <c r="C136" i="9"/>
  <c r="F136" i="9" s="1"/>
  <c r="C135" i="9"/>
  <c r="F135" i="9" s="1"/>
  <c r="C134" i="9"/>
  <c r="F134" i="9" s="1"/>
  <c r="C133" i="9"/>
  <c r="F133" i="9" s="1"/>
  <c r="C132" i="9"/>
  <c r="F132" i="9" s="1"/>
  <c r="C131" i="9"/>
  <c r="F131" i="9" s="1"/>
  <c r="C130" i="9"/>
  <c r="F130" i="9" s="1"/>
  <c r="C129" i="9"/>
  <c r="F129" i="9" s="1"/>
  <c r="C128" i="9"/>
  <c r="C127" i="9"/>
  <c r="C126" i="9"/>
  <c r="C125" i="9"/>
  <c r="C124" i="9"/>
  <c r="C123" i="9"/>
  <c r="C122" i="9"/>
  <c r="C121" i="9"/>
  <c r="C120" i="9"/>
  <c r="C119" i="9"/>
  <c r="C118" i="9"/>
  <c r="H118" i="24" s="1"/>
  <c r="H118" i="29" s="1"/>
  <c r="C116" i="9"/>
  <c r="C115" i="9"/>
  <c r="C114" i="9"/>
  <c r="H114" i="24" s="1"/>
  <c r="H114" i="29" s="1"/>
  <c r="C112" i="9"/>
  <c r="H112" i="24" s="1"/>
  <c r="H112" i="29" s="1"/>
  <c r="C111" i="9"/>
  <c r="C110" i="9"/>
  <c r="C109" i="9"/>
  <c r="C108" i="9"/>
  <c r="C107" i="9"/>
  <c r="H107" i="24" s="1"/>
  <c r="H107" i="29" s="1"/>
  <c r="C104" i="9"/>
  <c r="H104" i="24" s="1"/>
  <c r="H104" i="29" s="1"/>
  <c r="C103" i="9"/>
  <c r="H103" i="24" s="1"/>
  <c r="H103" i="29" s="1"/>
  <c r="C102" i="9"/>
  <c r="H102" i="24" s="1"/>
  <c r="H102" i="29" s="1"/>
  <c r="C101" i="9"/>
  <c r="H101" i="24" s="1"/>
  <c r="H101" i="29" s="1"/>
  <c r="C100" i="9"/>
  <c r="H100" i="24" s="1"/>
  <c r="H100" i="29" s="1"/>
  <c r="C99" i="9"/>
  <c r="H99" i="24" s="1"/>
  <c r="H99" i="29" s="1"/>
  <c r="C98" i="9"/>
  <c r="H98" i="24" s="1"/>
  <c r="H98" i="29" s="1"/>
  <c r="C97" i="9"/>
  <c r="H97" i="24" s="1"/>
  <c r="H97" i="29" s="1"/>
  <c r="C96" i="9"/>
  <c r="H96" i="24" s="1"/>
  <c r="H96" i="29" s="1"/>
  <c r="C95" i="9"/>
  <c r="H95" i="24" s="1"/>
  <c r="H95" i="29" s="1"/>
  <c r="C94" i="9"/>
  <c r="H94" i="24" s="1"/>
  <c r="H94" i="29" s="1"/>
  <c r="C93" i="9"/>
  <c r="H93" i="24" s="1"/>
  <c r="H93" i="29" s="1"/>
  <c r="C90" i="9"/>
  <c r="H90" i="24" s="1"/>
  <c r="H90" i="29" s="1"/>
  <c r="C89" i="9"/>
  <c r="H89" i="24" s="1"/>
  <c r="H89" i="29" s="1"/>
  <c r="C88" i="9"/>
  <c r="H88" i="24" s="1"/>
  <c r="H88" i="29" s="1"/>
  <c r="C87" i="9"/>
  <c r="H87" i="24" s="1"/>
  <c r="H87" i="29" s="1"/>
  <c r="C86" i="9"/>
  <c r="H86" i="24" s="1"/>
  <c r="C85" i="9"/>
  <c r="H85" i="24" s="1"/>
  <c r="H85" i="29" s="1"/>
  <c r="C84" i="9"/>
  <c r="H84" i="24" s="1"/>
  <c r="H84" i="29" s="1"/>
  <c r="C83" i="9"/>
  <c r="H83" i="24" s="1"/>
  <c r="H83" i="29" s="1"/>
  <c r="C82" i="9"/>
  <c r="H82" i="24" s="1"/>
  <c r="C81" i="9"/>
  <c r="H81" i="24" s="1"/>
  <c r="H81" i="29" s="1"/>
  <c r="C77" i="9"/>
  <c r="H77" i="24" s="1"/>
  <c r="H77" i="29" s="1"/>
  <c r="C76" i="9"/>
  <c r="H76" i="24" s="1"/>
  <c r="H76" i="29" s="1"/>
  <c r="C75" i="9"/>
  <c r="H75" i="24" s="1"/>
  <c r="H75" i="29" s="1"/>
  <c r="C74" i="9"/>
  <c r="H74" i="24" s="1"/>
  <c r="H74" i="29" s="1"/>
  <c r="C73" i="9"/>
  <c r="H73" i="24" s="1"/>
  <c r="H73" i="29" s="1"/>
  <c r="C72" i="9"/>
  <c r="H72" i="24" s="1"/>
  <c r="H72" i="29" s="1"/>
  <c r="C71" i="9"/>
  <c r="H71" i="24" s="1"/>
  <c r="H71" i="29" s="1"/>
  <c r="C70" i="9"/>
  <c r="H70" i="24" s="1"/>
  <c r="H70" i="29" s="1"/>
  <c r="C69" i="9"/>
  <c r="H69" i="24" s="1"/>
  <c r="H69" i="29" s="1"/>
  <c r="C68" i="9"/>
  <c r="H68" i="24" s="1"/>
  <c r="H68" i="29" s="1"/>
  <c r="C67" i="9"/>
  <c r="H67" i="24" s="1"/>
  <c r="H67" i="29" s="1"/>
  <c r="C66" i="9"/>
  <c r="H66" i="24" s="1"/>
  <c r="H66" i="29" s="1"/>
  <c r="C65" i="9"/>
  <c r="H65" i="24" s="1"/>
  <c r="H65" i="29" s="1"/>
  <c r="C64" i="9"/>
  <c r="H64" i="24" s="1"/>
  <c r="H64" i="29" s="1"/>
  <c r="C63" i="9"/>
  <c r="H63" i="24" s="1"/>
  <c r="H63" i="29" s="1"/>
  <c r="C62" i="9"/>
  <c r="H62" i="24" s="1"/>
  <c r="H62" i="29" s="1"/>
  <c r="C61" i="9"/>
  <c r="H61" i="24" s="1"/>
  <c r="H61" i="29" s="1"/>
  <c r="C60" i="9"/>
  <c r="H60" i="24" s="1"/>
  <c r="H60" i="29" s="1"/>
  <c r="C59" i="9"/>
  <c r="H59" i="24" s="1"/>
  <c r="H59" i="29" s="1"/>
  <c r="C58" i="9"/>
  <c r="H58" i="24" s="1"/>
  <c r="H58" i="29" s="1"/>
  <c r="C57" i="9"/>
  <c r="H57" i="24" s="1"/>
  <c r="H57" i="29" s="1"/>
  <c r="C56" i="9"/>
  <c r="H56" i="24" s="1"/>
  <c r="H56" i="29" s="1"/>
  <c r="C54" i="9"/>
  <c r="H54" i="24" s="1"/>
  <c r="C53" i="9"/>
  <c r="H53" i="24" s="1"/>
  <c r="H53" i="29" s="1"/>
  <c r="C51" i="9"/>
  <c r="H51" i="24" s="1"/>
  <c r="H51" i="29" s="1"/>
  <c r="C50" i="9"/>
  <c r="H50" i="24" s="1"/>
  <c r="H50" i="29" s="1"/>
  <c r="C48" i="9"/>
  <c r="H48" i="24" s="1"/>
  <c r="H48" i="29" s="1"/>
  <c r="C47" i="9"/>
  <c r="H47" i="24" s="1"/>
  <c r="H47" i="29" s="1"/>
  <c r="C46" i="9"/>
  <c r="H46" i="24" s="1"/>
  <c r="H46" i="29" s="1"/>
  <c r="C45" i="9"/>
  <c r="H45" i="24" s="1"/>
  <c r="H45" i="29" s="1"/>
  <c r="C44" i="9"/>
  <c r="H44" i="24" s="1"/>
  <c r="H44" i="29" s="1"/>
  <c r="C43" i="9"/>
  <c r="H43" i="24" s="1"/>
  <c r="H43" i="29" s="1"/>
  <c r="C42" i="9"/>
  <c r="H42" i="24" s="1"/>
  <c r="H42" i="29" s="1"/>
  <c r="C41" i="9"/>
  <c r="H41" i="24" s="1"/>
  <c r="H41" i="29" s="1"/>
  <c r="C40" i="9"/>
  <c r="H40" i="24" s="1"/>
  <c r="H40" i="29" s="1"/>
  <c r="C39" i="9"/>
  <c r="H39" i="24" s="1"/>
  <c r="H39" i="29" s="1"/>
  <c r="C38" i="9"/>
  <c r="H38" i="24" s="1"/>
  <c r="H38" i="29" s="1"/>
  <c r="C37" i="9"/>
  <c r="H37" i="24" s="1"/>
  <c r="H37" i="29" s="1"/>
  <c r="C36" i="9"/>
  <c r="H36" i="24" s="1"/>
  <c r="H36" i="29" s="1"/>
  <c r="C35" i="9"/>
  <c r="H35" i="24" s="1"/>
  <c r="H35" i="29" s="1"/>
  <c r="C34" i="9"/>
  <c r="H34" i="24" s="1"/>
  <c r="H34" i="29" s="1"/>
  <c r="C33" i="9"/>
  <c r="H33" i="24" s="1"/>
  <c r="H33" i="29" s="1"/>
  <c r="C31" i="9"/>
  <c r="H31" i="24" s="1"/>
  <c r="H31" i="29" s="1"/>
  <c r="C30" i="9"/>
  <c r="H30" i="24" s="1"/>
  <c r="C29" i="9"/>
  <c r="H29" i="24" s="1"/>
  <c r="H29" i="29" s="1"/>
  <c r="C28" i="9"/>
  <c r="H28" i="24" s="1"/>
  <c r="H28" i="29" s="1"/>
  <c r="C27" i="9"/>
  <c r="H27" i="24" s="1"/>
  <c r="H27" i="29" s="1"/>
  <c r="C26" i="9"/>
  <c r="H26" i="24" s="1"/>
  <c r="C25" i="9"/>
  <c r="H25" i="24" s="1"/>
  <c r="C24" i="9"/>
  <c r="H24" i="24" s="1"/>
  <c r="H24" i="29" s="1"/>
  <c r="C23" i="9"/>
  <c r="H23" i="24" s="1"/>
  <c r="H23" i="29" s="1"/>
  <c r="C22" i="9"/>
  <c r="H22" i="24" s="1"/>
  <c r="C21" i="9"/>
  <c r="H21" i="24" s="1"/>
  <c r="H21" i="29" s="1"/>
  <c r="C20" i="9"/>
  <c r="H20" i="24" s="1"/>
  <c r="H20" i="29" s="1"/>
  <c r="C19" i="9"/>
  <c r="H19" i="24" s="1"/>
  <c r="H19" i="29" s="1"/>
  <c r="C17" i="9"/>
  <c r="H17" i="24" s="1"/>
  <c r="H17" i="29" s="1"/>
  <c r="C16" i="9"/>
  <c r="H16" i="24" s="1"/>
  <c r="H16" i="29" s="1"/>
  <c r="C15" i="9"/>
  <c r="H15" i="24" s="1"/>
  <c r="H15" i="29" s="1"/>
  <c r="C14" i="9"/>
  <c r="H14" i="24" s="1"/>
  <c r="H14" i="29" s="1"/>
  <c r="C13" i="9"/>
  <c r="H13" i="24" s="1"/>
  <c r="H13" i="29" s="1"/>
  <c r="C12" i="9"/>
  <c r="H12" i="24" s="1"/>
  <c r="H12" i="29" s="1"/>
  <c r="C11" i="9"/>
  <c r="H11" i="24" s="1"/>
  <c r="H11" i="29" s="1"/>
  <c r="C10" i="9"/>
  <c r="H10" i="24" s="1"/>
  <c r="H10" i="29" s="1"/>
  <c r="C9" i="9"/>
  <c r="H9" i="24" s="1"/>
  <c r="H9" i="29" s="1"/>
  <c r="C8" i="9"/>
  <c r="H8" i="24" s="1"/>
  <c r="H8" i="29" s="1"/>
  <c r="C7" i="9"/>
  <c r="H7" i="24" s="1"/>
  <c r="H7" i="29" s="1"/>
  <c r="C6" i="9"/>
  <c r="H6" i="24" s="1"/>
  <c r="C5" i="9"/>
  <c r="H5" i="24" s="1"/>
  <c r="H5" i="29" s="1"/>
  <c r="C4" i="9"/>
  <c r="H4" i="24" s="1"/>
  <c r="H4" i="29" s="1"/>
  <c r="C148" i="7"/>
  <c r="E148" i="24" s="1"/>
  <c r="E148" i="29" s="1"/>
  <c r="C147" i="7"/>
  <c r="E147" i="24" s="1"/>
  <c r="E147" i="29" s="1"/>
  <c r="C146" i="7"/>
  <c r="E146" i="24" s="1"/>
  <c r="E146" i="29" s="1"/>
  <c r="C145" i="7"/>
  <c r="E145" i="24" s="1"/>
  <c r="E145" i="29" s="1"/>
  <c r="C144" i="7"/>
  <c r="E144" i="24" s="1"/>
  <c r="E144" i="29" s="1"/>
  <c r="C143" i="7"/>
  <c r="E143" i="24" s="1"/>
  <c r="E143" i="29" s="1"/>
  <c r="C142" i="7"/>
  <c r="E142" i="24" s="1"/>
  <c r="E142" i="29" s="1"/>
  <c r="C141" i="7"/>
  <c r="C140" i="7"/>
  <c r="F140" i="7" s="1"/>
  <c r="C139" i="7"/>
  <c r="F139" i="7" s="1"/>
  <c r="C138" i="7"/>
  <c r="F138" i="7" s="1"/>
  <c r="C137" i="7"/>
  <c r="F137" i="7" s="1"/>
  <c r="C136" i="7"/>
  <c r="F136" i="7" s="1"/>
  <c r="C135" i="7"/>
  <c r="F135" i="7" s="1"/>
  <c r="C134" i="7"/>
  <c r="F134" i="7" s="1"/>
  <c r="C133" i="7"/>
  <c r="F133" i="7" s="1"/>
  <c r="C132" i="7"/>
  <c r="C131" i="7"/>
  <c r="F131" i="7" s="1"/>
  <c r="C130" i="7"/>
  <c r="F130" i="7" s="1"/>
  <c r="C129" i="7"/>
  <c r="F129" i="7" s="1"/>
  <c r="C128" i="7"/>
  <c r="C127" i="7"/>
  <c r="C126" i="7"/>
  <c r="C125" i="7"/>
  <c r="C124" i="7"/>
  <c r="C123" i="7"/>
  <c r="C122" i="7"/>
  <c r="C121" i="7"/>
  <c r="C120" i="7"/>
  <c r="C119" i="7"/>
  <c r="C118" i="7"/>
  <c r="E118" i="24" s="1"/>
  <c r="E118" i="29" s="1"/>
  <c r="C116" i="7"/>
  <c r="C115" i="7"/>
  <c r="C114" i="7"/>
  <c r="E114" i="24" s="1"/>
  <c r="E114" i="29" s="1"/>
  <c r="C112" i="7"/>
  <c r="E112" i="24" s="1"/>
  <c r="C111" i="7"/>
  <c r="C110" i="7"/>
  <c r="C109" i="7"/>
  <c r="C108" i="7"/>
  <c r="E108" i="24" s="1"/>
  <c r="C107" i="7"/>
  <c r="E107" i="24" s="1"/>
  <c r="E107" i="29" s="1"/>
  <c r="C104" i="7"/>
  <c r="E104" i="24" s="1"/>
  <c r="E104" i="29" s="1"/>
  <c r="C103" i="7"/>
  <c r="E103" i="24" s="1"/>
  <c r="E103" i="29" s="1"/>
  <c r="C102" i="7"/>
  <c r="E102" i="24" s="1"/>
  <c r="C101" i="7"/>
  <c r="E101" i="24" s="1"/>
  <c r="E101" i="29" s="1"/>
  <c r="C100" i="7"/>
  <c r="E100" i="24" s="1"/>
  <c r="E100" i="29" s="1"/>
  <c r="C99" i="7"/>
  <c r="E99" i="24" s="1"/>
  <c r="E99" i="29" s="1"/>
  <c r="C98" i="7"/>
  <c r="E98" i="24" s="1"/>
  <c r="C97" i="7"/>
  <c r="E97" i="24" s="1"/>
  <c r="E97" i="29" s="1"/>
  <c r="C96" i="7"/>
  <c r="E96" i="24" s="1"/>
  <c r="E96" i="29" s="1"/>
  <c r="C95" i="7"/>
  <c r="E95" i="24" s="1"/>
  <c r="C94" i="7"/>
  <c r="E94" i="24" s="1"/>
  <c r="C93" i="7"/>
  <c r="E93" i="24" s="1"/>
  <c r="E93" i="29" s="1"/>
  <c r="C90" i="7"/>
  <c r="E90" i="24" s="1"/>
  <c r="E90" i="29" s="1"/>
  <c r="C89" i="7"/>
  <c r="E89" i="24" s="1"/>
  <c r="E89" i="29" s="1"/>
  <c r="C88" i="7"/>
  <c r="E88" i="24" s="1"/>
  <c r="E88" i="29" s="1"/>
  <c r="C87" i="7"/>
  <c r="E87" i="24" s="1"/>
  <c r="E87" i="29" s="1"/>
  <c r="C86" i="7"/>
  <c r="E86" i="24" s="1"/>
  <c r="E86" i="29" s="1"/>
  <c r="C85" i="7"/>
  <c r="E85" i="24" s="1"/>
  <c r="E85" i="29" s="1"/>
  <c r="C84" i="7"/>
  <c r="E84" i="24" s="1"/>
  <c r="E84" i="29" s="1"/>
  <c r="C83" i="7"/>
  <c r="E83" i="24" s="1"/>
  <c r="E83" i="29" s="1"/>
  <c r="C82" i="7"/>
  <c r="E82" i="24" s="1"/>
  <c r="E82" i="29" s="1"/>
  <c r="C81" i="7"/>
  <c r="E81" i="24" s="1"/>
  <c r="E81" i="29" s="1"/>
  <c r="C77" i="7"/>
  <c r="E77" i="24" s="1"/>
  <c r="E77" i="29" s="1"/>
  <c r="C76" i="7"/>
  <c r="E76" i="24" s="1"/>
  <c r="E76" i="29" s="1"/>
  <c r="C75" i="7"/>
  <c r="E75" i="24" s="1"/>
  <c r="E75" i="29" s="1"/>
  <c r="C74" i="7"/>
  <c r="E74" i="24" s="1"/>
  <c r="E74" i="29" s="1"/>
  <c r="C73" i="7"/>
  <c r="E73" i="24" s="1"/>
  <c r="E73" i="29" s="1"/>
  <c r="C72" i="7"/>
  <c r="E72" i="24" s="1"/>
  <c r="E72" i="29" s="1"/>
  <c r="C71" i="7"/>
  <c r="E71" i="24" s="1"/>
  <c r="E71" i="29" s="1"/>
  <c r="C70" i="7"/>
  <c r="E70" i="24" s="1"/>
  <c r="C69" i="7"/>
  <c r="E69" i="24" s="1"/>
  <c r="E69" i="29" s="1"/>
  <c r="C68" i="7"/>
  <c r="E68" i="24" s="1"/>
  <c r="E68" i="29" s="1"/>
  <c r="C67" i="7"/>
  <c r="E67" i="24" s="1"/>
  <c r="E67" i="29" s="1"/>
  <c r="C66" i="7"/>
  <c r="E66" i="24" s="1"/>
  <c r="E66" i="29" s="1"/>
  <c r="C65" i="7"/>
  <c r="E65" i="24" s="1"/>
  <c r="C64" i="7"/>
  <c r="E64" i="24" s="1"/>
  <c r="E64" i="29" s="1"/>
  <c r="C63" i="7"/>
  <c r="E63" i="24" s="1"/>
  <c r="E63" i="29" s="1"/>
  <c r="C62" i="7"/>
  <c r="E62" i="24" s="1"/>
  <c r="C61" i="7"/>
  <c r="E61" i="24" s="1"/>
  <c r="C60" i="7"/>
  <c r="E60" i="24" s="1"/>
  <c r="E60" i="29" s="1"/>
  <c r="C59" i="7"/>
  <c r="E59" i="24" s="1"/>
  <c r="E59" i="29" s="1"/>
  <c r="C58" i="7"/>
  <c r="E58" i="24" s="1"/>
  <c r="E58" i="29" s="1"/>
  <c r="C57" i="7"/>
  <c r="E57" i="24" s="1"/>
  <c r="E57" i="29" s="1"/>
  <c r="C56" i="7"/>
  <c r="E56" i="24" s="1"/>
  <c r="E56" i="29" s="1"/>
  <c r="C54" i="7"/>
  <c r="E54" i="24" s="1"/>
  <c r="E54" i="29" s="1"/>
  <c r="C53" i="7"/>
  <c r="E53" i="24" s="1"/>
  <c r="C51" i="7"/>
  <c r="E51" i="24" s="1"/>
  <c r="E51" i="29" s="1"/>
  <c r="C50" i="7"/>
  <c r="E50" i="24" s="1"/>
  <c r="E50" i="29" s="1"/>
  <c r="C48" i="7"/>
  <c r="E48" i="24" s="1"/>
  <c r="E48" i="29" s="1"/>
  <c r="C47" i="7"/>
  <c r="E47" i="24" s="1"/>
  <c r="E47" i="29" s="1"/>
  <c r="C46" i="7"/>
  <c r="E46" i="24" s="1"/>
  <c r="E46" i="29" s="1"/>
  <c r="C45" i="7"/>
  <c r="E45" i="24" s="1"/>
  <c r="E45" i="29" s="1"/>
  <c r="C44" i="7"/>
  <c r="E44" i="24" s="1"/>
  <c r="E44" i="29" s="1"/>
  <c r="C43" i="7"/>
  <c r="E43" i="24" s="1"/>
  <c r="E43" i="29" s="1"/>
  <c r="C42" i="7"/>
  <c r="E42" i="24" s="1"/>
  <c r="E42" i="29" s="1"/>
  <c r="C41" i="7"/>
  <c r="E41" i="24" s="1"/>
  <c r="E41" i="29" s="1"/>
  <c r="C40" i="7"/>
  <c r="E40" i="24" s="1"/>
  <c r="E40" i="29" s="1"/>
  <c r="C39" i="7"/>
  <c r="E39" i="24" s="1"/>
  <c r="E39" i="29" s="1"/>
  <c r="C38" i="7"/>
  <c r="E38" i="24" s="1"/>
  <c r="E38" i="29" s="1"/>
  <c r="C37" i="7"/>
  <c r="E37" i="24" s="1"/>
  <c r="E37" i="29" s="1"/>
  <c r="C36" i="7"/>
  <c r="E36" i="24" s="1"/>
  <c r="C35" i="7"/>
  <c r="E35" i="24" s="1"/>
  <c r="E35" i="29" s="1"/>
  <c r="C34" i="7"/>
  <c r="E34" i="24" s="1"/>
  <c r="E34" i="29" s="1"/>
  <c r="C33" i="7"/>
  <c r="E33" i="24" s="1"/>
  <c r="E33" i="29" s="1"/>
  <c r="C31" i="7"/>
  <c r="E31" i="24" s="1"/>
  <c r="E31" i="29" s="1"/>
  <c r="C30" i="7"/>
  <c r="E30" i="24" s="1"/>
  <c r="E30" i="29" s="1"/>
  <c r="C29" i="7"/>
  <c r="E29" i="24" s="1"/>
  <c r="E29" i="29" s="1"/>
  <c r="C28" i="7"/>
  <c r="E28" i="24" s="1"/>
  <c r="E28" i="29" s="1"/>
  <c r="C27" i="7"/>
  <c r="E27" i="24" s="1"/>
  <c r="E27" i="29" s="1"/>
  <c r="C26" i="7"/>
  <c r="E26" i="24" s="1"/>
  <c r="E26" i="29" s="1"/>
  <c r="C25" i="7"/>
  <c r="E25" i="24" s="1"/>
  <c r="E25" i="29" s="1"/>
  <c r="C24" i="7"/>
  <c r="E24" i="24" s="1"/>
  <c r="E24" i="29" s="1"/>
  <c r="C23" i="7"/>
  <c r="E23" i="24" s="1"/>
  <c r="E23" i="29" s="1"/>
  <c r="C22" i="7"/>
  <c r="E22" i="24" s="1"/>
  <c r="E22" i="29" s="1"/>
  <c r="C21" i="7"/>
  <c r="E21" i="24" s="1"/>
  <c r="E21" i="29" s="1"/>
  <c r="C20" i="7"/>
  <c r="E20" i="24" s="1"/>
  <c r="E20" i="29" s="1"/>
  <c r="C19" i="7"/>
  <c r="E19" i="24" s="1"/>
  <c r="E19" i="29" s="1"/>
  <c r="C17" i="7"/>
  <c r="E17" i="24" s="1"/>
  <c r="E17" i="29" s="1"/>
  <c r="C16" i="7"/>
  <c r="E16" i="24" s="1"/>
  <c r="E16" i="29" s="1"/>
  <c r="C15" i="7"/>
  <c r="E15" i="24" s="1"/>
  <c r="E15" i="29" s="1"/>
  <c r="C14" i="7"/>
  <c r="E14" i="24" s="1"/>
  <c r="E14" i="29" s="1"/>
  <c r="C13" i="7"/>
  <c r="E13" i="24" s="1"/>
  <c r="E13" i="29" s="1"/>
  <c r="C12" i="7"/>
  <c r="E12" i="24" s="1"/>
  <c r="E12" i="29" s="1"/>
  <c r="C11" i="7"/>
  <c r="E11" i="24" s="1"/>
  <c r="E11" i="29" s="1"/>
  <c r="C10" i="7"/>
  <c r="E10" i="24" s="1"/>
  <c r="E10" i="29" s="1"/>
  <c r="C9" i="7"/>
  <c r="E9" i="24" s="1"/>
  <c r="E9" i="29" s="1"/>
  <c r="C8" i="7"/>
  <c r="E8" i="24" s="1"/>
  <c r="E8" i="29" s="1"/>
  <c r="C7" i="7"/>
  <c r="E7" i="24" s="1"/>
  <c r="E7" i="29" s="1"/>
  <c r="C6" i="7"/>
  <c r="E6" i="24" s="1"/>
  <c r="E6" i="29" s="1"/>
  <c r="C5" i="7"/>
  <c r="E5" i="24" s="1"/>
  <c r="C4" i="7"/>
  <c r="E4" i="24" s="1"/>
  <c r="E4" i="29" s="1"/>
  <c r="C148" i="11"/>
  <c r="I148" i="24" s="1"/>
  <c r="I148" i="29" s="1"/>
  <c r="C147" i="11"/>
  <c r="I147" i="24" s="1"/>
  <c r="C146" i="11"/>
  <c r="I146" i="24" s="1"/>
  <c r="I146" i="29" s="1"/>
  <c r="C145" i="11"/>
  <c r="I145" i="24" s="1"/>
  <c r="C144" i="11"/>
  <c r="I144" i="24" s="1"/>
  <c r="I144" i="29" s="1"/>
  <c r="C143" i="11"/>
  <c r="I143" i="24" s="1"/>
  <c r="C142" i="11"/>
  <c r="I142" i="24" s="1"/>
  <c r="I142" i="29" s="1"/>
  <c r="C141" i="11"/>
  <c r="C140" i="11"/>
  <c r="C139" i="11"/>
  <c r="C138" i="11"/>
  <c r="C137" i="11"/>
  <c r="C136" i="11"/>
  <c r="C135" i="11"/>
  <c r="C134" i="11"/>
  <c r="C133" i="11"/>
  <c r="C132" i="11"/>
  <c r="C131" i="11"/>
  <c r="C130" i="11"/>
  <c r="C129" i="11"/>
  <c r="C128" i="11"/>
  <c r="C127" i="11"/>
  <c r="C126" i="11"/>
  <c r="C125" i="11"/>
  <c r="C124" i="11"/>
  <c r="C123" i="11"/>
  <c r="C122" i="11"/>
  <c r="C121" i="11"/>
  <c r="C120" i="11"/>
  <c r="C119" i="11"/>
  <c r="C118" i="11"/>
  <c r="I118" i="24" s="1"/>
  <c r="I118" i="29" s="1"/>
  <c r="C116" i="11"/>
  <c r="C115" i="11"/>
  <c r="C114" i="11"/>
  <c r="I114" i="24" s="1"/>
  <c r="C112" i="11"/>
  <c r="I112" i="24" s="1"/>
  <c r="I112" i="29" s="1"/>
  <c r="C111" i="11"/>
  <c r="C110" i="11"/>
  <c r="C109" i="11"/>
  <c r="C108" i="11"/>
  <c r="C107" i="11"/>
  <c r="I107" i="24" s="1"/>
  <c r="C104" i="11"/>
  <c r="I104" i="24" s="1"/>
  <c r="I104" i="29" s="1"/>
  <c r="C103" i="11"/>
  <c r="I103" i="24" s="1"/>
  <c r="C102" i="11"/>
  <c r="I102" i="24" s="1"/>
  <c r="I102" i="29" s="1"/>
  <c r="C101" i="11"/>
  <c r="I101" i="24" s="1"/>
  <c r="C100" i="11"/>
  <c r="I100" i="24" s="1"/>
  <c r="I100" i="29" s="1"/>
  <c r="C99" i="11"/>
  <c r="I99" i="24" s="1"/>
  <c r="C98" i="11"/>
  <c r="I98" i="24" s="1"/>
  <c r="I98" i="29" s="1"/>
  <c r="C97" i="11"/>
  <c r="I97" i="24" s="1"/>
  <c r="C96" i="11"/>
  <c r="I96" i="24" s="1"/>
  <c r="I96" i="29" s="1"/>
  <c r="C95" i="11"/>
  <c r="I95" i="24" s="1"/>
  <c r="C94" i="11"/>
  <c r="I94" i="24" s="1"/>
  <c r="I94" i="29" s="1"/>
  <c r="C93" i="11"/>
  <c r="I93" i="24" s="1"/>
  <c r="C90" i="11"/>
  <c r="I90" i="24" s="1"/>
  <c r="I90" i="29" s="1"/>
  <c r="C89" i="11"/>
  <c r="I89" i="24" s="1"/>
  <c r="C88" i="11"/>
  <c r="I88" i="24" s="1"/>
  <c r="I88" i="29" s="1"/>
  <c r="C87" i="11"/>
  <c r="I87" i="24" s="1"/>
  <c r="C86" i="11"/>
  <c r="I86" i="24" s="1"/>
  <c r="I86" i="29" s="1"/>
  <c r="C85" i="11"/>
  <c r="I85" i="24" s="1"/>
  <c r="C84" i="11"/>
  <c r="I84" i="24" s="1"/>
  <c r="I84" i="29" s="1"/>
  <c r="C83" i="11"/>
  <c r="I83" i="24" s="1"/>
  <c r="C82" i="11"/>
  <c r="I82" i="24" s="1"/>
  <c r="I82" i="29" s="1"/>
  <c r="C81" i="11"/>
  <c r="I81" i="24" s="1"/>
  <c r="C77" i="11"/>
  <c r="I77" i="24" s="1"/>
  <c r="I77" i="29" s="1"/>
  <c r="C76" i="11"/>
  <c r="I76" i="24" s="1"/>
  <c r="C75" i="11"/>
  <c r="I75" i="24" s="1"/>
  <c r="I75" i="29" s="1"/>
  <c r="C74" i="11"/>
  <c r="I74" i="24" s="1"/>
  <c r="C73" i="11"/>
  <c r="I73" i="24" s="1"/>
  <c r="I73" i="29" s="1"/>
  <c r="C72" i="11"/>
  <c r="I72" i="24" s="1"/>
  <c r="C71" i="11"/>
  <c r="I71" i="24" s="1"/>
  <c r="I71" i="29" s="1"/>
  <c r="C70" i="11"/>
  <c r="I70" i="24" s="1"/>
  <c r="C69" i="11"/>
  <c r="I69" i="24" s="1"/>
  <c r="I69" i="29" s="1"/>
  <c r="C68" i="11"/>
  <c r="I68" i="24" s="1"/>
  <c r="C67" i="11"/>
  <c r="I67" i="24" s="1"/>
  <c r="I67" i="29" s="1"/>
  <c r="C66" i="11"/>
  <c r="I66" i="24" s="1"/>
  <c r="C65" i="11"/>
  <c r="I65" i="24" s="1"/>
  <c r="I65" i="29" s="1"/>
  <c r="C64" i="11"/>
  <c r="I64" i="24" s="1"/>
  <c r="C63" i="11"/>
  <c r="I63" i="24" s="1"/>
  <c r="I63" i="29" s="1"/>
  <c r="C62" i="11"/>
  <c r="I62" i="24" s="1"/>
  <c r="C61" i="11"/>
  <c r="I61" i="24" s="1"/>
  <c r="I61" i="29" s="1"/>
  <c r="C60" i="11"/>
  <c r="I60" i="24" s="1"/>
  <c r="C59" i="11"/>
  <c r="I59" i="24" s="1"/>
  <c r="I59" i="29" s="1"/>
  <c r="C58" i="11"/>
  <c r="I58" i="24" s="1"/>
  <c r="C57" i="11"/>
  <c r="I57" i="24" s="1"/>
  <c r="I57" i="29" s="1"/>
  <c r="C56" i="11"/>
  <c r="I56" i="24" s="1"/>
  <c r="C54" i="11"/>
  <c r="I54" i="24" s="1"/>
  <c r="I54" i="29" s="1"/>
  <c r="C53" i="11"/>
  <c r="I53" i="24" s="1"/>
  <c r="C51" i="11"/>
  <c r="I51" i="24" s="1"/>
  <c r="I51" i="29" s="1"/>
  <c r="C50" i="11"/>
  <c r="I50" i="24" s="1"/>
  <c r="C48" i="11"/>
  <c r="I48" i="24" s="1"/>
  <c r="I48" i="29" s="1"/>
  <c r="C47" i="11"/>
  <c r="I47" i="24" s="1"/>
  <c r="C46" i="11"/>
  <c r="I46" i="24" s="1"/>
  <c r="I46" i="29" s="1"/>
  <c r="C45" i="11"/>
  <c r="I45" i="24" s="1"/>
  <c r="C44" i="11"/>
  <c r="I44" i="24" s="1"/>
  <c r="I44" i="29" s="1"/>
  <c r="C43" i="11"/>
  <c r="I43" i="24" s="1"/>
  <c r="C42" i="11"/>
  <c r="I42" i="24" s="1"/>
  <c r="I42" i="29" s="1"/>
  <c r="C41" i="11"/>
  <c r="I41" i="24" s="1"/>
  <c r="C40" i="11"/>
  <c r="I40" i="24" s="1"/>
  <c r="I40" i="29" s="1"/>
  <c r="C39" i="11"/>
  <c r="I39" i="24" s="1"/>
  <c r="C38" i="11"/>
  <c r="I38" i="24" s="1"/>
  <c r="I38" i="29" s="1"/>
  <c r="C37" i="11"/>
  <c r="I37" i="24" s="1"/>
  <c r="C36" i="11"/>
  <c r="I36" i="24" s="1"/>
  <c r="I36" i="29" s="1"/>
  <c r="C35" i="11"/>
  <c r="I35" i="24" s="1"/>
  <c r="C34" i="11"/>
  <c r="I34" i="24" s="1"/>
  <c r="I34" i="29" s="1"/>
  <c r="C33" i="11"/>
  <c r="I33" i="24" s="1"/>
  <c r="C31" i="11"/>
  <c r="I31" i="24" s="1"/>
  <c r="I31" i="29" s="1"/>
  <c r="C30" i="11"/>
  <c r="I30" i="24" s="1"/>
  <c r="C29" i="11"/>
  <c r="I29" i="24" s="1"/>
  <c r="I29" i="29" s="1"/>
  <c r="C28" i="11"/>
  <c r="I28" i="24" s="1"/>
  <c r="C27" i="11"/>
  <c r="I27" i="24" s="1"/>
  <c r="I27" i="29" s="1"/>
  <c r="C26" i="11"/>
  <c r="I26" i="24" s="1"/>
  <c r="C25" i="11"/>
  <c r="I25" i="24" s="1"/>
  <c r="I25" i="29" s="1"/>
  <c r="C24" i="11"/>
  <c r="I24" i="24" s="1"/>
  <c r="C23" i="11"/>
  <c r="I23" i="24" s="1"/>
  <c r="I23" i="29" s="1"/>
  <c r="C22" i="11"/>
  <c r="I22" i="24" s="1"/>
  <c r="C21" i="11"/>
  <c r="I21" i="24" s="1"/>
  <c r="I21" i="29" s="1"/>
  <c r="C20" i="11"/>
  <c r="I20" i="24" s="1"/>
  <c r="C19" i="11"/>
  <c r="I19" i="24" s="1"/>
  <c r="I19" i="29" s="1"/>
  <c r="C17" i="11"/>
  <c r="I17" i="24" s="1"/>
  <c r="C16" i="11"/>
  <c r="I16" i="24" s="1"/>
  <c r="I16" i="29" s="1"/>
  <c r="C15" i="11"/>
  <c r="I15" i="24" s="1"/>
  <c r="C14" i="11"/>
  <c r="I14" i="24" s="1"/>
  <c r="I14" i="29" s="1"/>
  <c r="C13" i="11"/>
  <c r="I13" i="24" s="1"/>
  <c r="C12" i="11"/>
  <c r="I12" i="24" s="1"/>
  <c r="I12" i="29" s="1"/>
  <c r="C11" i="11"/>
  <c r="I11" i="24" s="1"/>
  <c r="C10" i="11"/>
  <c r="I10" i="24" s="1"/>
  <c r="I10" i="29" s="1"/>
  <c r="C9" i="11"/>
  <c r="I9" i="24" s="1"/>
  <c r="C8" i="11"/>
  <c r="I8" i="24" s="1"/>
  <c r="I8" i="29" s="1"/>
  <c r="C7" i="11"/>
  <c r="I7" i="24" s="1"/>
  <c r="C6" i="11"/>
  <c r="I6" i="24" s="1"/>
  <c r="I6" i="29" s="1"/>
  <c r="C5" i="11"/>
  <c r="I5" i="24" s="1"/>
  <c r="C4" i="11"/>
  <c r="I4" i="24" s="1"/>
  <c r="I4" i="29" s="1"/>
  <c r="C148" i="5"/>
  <c r="D148" i="24" s="1"/>
  <c r="D148" i="29" s="1"/>
  <c r="C147" i="5"/>
  <c r="D147" i="24" s="1"/>
  <c r="C146" i="5"/>
  <c r="D146" i="24" s="1"/>
  <c r="C145" i="5"/>
  <c r="D145" i="24" s="1"/>
  <c r="D145" i="29" s="1"/>
  <c r="C144" i="5"/>
  <c r="D144" i="24" s="1"/>
  <c r="D144" i="29" s="1"/>
  <c r="C143" i="5"/>
  <c r="D143" i="24" s="1"/>
  <c r="D143" i="29" s="1"/>
  <c r="C142" i="5"/>
  <c r="D142" i="24" s="1"/>
  <c r="C141" i="5"/>
  <c r="C140" i="5"/>
  <c r="F140" i="5" s="1"/>
  <c r="C139" i="5"/>
  <c r="F139" i="5" s="1"/>
  <c r="C138" i="5"/>
  <c r="F138" i="5" s="1"/>
  <c r="C137" i="5"/>
  <c r="F137" i="5" s="1"/>
  <c r="C136" i="5"/>
  <c r="F136" i="5" s="1"/>
  <c r="C135" i="5"/>
  <c r="F135" i="5" s="1"/>
  <c r="C134" i="5"/>
  <c r="F134" i="5" s="1"/>
  <c r="C133" i="5"/>
  <c r="F133" i="5" s="1"/>
  <c r="C132" i="5"/>
  <c r="F132" i="5" s="1"/>
  <c r="C131" i="5"/>
  <c r="F131" i="5" s="1"/>
  <c r="C130" i="5"/>
  <c r="F130" i="5" s="1"/>
  <c r="C129" i="5"/>
  <c r="F129" i="5" s="1"/>
  <c r="C128" i="5"/>
  <c r="C127" i="5"/>
  <c r="C126" i="5"/>
  <c r="C125" i="5"/>
  <c r="C124" i="5"/>
  <c r="C123" i="5"/>
  <c r="C122" i="5"/>
  <c r="C121" i="5"/>
  <c r="C120" i="5"/>
  <c r="C119" i="5"/>
  <c r="C118" i="5"/>
  <c r="D118" i="24" s="1"/>
  <c r="C116" i="5"/>
  <c r="C115" i="5"/>
  <c r="C114" i="5"/>
  <c r="D114" i="24" s="1"/>
  <c r="D114" i="29" s="1"/>
  <c r="C112" i="5"/>
  <c r="D112" i="24" s="1"/>
  <c r="C111" i="5"/>
  <c r="C110" i="5"/>
  <c r="C109" i="5"/>
  <c r="C108" i="5"/>
  <c r="C107" i="5"/>
  <c r="D107" i="24" s="1"/>
  <c r="D107" i="29" s="1"/>
  <c r="C104" i="5"/>
  <c r="D104" i="24" s="1"/>
  <c r="D104" i="29" s="1"/>
  <c r="C103" i="5"/>
  <c r="D103" i="24" s="1"/>
  <c r="D103" i="29" s="1"/>
  <c r="C102" i="5"/>
  <c r="D102" i="24" s="1"/>
  <c r="C101" i="5"/>
  <c r="D101" i="24" s="1"/>
  <c r="D101" i="29" s="1"/>
  <c r="C100" i="5"/>
  <c r="D100" i="24" s="1"/>
  <c r="D100" i="29" s="1"/>
  <c r="C99" i="5"/>
  <c r="D99" i="24" s="1"/>
  <c r="D99" i="29" s="1"/>
  <c r="C98" i="5"/>
  <c r="D98" i="24" s="1"/>
  <c r="C97" i="5"/>
  <c r="D97" i="24" s="1"/>
  <c r="D97" i="29" s="1"/>
  <c r="C96" i="5"/>
  <c r="D96" i="24" s="1"/>
  <c r="D96" i="29" s="1"/>
  <c r="C95" i="5"/>
  <c r="D95" i="24" s="1"/>
  <c r="D95" i="29" s="1"/>
  <c r="C94" i="5"/>
  <c r="D94" i="24" s="1"/>
  <c r="C93" i="5"/>
  <c r="D93" i="24" s="1"/>
  <c r="D93" i="29" s="1"/>
  <c r="C90" i="5"/>
  <c r="D90" i="24" s="1"/>
  <c r="D90" i="29" s="1"/>
  <c r="C89" i="5"/>
  <c r="D89" i="24" s="1"/>
  <c r="D89" i="29" s="1"/>
  <c r="C88" i="5"/>
  <c r="D88" i="24" s="1"/>
  <c r="C87" i="5"/>
  <c r="D87" i="24" s="1"/>
  <c r="D87" i="29" s="1"/>
  <c r="C86" i="5"/>
  <c r="D86" i="24" s="1"/>
  <c r="D86" i="29" s="1"/>
  <c r="C85" i="5"/>
  <c r="D85" i="24" s="1"/>
  <c r="D85" i="29" s="1"/>
  <c r="C84" i="5"/>
  <c r="D84" i="24" s="1"/>
  <c r="C83" i="5"/>
  <c r="D83" i="24" s="1"/>
  <c r="D83" i="29" s="1"/>
  <c r="C82" i="5"/>
  <c r="D82" i="24" s="1"/>
  <c r="D82" i="29" s="1"/>
  <c r="C81" i="5"/>
  <c r="D81" i="24" s="1"/>
  <c r="D81" i="29" s="1"/>
  <c r="C77" i="5"/>
  <c r="D77" i="24" s="1"/>
  <c r="C76" i="5"/>
  <c r="D76" i="24" s="1"/>
  <c r="D76" i="29" s="1"/>
  <c r="C75" i="5"/>
  <c r="D75" i="24" s="1"/>
  <c r="D75" i="29" s="1"/>
  <c r="C74" i="5"/>
  <c r="D74" i="24" s="1"/>
  <c r="D74" i="29" s="1"/>
  <c r="C73" i="5"/>
  <c r="D73" i="24" s="1"/>
  <c r="C72" i="5"/>
  <c r="D72" i="24" s="1"/>
  <c r="D72" i="29" s="1"/>
  <c r="C71" i="5"/>
  <c r="D71" i="24" s="1"/>
  <c r="D71" i="29" s="1"/>
  <c r="C70" i="5"/>
  <c r="D70" i="24" s="1"/>
  <c r="D70" i="29" s="1"/>
  <c r="C69" i="5"/>
  <c r="D69" i="24" s="1"/>
  <c r="C68" i="5"/>
  <c r="D68" i="24" s="1"/>
  <c r="D68" i="29" s="1"/>
  <c r="C67" i="5"/>
  <c r="D67" i="24" s="1"/>
  <c r="D67" i="29" s="1"/>
  <c r="C66" i="5"/>
  <c r="D66" i="24" s="1"/>
  <c r="D66" i="29" s="1"/>
  <c r="C65" i="5"/>
  <c r="D65" i="24" s="1"/>
  <c r="C64" i="5"/>
  <c r="D64" i="24" s="1"/>
  <c r="D64" i="29" s="1"/>
  <c r="C63" i="5"/>
  <c r="D63" i="24" s="1"/>
  <c r="D63" i="29" s="1"/>
  <c r="C62" i="5"/>
  <c r="D62" i="24" s="1"/>
  <c r="D62" i="29" s="1"/>
  <c r="C61" i="5"/>
  <c r="D61" i="24" s="1"/>
  <c r="C60" i="5"/>
  <c r="D60" i="24" s="1"/>
  <c r="D60" i="29" s="1"/>
  <c r="C59" i="5"/>
  <c r="D59" i="24" s="1"/>
  <c r="D59" i="29" s="1"/>
  <c r="C58" i="5"/>
  <c r="D58" i="24" s="1"/>
  <c r="D58" i="29" s="1"/>
  <c r="C57" i="5"/>
  <c r="D57" i="24" s="1"/>
  <c r="C56" i="5"/>
  <c r="D56" i="24" s="1"/>
  <c r="D56" i="29" s="1"/>
  <c r="C54" i="5"/>
  <c r="D54" i="24" s="1"/>
  <c r="D54" i="29" s="1"/>
  <c r="C53" i="5"/>
  <c r="D53" i="24" s="1"/>
  <c r="D53" i="29" s="1"/>
  <c r="C51" i="5"/>
  <c r="D51" i="24" s="1"/>
  <c r="C50" i="5"/>
  <c r="D50" i="24" s="1"/>
  <c r="D50" i="29" s="1"/>
  <c r="C48" i="5"/>
  <c r="D48" i="24" s="1"/>
  <c r="D48" i="29" s="1"/>
  <c r="C47" i="5"/>
  <c r="D47" i="24" s="1"/>
  <c r="D47" i="29" s="1"/>
  <c r="C46" i="5"/>
  <c r="D46" i="24" s="1"/>
  <c r="C45" i="5"/>
  <c r="D45" i="24" s="1"/>
  <c r="D45" i="29" s="1"/>
  <c r="C44" i="5"/>
  <c r="D44" i="24" s="1"/>
  <c r="D44" i="29" s="1"/>
  <c r="C43" i="5"/>
  <c r="D43" i="24" s="1"/>
  <c r="D43" i="29" s="1"/>
  <c r="C42" i="5"/>
  <c r="D42" i="24" s="1"/>
  <c r="C41" i="5"/>
  <c r="D41" i="24" s="1"/>
  <c r="D41" i="29" s="1"/>
  <c r="C40" i="5"/>
  <c r="D40" i="24" s="1"/>
  <c r="D40" i="29" s="1"/>
  <c r="C39" i="5"/>
  <c r="D39" i="24" s="1"/>
  <c r="D39" i="29" s="1"/>
  <c r="C38" i="5"/>
  <c r="D38" i="24" s="1"/>
  <c r="C37" i="5"/>
  <c r="D37" i="24" s="1"/>
  <c r="D37" i="29" s="1"/>
  <c r="C36" i="5"/>
  <c r="D36" i="24" s="1"/>
  <c r="D36" i="29" s="1"/>
  <c r="C35" i="5"/>
  <c r="D35" i="24" s="1"/>
  <c r="D35" i="29" s="1"/>
  <c r="C34" i="5"/>
  <c r="D34" i="24" s="1"/>
  <c r="C33" i="5"/>
  <c r="D33" i="24" s="1"/>
  <c r="D33" i="29" s="1"/>
  <c r="C31" i="5"/>
  <c r="D31" i="24" s="1"/>
  <c r="D31" i="29" s="1"/>
  <c r="C30" i="5"/>
  <c r="D30" i="24" s="1"/>
  <c r="D30" i="29" s="1"/>
  <c r="C29" i="5"/>
  <c r="D29" i="24" s="1"/>
  <c r="C28" i="5"/>
  <c r="D28" i="24" s="1"/>
  <c r="D28" i="29" s="1"/>
  <c r="C27" i="5"/>
  <c r="D27" i="24" s="1"/>
  <c r="D27" i="29" s="1"/>
  <c r="C26" i="5"/>
  <c r="D26" i="24" s="1"/>
  <c r="D26" i="29" s="1"/>
  <c r="C25" i="5"/>
  <c r="D25" i="24" s="1"/>
  <c r="C24" i="5"/>
  <c r="D24" i="24" s="1"/>
  <c r="D24" i="29" s="1"/>
  <c r="C23" i="5"/>
  <c r="D23" i="24" s="1"/>
  <c r="D23" i="29" s="1"/>
  <c r="C22" i="5"/>
  <c r="D22" i="24" s="1"/>
  <c r="D22" i="29" s="1"/>
  <c r="C21" i="5"/>
  <c r="D21" i="24" s="1"/>
  <c r="C20" i="5"/>
  <c r="D20" i="24" s="1"/>
  <c r="C19" i="5"/>
  <c r="D19" i="24" s="1"/>
  <c r="D19" i="29" s="1"/>
  <c r="C17" i="5"/>
  <c r="D17" i="24" s="1"/>
  <c r="D17" i="29" s="1"/>
  <c r="C16" i="5"/>
  <c r="D16" i="24" s="1"/>
  <c r="C15" i="5"/>
  <c r="D15" i="24" s="1"/>
  <c r="D15" i="29" s="1"/>
  <c r="C14" i="5"/>
  <c r="D14" i="24" s="1"/>
  <c r="D14" i="29" s="1"/>
  <c r="C13" i="5"/>
  <c r="D13" i="24" s="1"/>
  <c r="D13" i="29" s="1"/>
  <c r="C12" i="5"/>
  <c r="D12" i="24" s="1"/>
  <c r="C11" i="5"/>
  <c r="D11" i="24" s="1"/>
  <c r="D11" i="29" s="1"/>
  <c r="C10" i="5"/>
  <c r="D10" i="24" s="1"/>
  <c r="D10" i="29" s="1"/>
  <c r="C9" i="5"/>
  <c r="D9" i="24" s="1"/>
  <c r="D9" i="29" s="1"/>
  <c r="C8" i="5"/>
  <c r="D8" i="24" s="1"/>
  <c r="C7" i="5"/>
  <c r="D7" i="24" s="1"/>
  <c r="D7" i="29" s="1"/>
  <c r="C6" i="5"/>
  <c r="D6" i="24" s="1"/>
  <c r="D6" i="29" s="1"/>
  <c r="C5" i="5"/>
  <c r="D5" i="24" s="1"/>
  <c r="D5" i="29" s="1"/>
  <c r="C4" i="5"/>
  <c r="D4" i="24" s="1"/>
  <c r="C148" i="15"/>
  <c r="Q148" i="24" s="1"/>
  <c r="Q148" i="29" s="1"/>
  <c r="C147" i="15"/>
  <c r="Q147" i="24" s="1"/>
  <c r="Q147" i="29" s="1"/>
  <c r="C146" i="15"/>
  <c r="Q146" i="24" s="1"/>
  <c r="Q146" i="29" s="1"/>
  <c r="C145" i="15"/>
  <c r="Q145" i="24" s="1"/>
  <c r="Q145" i="29" s="1"/>
  <c r="C144" i="15"/>
  <c r="Q144" i="24" s="1"/>
  <c r="Q144" i="29" s="1"/>
  <c r="C143" i="15"/>
  <c r="Q143" i="24" s="1"/>
  <c r="Q143" i="29" s="1"/>
  <c r="C142" i="15"/>
  <c r="Q142" i="24" s="1"/>
  <c r="Q142" i="29" s="1"/>
  <c r="C141" i="15"/>
  <c r="C140" i="15"/>
  <c r="F140" i="15" s="1"/>
  <c r="C139" i="15"/>
  <c r="F139" i="15" s="1"/>
  <c r="C138" i="15"/>
  <c r="F138" i="15" s="1"/>
  <c r="C137" i="15"/>
  <c r="F137" i="15" s="1"/>
  <c r="C136" i="15"/>
  <c r="F136" i="15" s="1"/>
  <c r="C135" i="15"/>
  <c r="F135" i="15" s="1"/>
  <c r="C134" i="15"/>
  <c r="F134" i="15" s="1"/>
  <c r="C133" i="15"/>
  <c r="F133" i="15" s="1"/>
  <c r="C132" i="15"/>
  <c r="F132" i="15" s="1"/>
  <c r="C131" i="15"/>
  <c r="F131" i="15" s="1"/>
  <c r="C130" i="15"/>
  <c r="F130" i="15" s="1"/>
  <c r="C129" i="15"/>
  <c r="F129" i="15" s="1"/>
  <c r="C128" i="15"/>
  <c r="C127" i="15"/>
  <c r="C126" i="15"/>
  <c r="C125" i="15"/>
  <c r="C124" i="15"/>
  <c r="C123" i="15"/>
  <c r="C122" i="15"/>
  <c r="C121" i="15"/>
  <c r="C120" i="15"/>
  <c r="C119" i="15"/>
  <c r="C118" i="15"/>
  <c r="Q118" i="24" s="1"/>
  <c r="Q118" i="29" s="1"/>
  <c r="C116" i="15"/>
  <c r="C115" i="15"/>
  <c r="C114" i="15"/>
  <c r="Q114" i="24" s="1"/>
  <c r="Q114" i="29" s="1"/>
  <c r="C112" i="15"/>
  <c r="Q112" i="24" s="1"/>
  <c r="Q112" i="29" s="1"/>
  <c r="C111" i="15"/>
  <c r="C110" i="15"/>
  <c r="C109" i="15"/>
  <c r="C108" i="15"/>
  <c r="C107" i="15"/>
  <c r="Q107" i="24" s="1"/>
  <c r="Q107" i="29" s="1"/>
  <c r="C104" i="15"/>
  <c r="Q104" i="24" s="1"/>
  <c r="Q104" i="29" s="1"/>
  <c r="C103" i="15"/>
  <c r="Q103" i="24" s="1"/>
  <c r="Q103" i="29" s="1"/>
  <c r="C102" i="15"/>
  <c r="Q102" i="24" s="1"/>
  <c r="Q102" i="29" s="1"/>
  <c r="C101" i="15"/>
  <c r="Q101" i="24" s="1"/>
  <c r="Q101" i="29" s="1"/>
  <c r="C100" i="15"/>
  <c r="Q100" i="24" s="1"/>
  <c r="Q100" i="29" s="1"/>
  <c r="C99" i="15"/>
  <c r="Q99" i="24" s="1"/>
  <c r="Q99" i="29" s="1"/>
  <c r="C98" i="15"/>
  <c r="Q98" i="24" s="1"/>
  <c r="Q98" i="29" s="1"/>
  <c r="C97" i="15"/>
  <c r="Q97" i="24" s="1"/>
  <c r="Q97" i="29" s="1"/>
  <c r="C96" i="15"/>
  <c r="Q96" i="24" s="1"/>
  <c r="Q96" i="29" s="1"/>
  <c r="C95" i="15"/>
  <c r="Q95" i="24" s="1"/>
  <c r="Q95" i="29" s="1"/>
  <c r="C94" i="15"/>
  <c r="Q94" i="24" s="1"/>
  <c r="Q94" i="29" s="1"/>
  <c r="C93" i="15"/>
  <c r="Q93" i="24" s="1"/>
  <c r="Q93" i="29" s="1"/>
  <c r="C90" i="15"/>
  <c r="Q90" i="24" s="1"/>
  <c r="Q90" i="29" s="1"/>
  <c r="C89" i="15"/>
  <c r="Q89" i="24" s="1"/>
  <c r="Q89" i="29" s="1"/>
  <c r="C88" i="15"/>
  <c r="Q88" i="24" s="1"/>
  <c r="Q88" i="29" s="1"/>
  <c r="C87" i="15"/>
  <c r="Q87" i="24" s="1"/>
  <c r="Q87" i="29" s="1"/>
  <c r="C86" i="15"/>
  <c r="Q86" i="24" s="1"/>
  <c r="Q86" i="29" s="1"/>
  <c r="C85" i="15"/>
  <c r="Q85" i="24" s="1"/>
  <c r="Q85" i="29" s="1"/>
  <c r="C84" i="15"/>
  <c r="Q84" i="24" s="1"/>
  <c r="Q84" i="29" s="1"/>
  <c r="C83" i="15"/>
  <c r="Q83" i="24" s="1"/>
  <c r="Q83" i="29" s="1"/>
  <c r="C82" i="15"/>
  <c r="Q82" i="24" s="1"/>
  <c r="Q82" i="29" s="1"/>
  <c r="C81" i="15"/>
  <c r="Q81" i="24" s="1"/>
  <c r="Q81" i="29" s="1"/>
  <c r="C77" i="15"/>
  <c r="Q77" i="24" s="1"/>
  <c r="Q77" i="29" s="1"/>
  <c r="C76" i="15"/>
  <c r="Q76" i="24" s="1"/>
  <c r="Q76" i="29" s="1"/>
  <c r="C75" i="15"/>
  <c r="Q75" i="24" s="1"/>
  <c r="Q75" i="29" s="1"/>
  <c r="C74" i="15"/>
  <c r="Q74" i="24" s="1"/>
  <c r="Q74" i="29" s="1"/>
  <c r="C73" i="15"/>
  <c r="Q73" i="24" s="1"/>
  <c r="Q73" i="29" s="1"/>
  <c r="C72" i="15"/>
  <c r="Q72" i="24" s="1"/>
  <c r="Q72" i="29" s="1"/>
  <c r="C71" i="15"/>
  <c r="Q71" i="24" s="1"/>
  <c r="Q71" i="29" s="1"/>
  <c r="C70" i="15"/>
  <c r="Q70" i="24" s="1"/>
  <c r="Q70" i="29" s="1"/>
  <c r="C69" i="15"/>
  <c r="Q69" i="24" s="1"/>
  <c r="Q69" i="29" s="1"/>
  <c r="C68" i="15"/>
  <c r="Q68" i="24" s="1"/>
  <c r="Q68" i="29" s="1"/>
  <c r="C67" i="15"/>
  <c r="Q67" i="24" s="1"/>
  <c r="C66" i="15"/>
  <c r="Q66" i="24" s="1"/>
  <c r="C65" i="15"/>
  <c r="Q65" i="24" s="1"/>
  <c r="Q65" i="29" s="1"/>
  <c r="C64" i="15"/>
  <c r="Q64" i="24" s="1"/>
  <c r="Q64" i="29" s="1"/>
  <c r="C63" i="15"/>
  <c r="Q63" i="24" s="1"/>
  <c r="Q63" i="29" s="1"/>
  <c r="C62" i="15"/>
  <c r="Q62" i="24" s="1"/>
  <c r="Q62" i="29" s="1"/>
  <c r="C61" i="15"/>
  <c r="Q61" i="24" s="1"/>
  <c r="Q61" i="29" s="1"/>
  <c r="C60" i="15"/>
  <c r="Q60" i="24" s="1"/>
  <c r="Q60" i="29" s="1"/>
  <c r="C59" i="15"/>
  <c r="Q59" i="24" s="1"/>
  <c r="Q59" i="29" s="1"/>
  <c r="C58" i="15"/>
  <c r="Q58" i="24" s="1"/>
  <c r="C57" i="15"/>
  <c r="Q57" i="24" s="1"/>
  <c r="Q57" i="29" s="1"/>
  <c r="C56" i="15"/>
  <c r="Q56" i="24" s="1"/>
  <c r="Q56" i="29" s="1"/>
  <c r="C54" i="15"/>
  <c r="Q54" i="24" s="1"/>
  <c r="Q54" i="29" s="1"/>
  <c r="C53" i="15"/>
  <c r="Q53" i="24" s="1"/>
  <c r="Q53" i="29" s="1"/>
  <c r="C51" i="15"/>
  <c r="Q51" i="24" s="1"/>
  <c r="Q51" i="29" s="1"/>
  <c r="C50" i="15"/>
  <c r="Q50" i="24" s="1"/>
  <c r="Q50" i="29" s="1"/>
  <c r="C48" i="15"/>
  <c r="Q48" i="24" s="1"/>
  <c r="Q48" i="29" s="1"/>
  <c r="C47" i="15"/>
  <c r="Q47" i="24" s="1"/>
  <c r="Q47" i="29" s="1"/>
  <c r="C46" i="15"/>
  <c r="Q46" i="24" s="1"/>
  <c r="Q46" i="29" s="1"/>
  <c r="C45" i="15"/>
  <c r="Q45" i="24" s="1"/>
  <c r="Q45" i="29" s="1"/>
  <c r="C44" i="15"/>
  <c r="Q44" i="24" s="1"/>
  <c r="Q44" i="29" s="1"/>
  <c r="C43" i="15"/>
  <c r="Q43" i="24" s="1"/>
  <c r="Q43" i="29" s="1"/>
  <c r="C42" i="15"/>
  <c r="Q42" i="24" s="1"/>
  <c r="Q42" i="29" s="1"/>
  <c r="C41" i="15"/>
  <c r="Q41" i="24" s="1"/>
  <c r="Q41" i="29" s="1"/>
  <c r="C40" i="15"/>
  <c r="Q40" i="24" s="1"/>
  <c r="Q40" i="29" s="1"/>
  <c r="C39" i="15"/>
  <c r="Q39" i="24" s="1"/>
  <c r="Q39" i="29" s="1"/>
  <c r="C38" i="15"/>
  <c r="Q38" i="24" s="1"/>
  <c r="Q38" i="29" s="1"/>
  <c r="C37" i="15"/>
  <c r="Q37" i="24" s="1"/>
  <c r="C36" i="15"/>
  <c r="Q36" i="24" s="1"/>
  <c r="C35" i="15"/>
  <c r="Q35" i="24" s="1"/>
  <c r="C34" i="15"/>
  <c r="Q34" i="24" s="1"/>
  <c r="C33" i="15"/>
  <c r="Q33" i="24" s="1"/>
  <c r="Q33" i="29" s="1"/>
  <c r="C31" i="15"/>
  <c r="Q31" i="24" s="1"/>
  <c r="Q31" i="29" s="1"/>
  <c r="C30" i="15"/>
  <c r="Q30" i="24" s="1"/>
  <c r="Q30" i="29" s="1"/>
  <c r="C29" i="15"/>
  <c r="Q29" i="24" s="1"/>
  <c r="Q29" i="29" s="1"/>
  <c r="C28" i="15"/>
  <c r="Q28" i="24" s="1"/>
  <c r="Q28" i="29" s="1"/>
  <c r="C27" i="15"/>
  <c r="Q27" i="24" s="1"/>
  <c r="Q27" i="29" s="1"/>
  <c r="C26" i="15"/>
  <c r="Q26" i="24" s="1"/>
  <c r="Q26" i="29" s="1"/>
  <c r="C25" i="15"/>
  <c r="Q25" i="24" s="1"/>
  <c r="Q25" i="29" s="1"/>
  <c r="C24" i="15"/>
  <c r="Q24" i="24" s="1"/>
  <c r="Q24" i="29" s="1"/>
  <c r="C23" i="15"/>
  <c r="Q23" i="24" s="1"/>
  <c r="Q23" i="29" s="1"/>
  <c r="C22" i="15"/>
  <c r="Q22" i="24" s="1"/>
  <c r="Q22" i="29" s="1"/>
  <c r="C21" i="15"/>
  <c r="Q21" i="24" s="1"/>
  <c r="Q21" i="29" s="1"/>
  <c r="C20" i="15"/>
  <c r="Q20" i="24" s="1"/>
  <c r="Q20" i="29" s="1"/>
  <c r="C19" i="15"/>
  <c r="Q19" i="24" s="1"/>
  <c r="Q19" i="29" s="1"/>
  <c r="C17" i="15"/>
  <c r="Q17" i="24" s="1"/>
  <c r="Q17" i="29" s="1"/>
  <c r="C16" i="15"/>
  <c r="Q16" i="24" s="1"/>
  <c r="Q16" i="29" s="1"/>
  <c r="C15" i="15"/>
  <c r="Q15" i="24" s="1"/>
  <c r="Q15" i="29" s="1"/>
  <c r="C14" i="15"/>
  <c r="Q14" i="24" s="1"/>
  <c r="Q14" i="29" s="1"/>
  <c r="C13" i="15"/>
  <c r="Q13" i="24" s="1"/>
  <c r="Q13" i="29" s="1"/>
  <c r="C12" i="15"/>
  <c r="Q12" i="24" s="1"/>
  <c r="Q12" i="29" s="1"/>
  <c r="C11" i="15"/>
  <c r="Q11" i="24" s="1"/>
  <c r="Q11" i="29" s="1"/>
  <c r="C10" i="15"/>
  <c r="Q10" i="24" s="1"/>
  <c r="C9" i="15"/>
  <c r="Q9" i="24" s="1"/>
  <c r="Q9" i="29" s="1"/>
  <c r="C8" i="15"/>
  <c r="Q8" i="24" s="1"/>
  <c r="C7" i="15"/>
  <c r="Q7" i="24" s="1"/>
  <c r="Q7" i="29" s="1"/>
  <c r="C6" i="15"/>
  <c r="Q6" i="24" s="1"/>
  <c r="Q6" i="29" s="1"/>
  <c r="C5" i="15"/>
  <c r="Q5" i="24" s="1"/>
  <c r="C4" i="15"/>
  <c r="Q4" i="24" s="1"/>
  <c r="Q4" i="29" s="1"/>
  <c r="C148" i="16"/>
  <c r="R148" i="24" s="1"/>
  <c r="R148" i="29" s="1"/>
  <c r="C147" i="16"/>
  <c r="R147" i="24" s="1"/>
  <c r="R147" i="29" s="1"/>
  <c r="C146" i="16"/>
  <c r="R146" i="24" s="1"/>
  <c r="R146" i="29" s="1"/>
  <c r="C145" i="16"/>
  <c r="R145" i="24" s="1"/>
  <c r="R145" i="29" s="1"/>
  <c r="C144" i="16"/>
  <c r="R144" i="24" s="1"/>
  <c r="R144" i="29" s="1"/>
  <c r="C143" i="16"/>
  <c r="R143" i="24" s="1"/>
  <c r="R143" i="29" s="1"/>
  <c r="C142" i="16"/>
  <c r="R142" i="24" s="1"/>
  <c r="R142" i="29" s="1"/>
  <c r="C141" i="16"/>
  <c r="C140" i="16"/>
  <c r="F140" i="16" s="1"/>
  <c r="C139" i="16"/>
  <c r="F139" i="16" s="1"/>
  <c r="C138" i="16"/>
  <c r="F138" i="16" s="1"/>
  <c r="C137" i="16"/>
  <c r="F137" i="16" s="1"/>
  <c r="C136" i="16"/>
  <c r="F136" i="16" s="1"/>
  <c r="C135" i="16"/>
  <c r="F135" i="16" s="1"/>
  <c r="C134" i="16"/>
  <c r="F134" i="16" s="1"/>
  <c r="C133" i="16"/>
  <c r="F133" i="16" s="1"/>
  <c r="C132" i="16"/>
  <c r="F132" i="16" s="1"/>
  <c r="C131" i="16"/>
  <c r="F131" i="16" s="1"/>
  <c r="C130" i="16"/>
  <c r="F130" i="16" s="1"/>
  <c r="C129" i="16"/>
  <c r="F129" i="16" s="1"/>
  <c r="C128" i="16"/>
  <c r="C127" i="16"/>
  <c r="C126" i="16"/>
  <c r="C125" i="16"/>
  <c r="C124" i="16"/>
  <c r="C123" i="16"/>
  <c r="C122" i="16"/>
  <c r="C121" i="16"/>
  <c r="C120" i="16"/>
  <c r="C119" i="16"/>
  <c r="C118" i="16"/>
  <c r="R118" i="24" s="1"/>
  <c r="R118" i="29" s="1"/>
  <c r="C116" i="16"/>
  <c r="C115" i="16"/>
  <c r="C114" i="16"/>
  <c r="R114" i="24" s="1"/>
  <c r="R114" i="29" s="1"/>
  <c r="C112" i="16"/>
  <c r="R112" i="24" s="1"/>
  <c r="R112" i="29" s="1"/>
  <c r="C111" i="16"/>
  <c r="C110" i="16"/>
  <c r="C109" i="16"/>
  <c r="C108" i="16"/>
  <c r="C107" i="16"/>
  <c r="R107" i="24" s="1"/>
  <c r="R107" i="29" s="1"/>
  <c r="C104" i="16"/>
  <c r="R104" i="24" s="1"/>
  <c r="R104" i="29" s="1"/>
  <c r="C103" i="16"/>
  <c r="R103" i="24" s="1"/>
  <c r="R103" i="29" s="1"/>
  <c r="C102" i="16"/>
  <c r="R102" i="24" s="1"/>
  <c r="R102" i="29" s="1"/>
  <c r="C101" i="16"/>
  <c r="R101" i="24" s="1"/>
  <c r="R101" i="29" s="1"/>
  <c r="C100" i="16"/>
  <c r="R100" i="24" s="1"/>
  <c r="R100" i="29" s="1"/>
  <c r="C99" i="16"/>
  <c r="R99" i="24" s="1"/>
  <c r="R99" i="29" s="1"/>
  <c r="C98" i="16"/>
  <c r="R98" i="24" s="1"/>
  <c r="R98" i="29" s="1"/>
  <c r="C97" i="16"/>
  <c r="R97" i="24" s="1"/>
  <c r="R97" i="29" s="1"/>
  <c r="C96" i="16"/>
  <c r="R96" i="24" s="1"/>
  <c r="R96" i="29" s="1"/>
  <c r="C95" i="16"/>
  <c r="R95" i="24" s="1"/>
  <c r="R95" i="29" s="1"/>
  <c r="C94" i="16"/>
  <c r="R94" i="24" s="1"/>
  <c r="R94" i="29" s="1"/>
  <c r="C93" i="16"/>
  <c r="R93" i="24" s="1"/>
  <c r="R93" i="29" s="1"/>
  <c r="C90" i="16"/>
  <c r="R90" i="24" s="1"/>
  <c r="R90" i="29" s="1"/>
  <c r="C89" i="16"/>
  <c r="R89" i="24" s="1"/>
  <c r="R89" i="29" s="1"/>
  <c r="C88" i="16"/>
  <c r="R88" i="24" s="1"/>
  <c r="R88" i="29" s="1"/>
  <c r="C87" i="16"/>
  <c r="R87" i="24" s="1"/>
  <c r="R87" i="29" s="1"/>
  <c r="C86" i="16"/>
  <c r="R86" i="24" s="1"/>
  <c r="R86" i="29" s="1"/>
  <c r="C85" i="16"/>
  <c r="R85" i="24" s="1"/>
  <c r="R85" i="29" s="1"/>
  <c r="C84" i="16"/>
  <c r="R84" i="24" s="1"/>
  <c r="R84" i="29" s="1"/>
  <c r="C83" i="16"/>
  <c r="R83" i="24" s="1"/>
  <c r="R83" i="29" s="1"/>
  <c r="C82" i="16"/>
  <c r="R82" i="24" s="1"/>
  <c r="R82" i="29" s="1"/>
  <c r="C81" i="16"/>
  <c r="R81" i="24" s="1"/>
  <c r="R81" i="29" s="1"/>
  <c r="C77" i="16"/>
  <c r="R77" i="24" s="1"/>
  <c r="R77" i="29" s="1"/>
  <c r="C76" i="16"/>
  <c r="R76" i="24" s="1"/>
  <c r="R76" i="29" s="1"/>
  <c r="C75" i="16"/>
  <c r="R75" i="24" s="1"/>
  <c r="R75" i="29" s="1"/>
  <c r="C74" i="16"/>
  <c r="R74" i="24" s="1"/>
  <c r="R74" i="29" s="1"/>
  <c r="C73" i="16"/>
  <c r="R73" i="24" s="1"/>
  <c r="R73" i="29" s="1"/>
  <c r="C72" i="16"/>
  <c r="R72" i="24" s="1"/>
  <c r="R72" i="29" s="1"/>
  <c r="C71" i="16"/>
  <c r="R71" i="24" s="1"/>
  <c r="R71" i="29" s="1"/>
  <c r="C70" i="16"/>
  <c r="R70" i="24" s="1"/>
  <c r="R70" i="29" s="1"/>
  <c r="C69" i="16"/>
  <c r="R69" i="24" s="1"/>
  <c r="R69" i="29" s="1"/>
  <c r="C68" i="16"/>
  <c r="R68" i="24" s="1"/>
  <c r="R68" i="29" s="1"/>
  <c r="C67" i="16"/>
  <c r="R67" i="24" s="1"/>
  <c r="R67" i="29" s="1"/>
  <c r="C66" i="16"/>
  <c r="R66" i="24" s="1"/>
  <c r="R66" i="29" s="1"/>
  <c r="C65" i="16"/>
  <c r="R65" i="24" s="1"/>
  <c r="R65" i="29" s="1"/>
  <c r="C64" i="16"/>
  <c r="R64" i="24" s="1"/>
  <c r="R64" i="29" s="1"/>
  <c r="C63" i="16"/>
  <c r="R63" i="24" s="1"/>
  <c r="R63" i="29" s="1"/>
  <c r="C62" i="16"/>
  <c r="R62" i="24" s="1"/>
  <c r="R62" i="29" s="1"/>
  <c r="C61" i="16"/>
  <c r="R61" i="24" s="1"/>
  <c r="R61" i="29" s="1"/>
  <c r="C60" i="16"/>
  <c r="R60" i="24" s="1"/>
  <c r="R60" i="29" s="1"/>
  <c r="C59" i="16"/>
  <c r="R59" i="24" s="1"/>
  <c r="R59" i="29" s="1"/>
  <c r="C58" i="16"/>
  <c r="R58" i="24" s="1"/>
  <c r="R58" i="29" s="1"/>
  <c r="C57" i="16"/>
  <c r="R57" i="24" s="1"/>
  <c r="R57" i="29" s="1"/>
  <c r="C56" i="16"/>
  <c r="R56" i="24" s="1"/>
  <c r="R56" i="29" s="1"/>
  <c r="C54" i="16"/>
  <c r="R54" i="24" s="1"/>
  <c r="R54" i="29" s="1"/>
  <c r="C53" i="16"/>
  <c r="R53" i="24" s="1"/>
  <c r="R53" i="29" s="1"/>
  <c r="C51" i="16"/>
  <c r="R51" i="24" s="1"/>
  <c r="R51" i="29" s="1"/>
  <c r="C50" i="16"/>
  <c r="R50" i="24" s="1"/>
  <c r="R50" i="29" s="1"/>
  <c r="C48" i="16"/>
  <c r="R48" i="24" s="1"/>
  <c r="R48" i="29" s="1"/>
  <c r="C47" i="16"/>
  <c r="R47" i="24" s="1"/>
  <c r="R47" i="29" s="1"/>
  <c r="C46" i="16"/>
  <c r="R46" i="24" s="1"/>
  <c r="R46" i="29" s="1"/>
  <c r="C45" i="16"/>
  <c r="R45" i="24" s="1"/>
  <c r="R45" i="29" s="1"/>
  <c r="C44" i="16"/>
  <c r="R44" i="24" s="1"/>
  <c r="R44" i="29" s="1"/>
  <c r="C43" i="16"/>
  <c r="R43" i="24" s="1"/>
  <c r="R43" i="29" s="1"/>
  <c r="C42" i="16"/>
  <c r="R42" i="24" s="1"/>
  <c r="R42" i="29" s="1"/>
  <c r="C41" i="16"/>
  <c r="R41" i="24" s="1"/>
  <c r="R41" i="29" s="1"/>
  <c r="C40" i="16"/>
  <c r="R40" i="24" s="1"/>
  <c r="R40" i="29" s="1"/>
  <c r="C39" i="16"/>
  <c r="R39" i="24" s="1"/>
  <c r="R39" i="29" s="1"/>
  <c r="C38" i="16"/>
  <c r="R38" i="24" s="1"/>
  <c r="R38" i="29" s="1"/>
  <c r="C37" i="16"/>
  <c r="R37" i="24" s="1"/>
  <c r="R37" i="29" s="1"/>
  <c r="C36" i="16"/>
  <c r="R36" i="24" s="1"/>
  <c r="R36" i="29" s="1"/>
  <c r="C35" i="16"/>
  <c r="R35" i="24" s="1"/>
  <c r="R35" i="29" s="1"/>
  <c r="C34" i="16"/>
  <c r="R34" i="24" s="1"/>
  <c r="R34" i="29" s="1"/>
  <c r="C33" i="16"/>
  <c r="R33" i="24" s="1"/>
  <c r="R33" i="29" s="1"/>
  <c r="C31" i="16"/>
  <c r="R31" i="24" s="1"/>
  <c r="R31" i="29" s="1"/>
  <c r="C30" i="16"/>
  <c r="R30" i="24" s="1"/>
  <c r="R30" i="29" s="1"/>
  <c r="C29" i="16"/>
  <c r="R29" i="24" s="1"/>
  <c r="R29" i="29" s="1"/>
  <c r="C28" i="16"/>
  <c r="R28" i="24" s="1"/>
  <c r="R28" i="29" s="1"/>
  <c r="C27" i="16"/>
  <c r="R27" i="24" s="1"/>
  <c r="R27" i="29" s="1"/>
  <c r="C26" i="16"/>
  <c r="R26" i="24" s="1"/>
  <c r="R26" i="29" s="1"/>
  <c r="C25" i="16"/>
  <c r="R25" i="24" s="1"/>
  <c r="R25" i="29" s="1"/>
  <c r="C24" i="16"/>
  <c r="R24" i="24" s="1"/>
  <c r="R24" i="29" s="1"/>
  <c r="C23" i="16"/>
  <c r="R23" i="24" s="1"/>
  <c r="R23" i="29" s="1"/>
  <c r="C22" i="16"/>
  <c r="R22" i="24" s="1"/>
  <c r="R22" i="29" s="1"/>
  <c r="C21" i="16"/>
  <c r="R21" i="24" s="1"/>
  <c r="R21" i="29" s="1"/>
  <c r="C20" i="16"/>
  <c r="R20" i="24" s="1"/>
  <c r="R20" i="29" s="1"/>
  <c r="C19" i="16"/>
  <c r="R19" i="24" s="1"/>
  <c r="R19" i="29" s="1"/>
  <c r="C17" i="16"/>
  <c r="R17" i="24" s="1"/>
  <c r="R17" i="29" s="1"/>
  <c r="C16" i="16"/>
  <c r="R16" i="24" s="1"/>
  <c r="R16" i="29" s="1"/>
  <c r="C15" i="16"/>
  <c r="R15" i="24" s="1"/>
  <c r="R15" i="29" s="1"/>
  <c r="C14" i="16"/>
  <c r="R14" i="24" s="1"/>
  <c r="R14" i="29" s="1"/>
  <c r="C13" i="16"/>
  <c r="R13" i="24" s="1"/>
  <c r="R13" i="29" s="1"/>
  <c r="C12" i="16"/>
  <c r="R12" i="24" s="1"/>
  <c r="R12" i="29" s="1"/>
  <c r="C11" i="16"/>
  <c r="R11" i="24" s="1"/>
  <c r="R11" i="29" s="1"/>
  <c r="C10" i="16"/>
  <c r="R10" i="24" s="1"/>
  <c r="R10" i="29" s="1"/>
  <c r="C9" i="16"/>
  <c r="R9" i="24" s="1"/>
  <c r="R9" i="29" s="1"/>
  <c r="C8" i="16"/>
  <c r="R8" i="24" s="1"/>
  <c r="R8" i="29" s="1"/>
  <c r="C7" i="16"/>
  <c r="R7" i="24" s="1"/>
  <c r="R7" i="29" s="1"/>
  <c r="C6" i="16"/>
  <c r="R6" i="24" s="1"/>
  <c r="R6" i="29" s="1"/>
  <c r="C5" i="16"/>
  <c r="R5" i="24" s="1"/>
  <c r="R5" i="29" s="1"/>
  <c r="C4" i="16"/>
  <c r="R4" i="24" s="1"/>
  <c r="R4" i="29" s="1"/>
  <c r="C148" i="13"/>
  <c r="O148" i="24" s="1"/>
  <c r="O148" i="29" s="1"/>
  <c r="C147" i="13"/>
  <c r="O147" i="24" s="1"/>
  <c r="O147" i="29" s="1"/>
  <c r="C146" i="13"/>
  <c r="O146" i="24" s="1"/>
  <c r="O146" i="29" s="1"/>
  <c r="C145" i="13"/>
  <c r="O145" i="24" s="1"/>
  <c r="O145" i="29" s="1"/>
  <c r="C144" i="13"/>
  <c r="O144" i="24" s="1"/>
  <c r="O144" i="29" s="1"/>
  <c r="C143" i="13"/>
  <c r="O143" i="24" s="1"/>
  <c r="O143" i="29" s="1"/>
  <c r="C142" i="13"/>
  <c r="O142" i="24" s="1"/>
  <c r="O142" i="29" s="1"/>
  <c r="C141" i="13"/>
  <c r="C140" i="13"/>
  <c r="F140" i="13" s="1"/>
  <c r="C139" i="13"/>
  <c r="F139" i="13" s="1"/>
  <c r="C138" i="13"/>
  <c r="F138" i="13" s="1"/>
  <c r="C137" i="13"/>
  <c r="F137" i="13" s="1"/>
  <c r="C136" i="13"/>
  <c r="F136" i="13" s="1"/>
  <c r="C135" i="13"/>
  <c r="F135" i="13" s="1"/>
  <c r="C134" i="13"/>
  <c r="F134" i="13" s="1"/>
  <c r="C133" i="13"/>
  <c r="F133" i="13" s="1"/>
  <c r="C132" i="13"/>
  <c r="F132" i="13" s="1"/>
  <c r="C131" i="13"/>
  <c r="F131" i="13" s="1"/>
  <c r="C130" i="13"/>
  <c r="F130" i="13" s="1"/>
  <c r="C129" i="13"/>
  <c r="F129" i="13" s="1"/>
  <c r="C128" i="13"/>
  <c r="C127" i="13"/>
  <c r="C126" i="13"/>
  <c r="C125" i="13"/>
  <c r="C124" i="13"/>
  <c r="C123" i="13"/>
  <c r="C122" i="13"/>
  <c r="C121" i="13"/>
  <c r="C120" i="13"/>
  <c r="C119" i="13"/>
  <c r="C118" i="13"/>
  <c r="O118" i="24" s="1"/>
  <c r="O118" i="29" s="1"/>
  <c r="C116" i="13"/>
  <c r="C115" i="13"/>
  <c r="C114" i="13"/>
  <c r="O114" i="24" s="1"/>
  <c r="O114" i="29" s="1"/>
  <c r="C112" i="13"/>
  <c r="O112" i="24" s="1"/>
  <c r="O112" i="29" s="1"/>
  <c r="C111" i="13"/>
  <c r="C110" i="13"/>
  <c r="C109" i="13"/>
  <c r="C108" i="13"/>
  <c r="C107" i="13"/>
  <c r="O107" i="24" s="1"/>
  <c r="O107" i="29" s="1"/>
  <c r="C104" i="13"/>
  <c r="O104" i="24" s="1"/>
  <c r="O104" i="29" s="1"/>
  <c r="C103" i="13"/>
  <c r="O103" i="24" s="1"/>
  <c r="O103" i="29" s="1"/>
  <c r="C102" i="13"/>
  <c r="O102" i="24" s="1"/>
  <c r="O102" i="29" s="1"/>
  <c r="C101" i="13"/>
  <c r="O101" i="24" s="1"/>
  <c r="O101" i="29" s="1"/>
  <c r="C100" i="13"/>
  <c r="O100" i="24" s="1"/>
  <c r="O100" i="29" s="1"/>
  <c r="C99" i="13"/>
  <c r="O99" i="24" s="1"/>
  <c r="O99" i="29" s="1"/>
  <c r="C98" i="13"/>
  <c r="O98" i="24" s="1"/>
  <c r="O98" i="29" s="1"/>
  <c r="C97" i="13"/>
  <c r="O97" i="24" s="1"/>
  <c r="O97" i="29" s="1"/>
  <c r="C96" i="13"/>
  <c r="O96" i="24" s="1"/>
  <c r="O96" i="29" s="1"/>
  <c r="C95" i="13"/>
  <c r="O95" i="24" s="1"/>
  <c r="O95" i="29" s="1"/>
  <c r="C94" i="13"/>
  <c r="O94" i="24" s="1"/>
  <c r="O94" i="29" s="1"/>
  <c r="C93" i="13"/>
  <c r="O93" i="24" s="1"/>
  <c r="O93" i="29" s="1"/>
  <c r="C90" i="13"/>
  <c r="O90" i="24" s="1"/>
  <c r="O90" i="29" s="1"/>
  <c r="C89" i="13"/>
  <c r="O89" i="24" s="1"/>
  <c r="O89" i="29" s="1"/>
  <c r="C88" i="13"/>
  <c r="O88" i="24" s="1"/>
  <c r="O88" i="29" s="1"/>
  <c r="C87" i="13"/>
  <c r="O87" i="24" s="1"/>
  <c r="O87" i="29" s="1"/>
  <c r="C86" i="13"/>
  <c r="O86" i="24" s="1"/>
  <c r="O86" i="29" s="1"/>
  <c r="C85" i="13"/>
  <c r="O85" i="24" s="1"/>
  <c r="O85" i="29" s="1"/>
  <c r="C84" i="13"/>
  <c r="O84" i="24" s="1"/>
  <c r="O84" i="29" s="1"/>
  <c r="C83" i="13"/>
  <c r="O83" i="24" s="1"/>
  <c r="O83" i="29" s="1"/>
  <c r="C82" i="13"/>
  <c r="O82" i="24" s="1"/>
  <c r="O82" i="29" s="1"/>
  <c r="C81" i="13"/>
  <c r="O81" i="24" s="1"/>
  <c r="O81" i="29" s="1"/>
  <c r="C77" i="13"/>
  <c r="O77" i="24" s="1"/>
  <c r="O77" i="29" s="1"/>
  <c r="C76" i="13"/>
  <c r="O76" i="24" s="1"/>
  <c r="O76" i="29" s="1"/>
  <c r="C75" i="13"/>
  <c r="O75" i="24" s="1"/>
  <c r="O75" i="29" s="1"/>
  <c r="C74" i="13"/>
  <c r="O74" i="24" s="1"/>
  <c r="O74" i="29" s="1"/>
  <c r="C73" i="13"/>
  <c r="O73" i="24" s="1"/>
  <c r="O73" i="29" s="1"/>
  <c r="C72" i="13"/>
  <c r="O72" i="24" s="1"/>
  <c r="O72" i="29" s="1"/>
  <c r="C71" i="13"/>
  <c r="O71" i="24" s="1"/>
  <c r="O71" i="29" s="1"/>
  <c r="C70" i="13"/>
  <c r="O70" i="24" s="1"/>
  <c r="O70" i="29" s="1"/>
  <c r="C69" i="13"/>
  <c r="O69" i="24" s="1"/>
  <c r="O69" i="29" s="1"/>
  <c r="C68" i="13"/>
  <c r="O68" i="24" s="1"/>
  <c r="O68" i="29" s="1"/>
  <c r="C67" i="13"/>
  <c r="O67" i="24" s="1"/>
  <c r="O67" i="29" s="1"/>
  <c r="C66" i="13"/>
  <c r="O66" i="24" s="1"/>
  <c r="O66" i="29" s="1"/>
  <c r="C65" i="13"/>
  <c r="O65" i="24" s="1"/>
  <c r="O65" i="29" s="1"/>
  <c r="C64" i="13"/>
  <c r="O64" i="24" s="1"/>
  <c r="O64" i="29" s="1"/>
  <c r="C63" i="13"/>
  <c r="O63" i="24" s="1"/>
  <c r="O63" i="29" s="1"/>
  <c r="C62" i="13"/>
  <c r="O62" i="24" s="1"/>
  <c r="O62" i="29" s="1"/>
  <c r="C61" i="13"/>
  <c r="O61" i="24" s="1"/>
  <c r="O61" i="29" s="1"/>
  <c r="C60" i="13"/>
  <c r="O60" i="24" s="1"/>
  <c r="O60" i="29" s="1"/>
  <c r="C59" i="13"/>
  <c r="O59" i="24" s="1"/>
  <c r="O59" i="29" s="1"/>
  <c r="C58" i="13"/>
  <c r="O58" i="24" s="1"/>
  <c r="O58" i="29" s="1"/>
  <c r="C57" i="13"/>
  <c r="O57" i="24" s="1"/>
  <c r="O57" i="29" s="1"/>
  <c r="C56" i="13"/>
  <c r="O56" i="24" s="1"/>
  <c r="O56" i="29" s="1"/>
  <c r="C54" i="13"/>
  <c r="O54" i="24" s="1"/>
  <c r="O54" i="29" s="1"/>
  <c r="C53" i="13"/>
  <c r="O53" i="24" s="1"/>
  <c r="O53" i="29" s="1"/>
  <c r="C51" i="13"/>
  <c r="O51" i="24" s="1"/>
  <c r="O51" i="29" s="1"/>
  <c r="C50" i="13"/>
  <c r="O50" i="24" s="1"/>
  <c r="O50" i="29" s="1"/>
  <c r="C48" i="13"/>
  <c r="O48" i="24" s="1"/>
  <c r="O48" i="29" s="1"/>
  <c r="C47" i="13"/>
  <c r="O47" i="24" s="1"/>
  <c r="O47" i="29" s="1"/>
  <c r="C46" i="13"/>
  <c r="O46" i="24" s="1"/>
  <c r="O46" i="29" s="1"/>
  <c r="C45" i="13"/>
  <c r="O45" i="24" s="1"/>
  <c r="O45" i="29" s="1"/>
  <c r="C44" i="13"/>
  <c r="O44" i="24" s="1"/>
  <c r="O44" i="29" s="1"/>
  <c r="C43" i="13"/>
  <c r="O43" i="24" s="1"/>
  <c r="O43" i="29" s="1"/>
  <c r="C42" i="13"/>
  <c r="O42" i="24" s="1"/>
  <c r="O42" i="29" s="1"/>
  <c r="C41" i="13"/>
  <c r="O41" i="24" s="1"/>
  <c r="O41" i="29" s="1"/>
  <c r="C40" i="13"/>
  <c r="O40" i="24" s="1"/>
  <c r="O40" i="29" s="1"/>
  <c r="C39" i="13"/>
  <c r="O39" i="24" s="1"/>
  <c r="O39" i="29" s="1"/>
  <c r="C38" i="13"/>
  <c r="O38" i="24" s="1"/>
  <c r="O38" i="29" s="1"/>
  <c r="C37" i="13"/>
  <c r="O37" i="24" s="1"/>
  <c r="O37" i="29" s="1"/>
  <c r="C36" i="13"/>
  <c r="O36" i="24" s="1"/>
  <c r="O36" i="29" s="1"/>
  <c r="C35" i="13"/>
  <c r="O35" i="24" s="1"/>
  <c r="O35" i="29" s="1"/>
  <c r="C34" i="13"/>
  <c r="O34" i="24" s="1"/>
  <c r="O34" i="29" s="1"/>
  <c r="C33" i="13"/>
  <c r="O33" i="24" s="1"/>
  <c r="O33" i="29" s="1"/>
  <c r="C31" i="13"/>
  <c r="O31" i="24" s="1"/>
  <c r="O31" i="29" s="1"/>
  <c r="C30" i="13"/>
  <c r="O30" i="24" s="1"/>
  <c r="O30" i="29" s="1"/>
  <c r="C29" i="13"/>
  <c r="O29" i="24" s="1"/>
  <c r="O29" i="29" s="1"/>
  <c r="C28" i="13"/>
  <c r="O28" i="24" s="1"/>
  <c r="O28" i="29" s="1"/>
  <c r="C27" i="13"/>
  <c r="O27" i="24" s="1"/>
  <c r="O27" i="29" s="1"/>
  <c r="C26" i="13"/>
  <c r="O26" i="24" s="1"/>
  <c r="O26" i="29" s="1"/>
  <c r="C25" i="13"/>
  <c r="O25" i="24" s="1"/>
  <c r="O25" i="29" s="1"/>
  <c r="C24" i="13"/>
  <c r="O24" i="24" s="1"/>
  <c r="O24" i="29" s="1"/>
  <c r="C23" i="13"/>
  <c r="O23" i="24" s="1"/>
  <c r="O23" i="29" s="1"/>
  <c r="C22" i="13"/>
  <c r="O22" i="24" s="1"/>
  <c r="O22" i="29" s="1"/>
  <c r="C21" i="13"/>
  <c r="O21" i="24" s="1"/>
  <c r="O21" i="29" s="1"/>
  <c r="C20" i="13"/>
  <c r="O20" i="24" s="1"/>
  <c r="O20" i="29" s="1"/>
  <c r="C19" i="13"/>
  <c r="O19" i="24" s="1"/>
  <c r="O19" i="29" s="1"/>
  <c r="C17" i="13"/>
  <c r="O17" i="24" s="1"/>
  <c r="O17" i="29" s="1"/>
  <c r="C16" i="13"/>
  <c r="O16" i="24" s="1"/>
  <c r="O16" i="29" s="1"/>
  <c r="C15" i="13"/>
  <c r="O15" i="24" s="1"/>
  <c r="O15" i="29" s="1"/>
  <c r="C14" i="13"/>
  <c r="O14" i="24" s="1"/>
  <c r="O14" i="29" s="1"/>
  <c r="C13" i="13"/>
  <c r="O13" i="24" s="1"/>
  <c r="O13" i="29" s="1"/>
  <c r="C12" i="13"/>
  <c r="O12" i="24" s="1"/>
  <c r="O12" i="29" s="1"/>
  <c r="C11" i="13"/>
  <c r="O11" i="24" s="1"/>
  <c r="O11" i="29" s="1"/>
  <c r="C10" i="13"/>
  <c r="O10" i="24" s="1"/>
  <c r="O10" i="29" s="1"/>
  <c r="C9" i="13"/>
  <c r="O9" i="24" s="1"/>
  <c r="O9" i="29" s="1"/>
  <c r="C8" i="13"/>
  <c r="O8" i="24" s="1"/>
  <c r="O8" i="29" s="1"/>
  <c r="C7" i="13"/>
  <c r="O7" i="24" s="1"/>
  <c r="O7" i="29" s="1"/>
  <c r="C6" i="13"/>
  <c r="O6" i="24" s="1"/>
  <c r="O6" i="29" s="1"/>
  <c r="C5" i="13"/>
  <c r="O5" i="24" s="1"/>
  <c r="O5" i="29" s="1"/>
  <c r="C4" i="13"/>
  <c r="O4" i="24" s="1"/>
  <c r="O4" i="29" s="1"/>
  <c r="C148" i="18"/>
  <c r="T148" i="24" s="1"/>
  <c r="C147" i="18"/>
  <c r="T147" i="24" s="1"/>
  <c r="C146" i="18"/>
  <c r="T146" i="24" s="1"/>
  <c r="C145" i="18"/>
  <c r="T145" i="24" s="1"/>
  <c r="T145" i="29" s="1"/>
  <c r="C144" i="18"/>
  <c r="T144" i="24" s="1"/>
  <c r="C143" i="18"/>
  <c r="T143" i="24" s="1"/>
  <c r="C142" i="18"/>
  <c r="T142" i="24" s="1"/>
  <c r="C141" i="18"/>
  <c r="C140" i="18"/>
  <c r="F140" i="18" s="1"/>
  <c r="C139" i="18"/>
  <c r="F139" i="18" s="1"/>
  <c r="C138" i="18"/>
  <c r="F138" i="18" s="1"/>
  <c r="C137" i="18"/>
  <c r="F137" i="18" s="1"/>
  <c r="C136" i="18"/>
  <c r="F136" i="18" s="1"/>
  <c r="C135" i="18"/>
  <c r="F135" i="18" s="1"/>
  <c r="C134" i="18"/>
  <c r="F134" i="18" s="1"/>
  <c r="C133" i="18"/>
  <c r="F133" i="18" s="1"/>
  <c r="C132" i="18"/>
  <c r="F132" i="18" s="1"/>
  <c r="C131" i="18"/>
  <c r="F131" i="18" s="1"/>
  <c r="C130" i="18"/>
  <c r="F130" i="18" s="1"/>
  <c r="C129" i="18"/>
  <c r="F129" i="18" s="1"/>
  <c r="C128" i="18"/>
  <c r="C127" i="18"/>
  <c r="C126" i="18"/>
  <c r="C125" i="18"/>
  <c r="C124" i="18"/>
  <c r="C123" i="18"/>
  <c r="C122" i="18"/>
  <c r="C121" i="18"/>
  <c r="C120" i="18"/>
  <c r="C119" i="18"/>
  <c r="C118" i="18"/>
  <c r="T118" i="24" s="1"/>
  <c r="C116" i="18"/>
  <c r="C115" i="18"/>
  <c r="C114" i="18"/>
  <c r="T114" i="24" s="1"/>
  <c r="C112" i="18"/>
  <c r="T112" i="24" s="1"/>
  <c r="C111" i="18"/>
  <c r="C110" i="18"/>
  <c r="C109" i="18"/>
  <c r="C108" i="18"/>
  <c r="C107" i="18"/>
  <c r="T107" i="24" s="1"/>
  <c r="T107" i="29" s="1"/>
  <c r="C104" i="18"/>
  <c r="T104" i="24" s="1"/>
  <c r="C103" i="18"/>
  <c r="T103" i="24" s="1"/>
  <c r="C102" i="18"/>
  <c r="T102" i="24" s="1"/>
  <c r="C101" i="18"/>
  <c r="T101" i="24" s="1"/>
  <c r="T101" i="29" s="1"/>
  <c r="C100" i="18"/>
  <c r="T100" i="24" s="1"/>
  <c r="C99" i="18"/>
  <c r="T99" i="24" s="1"/>
  <c r="C98" i="18"/>
  <c r="T98" i="24" s="1"/>
  <c r="C97" i="18"/>
  <c r="T97" i="24" s="1"/>
  <c r="T97" i="29" s="1"/>
  <c r="C96" i="18"/>
  <c r="T96" i="24" s="1"/>
  <c r="C95" i="18"/>
  <c r="T95" i="24" s="1"/>
  <c r="C94" i="18"/>
  <c r="T94" i="24" s="1"/>
  <c r="C93" i="18"/>
  <c r="T93" i="24" s="1"/>
  <c r="T93" i="29" s="1"/>
  <c r="C90" i="18"/>
  <c r="T90" i="24" s="1"/>
  <c r="C89" i="18"/>
  <c r="T89" i="24" s="1"/>
  <c r="C88" i="18"/>
  <c r="T88" i="24" s="1"/>
  <c r="C87" i="18"/>
  <c r="T87" i="24" s="1"/>
  <c r="T87" i="29" s="1"/>
  <c r="C86" i="18"/>
  <c r="T86" i="24" s="1"/>
  <c r="C85" i="18"/>
  <c r="T85" i="24" s="1"/>
  <c r="C84" i="18"/>
  <c r="T84" i="24" s="1"/>
  <c r="T84" i="29" s="1"/>
  <c r="C83" i="18"/>
  <c r="T83" i="24" s="1"/>
  <c r="T83" i="29" s="1"/>
  <c r="C82" i="18"/>
  <c r="T82" i="24" s="1"/>
  <c r="C81" i="18"/>
  <c r="T81" i="24" s="1"/>
  <c r="C77" i="18"/>
  <c r="T77" i="24" s="1"/>
  <c r="T77" i="29" s="1"/>
  <c r="C76" i="18"/>
  <c r="T76" i="24" s="1"/>
  <c r="T76" i="29" s="1"/>
  <c r="C75" i="18"/>
  <c r="T75" i="24" s="1"/>
  <c r="C74" i="18"/>
  <c r="T74" i="24" s="1"/>
  <c r="C73" i="18"/>
  <c r="T73" i="24" s="1"/>
  <c r="T73" i="29" s="1"/>
  <c r="C72" i="18"/>
  <c r="T72" i="24" s="1"/>
  <c r="T72" i="29" s="1"/>
  <c r="C71" i="18"/>
  <c r="T71" i="24" s="1"/>
  <c r="C70" i="18"/>
  <c r="T70" i="24" s="1"/>
  <c r="C69" i="18"/>
  <c r="T69" i="24" s="1"/>
  <c r="T69" i="29" s="1"/>
  <c r="C68" i="18"/>
  <c r="T68" i="24" s="1"/>
  <c r="T68" i="29" s="1"/>
  <c r="C67" i="18"/>
  <c r="T67" i="24" s="1"/>
  <c r="C66" i="18"/>
  <c r="T66" i="24" s="1"/>
  <c r="C65" i="18"/>
  <c r="T65" i="24" s="1"/>
  <c r="T65" i="29" s="1"/>
  <c r="C64" i="18"/>
  <c r="T64" i="24" s="1"/>
  <c r="T64" i="29" s="1"/>
  <c r="C63" i="18"/>
  <c r="T63" i="24" s="1"/>
  <c r="C62" i="18"/>
  <c r="T62" i="24" s="1"/>
  <c r="C61" i="18"/>
  <c r="T61" i="24" s="1"/>
  <c r="T61" i="29" s="1"/>
  <c r="C60" i="18"/>
  <c r="T60" i="24" s="1"/>
  <c r="T60" i="29" s="1"/>
  <c r="C59" i="18"/>
  <c r="T59" i="24" s="1"/>
  <c r="C58" i="18"/>
  <c r="T58" i="24" s="1"/>
  <c r="C57" i="18"/>
  <c r="T57" i="24" s="1"/>
  <c r="T57" i="29" s="1"/>
  <c r="C56" i="18"/>
  <c r="T56" i="24" s="1"/>
  <c r="T56" i="29" s="1"/>
  <c r="C54" i="18"/>
  <c r="T54" i="24" s="1"/>
  <c r="C53" i="18"/>
  <c r="T53" i="24" s="1"/>
  <c r="C51" i="18"/>
  <c r="T51" i="24" s="1"/>
  <c r="C50" i="18"/>
  <c r="T50" i="24" s="1"/>
  <c r="T50" i="29" s="1"/>
  <c r="C48" i="18"/>
  <c r="T48" i="24" s="1"/>
  <c r="C47" i="18"/>
  <c r="T47" i="24" s="1"/>
  <c r="C46" i="18"/>
  <c r="T46" i="24" s="1"/>
  <c r="T46" i="29" s="1"/>
  <c r="C45" i="18"/>
  <c r="T45" i="24" s="1"/>
  <c r="T45" i="29" s="1"/>
  <c r="C44" i="18"/>
  <c r="T44" i="24" s="1"/>
  <c r="C43" i="18"/>
  <c r="T43" i="24" s="1"/>
  <c r="C42" i="18"/>
  <c r="T42" i="24" s="1"/>
  <c r="T42" i="29" s="1"/>
  <c r="C41" i="18"/>
  <c r="T41" i="24" s="1"/>
  <c r="T41" i="29" s="1"/>
  <c r="C40" i="18"/>
  <c r="T40" i="24" s="1"/>
  <c r="C39" i="18"/>
  <c r="T39" i="24" s="1"/>
  <c r="C38" i="18"/>
  <c r="T38" i="24" s="1"/>
  <c r="C37" i="18"/>
  <c r="T37" i="24" s="1"/>
  <c r="T37" i="29" s="1"/>
  <c r="C36" i="18"/>
  <c r="T36" i="24" s="1"/>
  <c r="C35" i="18"/>
  <c r="T35" i="24" s="1"/>
  <c r="C34" i="18"/>
  <c r="T34" i="24" s="1"/>
  <c r="C33" i="18"/>
  <c r="T33" i="24" s="1"/>
  <c r="T33" i="29" s="1"/>
  <c r="C31" i="18"/>
  <c r="T31" i="24" s="1"/>
  <c r="C30" i="18"/>
  <c r="T30" i="24" s="1"/>
  <c r="C29" i="18"/>
  <c r="T29" i="24" s="1"/>
  <c r="T29" i="29" s="1"/>
  <c r="C28" i="18"/>
  <c r="T28" i="24" s="1"/>
  <c r="T28" i="29" s="1"/>
  <c r="C27" i="18"/>
  <c r="T27" i="24" s="1"/>
  <c r="C26" i="18"/>
  <c r="T26" i="24" s="1"/>
  <c r="C25" i="18"/>
  <c r="T25" i="24" s="1"/>
  <c r="T25" i="29" s="1"/>
  <c r="C24" i="18"/>
  <c r="T24" i="24" s="1"/>
  <c r="T24" i="29" s="1"/>
  <c r="C23" i="18"/>
  <c r="T23" i="24" s="1"/>
  <c r="C22" i="18"/>
  <c r="T22" i="24" s="1"/>
  <c r="C21" i="18"/>
  <c r="T21" i="24" s="1"/>
  <c r="C20" i="18"/>
  <c r="T20" i="24" s="1"/>
  <c r="T20" i="29" s="1"/>
  <c r="C19" i="18"/>
  <c r="T19" i="24" s="1"/>
  <c r="C17" i="18"/>
  <c r="T17" i="24" s="1"/>
  <c r="C16" i="18"/>
  <c r="T16" i="24" s="1"/>
  <c r="T16" i="29" s="1"/>
  <c r="C15" i="18"/>
  <c r="T15" i="24" s="1"/>
  <c r="T15" i="29" s="1"/>
  <c r="C14" i="18"/>
  <c r="T14" i="24" s="1"/>
  <c r="C13" i="18"/>
  <c r="T13" i="24" s="1"/>
  <c r="C12" i="18"/>
  <c r="T12" i="24" s="1"/>
  <c r="T12" i="29" s="1"/>
  <c r="C11" i="18"/>
  <c r="T11" i="24" s="1"/>
  <c r="T11" i="29" s="1"/>
  <c r="C10" i="18"/>
  <c r="T10" i="24" s="1"/>
  <c r="C9" i="18"/>
  <c r="T9" i="24" s="1"/>
  <c r="C8" i="18"/>
  <c r="T8" i="24" s="1"/>
  <c r="C7" i="18"/>
  <c r="T7" i="24" s="1"/>
  <c r="T7" i="29" s="1"/>
  <c r="C6" i="18"/>
  <c r="T6" i="24" s="1"/>
  <c r="C5" i="18"/>
  <c r="T5" i="24" s="1"/>
  <c r="C4" i="18"/>
  <c r="T4" i="24" s="1"/>
  <c r="C148" i="6"/>
  <c r="M148" i="24" s="1"/>
  <c r="C147" i="6"/>
  <c r="M147" i="24" s="1"/>
  <c r="C146" i="6"/>
  <c r="M146" i="24" s="1"/>
  <c r="C145" i="6"/>
  <c r="M145" i="24" s="1"/>
  <c r="C144" i="6"/>
  <c r="M144" i="24" s="1"/>
  <c r="C143" i="6"/>
  <c r="M143" i="24" s="1"/>
  <c r="C142" i="6"/>
  <c r="M142" i="24" s="1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M128" i="24" s="1"/>
  <c r="C127" i="6"/>
  <c r="M127" i="24" s="1"/>
  <c r="C126" i="6"/>
  <c r="M126" i="24" s="1"/>
  <c r="C125" i="6"/>
  <c r="M125" i="24" s="1"/>
  <c r="C124" i="6"/>
  <c r="M124" i="24" s="1"/>
  <c r="C123" i="6"/>
  <c r="M123" i="24" s="1"/>
  <c r="C122" i="6"/>
  <c r="M122" i="24" s="1"/>
  <c r="C121" i="6"/>
  <c r="M121" i="24" s="1"/>
  <c r="C120" i="6"/>
  <c r="M120" i="24" s="1"/>
  <c r="C119" i="6"/>
  <c r="M119" i="24" s="1"/>
  <c r="C118" i="6"/>
  <c r="M118" i="24" s="1"/>
  <c r="C116" i="6"/>
  <c r="M116" i="24" s="1"/>
  <c r="C115" i="6"/>
  <c r="M115" i="24" s="1"/>
  <c r="C114" i="6"/>
  <c r="M114" i="24" s="1"/>
  <c r="C112" i="6"/>
  <c r="M112" i="24" s="1"/>
  <c r="C111" i="6"/>
  <c r="M111" i="24" s="1"/>
  <c r="C110" i="6"/>
  <c r="M110" i="24" s="1"/>
  <c r="C109" i="6"/>
  <c r="M109" i="24" s="1"/>
  <c r="C108" i="6"/>
  <c r="M108" i="24" s="1"/>
  <c r="C107" i="6"/>
  <c r="M107" i="24" s="1"/>
  <c r="C104" i="6"/>
  <c r="M104" i="24" s="1"/>
  <c r="M104" i="29" s="1"/>
  <c r="C103" i="6"/>
  <c r="M103" i="24" s="1"/>
  <c r="C102" i="6"/>
  <c r="M102" i="24" s="1"/>
  <c r="C101" i="6"/>
  <c r="M101" i="24" s="1"/>
  <c r="C100" i="6"/>
  <c r="M100" i="24" s="1"/>
  <c r="C99" i="6"/>
  <c r="M99" i="24" s="1"/>
  <c r="C98" i="6"/>
  <c r="M98" i="24" s="1"/>
  <c r="C97" i="6"/>
  <c r="M97" i="24" s="1"/>
  <c r="C96" i="6"/>
  <c r="M96" i="24" s="1"/>
  <c r="C95" i="6"/>
  <c r="M95" i="24" s="1"/>
  <c r="C94" i="6"/>
  <c r="M94" i="24" s="1"/>
  <c r="C93" i="6"/>
  <c r="M93" i="24" s="1"/>
  <c r="C90" i="6"/>
  <c r="M90" i="24" s="1"/>
  <c r="C89" i="6"/>
  <c r="M89" i="24" s="1"/>
  <c r="C88" i="6"/>
  <c r="M88" i="24" s="1"/>
  <c r="C87" i="6"/>
  <c r="M87" i="24" s="1"/>
  <c r="C86" i="6"/>
  <c r="M86" i="24" s="1"/>
  <c r="C85" i="6"/>
  <c r="M85" i="24" s="1"/>
  <c r="C84" i="6"/>
  <c r="M84" i="24" s="1"/>
  <c r="C83" i="6"/>
  <c r="M83" i="24" s="1"/>
  <c r="C82" i="6"/>
  <c r="M82" i="24" s="1"/>
  <c r="C81" i="6"/>
  <c r="M81" i="24" s="1"/>
  <c r="C77" i="6"/>
  <c r="M77" i="24" s="1"/>
  <c r="C76" i="6"/>
  <c r="M76" i="24" s="1"/>
  <c r="C75" i="6"/>
  <c r="M75" i="24" s="1"/>
  <c r="C74" i="6"/>
  <c r="M74" i="24" s="1"/>
  <c r="C73" i="6"/>
  <c r="M73" i="24" s="1"/>
  <c r="C72" i="6"/>
  <c r="M72" i="24" s="1"/>
  <c r="C71" i="6"/>
  <c r="M71" i="24" s="1"/>
  <c r="M71" i="29" s="1"/>
  <c r="C70" i="6"/>
  <c r="M70" i="24" s="1"/>
  <c r="C69" i="6"/>
  <c r="M69" i="24" s="1"/>
  <c r="C68" i="6"/>
  <c r="M68" i="24" s="1"/>
  <c r="C67" i="6"/>
  <c r="M67" i="24" s="1"/>
  <c r="M67" i="29" s="1"/>
  <c r="C66" i="6"/>
  <c r="M66" i="24" s="1"/>
  <c r="C65" i="6"/>
  <c r="M65" i="24" s="1"/>
  <c r="C64" i="6"/>
  <c r="M64" i="24" s="1"/>
  <c r="C63" i="6"/>
  <c r="M63" i="24" s="1"/>
  <c r="M63" i="29" s="1"/>
  <c r="C62" i="6"/>
  <c r="M62" i="24" s="1"/>
  <c r="C61" i="6"/>
  <c r="M61" i="24" s="1"/>
  <c r="C60" i="6"/>
  <c r="M60" i="24" s="1"/>
  <c r="C59" i="6"/>
  <c r="M59" i="24" s="1"/>
  <c r="M59" i="29" s="1"/>
  <c r="C58" i="6"/>
  <c r="M58" i="24" s="1"/>
  <c r="C57" i="6"/>
  <c r="M57" i="24" s="1"/>
  <c r="C56" i="6"/>
  <c r="M56" i="24" s="1"/>
  <c r="C54" i="6"/>
  <c r="M54" i="24" s="1"/>
  <c r="C53" i="6"/>
  <c r="M53" i="24" s="1"/>
  <c r="C51" i="6"/>
  <c r="M51" i="24" s="1"/>
  <c r="C50" i="6"/>
  <c r="M50" i="24" s="1"/>
  <c r="C48" i="6"/>
  <c r="M48" i="24" s="1"/>
  <c r="C47" i="6"/>
  <c r="M47" i="24" s="1"/>
  <c r="C46" i="6"/>
  <c r="M46" i="24" s="1"/>
  <c r="C45" i="6"/>
  <c r="M45" i="24" s="1"/>
  <c r="C44" i="6"/>
  <c r="M44" i="24" s="1"/>
  <c r="C43" i="6"/>
  <c r="M43" i="24" s="1"/>
  <c r="M43" i="29" s="1"/>
  <c r="C42" i="6"/>
  <c r="M42" i="24" s="1"/>
  <c r="C41" i="6"/>
  <c r="M41" i="24" s="1"/>
  <c r="C40" i="6"/>
  <c r="M40" i="24" s="1"/>
  <c r="C39" i="6"/>
  <c r="M39" i="24" s="1"/>
  <c r="M39" i="29" s="1"/>
  <c r="C38" i="6"/>
  <c r="M38" i="24" s="1"/>
  <c r="C37" i="6"/>
  <c r="M37" i="24" s="1"/>
  <c r="C36" i="6"/>
  <c r="M36" i="24" s="1"/>
  <c r="C35" i="6"/>
  <c r="M35" i="24" s="1"/>
  <c r="C34" i="6"/>
  <c r="M34" i="24" s="1"/>
  <c r="C33" i="6"/>
  <c r="M33" i="24" s="1"/>
  <c r="C31" i="6"/>
  <c r="M31" i="24" s="1"/>
  <c r="C30" i="6"/>
  <c r="M30" i="24" s="1"/>
  <c r="C29" i="6"/>
  <c r="M29" i="24" s="1"/>
  <c r="C28" i="6"/>
  <c r="M28" i="24" s="1"/>
  <c r="C27" i="6"/>
  <c r="M27" i="24" s="1"/>
  <c r="C26" i="6"/>
  <c r="M26" i="24" s="1"/>
  <c r="C25" i="6"/>
  <c r="M25" i="24" s="1"/>
  <c r="C24" i="6"/>
  <c r="M24" i="24" s="1"/>
  <c r="C23" i="6"/>
  <c r="M23" i="24" s="1"/>
  <c r="C22" i="6"/>
  <c r="M22" i="24" s="1"/>
  <c r="C21" i="6"/>
  <c r="M21" i="24" s="1"/>
  <c r="C20" i="6"/>
  <c r="M20" i="24" s="1"/>
  <c r="C19" i="6"/>
  <c r="M19" i="24" s="1"/>
  <c r="C17" i="6"/>
  <c r="M17" i="24" s="1"/>
  <c r="C16" i="6"/>
  <c r="M16" i="24" s="1"/>
  <c r="C15" i="6"/>
  <c r="M15" i="24" s="1"/>
  <c r="M15" i="29" s="1"/>
  <c r="C14" i="6"/>
  <c r="M14" i="24" s="1"/>
  <c r="C13" i="6"/>
  <c r="M13" i="24" s="1"/>
  <c r="C12" i="6"/>
  <c r="M12" i="24" s="1"/>
  <c r="C11" i="6"/>
  <c r="M11" i="24" s="1"/>
  <c r="C10" i="6"/>
  <c r="M10" i="24" s="1"/>
  <c r="C9" i="6"/>
  <c r="M9" i="24" s="1"/>
  <c r="C8" i="6"/>
  <c r="M8" i="24" s="1"/>
  <c r="M8" i="29" s="1"/>
  <c r="C7" i="6"/>
  <c r="M7" i="24" s="1"/>
  <c r="M7" i="29" s="1"/>
  <c r="C6" i="6"/>
  <c r="M6" i="24" s="1"/>
  <c r="C5" i="6"/>
  <c r="M5" i="24" s="1"/>
  <c r="C4" i="6"/>
  <c r="M4" i="24" s="1"/>
  <c r="C148" i="17"/>
  <c r="S148" i="24" s="1"/>
  <c r="S148" i="29" s="1"/>
  <c r="C147" i="17"/>
  <c r="S147" i="24" s="1"/>
  <c r="S147" i="29" s="1"/>
  <c r="C146" i="17"/>
  <c r="S146" i="24" s="1"/>
  <c r="S146" i="29" s="1"/>
  <c r="C145" i="17"/>
  <c r="S145" i="24" s="1"/>
  <c r="S145" i="29" s="1"/>
  <c r="C144" i="17"/>
  <c r="S144" i="24" s="1"/>
  <c r="S144" i="29" s="1"/>
  <c r="C143" i="17"/>
  <c r="S143" i="24" s="1"/>
  <c r="S143" i="29" s="1"/>
  <c r="C142" i="17"/>
  <c r="S142" i="24" s="1"/>
  <c r="S142" i="29" s="1"/>
  <c r="C141" i="17"/>
  <c r="C140" i="17"/>
  <c r="F140" i="17" s="1"/>
  <c r="C139" i="17"/>
  <c r="F139" i="17" s="1"/>
  <c r="C138" i="17"/>
  <c r="F138" i="17" s="1"/>
  <c r="C137" i="17"/>
  <c r="F137" i="17" s="1"/>
  <c r="C136" i="17"/>
  <c r="F136" i="17" s="1"/>
  <c r="C135" i="17"/>
  <c r="F135" i="17" s="1"/>
  <c r="C134" i="17"/>
  <c r="F134" i="17" s="1"/>
  <c r="C133" i="17"/>
  <c r="F133" i="17" s="1"/>
  <c r="C132" i="17"/>
  <c r="F132" i="17" s="1"/>
  <c r="C131" i="17"/>
  <c r="F131" i="17" s="1"/>
  <c r="C130" i="17"/>
  <c r="F130" i="17" s="1"/>
  <c r="C129" i="17"/>
  <c r="F129" i="17" s="1"/>
  <c r="C128" i="17"/>
  <c r="C127" i="17"/>
  <c r="C126" i="17"/>
  <c r="C125" i="17"/>
  <c r="C124" i="17"/>
  <c r="C123" i="17"/>
  <c r="C122" i="17"/>
  <c r="C121" i="17"/>
  <c r="C120" i="17"/>
  <c r="C119" i="17"/>
  <c r="C118" i="17"/>
  <c r="S118" i="24" s="1"/>
  <c r="S118" i="29" s="1"/>
  <c r="C116" i="17"/>
  <c r="C115" i="17"/>
  <c r="C114" i="17"/>
  <c r="S114" i="24" s="1"/>
  <c r="S114" i="29" s="1"/>
  <c r="C112" i="17"/>
  <c r="S112" i="24" s="1"/>
  <c r="S112" i="29" s="1"/>
  <c r="C111" i="17"/>
  <c r="C110" i="17"/>
  <c r="C109" i="17"/>
  <c r="C108" i="17"/>
  <c r="C107" i="17"/>
  <c r="S107" i="24" s="1"/>
  <c r="S107" i="29" s="1"/>
  <c r="C104" i="17"/>
  <c r="S104" i="24" s="1"/>
  <c r="S104" i="29" s="1"/>
  <c r="C103" i="17"/>
  <c r="S103" i="24" s="1"/>
  <c r="S103" i="29" s="1"/>
  <c r="C102" i="17"/>
  <c r="S102" i="24" s="1"/>
  <c r="S102" i="29" s="1"/>
  <c r="C101" i="17"/>
  <c r="S101" i="24" s="1"/>
  <c r="S101" i="29" s="1"/>
  <c r="C100" i="17"/>
  <c r="S100" i="24" s="1"/>
  <c r="S100" i="29" s="1"/>
  <c r="C99" i="17"/>
  <c r="S99" i="24" s="1"/>
  <c r="S99" i="29" s="1"/>
  <c r="C98" i="17"/>
  <c r="S98" i="24" s="1"/>
  <c r="S98" i="29" s="1"/>
  <c r="C97" i="17"/>
  <c r="S97" i="24" s="1"/>
  <c r="S97" i="29" s="1"/>
  <c r="C96" i="17"/>
  <c r="S96" i="24" s="1"/>
  <c r="S96" i="29" s="1"/>
  <c r="C95" i="17"/>
  <c r="S95" i="24" s="1"/>
  <c r="S95" i="29" s="1"/>
  <c r="C94" i="17"/>
  <c r="S94" i="24" s="1"/>
  <c r="S94" i="29" s="1"/>
  <c r="C93" i="17"/>
  <c r="S93" i="24" s="1"/>
  <c r="S93" i="29" s="1"/>
  <c r="C90" i="17"/>
  <c r="S90" i="24" s="1"/>
  <c r="S90" i="29" s="1"/>
  <c r="C89" i="17"/>
  <c r="S89" i="24" s="1"/>
  <c r="S89" i="29" s="1"/>
  <c r="C88" i="17"/>
  <c r="S88" i="24" s="1"/>
  <c r="S88" i="29" s="1"/>
  <c r="C87" i="17"/>
  <c r="S87" i="24" s="1"/>
  <c r="S87" i="29" s="1"/>
  <c r="C86" i="17"/>
  <c r="S86" i="24" s="1"/>
  <c r="S86" i="29" s="1"/>
  <c r="C85" i="17"/>
  <c r="S85" i="24" s="1"/>
  <c r="S85" i="29" s="1"/>
  <c r="C84" i="17"/>
  <c r="S84" i="24" s="1"/>
  <c r="S84" i="29" s="1"/>
  <c r="C83" i="17"/>
  <c r="S83" i="24" s="1"/>
  <c r="S83" i="29" s="1"/>
  <c r="C82" i="17"/>
  <c r="S82" i="24" s="1"/>
  <c r="S82" i="29" s="1"/>
  <c r="C81" i="17"/>
  <c r="S81" i="24" s="1"/>
  <c r="S81" i="29" s="1"/>
  <c r="C77" i="17"/>
  <c r="S77" i="24" s="1"/>
  <c r="S77" i="29" s="1"/>
  <c r="C76" i="17"/>
  <c r="S76" i="24" s="1"/>
  <c r="S76" i="29" s="1"/>
  <c r="C75" i="17"/>
  <c r="S75" i="24" s="1"/>
  <c r="S75" i="29" s="1"/>
  <c r="C74" i="17"/>
  <c r="S74" i="24" s="1"/>
  <c r="S74" i="29" s="1"/>
  <c r="C73" i="17"/>
  <c r="S73" i="24" s="1"/>
  <c r="S73" i="29" s="1"/>
  <c r="C72" i="17"/>
  <c r="S72" i="24" s="1"/>
  <c r="S72" i="29" s="1"/>
  <c r="C71" i="17"/>
  <c r="S71" i="24" s="1"/>
  <c r="S71" i="29" s="1"/>
  <c r="C70" i="17"/>
  <c r="S70" i="24" s="1"/>
  <c r="S70" i="29" s="1"/>
  <c r="C69" i="17"/>
  <c r="S69" i="24" s="1"/>
  <c r="S69" i="29" s="1"/>
  <c r="C68" i="17"/>
  <c r="S68" i="24" s="1"/>
  <c r="S68" i="29" s="1"/>
  <c r="C67" i="17"/>
  <c r="S67" i="24" s="1"/>
  <c r="S67" i="29" s="1"/>
  <c r="C66" i="17"/>
  <c r="S66" i="24" s="1"/>
  <c r="S66" i="29" s="1"/>
  <c r="C65" i="17"/>
  <c r="S65" i="24" s="1"/>
  <c r="S65" i="29" s="1"/>
  <c r="C64" i="17"/>
  <c r="S64" i="24" s="1"/>
  <c r="S64" i="29" s="1"/>
  <c r="C63" i="17"/>
  <c r="S63" i="24" s="1"/>
  <c r="S63" i="29" s="1"/>
  <c r="C62" i="17"/>
  <c r="S62" i="24" s="1"/>
  <c r="S62" i="29" s="1"/>
  <c r="C61" i="17"/>
  <c r="S61" i="24" s="1"/>
  <c r="S61" i="29" s="1"/>
  <c r="C60" i="17"/>
  <c r="S60" i="24" s="1"/>
  <c r="S60" i="29" s="1"/>
  <c r="C59" i="17"/>
  <c r="S59" i="24" s="1"/>
  <c r="S59" i="29" s="1"/>
  <c r="C58" i="17"/>
  <c r="S58" i="24" s="1"/>
  <c r="S58" i="29" s="1"/>
  <c r="C57" i="17"/>
  <c r="S57" i="24" s="1"/>
  <c r="S57" i="29" s="1"/>
  <c r="C56" i="17"/>
  <c r="S56" i="24" s="1"/>
  <c r="S56" i="29" s="1"/>
  <c r="C54" i="17"/>
  <c r="S54" i="24" s="1"/>
  <c r="S54" i="29" s="1"/>
  <c r="C53" i="17"/>
  <c r="S53" i="24" s="1"/>
  <c r="S53" i="29" s="1"/>
  <c r="C51" i="17"/>
  <c r="S51" i="24" s="1"/>
  <c r="S51" i="29" s="1"/>
  <c r="C50" i="17"/>
  <c r="S50" i="24" s="1"/>
  <c r="S50" i="29" s="1"/>
  <c r="C48" i="17"/>
  <c r="S48" i="24" s="1"/>
  <c r="S48" i="29" s="1"/>
  <c r="C47" i="17"/>
  <c r="S47" i="24" s="1"/>
  <c r="S47" i="29" s="1"/>
  <c r="C46" i="17"/>
  <c r="S46" i="24" s="1"/>
  <c r="S46" i="29" s="1"/>
  <c r="C45" i="17"/>
  <c r="S45" i="24" s="1"/>
  <c r="S45" i="29" s="1"/>
  <c r="C44" i="17"/>
  <c r="S44" i="24" s="1"/>
  <c r="S44" i="29" s="1"/>
  <c r="C43" i="17"/>
  <c r="S43" i="24" s="1"/>
  <c r="S43" i="29" s="1"/>
  <c r="C42" i="17"/>
  <c r="S42" i="24" s="1"/>
  <c r="S42" i="29" s="1"/>
  <c r="C41" i="17"/>
  <c r="S41" i="24" s="1"/>
  <c r="S41" i="29" s="1"/>
  <c r="C40" i="17"/>
  <c r="S40" i="24" s="1"/>
  <c r="S40" i="29" s="1"/>
  <c r="C39" i="17"/>
  <c r="S39" i="24" s="1"/>
  <c r="S39" i="29" s="1"/>
  <c r="C38" i="17"/>
  <c r="S38" i="24" s="1"/>
  <c r="S38" i="29" s="1"/>
  <c r="C37" i="17"/>
  <c r="S37" i="24" s="1"/>
  <c r="S37" i="29" s="1"/>
  <c r="C36" i="17"/>
  <c r="S36" i="24" s="1"/>
  <c r="S36" i="29" s="1"/>
  <c r="C35" i="17"/>
  <c r="S35" i="24" s="1"/>
  <c r="S35" i="29" s="1"/>
  <c r="C34" i="17"/>
  <c r="S34" i="24" s="1"/>
  <c r="S34" i="29" s="1"/>
  <c r="C33" i="17"/>
  <c r="S33" i="24" s="1"/>
  <c r="S33" i="29" s="1"/>
  <c r="C31" i="17"/>
  <c r="S31" i="24" s="1"/>
  <c r="S31" i="29" s="1"/>
  <c r="C30" i="17"/>
  <c r="S30" i="24" s="1"/>
  <c r="S30" i="29" s="1"/>
  <c r="C29" i="17"/>
  <c r="S29" i="24" s="1"/>
  <c r="S29" i="29" s="1"/>
  <c r="C28" i="17"/>
  <c r="S28" i="24" s="1"/>
  <c r="S28" i="29" s="1"/>
  <c r="C27" i="17"/>
  <c r="S27" i="24" s="1"/>
  <c r="S27" i="29" s="1"/>
  <c r="C26" i="17"/>
  <c r="S26" i="24" s="1"/>
  <c r="S26" i="29" s="1"/>
  <c r="C25" i="17"/>
  <c r="S25" i="24" s="1"/>
  <c r="S25" i="29" s="1"/>
  <c r="C24" i="17"/>
  <c r="S24" i="24" s="1"/>
  <c r="S24" i="29" s="1"/>
  <c r="C23" i="17"/>
  <c r="S23" i="24" s="1"/>
  <c r="S23" i="29" s="1"/>
  <c r="C22" i="17"/>
  <c r="S22" i="24" s="1"/>
  <c r="S22" i="29" s="1"/>
  <c r="C21" i="17"/>
  <c r="S21" i="24" s="1"/>
  <c r="S21" i="29" s="1"/>
  <c r="C20" i="17"/>
  <c r="S20" i="24" s="1"/>
  <c r="S20" i="29" s="1"/>
  <c r="C19" i="17"/>
  <c r="S19" i="24" s="1"/>
  <c r="S19" i="29" s="1"/>
  <c r="C17" i="17"/>
  <c r="S17" i="24" s="1"/>
  <c r="S17" i="29" s="1"/>
  <c r="C16" i="17"/>
  <c r="S16" i="24" s="1"/>
  <c r="S16" i="29" s="1"/>
  <c r="C15" i="17"/>
  <c r="S15" i="24" s="1"/>
  <c r="S15" i="29" s="1"/>
  <c r="C14" i="17"/>
  <c r="S14" i="24" s="1"/>
  <c r="S14" i="29" s="1"/>
  <c r="C13" i="17"/>
  <c r="S13" i="24" s="1"/>
  <c r="S13" i="29" s="1"/>
  <c r="C12" i="17"/>
  <c r="S12" i="24" s="1"/>
  <c r="S12" i="29" s="1"/>
  <c r="C11" i="17"/>
  <c r="S11" i="24" s="1"/>
  <c r="S11" i="29" s="1"/>
  <c r="C10" i="17"/>
  <c r="S10" i="24" s="1"/>
  <c r="S10" i="29" s="1"/>
  <c r="C9" i="17"/>
  <c r="S9" i="24" s="1"/>
  <c r="S9" i="29" s="1"/>
  <c r="C8" i="17"/>
  <c r="S8" i="24" s="1"/>
  <c r="S8" i="29" s="1"/>
  <c r="C7" i="17"/>
  <c r="S7" i="24" s="1"/>
  <c r="S7" i="29" s="1"/>
  <c r="C6" i="17"/>
  <c r="S6" i="24" s="1"/>
  <c r="S6" i="29" s="1"/>
  <c r="C5" i="17"/>
  <c r="S5" i="24" s="1"/>
  <c r="S5" i="29" s="1"/>
  <c r="C4" i="17"/>
  <c r="S4" i="24" s="1"/>
  <c r="S4" i="29" s="1"/>
  <c r="C148" i="8"/>
  <c r="N148" i="24" s="1"/>
  <c r="C147" i="8"/>
  <c r="N147" i="24" s="1"/>
  <c r="N147" i="29" s="1"/>
  <c r="C146" i="8"/>
  <c r="N146" i="24" s="1"/>
  <c r="N146" i="29" s="1"/>
  <c r="C145" i="8"/>
  <c r="N145" i="24" s="1"/>
  <c r="N145" i="29" s="1"/>
  <c r="C144" i="8"/>
  <c r="N144" i="24" s="1"/>
  <c r="C143" i="8"/>
  <c r="N143" i="24" s="1"/>
  <c r="N143" i="29" s="1"/>
  <c r="C142" i="8"/>
  <c r="N142" i="24" s="1"/>
  <c r="N142" i="29" s="1"/>
  <c r="C141" i="8"/>
  <c r="C140" i="8"/>
  <c r="F140" i="8" s="1"/>
  <c r="C139" i="8"/>
  <c r="F139" i="8" s="1"/>
  <c r="C138" i="8"/>
  <c r="F138" i="8" s="1"/>
  <c r="C137" i="8"/>
  <c r="F137" i="8" s="1"/>
  <c r="C136" i="8"/>
  <c r="F136" i="8" s="1"/>
  <c r="C135" i="8"/>
  <c r="F135" i="8" s="1"/>
  <c r="C134" i="8"/>
  <c r="F134" i="8" s="1"/>
  <c r="C133" i="8"/>
  <c r="F133" i="8" s="1"/>
  <c r="C132" i="8"/>
  <c r="F132" i="8" s="1"/>
  <c r="C131" i="8"/>
  <c r="F131" i="8" s="1"/>
  <c r="C130" i="8"/>
  <c r="F130" i="8" s="1"/>
  <c r="C129" i="8"/>
  <c r="F129" i="8" s="1"/>
  <c r="C128" i="8"/>
  <c r="C127" i="8"/>
  <c r="C126" i="8"/>
  <c r="C125" i="8"/>
  <c r="C124" i="8"/>
  <c r="C123" i="8"/>
  <c r="C122" i="8"/>
  <c r="C121" i="8"/>
  <c r="C120" i="8"/>
  <c r="C119" i="8"/>
  <c r="C118" i="8"/>
  <c r="N118" i="24" s="1"/>
  <c r="N118" i="29" s="1"/>
  <c r="C116" i="8"/>
  <c r="C115" i="8"/>
  <c r="C114" i="8"/>
  <c r="N114" i="24" s="1"/>
  <c r="N114" i="29" s="1"/>
  <c r="C112" i="8"/>
  <c r="N112" i="24" s="1"/>
  <c r="N112" i="29" s="1"/>
  <c r="C111" i="8"/>
  <c r="C110" i="8"/>
  <c r="C109" i="8"/>
  <c r="C108" i="8"/>
  <c r="C107" i="8"/>
  <c r="N107" i="24" s="1"/>
  <c r="N107" i="29" s="1"/>
  <c r="C104" i="8"/>
  <c r="N104" i="24" s="1"/>
  <c r="C103" i="8"/>
  <c r="N103" i="24" s="1"/>
  <c r="N103" i="29" s="1"/>
  <c r="C102" i="8"/>
  <c r="N102" i="24" s="1"/>
  <c r="N102" i="29" s="1"/>
  <c r="C101" i="8"/>
  <c r="N101" i="24" s="1"/>
  <c r="N101" i="29" s="1"/>
  <c r="C100" i="8"/>
  <c r="N100" i="24" s="1"/>
  <c r="C99" i="8"/>
  <c r="N99" i="24" s="1"/>
  <c r="C98" i="8"/>
  <c r="N98" i="24" s="1"/>
  <c r="N98" i="29" s="1"/>
  <c r="C97" i="8"/>
  <c r="N97" i="24" s="1"/>
  <c r="N97" i="29" s="1"/>
  <c r="C96" i="8"/>
  <c r="N96" i="24" s="1"/>
  <c r="N96" i="29" s="1"/>
  <c r="C95" i="8"/>
  <c r="N95" i="24" s="1"/>
  <c r="C94" i="8"/>
  <c r="N94" i="24" s="1"/>
  <c r="N94" i="29" s="1"/>
  <c r="C93" i="8"/>
  <c r="N93" i="24" s="1"/>
  <c r="N93" i="29" s="1"/>
  <c r="C90" i="8"/>
  <c r="N90" i="24" s="1"/>
  <c r="N90" i="29" s="1"/>
  <c r="C89" i="8"/>
  <c r="N89" i="24" s="1"/>
  <c r="N89" i="29" s="1"/>
  <c r="C88" i="8"/>
  <c r="N88" i="24" s="1"/>
  <c r="N88" i="29" s="1"/>
  <c r="C87" i="8"/>
  <c r="N87" i="24" s="1"/>
  <c r="N87" i="29" s="1"/>
  <c r="C86" i="8"/>
  <c r="N86" i="24" s="1"/>
  <c r="C85" i="8"/>
  <c r="N85" i="24" s="1"/>
  <c r="C84" i="8"/>
  <c r="N84" i="24" s="1"/>
  <c r="N84" i="29" s="1"/>
  <c r="C83" i="8"/>
  <c r="N83" i="24" s="1"/>
  <c r="N83" i="29" s="1"/>
  <c r="C82" i="8"/>
  <c r="N82" i="24" s="1"/>
  <c r="N82" i="29" s="1"/>
  <c r="C81" i="8"/>
  <c r="N81" i="24" s="1"/>
  <c r="N81" i="29" s="1"/>
  <c r="C77" i="8"/>
  <c r="N77" i="24" s="1"/>
  <c r="N77" i="29" s="1"/>
  <c r="C76" i="8"/>
  <c r="N76" i="24" s="1"/>
  <c r="N76" i="29" s="1"/>
  <c r="C75" i="8"/>
  <c r="N75" i="24" s="1"/>
  <c r="N75" i="29" s="1"/>
  <c r="C74" i="8"/>
  <c r="N74" i="24" s="1"/>
  <c r="N74" i="29" s="1"/>
  <c r="C73" i="8"/>
  <c r="N73" i="24" s="1"/>
  <c r="N73" i="29" s="1"/>
  <c r="C72" i="8"/>
  <c r="N72" i="24" s="1"/>
  <c r="N72" i="29" s="1"/>
  <c r="C71" i="8"/>
  <c r="N71" i="24" s="1"/>
  <c r="N71" i="29" s="1"/>
  <c r="C70" i="8"/>
  <c r="N70" i="24" s="1"/>
  <c r="C69" i="8"/>
  <c r="N69" i="24" s="1"/>
  <c r="N69" i="29" s="1"/>
  <c r="C68" i="8"/>
  <c r="N68" i="24" s="1"/>
  <c r="N68" i="29" s="1"/>
  <c r="C67" i="8"/>
  <c r="N67" i="24" s="1"/>
  <c r="N67" i="29" s="1"/>
  <c r="C66" i="8"/>
  <c r="N66" i="24" s="1"/>
  <c r="N66" i="29" s="1"/>
  <c r="C65" i="8"/>
  <c r="N65" i="24" s="1"/>
  <c r="N65" i="29" s="1"/>
  <c r="C64" i="8"/>
  <c r="N64" i="24" s="1"/>
  <c r="N64" i="29" s="1"/>
  <c r="C63" i="8"/>
  <c r="N63" i="24" s="1"/>
  <c r="N63" i="29" s="1"/>
  <c r="C62" i="8"/>
  <c r="N62" i="24" s="1"/>
  <c r="N62" i="29" s="1"/>
  <c r="C61" i="8"/>
  <c r="N61" i="24" s="1"/>
  <c r="N61" i="29" s="1"/>
  <c r="C60" i="8"/>
  <c r="N60" i="24" s="1"/>
  <c r="N60" i="29" s="1"/>
  <c r="C59" i="8"/>
  <c r="N59" i="24" s="1"/>
  <c r="N59" i="29" s="1"/>
  <c r="C58" i="8"/>
  <c r="N58" i="24" s="1"/>
  <c r="N58" i="29" s="1"/>
  <c r="C57" i="8"/>
  <c r="N57" i="24" s="1"/>
  <c r="N57" i="29" s="1"/>
  <c r="C56" i="8"/>
  <c r="N56" i="24" s="1"/>
  <c r="N56" i="29" s="1"/>
  <c r="C54" i="8"/>
  <c r="N54" i="24" s="1"/>
  <c r="N54" i="29" s="1"/>
  <c r="C53" i="8"/>
  <c r="N53" i="24" s="1"/>
  <c r="N53" i="29" s="1"/>
  <c r="C51" i="8"/>
  <c r="N51" i="24" s="1"/>
  <c r="N51" i="29" s="1"/>
  <c r="C50" i="8"/>
  <c r="N50" i="24" s="1"/>
  <c r="N50" i="29" s="1"/>
  <c r="C48" i="8"/>
  <c r="N48" i="24" s="1"/>
  <c r="N48" i="29" s="1"/>
  <c r="C47" i="8"/>
  <c r="N47" i="24" s="1"/>
  <c r="N47" i="29" s="1"/>
  <c r="C46" i="8"/>
  <c r="N46" i="24" s="1"/>
  <c r="N46" i="29" s="1"/>
  <c r="C45" i="8"/>
  <c r="N45" i="24" s="1"/>
  <c r="N45" i="29" s="1"/>
  <c r="C44" i="8"/>
  <c r="N44" i="24" s="1"/>
  <c r="N44" i="29" s="1"/>
  <c r="C43" i="8"/>
  <c r="N43" i="24" s="1"/>
  <c r="N43" i="29" s="1"/>
  <c r="C42" i="8"/>
  <c r="N42" i="24" s="1"/>
  <c r="N42" i="29" s="1"/>
  <c r="C41" i="8"/>
  <c r="N41" i="24" s="1"/>
  <c r="N41" i="29" s="1"/>
  <c r="C40" i="8"/>
  <c r="N40" i="24" s="1"/>
  <c r="N40" i="29" s="1"/>
  <c r="C39" i="8"/>
  <c r="N39" i="24" s="1"/>
  <c r="N39" i="29" s="1"/>
  <c r="C38" i="8"/>
  <c r="N38" i="24" s="1"/>
  <c r="N38" i="29" s="1"/>
  <c r="C37" i="8"/>
  <c r="N37" i="24" s="1"/>
  <c r="C36" i="8"/>
  <c r="N36" i="24" s="1"/>
  <c r="N36" i="29" s="1"/>
  <c r="C35" i="8"/>
  <c r="N35" i="24" s="1"/>
  <c r="C34" i="8"/>
  <c r="N34" i="24" s="1"/>
  <c r="N34" i="29" s="1"/>
  <c r="C33" i="8"/>
  <c r="N33" i="24" s="1"/>
  <c r="C31" i="8"/>
  <c r="N31" i="24" s="1"/>
  <c r="N31" i="29" s="1"/>
  <c r="C30" i="8"/>
  <c r="N30" i="24" s="1"/>
  <c r="N30" i="29" s="1"/>
  <c r="C29" i="8"/>
  <c r="N29" i="24" s="1"/>
  <c r="N29" i="29" s="1"/>
  <c r="C28" i="8"/>
  <c r="N28" i="24" s="1"/>
  <c r="N28" i="29" s="1"/>
  <c r="C27" i="8"/>
  <c r="N27" i="24" s="1"/>
  <c r="N27" i="29" s="1"/>
  <c r="C26" i="8"/>
  <c r="N26" i="24" s="1"/>
  <c r="N26" i="29" s="1"/>
  <c r="C25" i="8"/>
  <c r="N25" i="24" s="1"/>
  <c r="N25" i="29" s="1"/>
  <c r="C24" i="8"/>
  <c r="N24" i="24" s="1"/>
  <c r="N24" i="29" s="1"/>
  <c r="C23" i="8"/>
  <c r="N23" i="24" s="1"/>
  <c r="N23" i="29" s="1"/>
  <c r="C22" i="8"/>
  <c r="N22" i="24" s="1"/>
  <c r="N22" i="29" s="1"/>
  <c r="C21" i="8"/>
  <c r="N21" i="24" s="1"/>
  <c r="N21" i="29" s="1"/>
  <c r="C20" i="8"/>
  <c r="N20" i="24" s="1"/>
  <c r="N20" i="29" s="1"/>
  <c r="C19" i="8"/>
  <c r="N19" i="24" s="1"/>
  <c r="N19" i="29" s="1"/>
  <c r="C17" i="8"/>
  <c r="N17" i="24" s="1"/>
  <c r="N17" i="29" s="1"/>
  <c r="C16" i="8"/>
  <c r="N16" i="24" s="1"/>
  <c r="N16" i="29" s="1"/>
  <c r="C15" i="8"/>
  <c r="N15" i="24" s="1"/>
  <c r="N15" i="29" s="1"/>
  <c r="C14" i="8"/>
  <c r="N14" i="24" s="1"/>
  <c r="N14" i="29" s="1"/>
  <c r="C13" i="8"/>
  <c r="N13" i="24" s="1"/>
  <c r="N13" i="29" s="1"/>
  <c r="C12" i="8"/>
  <c r="N12" i="24" s="1"/>
  <c r="N12" i="29" s="1"/>
  <c r="C11" i="8"/>
  <c r="N11" i="24" s="1"/>
  <c r="N11" i="29" s="1"/>
  <c r="C10" i="8"/>
  <c r="N10" i="24" s="1"/>
  <c r="N10" i="29" s="1"/>
  <c r="C9" i="8"/>
  <c r="N9" i="24" s="1"/>
  <c r="N9" i="29" s="1"/>
  <c r="C8" i="8"/>
  <c r="N8" i="24" s="1"/>
  <c r="N8" i="29" s="1"/>
  <c r="C7" i="8"/>
  <c r="N7" i="24" s="1"/>
  <c r="N7" i="29" s="1"/>
  <c r="C6" i="8"/>
  <c r="N6" i="24" s="1"/>
  <c r="N6" i="29" s="1"/>
  <c r="C5" i="8"/>
  <c r="N5" i="24" s="1"/>
  <c r="C4" i="8"/>
  <c r="N4" i="24" s="1"/>
  <c r="N4" i="29" s="1"/>
  <c r="C148" i="14"/>
  <c r="P148" i="24" s="1"/>
  <c r="P148" i="29" s="1"/>
  <c r="C147" i="14"/>
  <c r="P147" i="24" s="1"/>
  <c r="P147" i="29" s="1"/>
  <c r="C146" i="14"/>
  <c r="P146" i="24" s="1"/>
  <c r="P146" i="29" s="1"/>
  <c r="C145" i="14"/>
  <c r="P145" i="24" s="1"/>
  <c r="P145" i="29" s="1"/>
  <c r="C144" i="14"/>
  <c r="P144" i="24" s="1"/>
  <c r="P144" i="29" s="1"/>
  <c r="C143" i="14"/>
  <c r="P143" i="24" s="1"/>
  <c r="P143" i="29" s="1"/>
  <c r="C142" i="14"/>
  <c r="P142" i="24" s="1"/>
  <c r="P142" i="29" s="1"/>
  <c r="C141" i="14"/>
  <c r="C140" i="14"/>
  <c r="F140" i="14" s="1"/>
  <c r="C139" i="14"/>
  <c r="F139" i="14" s="1"/>
  <c r="C138" i="14"/>
  <c r="F138" i="14" s="1"/>
  <c r="C137" i="14"/>
  <c r="F137" i="14" s="1"/>
  <c r="C136" i="14"/>
  <c r="F136" i="14" s="1"/>
  <c r="C135" i="14"/>
  <c r="F135" i="14" s="1"/>
  <c r="C134" i="14"/>
  <c r="F134" i="14" s="1"/>
  <c r="C133" i="14"/>
  <c r="F133" i="14" s="1"/>
  <c r="C132" i="14"/>
  <c r="F132" i="14" s="1"/>
  <c r="C131" i="14"/>
  <c r="F131" i="14" s="1"/>
  <c r="C130" i="14"/>
  <c r="F130" i="14" s="1"/>
  <c r="C129" i="14"/>
  <c r="F129" i="14" s="1"/>
  <c r="C128" i="14"/>
  <c r="C127" i="14"/>
  <c r="C126" i="14"/>
  <c r="C125" i="14"/>
  <c r="C124" i="14"/>
  <c r="C123" i="14"/>
  <c r="C122" i="14"/>
  <c r="C121" i="14"/>
  <c r="C120" i="14"/>
  <c r="C119" i="14"/>
  <c r="C118" i="14"/>
  <c r="P118" i="24" s="1"/>
  <c r="P118" i="29" s="1"/>
  <c r="C116" i="14"/>
  <c r="C115" i="14"/>
  <c r="C114" i="14"/>
  <c r="P114" i="24" s="1"/>
  <c r="P114" i="29" s="1"/>
  <c r="C112" i="14"/>
  <c r="P112" i="24" s="1"/>
  <c r="P112" i="29" s="1"/>
  <c r="C111" i="14"/>
  <c r="C110" i="14"/>
  <c r="C109" i="14"/>
  <c r="C108" i="14"/>
  <c r="C107" i="14"/>
  <c r="P107" i="24" s="1"/>
  <c r="P107" i="29" s="1"/>
  <c r="C104" i="14"/>
  <c r="P104" i="24" s="1"/>
  <c r="P104" i="29" s="1"/>
  <c r="C103" i="14"/>
  <c r="P103" i="24" s="1"/>
  <c r="P103" i="29" s="1"/>
  <c r="C102" i="14"/>
  <c r="P102" i="24" s="1"/>
  <c r="P102" i="29" s="1"/>
  <c r="C101" i="14"/>
  <c r="P101" i="24" s="1"/>
  <c r="P101" i="29" s="1"/>
  <c r="C100" i="14"/>
  <c r="P100" i="24" s="1"/>
  <c r="P100" i="29" s="1"/>
  <c r="C99" i="14"/>
  <c r="P99" i="24" s="1"/>
  <c r="P99" i="29" s="1"/>
  <c r="C98" i="14"/>
  <c r="P98" i="24" s="1"/>
  <c r="P98" i="29" s="1"/>
  <c r="C97" i="14"/>
  <c r="P97" i="24" s="1"/>
  <c r="P97" i="29" s="1"/>
  <c r="C96" i="14"/>
  <c r="P96" i="24" s="1"/>
  <c r="P96" i="29" s="1"/>
  <c r="C95" i="14"/>
  <c r="P95" i="24" s="1"/>
  <c r="P95" i="29" s="1"/>
  <c r="C94" i="14"/>
  <c r="P94" i="24" s="1"/>
  <c r="P94" i="29" s="1"/>
  <c r="C93" i="14"/>
  <c r="P93" i="24" s="1"/>
  <c r="P93" i="29" s="1"/>
  <c r="C90" i="14"/>
  <c r="P90" i="24" s="1"/>
  <c r="P90" i="29" s="1"/>
  <c r="C89" i="14"/>
  <c r="P89" i="24" s="1"/>
  <c r="P89" i="29" s="1"/>
  <c r="C88" i="14"/>
  <c r="P88" i="24" s="1"/>
  <c r="P88" i="29" s="1"/>
  <c r="C87" i="14"/>
  <c r="P87" i="24" s="1"/>
  <c r="P87" i="29" s="1"/>
  <c r="C86" i="14"/>
  <c r="P86" i="24" s="1"/>
  <c r="P86" i="29" s="1"/>
  <c r="C85" i="14"/>
  <c r="P85" i="24" s="1"/>
  <c r="P85" i="29" s="1"/>
  <c r="C84" i="14"/>
  <c r="P84" i="24" s="1"/>
  <c r="P84" i="29" s="1"/>
  <c r="C83" i="14"/>
  <c r="P83" i="24" s="1"/>
  <c r="P83" i="29" s="1"/>
  <c r="C82" i="14"/>
  <c r="P82" i="24" s="1"/>
  <c r="P82" i="29" s="1"/>
  <c r="C81" i="14"/>
  <c r="P81" i="24" s="1"/>
  <c r="P81" i="29" s="1"/>
  <c r="C77" i="14"/>
  <c r="P77" i="24" s="1"/>
  <c r="P77" i="29" s="1"/>
  <c r="C76" i="14"/>
  <c r="P76" i="24" s="1"/>
  <c r="P76" i="29" s="1"/>
  <c r="C75" i="14"/>
  <c r="P75" i="24" s="1"/>
  <c r="P75" i="29" s="1"/>
  <c r="C74" i="14"/>
  <c r="P74" i="24" s="1"/>
  <c r="P74" i="29" s="1"/>
  <c r="C73" i="14"/>
  <c r="P73" i="24" s="1"/>
  <c r="P73" i="29" s="1"/>
  <c r="C72" i="14"/>
  <c r="P72" i="24" s="1"/>
  <c r="P72" i="29" s="1"/>
  <c r="C71" i="14"/>
  <c r="P71" i="24" s="1"/>
  <c r="P71" i="29" s="1"/>
  <c r="C70" i="14"/>
  <c r="P70" i="24" s="1"/>
  <c r="P70" i="29" s="1"/>
  <c r="C69" i="14"/>
  <c r="P69" i="24" s="1"/>
  <c r="P69" i="29" s="1"/>
  <c r="C68" i="14"/>
  <c r="P68" i="24" s="1"/>
  <c r="P68" i="29" s="1"/>
  <c r="C67" i="14"/>
  <c r="P67" i="24" s="1"/>
  <c r="P67" i="29" s="1"/>
  <c r="C66" i="14"/>
  <c r="P66" i="24" s="1"/>
  <c r="P66" i="29" s="1"/>
  <c r="C65" i="14"/>
  <c r="P65" i="24" s="1"/>
  <c r="P65" i="29" s="1"/>
  <c r="C64" i="14"/>
  <c r="P64" i="24" s="1"/>
  <c r="P64" i="29" s="1"/>
  <c r="C63" i="14"/>
  <c r="P63" i="24" s="1"/>
  <c r="P63" i="29" s="1"/>
  <c r="C62" i="14"/>
  <c r="P62" i="24" s="1"/>
  <c r="P62" i="29" s="1"/>
  <c r="C61" i="14"/>
  <c r="P61" i="24" s="1"/>
  <c r="P61" i="29" s="1"/>
  <c r="C60" i="14"/>
  <c r="P60" i="24" s="1"/>
  <c r="P60" i="29" s="1"/>
  <c r="C59" i="14"/>
  <c r="P59" i="24" s="1"/>
  <c r="P59" i="29" s="1"/>
  <c r="C58" i="14"/>
  <c r="P58" i="24" s="1"/>
  <c r="P58" i="29" s="1"/>
  <c r="C57" i="14"/>
  <c r="P57" i="24" s="1"/>
  <c r="P57" i="29" s="1"/>
  <c r="C56" i="14"/>
  <c r="P56" i="24" s="1"/>
  <c r="P56" i="29" s="1"/>
  <c r="C54" i="14"/>
  <c r="P54" i="24" s="1"/>
  <c r="P54" i="29" s="1"/>
  <c r="C53" i="14"/>
  <c r="P53" i="24" s="1"/>
  <c r="P53" i="29" s="1"/>
  <c r="C51" i="14"/>
  <c r="P51" i="24" s="1"/>
  <c r="P51" i="29" s="1"/>
  <c r="C50" i="14"/>
  <c r="P50" i="24" s="1"/>
  <c r="P50" i="29" s="1"/>
  <c r="C48" i="14"/>
  <c r="P48" i="24" s="1"/>
  <c r="P48" i="29" s="1"/>
  <c r="C47" i="14"/>
  <c r="P47" i="24" s="1"/>
  <c r="P47" i="29" s="1"/>
  <c r="C46" i="14"/>
  <c r="P46" i="24" s="1"/>
  <c r="P46" i="29" s="1"/>
  <c r="C45" i="14"/>
  <c r="P45" i="24" s="1"/>
  <c r="P45" i="29" s="1"/>
  <c r="C44" i="14"/>
  <c r="P44" i="24" s="1"/>
  <c r="P44" i="29" s="1"/>
  <c r="C43" i="14"/>
  <c r="P43" i="24" s="1"/>
  <c r="P43" i="29" s="1"/>
  <c r="C42" i="14"/>
  <c r="P42" i="24" s="1"/>
  <c r="P42" i="29" s="1"/>
  <c r="C41" i="14"/>
  <c r="P41" i="24" s="1"/>
  <c r="P41" i="29" s="1"/>
  <c r="C40" i="14"/>
  <c r="P40" i="24" s="1"/>
  <c r="P40" i="29" s="1"/>
  <c r="C39" i="14"/>
  <c r="P39" i="24" s="1"/>
  <c r="P39" i="29" s="1"/>
  <c r="C38" i="14"/>
  <c r="P38" i="24" s="1"/>
  <c r="P38" i="29" s="1"/>
  <c r="C37" i="14"/>
  <c r="P37" i="24" s="1"/>
  <c r="P37" i="29" s="1"/>
  <c r="C36" i="14"/>
  <c r="P36" i="24" s="1"/>
  <c r="P36" i="29" s="1"/>
  <c r="C35" i="14"/>
  <c r="P35" i="24" s="1"/>
  <c r="P35" i="29" s="1"/>
  <c r="C34" i="14"/>
  <c r="P34" i="24" s="1"/>
  <c r="P34" i="29" s="1"/>
  <c r="C33" i="14"/>
  <c r="P33" i="24" s="1"/>
  <c r="P33" i="29" s="1"/>
  <c r="C31" i="14"/>
  <c r="P31" i="24" s="1"/>
  <c r="P31" i="29" s="1"/>
  <c r="C30" i="14"/>
  <c r="P30" i="24" s="1"/>
  <c r="P30" i="29" s="1"/>
  <c r="C29" i="14"/>
  <c r="P29" i="24" s="1"/>
  <c r="P29" i="29" s="1"/>
  <c r="C28" i="14"/>
  <c r="P28" i="24" s="1"/>
  <c r="P28" i="29" s="1"/>
  <c r="C27" i="14"/>
  <c r="P27" i="24" s="1"/>
  <c r="P27" i="29" s="1"/>
  <c r="C26" i="14"/>
  <c r="P26" i="24" s="1"/>
  <c r="P26" i="29" s="1"/>
  <c r="C25" i="14"/>
  <c r="P25" i="24" s="1"/>
  <c r="P25" i="29" s="1"/>
  <c r="C24" i="14"/>
  <c r="P24" i="24" s="1"/>
  <c r="P24" i="29" s="1"/>
  <c r="C23" i="14"/>
  <c r="P23" i="24" s="1"/>
  <c r="P23" i="29" s="1"/>
  <c r="C22" i="14"/>
  <c r="P22" i="24" s="1"/>
  <c r="P22" i="29" s="1"/>
  <c r="C21" i="14"/>
  <c r="P21" i="24" s="1"/>
  <c r="P21" i="29" s="1"/>
  <c r="C20" i="14"/>
  <c r="P20" i="24" s="1"/>
  <c r="P20" i="29" s="1"/>
  <c r="C19" i="14"/>
  <c r="P19" i="24" s="1"/>
  <c r="P19" i="29" s="1"/>
  <c r="C17" i="14"/>
  <c r="P17" i="24" s="1"/>
  <c r="P17" i="29" s="1"/>
  <c r="C16" i="14"/>
  <c r="P16" i="24" s="1"/>
  <c r="P16" i="29" s="1"/>
  <c r="C15" i="14"/>
  <c r="P15" i="24" s="1"/>
  <c r="P15" i="29" s="1"/>
  <c r="C14" i="14"/>
  <c r="P14" i="24" s="1"/>
  <c r="P14" i="29" s="1"/>
  <c r="C13" i="14"/>
  <c r="P13" i="24" s="1"/>
  <c r="P13" i="29" s="1"/>
  <c r="C12" i="14"/>
  <c r="P12" i="24" s="1"/>
  <c r="P12" i="29" s="1"/>
  <c r="C11" i="14"/>
  <c r="P11" i="24" s="1"/>
  <c r="P11" i="29" s="1"/>
  <c r="C10" i="14"/>
  <c r="P10" i="24" s="1"/>
  <c r="P10" i="29" s="1"/>
  <c r="C9" i="14"/>
  <c r="P9" i="24" s="1"/>
  <c r="P9" i="29" s="1"/>
  <c r="C8" i="14"/>
  <c r="P8" i="24" s="1"/>
  <c r="P8" i="29" s="1"/>
  <c r="C7" i="14"/>
  <c r="P7" i="24" s="1"/>
  <c r="P7" i="29" s="1"/>
  <c r="C6" i="14"/>
  <c r="P6" i="24" s="1"/>
  <c r="P6" i="29" s="1"/>
  <c r="C5" i="14"/>
  <c r="P5" i="24" s="1"/>
  <c r="P5" i="29" s="1"/>
  <c r="C4" i="14"/>
  <c r="P4" i="24" s="1"/>
  <c r="P4" i="29" s="1"/>
  <c r="C148" i="25"/>
  <c r="U148" i="24" s="1"/>
  <c r="U148" i="29" s="1"/>
  <c r="C147" i="25"/>
  <c r="U147" i="24" s="1"/>
  <c r="U147" i="29" s="1"/>
  <c r="C146" i="25"/>
  <c r="U146" i="24" s="1"/>
  <c r="U146" i="29" s="1"/>
  <c r="C145" i="25"/>
  <c r="U145" i="24" s="1"/>
  <c r="U145" i="29" s="1"/>
  <c r="C144" i="25"/>
  <c r="U144" i="24" s="1"/>
  <c r="U144" i="29" s="1"/>
  <c r="C143" i="25"/>
  <c r="U143" i="24" s="1"/>
  <c r="U143" i="29" s="1"/>
  <c r="C142" i="25"/>
  <c r="U142" i="24" s="1"/>
  <c r="U142" i="29" s="1"/>
  <c r="C141" i="25"/>
  <c r="C140" i="25"/>
  <c r="F140" i="25" s="1"/>
  <c r="C139" i="25"/>
  <c r="F139" i="25" s="1"/>
  <c r="C138" i="25"/>
  <c r="F138" i="25" s="1"/>
  <c r="C137" i="25"/>
  <c r="F137" i="25" s="1"/>
  <c r="C136" i="25"/>
  <c r="F136" i="25" s="1"/>
  <c r="C135" i="25"/>
  <c r="F135" i="25" s="1"/>
  <c r="C134" i="25"/>
  <c r="F134" i="25" s="1"/>
  <c r="C133" i="25"/>
  <c r="F133" i="25" s="1"/>
  <c r="C132" i="25"/>
  <c r="F132" i="25" s="1"/>
  <c r="C131" i="25"/>
  <c r="F131" i="25" s="1"/>
  <c r="C130" i="25"/>
  <c r="F130" i="25" s="1"/>
  <c r="C129" i="25"/>
  <c r="F129" i="25" s="1"/>
  <c r="C128" i="25"/>
  <c r="C127" i="25"/>
  <c r="C126" i="25"/>
  <c r="C125" i="25"/>
  <c r="C124" i="25"/>
  <c r="C123" i="25"/>
  <c r="C122" i="25"/>
  <c r="C121" i="25"/>
  <c r="C120" i="25"/>
  <c r="C119" i="25"/>
  <c r="C118" i="25"/>
  <c r="U118" i="24" s="1"/>
  <c r="U118" i="29" s="1"/>
  <c r="C116" i="25"/>
  <c r="C115" i="25"/>
  <c r="C114" i="25"/>
  <c r="U114" i="24" s="1"/>
  <c r="U114" i="29" s="1"/>
  <c r="C112" i="25"/>
  <c r="U112" i="24" s="1"/>
  <c r="U112" i="29" s="1"/>
  <c r="C111" i="25"/>
  <c r="C110" i="25"/>
  <c r="C109" i="25"/>
  <c r="C108" i="25"/>
  <c r="C107" i="25"/>
  <c r="U107" i="24" s="1"/>
  <c r="U107" i="29" s="1"/>
  <c r="C104" i="25"/>
  <c r="U104" i="24" s="1"/>
  <c r="U104" i="29" s="1"/>
  <c r="C103" i="25"/>
  <c r="U103" i="24" s="1"/>
  <c r="U103" i="29" s="1"/>
  <c r="C102" i="25"/>
  <c r="U102" i="24" s="1"/>
  <c r="U102" i="29" s="1"/>
  <c r="C101" i="25"/>
  <c r="U101" i="24" s="1"/>
  <c r="U101" i="29" s="1"/>
  <c r="C100" i="25"/>
  <c r="U100" i="24" s="1"/>
  <c r="U100" i="29" s="1"/>
  <c r="C99" i="25"/>
  <c r="U99" i="24" s="1"/>
  <c r="U99" i="29" s="1"/>
  <c r="C98" i="25"/>
  <c r="U98" i="24" s="1"/>
  <c r="U98" i="29" s="1"/>
  <c r="C97" i="25"/>
  <c r="U97" i="24" s="1"/>
  <c r="U97" i="29" s="1"/>
  <c r="C96" i="25"/>
  <c r="U96" i="24" s="1"/>
  <c r="U96" i="29" s="1"/>
  <c r="C95" i="25"/>
  <c r="U95" i="24" s="1"/>
  <c r="U95" i="29" s="1"/>
  <c r="C94" i="25"/>
  <c r="U94" i="24" s="1"/>
  <c r="U94" i="29" s="1"/>
  <c r="C93" i="25"/>
  <c r="U93" i="24" s="1"/>
  <c r="U93" i="29" s="1"/>
  <c r="C90" i="25"/>
  <c r="U90" i="24" s="1"/>
  <c r="U90" i="29" s="1"/>
  <c r="C89" i="25"/>
  <c r="U89" i="24" s="1"/>
  <c r="U89" i="29" s="1"/>
  <c r="C88" i="25"/>
  <c r="U88" i="24" s="1"/>
  <c r="U88" i="29" s="1"/>
  <c r="C87" i="25"/>
  <c r="U87" i="24" s="1"/>
  <c r="U87" i="29" s="1"/>
  <c r="C86" i="25"/>
  <c r="U86" i="24" s="1"/>
  <c r="U86" i="29" s="1"/>
  <c r="C85" i="25"/>
  <c r="U85" i="24" s="1"/>
  <c r="U85" i="29" s="1"/>
  <c r="C84" i="25"/>
  <c r="U84" i="24" s="1"/>
  <c r="U84" i="29" s="1"/>
  <c r="C83" i="25"/>
  <c r="U83" i="24" s="1"/>
  <c r="U83" i="29" s="1"/>
  <c r="C82" i="25"/>
  <c r="U82" i="24" s="1"/>
  <c r="U82" i="29" s="1"/>
  <c r="C81" i="25"/>
  <c r="U81" i="24" s="1"/>
  <c r="U81" i="29" s="1"/>
  <c r="C77" i="25"/>
  <c r="U77" i="24" s="1"/>
  <c r="U77" i="29" s="1"/>
  <c r="C76" i="25"/>
  <c r="U76" i="24" s="1"/>
  <c r="U76" i="29" s="1"/>
  <c r="C75" i="25"/>
  <c r="U75" i="24" s="1"/>
  <c r="U75" i="29" s="1"/>
  <c r="C74" i="25"/>
  <c r="U74" i="24" s="1"/>
  <c r="U74" i="29" s="1"/>
  <c r="C73" i="25"/>
  <c r="U73" i="24" s="1"/>
  <c r="U73" i="29" s="1"/>
  <c r="C72" i="25"/>
  <c r="U72" i="24" s="1"/>
  <c r="U72" i="29" s="1"/>
  <c r="C71" i="25"/>
  <c r="U71" i="24" s="1"/>
  <c r="U71" i="29" s="1"/>
  <c r="C70" i="25"/>
  <c r="U70" i="24" s="1"/>
  <c r="U70" i="29" s="1"/>
  <c r="C69" i="25"/>
  <c r="U69" i="24" s="1"/>
  <c r="U69" i="29" s="1"/>
  <c r="C68" i="25"/>
  <c r="U68" i="24" s="1"/>
  <c r="U68" i="29" s="1"/>
  <c r="C67" i="25"/>
  <c r="U67" i="24" s="1"/>
  <c r="U67" i="29" s="1"/>
  <c r="C66" i="25"/>
  <c r="U66" i="24" s="1"/>
  <c r="U66" i="29" s="1"/>
  <c r="C65" i="25"/>
  <c r="U65" i="24" s="1"/>
  <c r="U65" i="29" s="1"/>
  <c r="C64" i="25"/>
  <c r="U64" i="24" s="1"/>
  <c r="U64" i="29" s="1"/>
  <c r="C63" i="25"/>
  <c r="U63" i="24" s="1"/>
  <c r="U63" i="29" s="1"/>
  <c r="C62" i="25"/>
  <c r="U62" i="24" s="1"/>
  <c r="U62" i="29" s="1"/>
  <c r="C61" i="25"/>
  <c r="U61" i="24" s="1"/>
  <c r="U61" i="29" s="1"/>
  <c r="C60" i="25"/>
  <c r="U60" i="24" s="1"/>
  <c r="U60" i="29" s="1"/>
  <c r="C59" i="25"/>
  <c r="U59" i="24" s="1"/>
  <c r="U59" i="29" s="1"/>
  <c r="C58" i="25"/>
  <c r="U58" i="24" s="1"/>
  <c r="U58" i="29" s="1"/>
  <c r="C57" i="25"/>
  <c r="U57" i="24" s="1"/>
  <c r="U57" i="29" s="1"/>
  <c r="C56" i="25"/>
  <c r="U56" i="24" s="1"/>
  <c r="U56" i="29" s="1"/>
  <c r="C54" i="25"/>
  <c r="U54" i="24" s="1"/>
  <c r="U54" i="29" s="1"/>
  <c r="C53" i="25"/>
  <c r="U53" i="24" s="1"/>
  <c r="U53" i="29" s="1"/>
  <c r="C51" i="25"/>
  <c r="U51" i="24" s="1"/>
  <c r="U51" i="29" s="1"/>
  <c r="C50" i="25"/>
  <c r="U50" i="24" s="1"/>
  <c r="U50" i="29" s="1"/>
  <c r="C48" i="25"/>
  <c r="U48" i="24" s="1"/>
  <c r="U48" i="29" s="1"/>
  <c r="C47" i="25"/>
  <c r="U47" i="24" s="1"/>
  <c r="U47" i="29" s="1"/>
  <c r="C46" i="25"/>
  <c r="U46" i="24" s="1"/>
  <c r="U46" i="29" s="1"/>
  <c r="C45" i="25"/>
  <c r="U45" i="24" s="1"/>
  <c r="U45" i="29" s="1"/>
  <c r="C44" i="25"/>
  <c r="U44" i="24" s="1"/>
  <c r="U44" i="29" s="1"/>
  <c r="C43" i="25"/>
  <c r="U43" i="24" s="1"/>
  <c r="U43" i="29" s="1"/>
  <c r="C42" i="25"/>
  <c r="U42" i="24" s="1"/>
  <c r="U42" i="29" s="1"/>
  <c r="C41" i="25"/>
  <c r="U41" i="24" s="1"/>
  <c r="U41" i="29" s="1"/>
  <c r="C40" i="25"/>
  <c r="U40" i="24" s="1"/>
  <c r="U40" i="29" s="1"/>
  <c r="C39" i="25"/>
  <c r="U39" i="24" s="1"/>
  <c r="U39" i="29" s="1"/>
  <c r="C38" i="25"/>
  <c r="U38" i="24" s="1"/>
  <c r="U38" i="29" s="1"/>
  <c r="C37" i="25"/>
  <c r="U37" i="24" s="1"/>
  <c r="U37" i="29" s="1"/>
  <c r="C36" i="25"/>
  <c r="U36" i="24" s="1"/>
  <c r="U36" i="29" s="1"/>
  <c r="C35" i="25"/>
  <c r="U35" i="24" s="1"/>
  <c r="U35" i="29" s="1"/>
  <c r="C34" i="25"/>
  <c r="U34" i="24" s="1"/>
  <c r="U34" i="29" s="1"/>
  <c r="C33" i="25"/>
  <c r="U33" i="24" s="1"/>
  <c r="U33" i="29" s="1"/>
  <c r="C31" i="25"/>
  <c r="U31" i="24" s="1"/>
  <c r="U31" i="29" s="1"/>
  <c r="C30" i="25"/>
  <c r="U30" i="24" s="1"/>
  <c r="U30" i="29" s="1"/>
  <c r="C29" i="25"/>
  <c r="U29" i="24" s="1"/>
  <c r="U29" i="29" s="1"/>
  <c r="C28" i="25"/>
  <c r="U28" i="24" s="1"/>
  <c r="U28" i="29" s="1"/>
  <c r="C27" i="25"/>
  <c r="U27" i="24" s="1"/>
  <c r="U27" i="29" s="1"/>
  <c r="C26" i="25"/>
  <c r="U26" i="24" s="1"/>
  <c r="U26" i="29" s="1"/>
  <c r="C25" i="25"/>
  <c r="U25" i="24" s="1"/>
  <c r="U25" i="29" s="1"/>
  <c r="C24" i="25"/>
  <c r="U24" i="24" s="1"/>
  <c r="U24" i="29" s="1"/>
  <c r="C23" i="25"/>
  <c r="U23" i="24" s="1"/>
  <c r="U23" i="29" s="1"/>
  <c r="C22" i="25"/>
  <c r="U22" i="24" s="1"/>
  <c r="U22" i="29" s="1"/>
  <c r="C21" i="25"/>
  <c r="U21" i="24" s="1"/>
  <c r="U21" i="29" s="1"/>
  <c r="C20" i="25"/>
  <c r="U20" i="24" s="1"/>
  <c r="U20" i="29" s="1"/>
  <c r="C19" i="25"/>
  <c r="U19" i="24" s="1"/>
  <c r="U19" i="29" s="1"/>
  <c r="C17" i="25"/>
  <c r="U17" i="24" s="1"/>
  <c r="U17" i="29" s="1"/>
  <c r="C16" i="25"/>
  <c r="U16" i="24" s="1"/>
  <c r="U16" i="29" s="1"/>
  <c r="C15" i="25"/>
  <c r="U15" i="24" s="1"/>
  <c r="U15" i="29" s="1"/>
  <c r="C14" i="25"/>
  <c r="U14" i="24" s="1"/>
  <c r="U14" i="29" s="1"/>
  <c r="C13" i="25"/>
  <c r="U13" i="24" s="1"/>
  <c r="U13" i="29" s="1"/>
  <c r="C12" i="25"/>
  <c r="U12" i="24" s="1"/>
  <c r="U12" i="29" s="1"/>
  <c r="C11" i="25"/>
  <c r="U11" i="24" s="1"/>
  <c r="U11" i="29" s="1"/>
  <c r="C10" i="25"/>
  <c r="U10" i="24" s="1"/>
  <c r="U10" i="29" s="1"/>
  <c r="C9" i="25"/>
  <c r="U9" i="24" s="1"/>
  <c r="U9" i="29" s="1"/>
  <c r="C8" i="25"/>
  <c r="U8" i="24" s="1"/>
  <c r="U8" i="29" s="1"/>
  <c r="C7" i="25"/>
  <c r="U7" i="24" s="1"/>
  <c r="U7" i="29" s="1"/>
  <c r="C6" i="25"/>
  <c r="U6" i="24" s="1"/>
  <c r="U6" i="29" s="1"/>
  <c r="C5" i="25"/>
  <c r="U5" i="24" s="1"/>
  <c r="U5" i="29" s="1"/>
  <c r="C4" i="25"/>
  <c r="U4" i="24" s="1"/>
  <c r="U4" i="29" s="1"/>
  <c r="C148" i="31"/>
  <c r="V148" i="24" s="1"/>
  <c r="C147" i="31"/>
  <c r="V147" i="24" s="1"/>
  <c r="V147" i="29" s="1"/>
  <c r="C146" i="31"/>
  <c r="V146" i="24" s="1"/>
  <c r="V146" i="29" s="1"/>
  <c r="C145" i="31"/>
  <c r="V145" i="24" s="1"/>
  <c r="V145" i="29" s="1"/>
  <c r="C144" i="31"/>
  <c r="V144" i="24" s="1"/>
  <c r="C143" i="31"/>
  <c r="V143" i="24" s="1"/>
  <c r="V143" i="29" s="1"/>
  <c r="C142" i="31"/>
  <c r="V142" i="24" s="1"/>
  <c r="V142" i="29" s="1"/>
  <c r="C141" i="31"/>
  <c r="C140" i="31"/>
  <c r="F140" i="31" s="1"/>
  <c r="C139" i="31"/>
  <c r="F139" i="31" s="1"/>
  <c r="C138" i="31"/>
  <c r="F138" i="31" s="1"/>
  <c r="C137" i="31"/>
  <c r="F137" i="31" s="1"/>
  <c r="C136" i="31"/>
  <c r="F136" i="31" s="1"/>
  <c r="C135" i="31"/>
  <c r="F135" i="31" s="1"/>
  <c r="C134" i="31"/>
  <c r="F134" i="31" s="1"/>
  <c r="C133" i="31"/>
  <c r="F133" i="31" s="1"/>
  <c r="C132" i="31"/>
  <c r="F132" i="31" s="1"/>
  <c r="C131" i="31"/>
  <c r="F131" i="31" s="1"/>
  <c r="C130" i="31"/>
  <c r="F130" i="31" s="1"/>
  <c r="C129" i="31"/>
  <c r="F129" i="31" s="1"/>
  <c r="C128" i="31"/>
  <c r="C127" i="31"/>
  <c r="C126" i="31"/>
  <c r="C125" i="31"/>
  <c r="C124" i="31"/>
  <c r="C123" i="31"/>
  <c r="C122" i="31"/>
  <c r="C121" i="31"/>
  <c r="C120" i="31"/>
  <c r="C119" i="31"/>
  <c r="C118" i="31"/>
  <c r="V118" i="24" s="1"/>
  <c r="V118" i="29" s="1"/>
  <c r="C116" i="31"/>
  <c r="C115" i="31"/>
  <c r="C114" i="31"/>
  <c r="V114" i="24" s="1"/>
  <c r="V114" i="29" s="1"/>
  <c r="C112" i="31"/>
  <c r="V112" i="24" s="1"/>
  <c r="V112" i="29" s="1"/>
  <c r="C111" i="31"/>
  <c r="C110" i="31"/>
  <c r="C109" i="31"/>
  <c r="C108" i="31"/>
  <c r="C107" i="31"/>
  <c r="V107" i="24" s="1"/>
  <c r="V107" i="29" s="1"/>
  <c r="C104" i="31"/>
  <c r="V104" i="24" s="1"/>
  <c r="C103" i="31"/>
  <c r="V103" i="24" s="1"/>
  <c r="C102" i="31"/>
  <c r="V102" i="24" s="1"/>
  <c r="V102" i="29" s="1"/>
  <c r="C101" i="31"/>
  <c r="V101" i="24" s="1"/>
  <c r="V101" i="29" s="1"/>
  <c r="C100" i="31"/>
  <c r="V100" i="24" s="1"/>
  <c r="C99" i="31"/>
  <c r="V99" i="24" s="1"/>
  <c r="V99" i="29" s="1"/>
  <c r="C98" i="31"/>
  <c r="V98" i="24" s="1"/>
  <c r="V98" i="29" s="1"/>
  <c r="C97" i="31"/>
  <c r="V97" i="24" s="1"/>
  <c r="V97" i="29" s="1"/>
  <c r="C96" i="31"/>
  <c r="V96" i="24" s="1"/>
  <c r="C95" i="31"/>
  <c r="V95" i="24" s="1"/>
  <c r="V95" i="29" s="1"/>
  <c r="C94" i="31"/>
  <c r="V94" i="24" s="1"/>
  <c r="V94" i="29" s="1"/>
  <c r="C93" i="31"/>
  <c r="V93" i="24" s="1"/>
  <c r="V93" i="29" s="1"/>
  <c r="C90" i="31"/>
  <c r="V90" i="24" s="1"/>
  <c r="C89" i="31"/>
  <c r="V89" i="24" s="1"/>
  <c r="V89" i="29" s="1"/>
  <c r="C88" i="31"/>
  <c r="V88" i="24" s="1"/>
  <c r="V88" i="29" s="1"/>
  <c r="C87" i="31"/>
  <c r="V87" i="24" s="1"/>
  <c r="V87" i="29" s="1"/>
  <c r="C86" i="31"/>
  <c r="V86" i="24" s="1"/>
  <c r="C85" i="31"/>
  <c r="V85" i="24" s="1"/>
  <c r="V85" i="29" s="1"/>
  <c r="C84" i="31"/>
  <c r="V84" i="24" s="1"/>
  <c r="V84" i="29" s="1"/>
  <c r="C83" i="31"/>
  <c r="V83" i="24" s="1"/>
  <c r="V83" i="29" s="1"/>
  <c r="C82" i="31"/>
  <c r="V82" i="24" s="1"/>
  <c r="V82" i="29" s="1"/>
  <c r="C81" i="31"/>
  <c r="V81" i="24" s="1"/>
  <c r="V81" i="29" s="1"/>
  <c r="C77" i="31"/>
  <c r="V77" i="24" s="1"/>
  <c r="V77" i="29" s="1"/>
  <c r="C76" i="31"/>
  <c r="V76" i="24" s="1"/>
  <c r="V76" i="29" s="1"/>
  <c r="C75" i="31"/>
  <c r="V75" i="24" s="1"/>
  <c r="V75" i="29" s="1"/>
  <c r="C74" i="31"/>
  <c r="V74" i="24" s="1"/>
  <c r="V74" i="29" s="1"/>
  <c r="C73" i="31"/>
  <c r="V73" i="24" s="1"/>
  <c r="V73" i="29" s="1"/>
  <c r="C72" i="31"/>
  <c r="V72" i="24" s="1"/>
  <c r="V72" i="29" s="1"/>
  <c r="C71" i="31"/>
  <c r="V71" i="24" s="1"/>
  <c r="V71" i="29" s="1"/>
  <c r="C70" i="31"/>
  <c r="V70" i="24" s="1"/>
  <c r="V70" i="29" s="1"/>
  <c r="C69" i="31"/>
  <c r="V69" i="24" s="1"/>
  <c r="V69" i="29" s="1"/>
  <c r="C68" i="31"/>
  <c r="V68" i="24" s="1"/>
  <c r="V68" i="29" s="1"/>
  <c r="C67" i="31"/>
  <c r="V67" i="24" s="1"/>
  <c r="V67" i="29" s="1"/>
  <c r="C66" i="31"/>
  <c r="V66" i="24" s="1"/>
  <c r="V66" i="29" s="1"/>
  <c r="C65" i="31"/>
  <c r="V65" i="24" s="1"/>
  <c r="V65" i="29" s="1"/>
  <c r="C64" i="31"/>
  <c r="V64" i="24" s="1"/>
  <c r="V64" i="29" s="1"/>
  <c r="C63" i="31"/>
  <c r="V63" i="24" s="1"/>
  <c r="V63" i="29" s="1"/>
  <c r="C62" i="31"/>
  <c r="V62" i="24" s="1"/>
  <c r="V62" i="29" s="1"/>
  <c r="C61" i="31"/>
  <c r="V61" i="24" s="1"/>
  <c r="V61" i="29" s="1"/>
  <c r="C60" i="31"/>
  <c r="V60" i="24" s="1"/>
  <c r="V60" i="29" s="1"/>
  <c r="C59" i="31"/>
  <c r="V59" i="24" s="1"/>
  <c r="V59" i="29" s="1"/>
  <c r="C58" i="31"/>
  <c r="V58" i="24" s="1"/>
  <c r="V58" i="29" s="1"/>
  <c r="C57" i="31"/>
  <c r="V57" i="24" s="1"/>
  <c r="V57" i="29" s="1"/>
  <c r="C56" i="31"/>
  <c r="V56" i="24" s="1"/>
  <c r="V56" i="29" s="1"/>
  <c r="C54" i="31"/>
  <c r="V54" i="24" s="1"/>
  <c r="V54" i="29" s="1"/>
  <c r="C53" i="31"/>
  <c r="V53" i="24" s="1"/>
  <c r="C51" i="31"/>
  <c r="V51" i="24" s="1"/>
  <c r="V51" i="29" s="1"/>
  <c r="C50" i="31"/>
  <c r="V50" i="24" s="1"/>
  <c r="V50" i="29" s="1"/>
  <c r="C48" i="31"/>
  <c r="V48" i="24" s="1"/>
  <c r="V48" i="29" s="1"/>
  <c r="C47" i="31"/>
  <c r="V47" i="24" s="1"/>
  <c r="V47" i="29" s="1"/>
  <c r="C46" i="31"/>
  <c r="V46" i="24" s="1"/>
  <c r="V46" i="29" s="1"/>
  <c r="C45" i="31"/>
  <c r="V45" i="24" s="1"/>
  <c r="V45" i="29" s="1"/>
  <c r="C44" i="31"/>
  <c r="V44" i="24" s="1"/>
  <c r="V44" i="29" s="1"/>
  <c r="C43" i="31"/>
  <c r="V43" i="24" s="1"/>
  <c r="V43" i="29" s="1"/>
  <c r="C42" i="31"/>
  <c r="V42" i="24" s="1"/>
  <c r="V42" i="29" s="1"/>
  <c r="C41" i="31"/>
  <c r="V41" i="24" s="1"/>
  <c r="V41" i="29" s="1"/>
  <c r="C40" i="31"/>
  <c r="V40" i="24" s="1"/>
  <c r="V40" i="29" s="1"/>
  <c r="C39" i="31"/>
  <c r="V39" i="24" s="1"/>
  <c r="C38" i="31"/>
  <c r="V38" i="24" s="1"/>
  <c r="V38" i="29" s="1"/>
  <c r="C37" i="31"/>
  <c r="V37" i="24" s="1"/>
  <c r="V37" i="29" s="1"/>
  <c r="C36" i="31"/>
  <c r="V36" i="24" s="1"/>
  <c r="V36" i="29" s="1"/>
  <c r="C35" i="31"/>
  <c r="V35" i="24" s="1"/>
  <c r="V35" i="29" s="1"/>
  <c r="C34" i="31"/>
  <c r="V34" i="24" s="1"/>
  <c r="C33" i="31"/>
  <c r="V33" i="24" s="1"/>
  <c r="V33" i="29" s="1"/>
  <c r="C31" i="31"/>
  <c r="V31" i="24" s="1"/>
  <c r="V31" i="29" s="1"/>
  <c r="C30" i="31"/>
  <c r="V30" i="24" s="1"/>
  <c r="V30" i="29" s="1"/>
  <c r="C29" i="31"/>
  <c r="V29" i="24" s="1"/>
  <c r="V29" i="29" s="1"/>
  <c r="C28" i="31"/>
  <c r="V28" i="24" s="1"/>
  <c r="V28" i="29" s="1"/>
  <c r="C27" i="31"/>
  <c r="V27" i="24" s="1"/>
  <c r="V27" i="29" s="1"/>
  <c r="C26" i="31"/>
  <c r="V26" i="24" s="1"/>
  <c r="V26" i="29" s="1"/>
  <c r="C25" i="31"/>
  <c r="V25" i="24" s="1"/>
  <c r="V25" i="29" s="1"/>
  <c r="C24" i="31"/>
  <c r="V24" i="24" s="1"/>
  <c r="V24" i="29" s="1"/>
  <c r="C23" i="31"/>
  <c r="V23" i="24" s="1"/>
  <c r="V23" i="29" s="1"/>
  <c r="C22" i="31"/>
  <c r="V22" i="24" s="1"/>
  <c r="V22" i="29" s="1"/>
  <c r="C21" i="31"/>
  <c r="V21" i="24" s="1"/>
  <c r="V21" i="29" s="1"/>
  <c r="C20" i="31"/>
  <c r="V20" i="24" s="1"/>
  <c r="V20" i="29" s="1"/>
  <c r="C19" i="31"/>
  <c r="V19" i="24" s="1"/>
  <c r="V19" i="29" s="1"/>
  <c r="C17" i="31"/>
  <c r="V17" i="24" s="1"/>
  <c r="V17" i="29" s="1"/>
  <c r="C16" i="31"/>
  <c r="V16" i="24" s="1"/>
  <c r="V16" i="29" s="1"/>
  <c r="C15" i="31"/>
  <c r="V15" i="24" s="1"/>
  <c r="V15" i="29" s="1"/>
  <c r="C14" i="31"/>
  <c r="V14" i="24" s="1"/>
  <c r="V14" i="29" s="1"/>
  <c r="C13" i="31"/>
  <c r="V13" i="24" s="1"/>
  <c r="V13" i="29" s="1"/>
  <c r="C12" i="31"/>
  <c r="V12" i="24" s="1"/>
  <c r="V12" i="29" s="1"/>
  <c r="C11" i="31"/>
  <c r="V11" i="24" s="1"/>
  <c r="V11" i="29" s="1"/>
  <c r="C10" i="31"/>
  <c r="V10" i="24" s="1"/>
  <c r="V10" i="29" s="1"/>
  <c r="C9" i="31"/>
  <c r="V9" i="24" s="1"/>
  <c r="V9" i="29" s="1"/>
  <c r="C8" i="31"/>
  <c r="V8" i="24" s="1"/>
  <c r="V8" i="29" s="1"/>
  <c r="C7" i="31"/>
  <c r="V7" i="24" s="1"/>
  <c r="V7" i="29" s="1"/>
  <c r="C6" i="31"/>
  <c r="V6" i="24" s="1"/>
  <c r="V6" i="29" s="1"/>
  <c r="C5" i="31"/>
  <c r="V5" i="24" s="1"/>
  <c r="V5" i="29" s="1"/>
  <c r="C4" i="31"/>
  <c r="V4" i="24" s="1"/>
  <c r="V4" i="29" s="1"/>
  <c r="C148" i="32"/>
  <c r="W148" i="24" s="1"/>
  <c r="W148" i="29" s="1"/>
  <c r="C147" i="32"/>
  <c r="W147" i="24" s="1"/>
  <c r="W147" i="29" s="1"/>
  <c r="C146" i="32"/>
  <c r="W146" i="24" s="1"/>
  <c r="W146" i="29" s="1"/>
  <c r="C145" i="32"/>
  <c r="W145" i="24" s="1"/>
  <c r="W145" i="29" s="1"/>
  <c r="C144" i="32"/>
  <c r="W144" i="24" s="1"/>
  <c r="W144" i="29" s="1"/>
  <c r="C143" i="32"/>
  <c r="W143" i="24" s="1"/>
  <c r="W143" i="29" s="1"/>
  <c r="C142" i="32"/>
  <c r="W142" i="24" s="1"/>
  <c r="W142" i="29" s="1"/>
  <c r="C141" i="32"/>
  <c r="C140" i="32"/>
  <c r="F140" i="32" s="1"/>
  <c r="C139" i="32"/>
  <c r="F139" i="32" s="1"/>
  <c r="C138" i="32"/>
  <c r="F138" i="32" s="1"/>
  <c r="C137" i="32"/>
  <c r="F137" i="32" s="1"/>
  <c r="C136" i="32"/>
  <c r="F136" i="32" s="1"/>
  <c r="C135" i="32"/>
  <c r="F135" i="32" s="1"/>
  <c r="C134" i="32"/>
  <c r="F134" i="32" s="1"/>
  <c r="C133" i="32"/>
  <c r="F133" i="32" s="1"/>
  <c r="C132" i="32"/>
  <c r="F132" i="32" s="1"/>
  <c r="C131" i="32"/>
  <c r="F131" i="32" s="1"/>
  <c r="C130" i="32"/>
  <c r="F130" i="32" s="1"/>
  <c r="C129" i="32"/>
  <c r="F129" i="32" s="1"/>
  <c r="C128" i="32"/>
  <c r="F128" i="32" s="1"/>
  <c r="C127" i="32"/>
  <c r="C126" i="32"/>
  <c r="C125" i="32"/>
  <c r="C124" i="32"/>
  <c r="C123" i="32"/>
  <c r="C122" i="32"/>
  <c r="C121" i="32"/>
  <c r="C120" i="32"/>
  <c r="C119" i="32"/>
  <c r="C118" i="32"/>
  <c r="W118" i="24" s="1"/>
  <c r="W118" i="29" s="1"/>
  <c r="C116" i="32"/>
  <c r="C115" i="32"/>
  <c r="C114" i="32"/>
  <c r="W114" i="24" s="1"/>
  <c r="W114" i="29" s="1"/>
  <c r="C112" i="32"/>
  <c r="W112" i="24" s="1"/>
  <c r="W112" i="29" s="1"/>
  <c r="C111" i="32"/>
  <c r="C110" i="32"/>
  <c r="C109" i="32"/>
  <c r="C108" i="32"/>
  <c r="C107" i="32"/>
  <c r="W107" i="24" s="1"/>
  <c r="W107" i="29" s="1"/>
  <c r="C104" i="32"/>
  <c r="W104" i="24" s="1"/>
  <c r="W104" i="29" s="1"/>
  <c r="C103" i="32"/>
  <c r="W103" i="24" s="1"/>
  <c r="W103" i="29" s="1"/>
  <c r="C102" i="32"/>
  <c r="W102" i="24" s="1"/>
  <c r="W102" i="29" s="1"/>
  <c r="C101" i="32"/>
  <c r="W101" i="24" s="1"/>
  <c r="W101" i="29" s="1"/>
  <c r="C100" i="32"/>
  <c r="W100" i="24" s="1"/>
  <c r="W100" i="29" s="1"/>
  <c r="C99" i="32"/>
  <c r="W99" i="24" s="1"/>
  <c r="W99" i="29" s="1"/>
  <c r="C98" i="32"/>
  <c r="W98" i="24" s="1"/>
  <c r="W98" i="29" s="1"/>
  <c r="C97" i="32"/>
  <c r="W97" i="24" s="1"/>
  <c r="W97" i="29" s="1"/>
  <c r="C96" i="32"/>
  <c r="W96" i="24" s="1"/>
  <c r="W96" i="29" s="1"/>
  <c r="C95" i="32"/>
  <c r="W95" i="24" s="1"/>
  <c r="W95" i="29" s="1"/>
  <c r="C94" i="32"/>
  <c r="W94" i="24" s="1"/>
  <c r="W94" i="29" s="1"/>
  <c r="C93" i="32"/>
  <c r="W93" i="24" s="1"/>
  <c r="W93" i="29" s="1"/>
  <c r="C90" i="32"/>
  <c r="W90" i="24" s="1"/>
  <c r="W90" i="29" s="1"/>
  <c r="C89" i="32"/>
  <c r="W89" i="24" s="1"/>
  <c r="W89" i="29" s="1"/>
  <c r="C88" i="32"/>
  <c r="W88" i="24" s="1"/>
  <c r="W88" i="29" s="1"/>
  <c r="C87" i="32"/>
  <c r="W87" i="24" s="1"/>
  <c r="W87" i="29" s="1"/>
  <c r="C86" i="32"/>
  <c r="W86" i="24" s="1"/>
  <c r="W86" i="29" s="1"/>
  <c r="C85" i="32"/>
  <c r="W85" i="24" s="1"/>
  <c r="W85" i="29" s="1"/>
  <c r="C84" i="32"/>
  <c r="W84" i="24" s="1"/>
  <c r="W84" i="29" s="1"/>
  <c r="C83" i="32"/>
  <c r="W83" i="24" s="1"/>
  <c r="W83" i="29" s="1"/>
  <c r="C82" i="32"/>
  <c r="W82" i="24" s="1"/>
  <c r="W82" i="29" s="1"/>
  <c r="C81" i="32"/>
  <c r="W81" i="24" s="1"/>
  <c r="W81" i="29" s="1"/>
  <c r="C77" i="32"/>
  <c r="W77" i="24" s="1"/>
  <c r="W77" i="29" s="1"/>
  <c r="C76" i="32"/>
  <c r="W76" i="24" s="1"/>
  <c r="W76" i="29" s="1"/>
  <c r="C75" i="32"/>
  <c r="W75" i="24" s="1"/>
  <c r="W75" i="29" s="1"/>
  <c r="C74" i="32"/>
  <c r="W74" i="24" s="1"/>
  <c r="W74" i="29" s="1"/>
  <c r="C73" i="32"/>
  <c r="W73" i="24" s="1"/>
  <c r="W73" i="29" s="1"/>
  <c r="C72" i="32"/>
  <c r="W72" i="24" s="1"/>
  <c r="W72" i="29" s="1"/>
  <c r="C71" i="32"/>
  <c r="W71" i="24" s="1"/>
  <c r="W71" i="29" s="1"/>
  <c r="C70" i="32"/>
  <c r="W70" i="24" s="1"/>
  <c r="W70" i="29" s="1"/>
  <c r="C69" i="32"/>
  <c r="W69" i="24" s="1"/>
  <c r="W69" i="29" s="1"/>
  <c r="C68" i="32"/>
  <c r="W68" i="24" s="1"/>
  <c r="W68" i="29" s="1"/>
  <c r="C67" i="32"/>
  <c r="W67" i="24" s="1"/>
  <c r="W67" i="29" s="1"/>
  <c r="C66" i="32"/>
  <c r="W66" i="24" s="1"/>
  <c r="W66" i="29" s="1"/>
  <c r="C65" i="32"/>
  <c r="W65" i="24" s="1"/>
  <c r="W65" i="29" s="1"/>
  <c r="C64" i="32"/>
  <c r="W64" i="24" s="1"/>
  <c r="W64" i="29" s="1"/>
  <c r="C63" i="32"/>
  <c r="W63" i="24" s="1"/>
  <c r="W63" i="29" s="1"/>
  <c r="C62" i="32"/>
  <c r="W62" i="24" s="1"/>
  <c r="W62" i="29" s="1"/>
  <c r="C61" i="32"/>
  <c r="W61" i="24" s="1"/>
  <c r="W61" i="29" s="1"/>
  <c r="C60" i="32"/>
  <c r="W60" i="24" s="1"/>
  <c r="W60" i="29" s="1"/>
  <c r="C59" i="32"/>
  <c r="W59" i="24" s="1"/>
  <c r="W59" i="29" s="1"/>
  <c r="C58" i="32"/>
  <c r="W58" i="24" s="1"/>
  <c r="W58" i="29" s="1"/>
  <c r="C57" i="32"/>
  <c r="W57" i="24" s="1"/>
  <c r="W57" i="29" s="1"/>
  <c r="C56" i="32"/>
  <c r="W56" i="24" s="1"/>
  <c r="W56" i="29" s="1"/>
  <c r="C54" i="32"/>
  <c r="W54" i="24" s="1"/>
  <c r="W54" i="29" s="1"/>
  <c r="C53" i="32"/>
  <c r="W53" i="24" s="1"/>
  <c r="W53" i="29" s="1"/>
  <c r="C51" i="32"/>
  <c r="W51" i="24" s="1"/>
  <c r="W51" i="29" s="1"/>
  <c r="C50" i="32"/>
  <c r="W50" i="24" s="1"/>
  <c r="W50" i="29" s="1"/>
  <c r="C48" i="32"/>
  <c r="W48" i="24" s="1"/>
  <c r="W48" i="29" s="1"/>
  <c r="C47" i="32"/>
  <c r="W47" i="24" s="1"/>
  <c r="W47" i="29" s="1"/>
  <c r="C46" i="32"/>
  <c r="W46" i="24" s="1"/>
  <c r="W46" i="29" s="1"/>
  <c r="C45" i="32"/>
  <c r="W45" i="24" s="1"/>
  <c r="W45" i="29" s="1"/>
  <c r="C44" i="32"/>
  <c r="W44" i="24" s="1"/>
  <c r="W44" i="29" s="1"/>
  <c r="C43" i="32"/>
  <c r="W43" i="24" s="1"/>
  <c r="W43" i="29" s="1"/>
  <c r="C42" i="32"/>
  <c r="W42" i="24" s="1"/>
  <c r="W42" i="29" s="1"/>
  <c r="C41" i="32"/>
  <c r="W41" i="24" s="1"/>
  <c r="W41" i="29" s="1"/>
  <c r="C40" i="32"/>
  <c r="W40" i="24" s="1"/>
  <c r="W40" i="29" s="1"/>
  <c r="C39" i="32"/>
  <c r="W39" i="24" s="1"/>
  <c r="W39" i="29" s="1"/>
  <c r="C38" i="32"/>
  <c r="W38" i="24" s="1"/>
  <c r="W38" i="29" s="1"/>
  <c r="C37" i="32"/>
  <c r="W37" i="24" s="1"/>
  <c r="W37" i="29" s="1"/>
  <c r="C36" i="32"/>
  <c r="W36" i="24" s="1"/>
  <c r="W36" i="29" s="1"/>
  <c r="C35" i="32"/>
  <c r="W35" i="24" s="1"/>
  <c r="W35" i="29" s="1"/>
  <c r="C34" i="32"/>
  <c r="W34" i="24" s="1"/>
  <c r="W34" i="29" s="1"/>
  <c r="C33" i="32"/>
  <c r="W33" i="24" s="1"/>
  <c r="W33" i="29" s="1"/>
  <c r="C31" i="32"/>
  <c r="W31" i="24" s="1"/>
  <c r="W31" i="29" s="1"/>
  <c r="C30" i="32"/>
  <c r="W30" i="24" s="1"/>
  <c r="W30" i="29" s="1"/>
  <c r="C29" i="32"/>
  <c r="W29" i="24" s="1"/>
  <c r="W29" i="29" s="1"/>
  <c r="C28" i="32"/>
  <c r="W28" i="24" s="1"/>
  <c r="W28" i="29" s="1"/>
  <c r="C27" i="32"/>
  <c r="W27" i="24" s="1"/>
  <c r="W27" i="29" s="1"/>
  <c r="C26" i="32"/>
  <c r="W26" i="24" s="1"/>
  <c r="W26" i="29" s="1"/>
  <c r="C25" i="32"/>
  <c r="W25" i="24" s="1"/>
  <c r="W25" i="29" s="1"/>
  <c r="C24" i="32"/>
  <c r="W24" i="24" s="1"/>
  <c r="W24" i="29" s="1"/>
  <c r="C23" i="32"/>
  <c r="W23" i="24" s="1"/>
  <c r="W23" i="29" s="1"/>
  <c r="C22" i="32"/>
  <c r="W22" i="24" s="1"/>
  <c r="W22" i="29" s="1"/>
  <c r="C21" i="32"/>
  <c r="W21" i="24" s="1"/>
  <c r="W21" i="29" s="1"/>
  <c r="C20" i="32"/>
  <c r="W20" i="24" s="1"/>
  <c r="W20" i="29" s="1"/>
  <c r="C19" i="32"/>
  <c r="W19" i="24" s="1"/>
  <c r="W19" i="29" s="1"/>
  <c r="C17" i="32"/>
  <c r="W17" i="24" s="1"/>
  <c r="W17" i="29" s="1"/>
  <c r="C16" i="32"/>
  <c r="W16" i="24" s="1"/>
  <c r="W16" i="29" s="1"/>
  <c r="C15" i="32"/>
  <c r="W15" i="24" s="1"/>
  <c r="W15" i="29" s="1"/>
  <c r="C14" i="32"/>
  <c r="W14" i="24" s="1"/>
  <c r="W14" i="29" s="1"/>
  <c r="C13" i="32"/>
  <c r="W13" i="24" s="1"/>
  <c r="W13" i="29" s="1"/>
  <c r="C12" i="32"/>
  <c r="W12" i="24" s="1"/>
  <c r="W12" i="29" s="1"/>
  <c r="C11" i="32"/>
  <c r="W11" i="24" s="1"/>
  <c r="W11" i="29" s="1"/>
  <c r="C10" i="32"/>
  <c r="W10" i="24" s="1"/>
  <c r="W10" i="29" s="1"/>
  <c r="C9" i="32"/>
  <c r="W9" i="24" s="1"/>
  <c r="W9" i="29" s="1"/>
  <c r="C8" i="32"/>
  <c r="W8" i="24" s="1"/>
  <c r="W8" i="29" s="1"/>
  <c r="C7" i="32"/>
  <c r="W7" i="24" s="1"/>
  <c r="W7" i="29" s="1"/>
  <c r="C6" i="32"/>
  <c r="W6" i="24" s="1"/>
  <c r="W6" i="29" s="1"/>
  <c r="C5" i="32"/>
  <c r="W5" i="24" s="1"/>
  <c r="W5" i="29" s="1"/>
  <c r="C4" i="32"/>
  <c r="W4" i="24" s="1"/>
  <c r="W4" i="29" s="1"/>
  <c r="C148" i="33"/>
  <c r="X148" i="24" s="1"/>
  <c r="C147" i="33"/>
  <c r="X147" i="24" s="1"/>
  <c r="C146" i="33"/>
  <c r="X146" i="24" s="1"/>
  <c r="C145" i="33"/>
  <c r="X145" i="24" s="1"/>
  <c r="C144" i="33"/>
  <c r="X144" i="24" s="1"/>
  <c r="C143" i="33"/>
  <c r="X143" i="24" s="1"/>
  <c r="C142" i="33"/>
  <c r="X142" i="24" s="1"/>
  <c r="C141" i="33"/>
  <c r="C140" i="33"/>
  <c r="F140" i="33" s="1"/>
  <c r="C139" i="33"/>
  <c r="F139" i="33" s="1"/>
  <c r="C138" i="33"/>
  <c r="F138" i="33" s="1"/>
  <c r="C137" i="33"/>
  <c r="F137" i="33" s="1"/>
  <c r="C136" i="33"/>
  <c r="F136" i="33" s="1"/>
  <c r="C135" i="33"/>
  <c r="F135" i="33" s="1"/>
  <c r="C134" i="33"/>
  <c r="F134" i="33" s="1"/>
  <c r="C133" i="33"/>
  <c r="F133" i="33" s="1"/>
  <c r="C132" i="33"/>
  <c r="F132" i="33" s="1"/>
  <c r="C131" i="33"/>
  <c r="F131" i="33" s="1"/>
  <c r="C130" i="33"/>
  <c r="F130" i="33" s="1"/>
  <c r="C129" i="33"/>
  <c r="C128" i="33"/>
  <c r="C127" i="33"/>
  <c r="C126" i="33"/>
  <c r="C125" i="33"/>
  <c r="C124" i="33"/>
  <c r="C123" i="33"/>
  <c r="C122" i="33"/>
  <c r="C121" i="33"/>
  <c r="C120" i="33"/>
  <c r="C119" i="33"/>
  <c r="C118" i="33"/>
  <c r="X118" i="24" s="1"/>
  <c r="C116" i="33"/>
  <c r="C115" i="33"/>
  <c r="C114" i="33"/>
  <c r="X114" i="24" s="1"/>
  <c r="C112" i="33"/>
  <c r="X112" i="24" s="1"/>
  <c r="C111" i="33"/>
  <c r="C110" i="33"/>
  <c r="C109" i="33"/>
  <c r="C108" i="33"/>
  <c r="C107" i="33"/>
  <c r="X107" i="24" s="1"/>
  <c r="C104" i="33"/>
  <c r="X104" i="24" s="1"/>
  <c r="C103" i="33"/>
  <c r="X103" i="24" s="1"/>
  <c r="C102" i="33"/>
  <c r="X102" i="24" s="1"/>
  <c r="C101" i="33"/>
  <c r="X101" i="24" s="1"/>
  <c r="C100" i="33"/>
  <c r="X100" i="24" s="1"/>
  <c r="C99" i="33"/>
  <c r="X99" i="24" s="1"/>
  <c r="C98" i="33"/>
  <c r="X98" i="24" s="1"/>
  <c r="C97" i="33"/>
  <c r="X97" i="24" s="1"/>
  <c r="C96" i="33"/>
  <c r="X96" i="24" s="1"/>
  <c r="C95" i="33"/>
  <c r="X95" i="24" s="1"/>
  <c r="C94" i="33"/>
  <c r="X94" i="24" s="1"/>
  <c r="C93" i="33"/>
  <c r="X93" i="24" s="1"/>
  <c r="C90" i="33"/>
  <c r="X90" i="24" s="1"/>
  <c r="C89" i="33"/>
  <c r="X89" i="24" s="1"/>
  <c r="C88" i="33"/>
  <c r="X88" i="24" s="1"/>
  <c r="C87" i="33"/>
  <c r="X87" i="24" s="1"/>
  <c r="C86" i="33"/>
  <c r="X86" i="24" s="1"/>
  <c r="C85" i="33"/>
  <c r="X85" i="24" s="1"/>
  <c r="C84" i="33"/>
  <c r="X84" i="24" s="1"/>
  <c r="C83" i="33"/>
  <c r="X83" i="24" s="1"/>
  <c r="C82" i="33"/>
  <c r="X82" i="24" s="1"/>
  <c r="C81" i="33"/>
  <c r="X81" i="24" s="1"/>
  <c r="C77" i="33"/>
  <c r="X77" i="24" s="1"/>
  <c r="C76" i="33"/>
  <c r="X76" i="24" s="1"/>
  <c r="X76" i="29" s="1"/>
  <c r="C75" i="33"/>
  <c r="X75" i="24" s="1"/>
  <c r="C74" i="33"/>
  <c r="X74" i="24" s="1"/>
  <c r="C73" i="33"/>
  <c r="X73" i="24" s="1"/>
  <c r="C72" i="33"/>
  <c r="X72" i="24" s="1"/>
  <c r="X72" i="29" s="1"/>
  <c r="C71" i="33"/>
  <c r="X71" i="24" s="1"/>
  <c r="C70" i="33"/>
  <c r="X70" i="24" s="1"/>
  <c r="C69" i="33"/>
  <c r="X69" i="24" s="1"/>
  <c r="C68" i="33"/>
  <c r="X68" i="24" s="1"/>
  <c r="X68" i="29" s="1"/>
  <c r="C67" i="33"/>
  <c r="X67" i="24" s="1"/>
  <c r="C66" i="33"/>
  <c r="X66" i="24" s="1"/>
  <c r="X66" i="29" s="1"/>
  <c r="C65" i="33"/>
  <c r="X65" i="24" s="1"/>
  <c r="C64" i="33"/>
  <c r="X64" i="24" s="1"/>
  <c r="X64" i="29" s="1"/>
  <c r="C63" i="33"/>
  <c r="X63" i="24" s="1"/>
  <c r="C62" i="33"/>
  <c r="X62" i="24" s="1"/>
  <c r="X62" i="29" s="1"/>
  <c r="C61" i="33"/>
  <c r="X61" i="24" s="1"/>
  <c r="C60" i="33"/>
  <c r="X60" i="24" s="1"/>
  <c r="X60" i="29" s="1"/>
  <c r="C59" i="33"/>
  <c r="X59" i="24" s="1"/>
  <c r="C58" i="33"/>
  <c r="X58" i="24" s="1"/>
  <c r="X58" i="29" s="1"/>
  <c r="C57" i="33"/>
  <c r="X57" i="24" s="1"/>
  <c r="C56" i="33"/>
  <c r="X56" i="24" s="1"/>
  <c r="X56" i="29" s="1"/>
  <c r="C54" i="33"/>
  <c r="X54" i="24" s="1"/>
  <c r="C53" i="33"/>
  <c r="X53" i="24" s="1"/>
  <c r="X53" i="29" s="1"/>
  <c r="C51" i="33"/>
  <c r="X51" i="24" s="1"/>
  <c r="C50" i="33"/>
  <c r="X50" i="24" s="1"/>
  <c r="X50" i="29" s="1"/>
  <c r="C48" i="33"/>
  <c r="X48" i="24" s="1"/>
  <c r="C47" i="33"/>
  <c r="X47" i="24" s="1"/>
  <c r="X47" i="29" s="1"/>
  <c r="C46" i="33"/>
  <c r="X46" i="24" s="1"/>
  <c r="C45" i="33"/>
  <c r="X45" i="24" s="1"/>
  <c r="X45" i="29" s="1"/>
  <c r="C44" i="33"/>
  <c r="X44" i="24" s="1"/>
  <c r="C43" i="33"/>
  <c r="X43" i="24" s="1"/>
  <c r="X43" i="29" s="1"/>
  <c r="C42" i="33"/>
  <c r="X42" i="24" s="1"/>
  <c r="C41" i="33"/>
  <c r="X41" i="24" s="1"/>
  <c r="X41" i="29" s="1"/>
  <c r="C40" i="33"/>
  <c r="X40" i="24" s="1"/>
  <c r="C39" i="33"/>
  <c r="X39" i="24" s="1"/>
  <c r="X39" i="29" s="1"/>
  <c r="C38" i="33"/>
  <c r="X38" i="24" s="1"/>
  <c r="C37" i="33"/>
  <c r="X37" i="24" s="1"/>
  <c r="X37" i="29" s="1"/>
  <c r="C36" i="33"/>
  <c r="X36" i="24" s="1"/>
  <c r="C35" i="33"/>
  <c r="X35" i="24" s="1"/>
  <c r="X35" i="29" s="1"/>
  <c r="C34" i="33"/>
  <c r="X34" i="24" s="1"/>
  <c r="C33" i="33"/>
  <c r="X33" i="24" s="1"/>
  <c r="X33" i="29" s="1"/>
  <c r="C31" i="33"/>
  <c r="X31" i="24" s="1"/>
  <c r="C30" i="33"/>
  <c r="X30" i="24" s="1"/>
  <c r="X30" i="29" s="1"/>
  <c r="C29" i="33"/>
  <c r="X29" i="24" s="1"/>
  <c r="C28" i="33"/>
  <c r="X28" i="24" s="1"/>
  <c r="X28" i="29" s="1"/>
  <c r="C27" i="33"/>
  <c r="X27" i="24" s="1"/>
  <c r="C26" i="33"/>
  <c r="X26" i="24" s="1"/>
  <c r="X26" i="29" s="1"/>
  <c r="C25" i="33"/>
  <c r="X25" i="24" s="1"/>
  <c r="C24" i="33"/>
  <c r="X24" i="24" s="1"/>
  <c r="X24" i="29" s="1"/>
  <c r="C23" i="33"/>
  <c r="X23" i="24" s="1"/>
  <c r="C22" i="33"/>
  <c r="X22" i="24" s="1"/>
  <c r="X22" i="29" s="1"/>
  <c r="C21" i="33"/>
  <c r="X21" i="24" s="1"/>
  <c r="C20" i="33"/>
  <c r="X20" i="24" s="1"/>
  <c r="C19" i="33"/>
  <c r="X19" i="24" s="1"/>
  <c r="C17" i="33"/>
  <c r="X17" i="24" s="1"/>
  <c r="X17" i="29" s="1"/>
  <c r="C16" i="33"/>
  <c r="X16" i="24" s="1"/>
  <c r="C15" i="33"/>
  <c r="X15" i="24" s="1"/>
  <c r="X15" i="29" s="1"/>
  <c r="C14" i="33"/>
  <c r="X14" i="24" s="1"/>
  <c r="C13" i="33"/>
  <c r="X13" i="24" s="1"/>
  <c r="X13" i="29" s="1"/>
  <c r="C12" i="33"/>
  <c r="X12" i="24" s="1"/>
  <c r="C11" i="33"/>
  <c r="X11" i="24" s="1"/>
  <c r="X11" i="29" s="1"/>
  <c r="C10" i="33"/>
  <c r="X10" i="24" s="1"/>
  <c r="C9" i="33"/>
  <c r="X9" i="24" s="1"/>
  <c r="X9" i="29" s="1"/>
  <c r="C8" i="33"/>
  <c r="X8" i="24" s="1"/>
  <c r="C7" i="33"/>
  <c r="X7" i="24" s="1"/>
  <c r="X7" i="29" s="1"/>
  <c r="C6" i="33"/>
  <c r="X6" i="24" s="1"/>
  <c r="C5" i="33"/>
  <c r="X5" i="24" s="1"/>
  <c r="X5" i="29" s="1"/>
  <c r="C4" i="33"/>
  <c r="X4" i="24" s="1"/>
  <c r="C148" i="2"/>
  <c r="C147" i="2"/>
  <c r="C146" i="2"/>
  <c r="C145" i="2"/>
  <c r="C144" i="2"/>
  <c r="C143" i="2"/>
  <c r="C142" i="2"/>
  <c r="C141" i="2"/>
  <c r="F141" i="2" s="1"/>
  <c r="C140" i="2"/>
  <c r="B140" i="24" s="1"/>
  <c r="C139" i="2"/>
  <c r="B139" i="24" s="1"/>
  <c r="C138" i="2"/>
  <c r="B138" i="24" s="1"/>
  <c r="C137" i="2"/>
  <c r="B137" i="24" s="1"/>
  <c r="C136" i="2"/>
  <c r="B136" i="24" s="1"/>
  <c r="C135" i="2"/>
  <c r="B135" i="24" s="1"/>
  <c r="C134" i="2"/>
  <c r="B134" i="24" s="1"/>
  <c r="C133" i="2"/>
  <c r="B133" i="24" s="1"/>
  <c r="C131" i="2"/>
  <c r="B131" i="24" s="1"/>
  <c r="C130" i="2"/>
  <c r="B130" i="24" s="1"/>
  <c r="C129" i="2"/>
  <c r="B129" i="24" s="1"/>
  <c r="C128" i="2"/>
  <c r="B128" i="24" s="1"/>
  <c r="C127" i="2"/>
  <c r="B127" i="24" s="1"/>
  <c r="C126" i="2"/>
  <c r="B126" i="24" s="1"/>
  <c r="C125" i="2"/>
  <c r="B125" i="24" s="1"/>
  <c r="C124" i="2"/>
  <c r="B124" i="24" s="1"/>
  <c r="C123" i="2"/>
  <c r="B123" i="24" s="1"/>
  <c r="C122" i="2"/>
  <c r="B122" i="24" s="1"/>
  <c r="C121" i="2"/>
  <c r="B121" i="24" s="1"/>
  <c r="C120" i="2"/>
  <c r="B120" i="24" s="1"/>
  <c r="C119" i="2"/>
  <c r="B119" i="24" s="1"/>
  <c r="C118" i="2"/>
  <c r="C116" i="2"/>
  <c r="B116" i="24" s="1"/>
  <c r="C115" i="2"/>
  <c r="B115" i="24" s="1"/>
  <c r="C114" i="2"/>
  <c r="C112" i="2"/>
  <c r="C111" i="2"/>
  <c r="B111" i="24" s="1"/>
  <c r="C110" i="2"/>
  <c r="B110" i="24" s="1"/>
  <c r="C109" i="2"/>
  <c r="B109" i="24" s="1"/>
  <c r="C108" i="2"/>
  <c r="B108" i="24" s="1"/>
  <c r="C107" i="2"/>
  <c r="C104" i="2"/>
  <c r="C103" i="2"/>
  <c r="B103" i="24" s="1"/>
  <c r="C102" i="2"/>
  <c r="B102" i="24" s="1"/>
  <c r="C101" i="2"/>
  <c r="B101" i="24" s="1"/>
  <c r="C99" i="2"/>
  <c r="B99" i="24" s="1"/>
  <c r="C98" i="2"/>
  <c r="B98" i="24" s="1"/>
  <c r="C97" i="2"/>
  <c r="B97" i="24" s="1"/>
  <c r="C96" i="2"/>
  <c r="B96" i="24" s="1"/>
  <c r="C95" i="2"/>
  <c r="B95" i="24" s="1"/>
  <c r="C94" i="2"/>
  <c r="B94" i="24" s="1"/>
  <c r="C93" i="2"/>
  <c r="C90" i="2"/>
  <c r="C89" i="2"/>
  <c r="C88" i="2"/>
  <c r="C87" i="2"/>
  <c r="C86" i="2"/>
  <c r="C85" i="2"/>
  <c r="C84" i="2"/>
  <c r="C83" i="2"/>
  <c r="C82" i="2"/>
  <c r="C81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4" i="2"/>
  <c r="C53" i="2"/>
  <c r="B51" i="24"/>
  <c r="B50" i="24"/>
  <c r="C48" i="2"/>
  <c r="C47" i="2"/>
  <c r="C46" i="2"/>
  <c r="C45" i="2"/>
  <c r="C44" i="2"/>
  <c r="C43" i="2"/>
  <c r="C42" i="2"/>
  <c r="C41" i="2"/>
  <c r="C40" i="2"/>
  <c r="C39" i="2"/>
  <c r="B38" i="24"/>
  <c r="C37" i="2"/>
  <c r="C36" i="2"/>
  <c r="C35" i="2"/>
  <c r="C34" i="2"/>
  <c r="B33" i="24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7" i="2"/>
  <c r="C16" i="2"/>
  <c r="C15" i="2"/>
  <c r="C14" i="2"/>
  <c r="C13" i="2"/>
  <c r="C12" i="2"/>
  <c r="C11" i="2"/>
  <c r="B10" i="24"/>
  <c r="B8" i="24"/>
  <c r="C7" i="2"/>
  <c r="B6" i="24"/>
  <c r="C5" i="2"/>
  <c r="T5" i="29" l="1"/>
  <c r="T9" i="29"/>
  <c r="T13" i="29"/>
  <c r="T17" i="29"/>
  <c r="T22" i="29"/>
  <c r="T26" i="29"/>
  <c r="T30" i="29"/>
  <c r="T35" i="29"/>
  <c r="T43" i="29"/>
  <c r="T47" i="29"/>
  <c r="T53" i="29"/>
  <c r="T58" i="29"/>
  <c r="T62" i="29"/>
  <c r="T66" i="29"/>
  <c r="T70" i="29"/>
  <c r="T74" i="29"/>
  <c r="T81" i="29"/>
  <c r="T85" i="29"/>
  <c r="T89" i="29"/>
  <c r="T95" i="29"/>
  <c r="T99" i="29"/>
  <c r="T103" i="29"/>
  <c r="T114" i="29"/>
  <c r="T143" i="29"/>
  <c r="T147" i="29"/>
  <c r="T14" i="29"/>
  <c r="T27" i="29"/>
  <c r="T31" i="29"/>
  <c r="T44" i="29"/>
  <c r="T48" i="29"/>
  <c r="T54" i="29"/>
  <c r="T63" i="29"/>
  <c r="T67" i="29"/>
  <c r="T71" i="29"/>
  <c r="T75" i="29"/>
  <c r="T86" i="29"/>
  <c r="T90" i="29"/>
  <c r="T96" i="29"/>
  <c r="T104" i="29"/>
  <c r="T144" i="29"/>
  <c r="T148" i="29"/>
  <c r="Y57" i="34"/>
  <c r="Y94" i="34"/>
  <c r="Y126" i="34"/>
  <c r="T88" i="29"/>
  <c r="T94" i="29"/>
  <c r="T102" i="29"/>
  <c r="T112" i="29"/>
  <c r="T142" i="29"/>
  <c r="T146" i="29"/>
  <c r="T82" i="29"/>
  <c r="T100" i="29"/>
  <c r="T98" i="29"/>
  <c r="T118" i="29"/>
  <c r="T59" i="29"/>
  <c r="T51" i="29"/>
  <c r="T40" i="29"/>
  <c r="T38" i="29"/>
  <c r="T36" i="29"/>
  <c r="T34" i="29"/>
  <c r="T23" i="29"/>
  <c r="T19" i="29"/>
  <c r="T21" i="29"/>
  <c r="T10" i="29"/>
  <c r="T8" i="29"/>
  <c r="T6" i="29"/>
  <c r="T4" i="29"/>
  <c r="V86" i="29"/>
  <c r="V90" i="29"/>
  <c r="V96" i="29"/>
  <c r="V100" i="29"/>
  <c r="V104" i="29"/>
  <c r="V144" i="29"/>
  <c r="V148" i="29"/>
  <c r="N100" i="29"/>
  <c r="N104" i="29"/>
  <c r="N144" i="29"/>
  <c r="N148" i="29"/>
  <c r="Y100" i="26"/>
  <c r="Y140" i="26"/>
  <c r="Y146" i="26"/>
  <c r="Y22" i="34"/>
  <c r="D4" i="29"/>
  <c r="D12" i="29"/>
  <c r="D16" i="29"/>
  <c r="D21" i="29"/>
  <c r="D25" i="29"/>
  <c r="D29" i="29"/>
  <c r="D34" i="29"/>
  <c r="D38" i="29"/>
  <c r="D42" i="29"/>
  <c r="D46" i="29"/>
  <c r="D51" i="29"/>
  <c r="D57" i="29"/>
  <c r="D61" i="29"/>
  <c r="D65" i="29"/>
  <c r="D69" i="29"/>
  <c r="D73" i="29"/>
  <c r="D147" i="29"/>
  <c r="D77" i="29"/>
  <c r="D84" i="29"/>
  <c r="D88" i="29"/>
  <c r="D94" i="29"/>
  <c r="D98" i="29"/>
  <c r="D102" i="29"/>
  <c r="D112" i="29"/>
  <c r="D118" i="29"/>
  <c r="D142" i="29"/>
  <c r="D146" i="29"/>
  <c r="I7" i="29"/>
  <c r="I15" i="29"/>
  <c r="I20" i="29"/>
  <c r="I24" i="29"/>
  <c r="I28" i="29"/>
  <c r="I33" i="29"/>
  <c r="I37" i="29"/>
  <c r="I45" i="29"/>
  <c r="I56" i="29"/>
  <c r="I64" i="29"/>
  <c r="I72" i="29"/>
  <c r="I76" i="29"/>
  <c r="I87" i="29"/>
  <c r="I97" i="29"/>
  <c r="I101" i="29"/>
  <c r="I107" i="29"/>
  <c r="I145" i="29"/>
  <c r="I5" i="29"/>
  <c r="I13" i="29"/>
  <c r="I17" i="29"/>
  <c r="I22" i="29"/>
  <c r="I26" i="29"/>
  <c r="I30" i="29"/>
  <c r="I35" i="29"/>
  <c r="I39" i="29"/>
  <c r="I43" i="29"/>
  <c r="I47" i="29"/>
  <c r="I58" i="29"/>
  <c r="I62" i="29"/>
  <c r="I66" i="29"/>
  <c r="I70" i="29"/>
  <c r="I74" i="29"/>
  <c r="I81" i="29"/>
  <c r="I89" i="29"/>
  <c r="I95" i="29"/>
  <c r="I114" i="29"/>
  <c r="I143" i="29"/>
  <c r="I147" i="29"/>
  <c r="L77" i="34"/>
  <c r="L104" i="34"/>
  <c r="L148" i="34"/>
  <c r="F5" i="29"/>
  <c r="F9" i="29"/>
  <c r="F13" i="29"/>
  <c r="F17" i="29"/>
  <c r="F22" i="29"/>
  <c r="F26" i="29"/>
  <c r="F30" i="29"/>
  <c r="F35" i="29"/>
  <c r="F39" i="29"/>
  <c r="F43" i="29"/>
  <c r="F47" i="29"/>
  <c r="F53" i="29"/>
  <c r="F58" i="29"/>
  <c r="F62" i="29"/>
  <c r="F66" i="29"/>
  <c r="F70" i="29"/>
  <c r="F74" i="29"/>
  <c r="F81" i="29"/>
  <c r="F85" i="29"/>
  <c r="F89" i="29"/>
  <c r="F95" i="29"/>
  <c r="F99" i="29"/>
  <c r="F103" i="29"/>
  <c r="F114" i="29"/>
  <c r="F143" i="29"/>
  <c r="F147" i="29"/>
  <c r="F83" i="29"/>
  <c r="F87" i="29"/>
  <c r="F93" i="29"/>
  <c r="F97" i="29"/>
  <c r="F101" i="29"/>
  <c r="F107" i="29"/>
  <c r="F141" i="24"/>
  <c r="F141" i="29" s="1"/>
  <c r="F141" i="12"/>
  <c r="F145" i="29"/>
  <c r="F7" i="29"/>
  <c r="F15" i="29"/>
  <c r="F20" i="29"/>
  <c r="F24" i="29"/>
  <c r="F28" i="29"/>
  <c r="F33" i="29"/>
  <c r="F37" i="29"/>
  <c r="F41" i="29"/>
  <c r="F45" i="29"/>
  <c r="F50" i="29"/>
  <c r="F56" i="29"/>
  <c r="F64" i="29"/>
  <c r="F68" i="29"/>
  <c r="F72" i="29"/>
  <c r="F134" i="24"/>
  <c r="F134" i="12"/>
  <c r="K138" i="24"/>
  <c r="F138" i="20"/>
  <c r="J143" i="29"/>
  <c r="J147" i="29"/>
  <c r="D20" i="29"/>
  <c r="D8" i="29"/>
  <c r="I103" i="29"/>
  <c r="I99" i="29"/>
  <c r="I93" i="29"/>
  <c r="I85" i="29"/>
  <c r="I83" i="29"/>
  <c r="I68" i="29"/>
  <c r="I60" i="29"/>
  <c r="I53" i="29"/>
  <c r="I50" i="29"/>
  <c r="I41" i="29"/>
  <c r="I11" i="29"/>
  <c r="I9" i="29"/>
  <c r="E95" i="29"/>
  <c r="E70" i="29"/>
  <c r="E62" i="29"/>
  <c r="E5" i="29"/>
  <c r="H86" i="29"/>
  <c r="H82" i="29"/>
  <c r="H54" i="29"/>
  <c r="H25" i="29"/>
  <c r="H6" i="29"/>
  <c r="F60" i="29"/>
  <c r="F11" i="29"/>
  <c r="K94" i="29"/>
  <c r="K65" i="29"/>
  <c r="K57" i="29"/>
  <c r="K38" i="29"/>
  <c r="K25" i="29"/>
  <c r="J103" i="29"/>
  <c r="J66" i="29"/>
  <c r="J53" i="29"/>
  <c r="J35" i="29"/>
  <c r="N99" i="29"/>
  <c r="N95" i="29"/>
  <c r="N86" i="29"/>
  <c r="N85" i="29"/>
  <c r="N70" i="29"/>
  <c r="N37" i="29"/>
  <c r="N35" i="29"/>
  <c r="N33" i="29"/>
  <c r="N5" i="29"/>
  <c r="V103" i="29"/>
  <c r="V53" i="29"/>
  <c r="V39" i="29"/>
  <c r="V34" i="29"/>
  <c r="Q67" i="29"/>
  <c r="Q10" i="29"/>
  <c r="Q8" i="29"/>
  <c r="L142" i="34"/>
  <c r="L146" i="34"/>
  <c r="C99" i="29"/>
  <c r="L26" i="21"/>
  <c r="C26" i="36" s="1"/>
  <c r="E26" i="36" s="1"/>
  <c r="C97" i="29"/>
  <c r="C103" i="29"/>
  <c r="L72" i="21"/>
  <c r="C72" i="36" s="1"/>
  <c r="E72" i="36" s="1"/>
  <c r="L93" i="21"/>
  <c r="C93" i="36" s="1"/>
  <c r="E93" i="36" s="1"/>
  <c r="L142" i="21"/>
  <c r="C142" i="36" s="1"/>
  <c r="E142" i="36" s="1"/>
  <c r="L148" i="21"/>
  <c r="C148" i="36" s="1"/>
  <c r="E148" i="36" s="1"/>
  <c r="L88" i="21"/>
  <c r="C88" i="36" s="1"/>
  <c r="E88" i="36" s="1"/>
  <c r="L107" i="21"/>
  <c r="C107" i="36" s="1"/>
  <c r="E107" i="36" s="1"/>
  <c r="L6" i="26"/>
  <c r="L12" i="26"/>
  <c r="L23" i="26"/>
  <c r="L29" i="26"/>
  <c r="L36" i="26"/>
  <c r="L38" i="26"/>
  <c r="L42" i="26"/>
  <c r="L44" i="26"/>
  <c r="L61" i="26"/>
  <c r="L67" i="26"/>
  <c r="L122" i="26"/>
  <c r="L128" i="26"/>
  <c r="L134" i="26"/>
  <c r="L136" i="26"/>
  <c r="L140" i="26"/>
  <c r="L142" i="26"/>
  <c r="L144" i="26"/>
  <c r="L146" i="26"/>
  <c r="Z146" i="26" s="1"/>
  <c r="L5" i="34"/>
  <c r="L7" i="34"/>
  <c r="L60" i="34"/>
  <c r="L64" i="34"/>
  <c r="L66" i="34"/>
  <c r="L68" i="34"/>
  <c r="L72" i="34"/>
  <c r="L95" i="34"/>
  <c r="L99" i="34"/>
  <c r="L119" i="34"/>
  <c r="L123" i="34"/>
  <c r="X82" i="29"/>
  <c r="X4" i="29"/>
  <c r="X8" i="29"/>
  <c r="X12" i="29"/>
  <c r="X16" i="29"/>
  <c r="X21" i="29"/>
  <c r="X25" i="29"/>
  <c r="X29" i="29"/>
  <c r="X34" i="29"/>
  <c r="X38" i="29"/>
  <c r="X42" i="29"/>
  <c r="X46" i="29"/>
  <c r="X51" i="29"/>
  <c r="X57" i="29"/>
  <c r="X61" i="29"/>
  <c r="X65" i="29"/>
  <c r="X69" i="29"/>
  <c r="X73" i="29"/>
  <c r="X77" i="29"/>
  <c r="X84" i="29"/>
  <c r="X88" i="29"/>
  <c r="X94" i="29"/>
  <c r="X98" i="29"/>
  <c r="X102" i="29"/>
  <c r="X112" i="29"/>
  <c r="X118" i="29"/>
  <c r="X142" i="29"/>
  <c r="X146" i="29"/>
  <c r="Q35" i="29"/>
  <c r="Q58" i="29"/>
  <c r="Q36" i="29"/>
  <c r="Q34" i="29"/>
  <c r="Q37" i="29"/>
  <c r="Q66" i="29"/>
  <c r="Q5" i="29"/>
  <c r="L127" i="34"/>
  <c r="L28" i="21"/>
  <c r="C28" i="36" s="1"/>
  <c r="E28" i="36" s="1"/>
  <c r="L45" i="21"/>
  <c r="C45" i="36" s="1"/>
  <c r="E45" i="36" s="1"/>
  <c r="L56" i="21"/>
  <c r="C56" i="36" s="1"/>
  <c r="E56" i="36" s="1"/>
  <c r="L51" i="34"/>
  <c r="L54" i="34"/>
  <c r="L57" i="34"/>
  <c r="Z57" i="34" s="1"/>
  <c r="B102" i="29"/>
  <c r="B98" i="29"/>
  <c r="B94" i="29"/>
  <c r="L33" i="21"/>
  <c r="C33" i="36" s="1"/>
  <c r="E33" i="36" s="1"/>
  <c r="C94" i="29"/>
  <c r="C98" i="29"/>
  <c r="L43" i="21"/>
  <c r="C43" i="36" s="1"/>
  <c r="E43" i="36" s="1"/>
  <c r="L50" i="21"/>
  <c r="C50" i="36" s="1"/>
  <c r="E50" i="36" s="1"/>
  <c r="L19" i="34"/>
  <c r="L21" i="34"/>
  <c r="L98" i="34"/>
  <c r="L103" i="34"/>
  <c r="L108" i="34"/>
  <c r="L111" i="34"/>
  <c r="L112" i="34"/>
  <c r="L122" i="34"/>
  <c r="L124" i="34"/>
  <c r="L126" i="34"/>
  <c r="L114" i="34"/>
  <c r="L118" i="21"/>
  <c r="C118" i="36" s="1"/>
  <c r="E118" i="36" s="1"/>
  <c r="L114" i="21"/>
  <c r="C114" i="36" s="1"/>
  <c r="E114" i="36" s="1"/>
  <c r="X6" i="29"/>
  <c r="X10" i="29"/>
  <c r="X14" i="29"/>
  <c r="X19" i="29"/>
  <c r="X27" i="29"/>
  <c r="X31" i="29"/>
  <c r="X36" i="29"/>
  <c r="X44" i="29"/>
  <c r="X48" i="29"/>
  <c r="X59" i="29"/>
  <c r="X63" i="29"/>
  <c r="X67" i="29"/>
  <c r="X71" i="29"/>
  <c r="Y71" i="29" s="1"/>
  <c r="X75" i="29"/>
  <c r="X70" i="29"/>
  <c r="X74" i="29"/>
  <c r="X81" i="29"/>
  <c r="X85" i="29"/>
  <c r="X89" i="29"/>
  <c r="X95" i="29"/>
  <c r="X99" i="29"/>
  <c r="X103" i="29"/>
  <c r="X114" i="29"/>
  <c r="X143" i="29"/>
  <c r="X147" i="29"/>
  <c r="Y24" i="34"/>
  <c r="Y26" i="34"/>
  <c r="Y28" i="34"/>
  <c r="Y30" i="34"/>
  <c r="Y33" i="34"/>
  <c r="Y35" i="34"/>
  <c r="Y37" i="34"/>
  <c r="Z37" i="34" s="1"/>
  <c r="Y39" i="34"/>
  <c r="Y41" i="34"/>
  <c r="Y43" i="34"/>
  <c r="Y45" i="34"/>
  <c r="Y47" i="34"/>
  <c r="Y50" i="34"/>
  <c r="Y53" i="34"/>
  <c r="Y56" i="34"/>
  <c r="Y58" i="34"/>
  <c r="Y60" i="34"/>
  <c r="Y62" i="34"/>
  <c r="Y64" i="34"/>
  <c r="Y66" i="34"/>
  <c r="Z66" i="34" s="1"/>
  <c r="Y68" i="34"/>
  <c r="Y70" i="34"/>
  <c r="Y72" i="34"/>
  <c r="Y74" i="34"/>
  <c r="Y76" i="34"/>
  <c r="Y81" i="34"/>
  <c r="Y83" i="34"/>
  <c r="Y85" i="34"/>
  <c r="Y87" i="34"/>
  <c r="Y89" i="34"/>
  <c r="Y93" i="34"/>
  <c r="Y95" i="34"/>
  <c r="Z95" i="34" s="1"/>
  <c r="Y97" i="34"/>
  <c r="Y99" i="34"/>
  <c r="Y101" i="34"/>
  <c r="Y103" i="34"/>
  <c r="Y107" i="34"/>
  <c r="Y109" i="34"/>
  <c r="Y111" i="34"/>
  <c r="Y114" i="34"/>
  <c r="Y116" i="34"/>
  <c r="Y119" i="34"/>
  <c r="Y121" i="34"/>
  <c r="Y123" i="34"/>
  <c r="Z123" i="34" s="1"/>
  <c r="Y125" i="34"/>
  <c r="X83" i="29"/>
  <c r="X87" i="29"/>
  <c r="X93" i="29"/>
  <c r="X97" i="29"/>
  <c r="X101" i="29"/>
  <c r="X107" i="29"/>
  <c r="X145" i="29"/>
  <c r="N28" i="22"/>
  <c r="P28" i="22" s="1"/>
  <c r="N121" i="22"/>
  <c r="P121" i="22" s="1"/>
  <c r="N129" i="22"/>
  <c r="N137" i="22"/>
  <c r="Y5" i="26"/>
  <c r="Y7" i="26"/>
  <c r="Y11" i="26"/>
  <c r="Y15" i="26"/>
  <c r="Y17" i="26"/>
  <c r="Y22" i="26"/>
  <c r="Y24" i="26"/>
  <c r="Y26" i="26"/>
  <c r="Y28" i="26"/>
  <c r="Y30" i="26"/>
  <c r="Y33" i="26"/>
  <c r="Y35" i="26"/>
  <c r="Y37" i="26"/>
  <c r="Y39" i="26"/>
  <c r="Y41" i="26"/>
  <c r="Y43" i="26"/>
  <c r="Y47" i="26"/>
  <c r="Y50" i="26"/>
  <c r="Y53" i="26"/>
  <c r="Y56" i="26"/>
  <c r="Y58" i="26"/>
  <c r="Y60" i="26"/>
  <c r="Y62" i="26"/>
  <c r="Y64" i="26"/>
  <c r="Y66" i="26"/>
  <c r="Y68" i="26"/>
  <c r="Y72" i="26"/>
  <c r="Y74" i="26"/>
  <c r="Y76" i="26"/>
  <c r="Y81" i="26"/>
  <c r="Y85" i="26"/>
  <c r="Y87" i="26"/>
  <c r="Y89" i="26"/>
  <c r="Y93" i="26"/>
  <c r="Y95" i="26"/>
  <c r="Y97" i="26"/>
  <c r="Y101" i="26"/>
  <c r="Y103" i="26"/>
  <c r="Y107" i="26"/>
  <c r="Y109" i="26"/>
  <c r="Y111" i="26"/>
  <c r="Y114" i="26"/>
  <c r="Y116" i="26"/>
  <c r="Y119" i="26"/>
  <c r="Y121" i="26"/>
  <c r="Y123" i="26"/>
  <c r="Y125" i="26"/>
  <c r="Y127" i="26"/>
  <c r="Y129" i="26"/>
  <c r="Y131" i="26"/>
  <c r="Y133" i="26"/>
  <c r="Y135" i="26"/>
  <c r="Y137" i="26"/>
  <c r="Y139" i="26"/>
  <c r="Y141" i="26"/>
  <c r="Y143" i="26"/>
  <c r="Y145" i="26"/>
  <c r="Y147" i="26"/>
  <c r="Y4" i="34"/>
  <c r="Y6" i="34"/>
  <c r="Y8" i="34"/>
  <c r="Y9" i="34"/>
  <c r="Y10" i="34"/>
  <c r="Y12" i="34"/>
  <c r="Y14" i="34"/>
  <c r="Y16" i="34"/>
  <c r="Y19" i="34"/>
  <c r="Y21" i="34"/>
  <c r="Z21" i="34" s="1"/>
  <c r="Y142" i="34"/>
  <c r="Y144" i="34"/>
  <c r="Y146" i="34"/>
  <c r="Z126" i="34"/>
  <c r="Y23" i="34"/>
  <c r="Y25" i="34"/>
  <c r="Y27" i="34"/>
  <c r="Y29" i="34"/>
  <c r="Y31" i="34"/>
  <c r="Y34" i="34"/>
  <c r="Y36" i="34"/>
  <c r="Y38" i="34"/>
  <c r="Y40" i="34"/>
  <c r="Y42" i="34"/>
  <c r="Y44" i="34"/>
  <c r="Y46" i="34"/>
  <c r="Y48" i="34"/>
  <c r="Y51" i="34"/>
  <c r="Z51" i="34" s="1"/>
  <c r="Y54" i="34"/>
  <c r="Y59" i="34"/>
  <c r="Y61" i="34"/>
  <c r="Y63" i="34"/>
  <c r="Y65" i="34"/>
  <c r="Y67" i="34"/>
  <c r="Y69" i="34"/>
  <c r="Y71" i="34"/>
  <c r="Y73" i="34"/>
  <c r="Y75" i="34"/>
  <c r="Y77" i="34"/>
  <c r="Y82" i="34"/>
  <c r="Y84" i="34"/>
  <c r="Y86" i="34"/>
  <c r="Y88" i="34"/>
  <c r="Y90" i="34"/>
  <c r="Y127" i="34"/>
  <c r="Y143" i="34"/>
  <c r="Y145" i="34"/>
  <c r="Y147" i="34"/>
  <c r="N14" i="22"/>
  <c r="P14" i="22" s="1"/>
  <c r="N19" i="22"/>
  <c r="N24" i="22"/>
  <c r="N25" i="22"/>
  <c r="N26" i="22"/>
  <c r="Y4" i="26"/>
  <c r="Y10" i="26"/>
  <c r="Y12" i="26"/>
  <c r="Y14" i="26"/>
  <c r="Y16" i="26"/>
  <c r="Y19" i="26"/>
  <c r="Y21" i="26"/>
  <c r="Y25" i="26"/>
  <c r="Y27" i="26"/>
  <c r="Y29" i="26"/>
  <c r="Y31" i="26"/>
  <c r="Y34" i="26"/>
  <c r="Y36" i="26"/>
  <c r="Z36" i="26" s="1"/>
  <c r="Y42" i="26"/>
  <c r="Y46" i="26"/>
  <c r="Y48" i="26"/>
  <c r="Y57" i="26"/>
  <c r="Y59" i="26"/>
  <c r="Y61" i="26"/>
  <c r="Y63" i="26"/>
  <c r="Y67" i="26"/>
  <c r="Y69" i="26"/>
  <c r="Y71" i="26"/>
  <c r="Y73" i="26"/>
  <c r="Y75" i="26"/>
  <c r="Y77" i="26"/>
  <c r="Y82" i="26"/>
  <c r="Y84" i="26"/>
  <c r="Y88" i="26"/>
  <c r="Y90" i="26"/>
  <c r="Y94" i="26"/>
  <c r="Y98" i="26"/>
  <c r="Y104" i="26"/>
  <c r="Y108" i="26"/>
  <c r="Y110" i="26"/>
  <c r="Y112" i="26"/>
  <c r="Y120" i="26"/>
  <c r="Y122" i="26"/>
  <c r="Y124" i="26"/>
  <c r="Y128" i="26"/>
  <c r="Y130" i="26"/>
  <c r="Y132" i="26"/>
  <c r="Y134" i="26"/>
  <c r="Y136" i="26"/>
  <c r="Y138" i="26"/>
  <c r="Y142" i="26"/>
  <c r="Y5" i="34"/>
  <c r="Z5" i="34" s="1"/>
  <c r="Y7" i="34"/>
  <c r="Z7" i="34" s="1"/>
  <c r="Y11" i="34"/>
  <c r="Y13" i="34"/>
  <c r="Y15" i="34"/>
  <c r="Y17" i="34"/>
  <c r="Y20" i="34"/>
  <c r="Y96" i="34"/>
  <c r="Y98" i="34"/>
  <c r="Y100" i="34"/>
  <c r="Y102" i="34"/>
  <c r="Y104" i="34"/>
  <c r="Y108" i="34"/>
  <c r="Y110" i="34"/>
  <c r="Y112" i="34"/>
  <c r="Y115" i="34"/>
  <c r="Y118" i="34"/>
  <c r="Y120" i="34"/>
  <c r="Y122" i="34"/>
  <c r="Y124" i="34"/>
  <c r="Y141" i="34"/>
  <c r="X86" i="29"/>
  <c r="X90" i="29"/>
  <c r="X96" i="29"/>
  <c r="X100" i="29"/>
  <c r="X104" i="29"/>
  <c r="Y104" i="29" s="1"/>
  <c r="X144" i="29"/>
  <c r="X148" i="29"/>
  <c r="Y148" i="34"/>
  <c r="Z148" i="34" s="1"/>
  <c r="Y6" i="26"/>
  <c r="Z6" i="26" s="1"/>
  <c r="Y8" i="26"/>
  <c r="Y118" i="26"/>
  <c r="Y115" i="26"/>
  <c r="Y102" i="26"/>
  <c r="Y99" i="26"/>
  <c r="Y96" i="26"/>
  <c r="Y65" i="26"/>
  <c r="Y54" i="26"/>
  <c r="X54" i="29"/>
  <c r="Y51" i="26"/>
  <c r="Y40" i="26"/>
  <c r="X40" i="29"/>
  <c r="X23" i="29"/>
  <c r="Y23" i="26"/>
  <c r="X20" i="29"/>
  <c r="Y20" i="26"/>
  <c r="N20" i="22"/>
  <c r="X141" i="24"/>
  <c r="X141" i="29" s="1"/>
  <c r="F141" i="33"/>
  <c r="P141" i="24"/>
  <c r="P141" i="29" s="1"/>
  <c r="F141" i="14"/>
  <c r="M132" i="24"/>
  <c r="F132" i="6"/>
  <c r="M136" i="24"/>
  <c r="M136" i="29" s="1"/>
  <c r="F136" i="6"/>
  <c r="M140" i="24"/>
  <c r="F140" i="6"/>
  <c r="T141" i="24"/>
  <c r="T141" i="29" s="1"/>
  <c r="F141" i="18"/>
  <c r="D141" i="24"/>
  <c r="D141" i="29" s="1"/>
  <c r="F141" i="5"/>
  <c r="U141" i="24"/>
  <c r="U141" i="29" s="1"/>
  <c r="F141" i="25"/>
  <c r="M129" i="24"/>
  <c r="F129" i="6"/>
  <c r="M133" i="24"/>
  <c r="M133" i="29" s="1"/>
  <c r="F133" i="6"/>
  <c r="M137" i="24"/>
  <c r="F137" i="6"/>
  <c r="M141" i="24"/>
  <c r="F141" i="6"/>
  <c r="Q141" i="24"/>
  <c r="Q141" i="29" s="1"/>
  <c r="F141" i="15"/>
  <c r="E132" i="24"/>
  <c r="E132" i="29" s="1"/>
  <c r="F132" i="7"/>
  <c r="H141" i="24"/>
  <c r="H141" i="29" s="1"/>
  <c r="F141" i="9"/>
  <c r="V141" i="24"/>
  <c r="V141" i="29" s="1"/>
  <c r="F141" i="31"/>
  <c r="S141" i="24"/>
  <c r="S141" i="29" s="1"/>
  <c r="F141" i="17"/>
  <c r="M130" i="24"/>
  <c r="M130" i="29" s="1"/>
  <c r="F130" i="6"/>
  <c r="M134" i="24"/>
  <c r="F134" i="6"/>
  <c r="M138" i="24"/>
  <c r="M138" i="29" s="1"/>
  <c r="F138" i="6"/>
  <c r="R141" i="24"/>
  <c r="R141" i="29" s="1"/>
  <c r="F141" i="16"/>
  <c r="E141" i="24"/>
  <c r="E141" i="29" s="1"/>
  <c r="F141" i="7"/>
  <c r="W141" i="24"/>
  <c r="W141" i="29" s="1"/>
  <c r="F141" i="32"/>
  <c r="N141" i="24"/>
  <c r="N141" i="29" s="1"/>
  <c r="F141" i="8"/>
  <c r="M131" i="24"/>
  <c r="F131" i="6"/>
  <c r="M135" i="24"/>
  <c r="M135" i="29" s="1"/>
  <c r="F135" i="6"/>
  <c r="M139" i="24"/>
  <c r="F139" i="6"/>
  <c r="O141" i="24"/>
  <c r="O141" i="29" s="1"/>
  <c r="F141" i="13"/>
  <c r="I141" i="24"/>
  <c r="I141" i="29" s="1"/>
  <c r="F141" i="11"/>
  <c r="N29" i="22"/>
  <c r="P29" i="22" s="1"/>
  <c r="N43" i="22"/>
  <c r="N47" i="22"/>
  <c r="P47" i="22" s="1"/>
  <c r="N73" i="22"/>
  <c r="P73" i="22" s="1"/>
  <c r="N77" i="22"/>
  <c r="P77" i="22" s="1"/>
  <c r="N90" i="22"/>
  <c r="P90" i="22" s="1"/>
  <c r="Y144" i="26"/>
  <c r="N87" i="22"/>
  <c r="P87" i="22" s="1"/>
  <c r="Y148" i="26"/>
  <c r="N144" i="22"/>
  <c r="P144" i="22" s="1"/>
  <c r="M144" i="21" s="1"/>
  <c r="N148" i="22"/>
  <c r="P148" i="22" s="1"/>
  <c r="M148" i="21" s="1"/>
  <c r="X124" i="24"/>
  <c r="X124" i="29" s="1"/>
  <c r="X140" i="24"/>
  <c r="X140" i="29" s="1"/>
  <c r="W125" i="24"/>
  <c r="W125" i="29" s="1"/>
  <c r="V122" i="24"/>
  <c r="V122" i="29" s="1"/>
  <c r="V134" i="24"/>
  <c r="V134" i="29" s="1"/>
  <c r="B95" i="29"/>
  <c r="B99" i="29"/>
  <c r="X108" i="24"/>
  <c r="X108" i="29" s="1"/>
  <c r="X122" i="24"/>
  <c r="X122" i="29" s="1"/>
  <c r="X126" i="24"/>
  <c r="X126" i="29" s="1"/>
  <c r="X130" i="24"/>
  <c r="X130" i="29" s="1"/>
  <c r="X134" i="24"/>
  <c r="X134" i="29" s="1"/>
  <c r="X138" i="24"/>
  <c r="X138" i="29" s="1"/>
  <c r="W109" i="24"/>
  <c r="W109" i="29" s="1"/>
  <c r="W119" i="24"/>
  <c r="W119" i="29" s="1"/>
  <c r="W123" i="24"/>
  <c r="W123" i="29" s="1"/>
  <c r="W127" i="24"/>
  <c r="W127" i="29" s="1"/>
  <c r="W131" i="24"/>
  <c r="W131" i="29" s="1"/>
  <c r="W135" i="24"/>
  <c r="W135" i="29" s="1"/>
  <c r="W139" i="24"/>
  <c r="W139" i="29" s="1"/>
  <c r="V110" i="24"/>
  <c r="V110" i="29" s="1"/>
  <c r="V115" i="24"/>
  <c r="V115" i="29" s="1"/>
  <c r="V120" i="24"/>
  <c r="V120" i="29" s="1"/>
  <c r="V124" i="24"/>
  <c r="V124" i="29" s="1"/>
  <c r="V128" i="24"/>
  <c r="V128" i="29" s="1"/>
  <c r="V132" i="24"/>
  <c r="V132" i="29" s="1"/>
  <c r="V136" i="24"/>
  <c r="V136" i="29" s="1"/>
  <c r="V140" i="24"/>
  <c r="V140" i="29" s="1"/>
  <c r="U111" i="24"/>
  <c r="U111" i="29" s="1"/>
  <c r="U116" i="24"/>
  <c r="U116" i="29" s="1"/>
  <c r="U121" i="24"/>
  <c r="U121" i="29" s="1"/>
  <c r="U125" i="24"/>
  <c r="U125" i="29" s="1"/>
  <c r="U129" i="24"/>
  <c r="U129" i="29" s="1"/>
  <c r="U133" i="24"/>
  <c r="U133" i="29" s="1"/>
  <c r="U137" i="24"/>
  <c r="U137" i="29" s="1"/>
  <c r="P108" i="24"/>
  <c r="P108" i="29" s="1"/>
  <c r="P122" i="24"/>
  <c r="P122" i="29" s="1"/>
  <c r="P126" i="24"/>
  <c r="P126" i="29" s="1"/>
  <c r="P130" i="24"/>
  <c r="P130" i="29" s="1"/>
  <c r="P134" i="24"/>
  <c r="P134" i="29" s="1"/>
  <c r="P138" i="24"/>
  <c r="P138" i="29" s="1"/>
  <c r="N109" i="24"/>
  <c r="N109" i="29" s="1"/>
  <c r="N119" i="24"/>
  <c r="N119" i="29" s="1"/>
  <c r="N123" i="24"/>
  <c r="N123" i="29" s="1"/>
  <c r="N127" i="24"/>
  <c r="N127" i="29" s="1"/>
  <c r="N131" i="24"/>
  <c r="N131" i="29" s="1"/>
  <c r="N135" i="24"/>
  <c r="N135" i="29" s="1"/>
  <c r="N139" i="24"/>
  <c r="N139" i="29" s="1"/>
  <c r="S110" i="24"/>
  <c r="S110" i="29" s="1"/>
  <c r="S115" i="24"/>
  <c r="S115" i="29" s="1"/>
  <c r="S120" i="24"/>
  <c r="S120" i="29" s="1"/>
  <c r="S124" i="24"/>
  <c r="S124" i="29" s="1"/>
  <c r="S128" i="24"/>
  <c r="S128" i="29" s="1"/>
  <c r="S132" i="24"/>
  <c r="S132" i="29" s="1"/>
  <c r="S136" i="24"/>
  <c r="S136" i="29" s="1"/>
  <c r="S140" i="24"/>
  <c r="S140" i="29" s="1"/>
  <c r="M97" i="29"/>
  <c r="Y97" i="29" s="1"/>
  <c r="Y97" i="24"/>
  <c r="M101" i="29"/>
  <c r="Y101" i="24"/>
  <c r="T108" i="24"/>
  <c r="T108" i="29" s="1"/>
  <c r="T122" i="24"/>
  <c r="T122" i="29" s="1"/>
  <c r="T126" i="24"/>
  <c r="T126" i="29" s="1"/>
  <c r="T130" i="24"/>
  <c r="T130" i="29" s="1"/>
  <c r="T134" i="24"/>
  <c r="T134" i="29" s="1"/>
  <c r="T138" i="24"/>
  <c r="T138" i="29" s="1"/>
  <c r="O109" i="24"/>
  <c r="O109" i="29" s="1"/>
  <c r="O119" i="24"/>
  <c r="O119" i="29" s="1"/>
  <c r="O123" i="24"/>
  <c r="O123" i="29" s="1"/>
  <c r="O127" i="24"/>
  <c r="O127" i="29" s="1"/>
  <c r="O131" i="24"/>
  <c r="O131" i="29" s="1"/>
  <c r="O135" i="24"/>
  <c r="O135" i="29" s="1"/>
  <c r="O139" i="24"/>
  <c r="O139" i="29" s="1"/>
  <c r="R110" i="24"/>
  <c r="R110" i="29" s="1"/>
  <c r="R115" i="24"/>
  <c r="R115" i="29" s="1"/>
  <c r="R120" i="24"/>
  <c r="R120" i="29" s="1"/>
  <c r="R124" i="24"/>
  <c r="R124" i="29" s="1"/>
  <c r="R128" i="24"/>
  <c r="R128" i="29" s="1"/>
  <c r="R132" i="24"/>
  <c r="R132" i="29" s="1"/>
  <c r="R136" i="24"/>
  <c r="R136" i="29" s="1"/>
  <c r="R140" i="24"/>
  <c r="R140" i="29" s="1"/>
  <c r="Q111" i="24"/>
  <c r="Q111" i="29" s="1"/>
  <c r="Q116" i="24"/>
  <c r="Q116" i="29" s="1"/>
  <c r="Q121" i="24"/>
  <c r="Q121" i="29" s="1"/>
  <c r="Q125" i="24"/>
  <c r="Q125" i="29" s="1"/>
  <c r="Q129" i="24"/>
  <c r="Q129" i="29" s="1"/>
  <c r="Q133" i="24"/>
  <c r="Q133" i="29" s="1"/>
  <c r="Q137" i="24"/>
  <c r="Q137" i="29" s="1"/>
  <c r="D108" i="24"/>
  <c r="D108" i="29" s="1"/>
  <c r="D122" i="24"/>
  <c r="D122" i="29" s="1"/>
  <c r="D126" i="24"/>
  <c r="D126" i="29" s="1"/>
  <c r="D130" i="24"/>
  <c r="D134" i="24"/>
  <c r="D134" i="29" s="1"/>
  <c r="D138" i="24"/>
  <c r="D138" i="29" s="1"/>
  <c r="I109" i="24"/>
  <c r="I109" i="29" s="1"/>
  <c r="I119" i="24"/>
  <c r="I119" i="29" s="1"/>
  <c r="I123" i="24"/>
  <c r="I123" i="29" s="1"/>
  <c r="I127" i="24"/>
  <c r="I127" i="29" s="1"/>
  <c r="F131" i="11"/>
  <c r="I131" i="24"/>
  <c r="I131" i="29" s="1"/>
  <c r="F135" i="11"/>
  <c r="I135" i="24"/>
  <c r="I135" i="29" s="1"/>
  <c r="F139" i="11"/>
  <c r="I139" i="24"/>
  <c r="I139" i="29" s="1"/>
  <c r="E110" i="24"/>
  <c r="E110" i="29" s="1"/>
  <c r="E115" i="24"/>
  <c r="E115" i="29" s="1"/>
  <c r="E120" i="24"/>
  <c r="E120" i="29" s="1"/>
  <c r="E124" i="24"/>
  <c r="E124" i="29" s="1"/>
  <c r="E128" i="24"/>
  <c r="E128" i="29" s="1"/>
  <c r="E136" i="24"/>
  <c r="E136" i="29" s="1"/>
  <c r="E140" i="24"/>
  <c r="E140" i="29" s="1"/>
  <c r="H111" i="24"/>
  <c r="H111" i="29" s="1"/>
  <c r="H116" i="24"/>
  <c r="H116" i="29" s="1"/>
  <c r="H121" i="24"/>
  <c r="H121" i="29" s="1"/>
  <c r="H125" i="24"/>
  <c r="H125" i="29" s="1"/>
  <c r="H129" i="24"/>
  <c r="H129" i="29" s="1"/>
  <c r="H133" i="24"/>
  <c r="H133" i="29" s="1"/>
  <c r="H137" i="24"/>
  <c r="H137" i="29" s="1"/>
  <c r="F108" i="24"/>
  <c r="F108" i="29" s="1"/>
  <c r="F122" i="24"/>
  <c r="F122" i="29" s="1"/>
  <c r="F126" i="24"/>
  <c r="F126" i="29" s="1"/>
  <c r="F130" i="24"/>
  <c r="F130" i="29" s="1"/>
  <c r="F138" i="24"/>
  <c r="F138" i="29" s="1"/>
  <c r="K109" i="24"/>
  <c r="K109" i="29" s="1"/>
  <c r="K119" i="24"/>
  <c r="K119" i="29" s="1"/>
  <c r="K123" i="24"/>
  <c r="K123" i="29" s="1"/>
  <c r="K127" i="24"/>
  <c r="K127" i="29" s="1"/>
  <c r="K131" i="24"/>
  <c r="K131" i="29" s="1"/>
  <c r="K135" i="24"/>
  <c r="K135" i="29" s="1"/>
  <c r="K139" i="24"/>
  <c r="K139" i="29" s="1"/>
  <c r="J110" i="24"/>
  <c r="J110" i="29" s="1"/>
  <c r="J115" i="24"/>
  <c r="J115" i="29" s="1"/>
  <c r="J120" i="24"/>
  <c r="J120" i="29" s="1"/>
  <c r="J124" i="24"/>
  <c r="J124" i="29" s="1"/>
  <c r="J128" i="24"/>
  <c r="J128" i="29" s="1"/>
  <c r="J132" i="24"/>
  <c r="J132" i="29" s="1"/>
  <c r="J136" i="24"/>
  <c r="J136" i="29" s="1"/>
  <c r="J140" i="24"/>
  <c r="J140" i="29" s="1"/>
  <c r="X120" i="24"/>
  <c r="X120" i="29" s="1"/>
  <c r="X136" i="24"/>
  <c r="X136" i="29" s="1"/>
  <c r="W111" i="24"/>
  <c r="W111" i="29" s="1"/>
  <c r="W129" i="24"/>
  <c r="W129" i="29" s="1"/>
  <c r="B96" i="29"/>
  <c r="B101" i="29"/>
  <c r="X109" i="24"/>
  <c r="X109" i="29" s="1"/>
  <c r="X119" i="24"/>
  <c r="X119" i="29" s="1"/>
  <c r="X123" i="24"/>
  <c r="X123" i="29" s="1"/>
  <c r="X127" i="24"/>
  <c r="X127" i="29" s="1"/>
  <c r="X131" i="24"/>
  <c r="X131" i="29" s="1"/>
  <c r="X135" i="24"/>
  <c r="X135" i="29" s="1"/>
  <c r="X139" i="24"/>
  <c r="X139" i="29" s="1"/>
  <c r="W110" i="24"/>
  <c r="W110" i="29" s="1"/>
  <c r="W115" i="24"/>
  <c r="W115" i="29" s="1"/>
  <c r="W120" i="24"/>
  <c r="W120" i="29" s="1"/>
  <c r="W124" i="24"/>
  <c r="W124" i="29" s="1"/>
  <c r="W128" i="24"/>
  <c r="W128" i="29" s="1"/>
  <c r="W132" i="24"/>
  <c r="W132" i="29" s="1"/>
  <c r="W136" i="24"/>
  <c r="W136" i="29" s="1"/>
  <c r="W140" i="24"/>
  <c r="W140" i="29" s="1"/>
  <c r="V111" i="24"/>
  <c r="V111" i="29" s="1"/>
  <c r="V116" i="24"/>
  <c r="V116" i="29" s="1"/>
  <c r="V121" i="24"/>
  <c r="V121" i="29" s="1"/>
  <c r="V125" i="24"/>
  <c r="V125" i="29" s="1"/>
  <c r="V129" i="24"/>
  <c r="V129" i="29" s="1"/>
  <c r="V133" i="24"/>
  <c r="V133" i="29" s="1"/>
  <c r="V137" i="24"/>
  <c r="V137" i="29" s="1"/>
  <c r="U108" i="24"/>
  <c r="U108" i="29" s="1"/>
  <c r="U122" i="24"/>
  <c r="U122" i="29" s="1"/>
  <c r="U126" i="24"/>
  <c r="U126" i="29" s="1"/>
  <c r="U130" i="24"/>
  <c r="U130" i="29" s="1"/>
  <c r="U134" i="24"/>
  <c r="U134" i="29" s="1"/>
  <c r="U138" i="24"/>
  <c r="U138" i="29" s="1"/>
  <c r="P109" i="24"/>
  <c r="P109" i="29" s="1"/>
  <c r="P119" i="24"/>
  <c r="P119" i="29" s="1"/>
  <c r="P123" i="24"/>
  <c r="P123" i="29" s="1"/>
  <c r="P127" i="24"/>
  <c r="P127" i="29" s="1"/>
  <c r="P131" i="24"/>
  <c r="P131" i="29" s="1"/>
  <c r="P135" i="24"/>
  <c r="P135" i="29" s="1"/>
  <c r="P139" i="24"/>
  <c r="P139" i="29" s="1"/>
  <c r="N110" i="24"/>
  <c r="N115" i="24"/>
  <c r="N115" i="29" s="1"/>
  <c r="N120" i="24"/>
  <c r="N120" i="29" s="1"/>
  <c r="N124" i="24"/>
  <c r="N124" i="29" s="1"/>
  <c r="N128" i="24"/>
  <c r="N128" i="29" s="1"/>
  <c r="N132" i="24"/>
  <c r="N132" i="29" s="1"/>
  <c r="N136" i="24"/>
  <c r="N136" i="29" s="1"/>
  <c r="N140" i="24"/>
  <c r="N140" i="29" s="1"/>
  <c r="S111" i="24"/>
  <c r="S111" i="29" s="1"/>
  <c r="S116" i="24"/>
  <c r="S116" i="29" s="1"/>
  <c r="S121" i="24"/>
  <c r="S121" i="29" s="1"/>
  <c r="S125" i="24"/>
  <c r="S125" i="29" s="1"/>
  <c r="S129" i="24"/>
  <c r="S129" i="29" s="1"/>
  <c r="S133" i="24"/>
  <c r="S133" i="29" s="1"/>
  <c r="S137" i="24"/>
  <c r="S137" i="29" s="1"/>
  <c r="M94" i="29"/>
  <c r="Y94" i="29" s="1"/>
  <c r="Y94" i="24"/>
  <c r="M98" i="29"/>
  <c r="Y98" i="29" s="1"/>
  <c r="Y98" i="24"/>
  <c r="M102" i="29"/>
  <c r="Y102" i="24"/>
  <c r="T109" i="24"/>
  <c r="T109" i="29" s="1"/>
  <c r="T119" i="24"/>
  <c r="T119" i="29" s="1"/>
  <c r="T123" i="24"/>
  <c r="T123" i="29" s="1"/>
  <c r="T127" i="24"/>
  <c r="T127" i="29" s="1"/>
  <c r="T131" i="24"/>
  <c r="T131" i="29" s="1"/>
  <c r="T135" i="24"/>
  <c r="T135" i="29" s="1"/>
  <c r="T139" i="24"/>
  <c r="T139" i="29" s="1"/>
  <c r="O110" i="24"/>
  <c r="O110" i="29" s="1"/>
  <c r="O115" i="24"/>
  <c r="O115" i="29" s="1"/>
  <c r="O120" i="24"/>
  <c r="O120" i="29" s="1"/>
  <c r="O124" i="24"/>
  <c r="O124" i="29" s="1"/>
  <c r="O128" i="24"/>
  <c r="O128" i="29" s="1"/>
  <c r="O132" i="24"/>
  <c r="O132" i="29" s="1"/>
  <c r="O136" i="24"/>
  <c r="O136" i="29" s="1"/>
  <c r="O140" i="24"/>
  <c r="O140" i="29" s="1"/>
  <c r="R111" i="24"/>
  <c r="R111" i="29" s="1"/>
  <c r="R116" i="24"/>
  <c r="R116" i="29" s="1"/>
  <c r="R121" i="24"/>
  <c r="R121" i="29" s="1"/>
  <c r="R125" i="24"/>
  <c r="R125" i="29" s="1"/>
  <c r="R129" i="24"/>
  <c r="R129" i="29" s="1"/>
  <c r="R133" i="24"/>
  <c r="R133" i="29" s="1"/>
  <c r="R137" i="24"/>
  <c r="R137" i="29" s="1"/>
  <c r="Q108" i="24"/>
  <c r="Q108" i="29" s="1"/>
  <c r="Q122" i="24"/>
  <c r="Q122" i="29" s="1"/>
  <c r="Q126" i="24"/>
  <c r="Q126" i="29" s="1"/>
  <c r="Q130" i="24"/>
  <c r="Q130" i="29" s="1"/>
  <c r="Q134" i="24"/>
  <c r="Q134" i="29" s="1"/>
  <c r="Q138" i="24"/>
  <c r="Q138" i="29" s="1"/>
  <c r="D109" i="24"/>
  <c r="D109" i="29" s="1"/>
  <c r="D119" i="24"/>
  <c r="D119" i="29" s="1"/>
  <c r="D123" i="24"/>
  <c r="D123" i="29" s="1"/>
  <c r="D127" i="24"/>
  <c r="D127" i="29" s="1"/>
  <c r="D131" i="24"/>
  <c r="D131" i="29" s="1"/>
  <c r="D135" i="24"/>
  <c r="D135" i="29" s="1"/>
  <c r="D139" i="24"/>
  <c r="D139" i="29" s="1"/>
  <c r="I110" i="24"/>
  <c r="I110" i="29" s="1"/>
  <c r="I115" i="24"/>
  <c r="I115" i="29" s="1"/>
  <c r="I120" i="24"/>
  <c r="I120" i="29" s="1"/>
  <c r="I124" i="24"/>
  <c r="I124" i="29" s="1"/>
  <c r="I128" i="24"/>
  <c r="I128" i="29" s="1"/>
  <c r="F132" i="11"/>
  <c r="I132" i="24"/>
  <c r="I132" i="29" s="1"/>
  <c r="F136" i="11"/>
  <c r="I136" i="24"/>
  <c r="I136" i="29" s="1"/>
  <c r="F140" i="11"/>
  <c r="I140" i="24"/>
  <c r="I140" i="29" s="1"/>
  <c r="E111" i="24"/>
  <c r="E111" i="29" s="1"/>
  <c r="E116" i="24"/>
  <c r="E116" i="29" s="1"/>
  <c r="E121" i="24"/>
  <c r="E121" i="29" s="1"/>
  <c r="E125" i="24"/>
  <c r="E125" i="29" s="1"/>
  <c r="E129" i="24"/>
  <c r="E129" i="29" s="1"/>
  <c r="E133" i="24"/>
  <c r="E133" i="29" s="1"/>
  <c r="E137" i="24"/>
  <c r="E137" i="29" s="1"/>
  <c r="H108" i="24"/>
  <c r="H108" i="29" s="1"/>
  <c r="H122" i="24"/>
  <c r="H122" i="29" s="1"/>
  <c r="H126" i="24"/>
  <c r="H126" i="29" s="1"/>
  <c r="H130" i="24"/>
  <c r="H130" i="29" s="1"/>
  <c r="H134" i="24"/>
  <c r="H134" i="29" s="1"/>
  <c r="H138" i="24"/>
  <c r="H138" i="29" s="1"/>
  <c r="F109" i="24"/>
  <c r="F109" i="29" s="1"/>
  <c r="F119" i="24"/>
  <c r="F119" i="29" s="1"/>
  <c r="F123" i="24"/>
  <c r="F123" i="29" s="1"/>
  <c r="F127" i="24"/>
  <c r="F127" i="29" s="1"/>
  <c r="F131" i="24"/>
  <c r="F131" i="29" s="1"/>
  <c r="F135" i="24"/>
  <c r="F135" i="29" s="1"/>
  <c r="F139" i="24"/>
  <c r="F139" i="29" s="1"/>
  <c r="K110" i="24"/>
  <c r="K110" i="29" s="1"/>
  <c r="K115" i="24"/>
  <c r="K115" i="29" s="1"/>
  <c r="K120" i="24"/>
  <c r="K120" i="29" s="1"/>
  <c r="K124" i="24"/>
  <c r="K124" i="29" s="1"/>
  <c r="K128" i="24"/>
  <c r="K128" i="29" s="1"/>
  <c r="K132" i="24"/>
  <c r="K132" i="29" s="1"/>
  <c r="K136" i="24"/>
  <c r="K136" i="29" s="1"/>
  <c r="K140" i="24"/>
  <c r="K140" i="29" s="1"/>
  <c r="J111" i="24"/>
  <c r="J111" i="29" s="1"/>
  <c r="J116" i="24"/>
  <c r="J116" i="29" s="1"/>
  <c r="J121" i="24"/>
  <c r="J121" i="29" s="1"/>
  <c r="J125" i="24"/>
  <c r="J125" i="29" s="1"/>
  <c r="J129" i="24"/>
  <c r="J129" i="29" s="1"/>
  <c r="J133" i="24"/>
  <c r="J133" i="29" s="1"/>
  <c r="J137" i="24"/>
  <c r="J137" i="29" s="1"/>
  <c r="B97" i="29"/>
  <c r="X110" i="24"/>
  <c r="X110" i="29" s="1"/>
  <c r="X128" i="24"/>
  <c r="X128" i="29" s="1"/>
  <c r="W121" i="24"/>
  <c r="W121" i="29" s="1"/>
  <c r="W137" i="24"/>
  <c r="W137" i="29" s="1"/>
  <c r="V108" i="24"/>
  <c r="V108" i="29" s="1"/>
  <c r="V126" i="24"/>
  <c r="V126" i="29" s="1"/>
  <c r="V138" i="24"/>
  <c r="V138" i="29" s="1"/>
  <c r="U109" i="24"/>
  <c r="U109" i="29" s="1"/>
  <c r="U119" i="24"/>
  <c r="U119" i="29" s="1"/>
  <c r="U123" i="24"/>
  <c r="U127" i="24"/>
  <c r="U127" i="29" s="1"/>
  <c r="U131" i="24"/>
  <c r="U135" i="24"/>
  <c r="U135" i="29" s="1"/>
  <c r="U139" i="24"/>
  <c r="U139" i="29" s="1"/>
  <c r="P110" i="24"/>
  <c r="P110" i="29" s="1"/>
  <c r="P115" i="24"/>
  <c r="P115" i="29" s="1"/>
  <c r="P120" i="24"/>
  <c r="P120" i="29" s="1"/>
  <c r="P124" i="24"/>
  <c r="P124" i="29" s="1"/>
  <c r="P128" i="24"/>
  <c r="P128" i="29" s="1"/>
  <c r="P132" i="24"/>
  <c r="P132" i="29" s="1"/>
  <c r="P136" i="24"/>
  <c r="P136" i="29" s="1"/>
  <c r="P140" i="24"/>
  <c r="P140" i="29" s="1"/>
  <c r="N111" i="24"/>
  <c r="N116" i="24"/>
  <c r="N116" i="29" s="1"/>
  <c r="N121" i="24"/>
  <c r="N125" i="24"/>
  <c r="N129" i="24"/>
  <c r="N133" i="24"/>
  <c r="N137" i="24"/>
  <c r="S108" i="24"/>
  <c r="S108" i="29" s="1"/>
  <c r="S122" i="24"/>
  <c r="S122" i="29" s="1"/>
  <c r="S126" i="24"/>
  <c r="S126" i="29" s="1"/>
  <c r="S130" i="24"/>
  <c r="S130" i="29" s="1"/>
  <c r="S134" i="24"/>
  <c r="S134" i="29" s="1"/>
  <c r="S138" i="24"/>
  <c r="S138" i="29" s="1"/>
  <c r="M95" i="29"/>
  <c r="Y95" i="29" s="1"/>
  <c r="Y95" i="24"/>
  <c r="M99" i="29"/>
  <c r="Y99" i="24"/>
  <c r="M103" i="29"/>
  <c r="Y103" i="24"/>
  <c r="T110" i="24"/>
  <c r="T110" i="29" s="1"/>
  <c r="T115" i="24"/>
  <c r="T115" i="29" s="1"/>
  <c r="T120" i="24"/>
  <c r="T120" i="29" s="1"/>
  <c r="T124" i="24"/>
  <c r="T124" i="29" s="1"/>
  <c r="T128" i="24"/>
  <c r="T128" i="29" s="1"/>
  <c r="T132" i="24"/>
  <c r="T132" i="29" s="1"/>
  <c r="T136" i="24"/>
  <c r="T136" i="29" s="1"/>
  <c r="T140" i="24"/>
  <c r="T140" i="29" s="1"/>
  <c r="O111" i="24"/>
  <c r="O111" i="29" s="1"/>
  <c r="O116" i="24"/>
  <c r="O116" i="29" s="1"/>
  <c r="O121" i="24"/>
  <c r="O121" i="29" s="1"/>
  <c r="O125" i="24"/>
  <c r="O125" i="29" s="1"/>
  <c r="O129" i="24"/>
  <c r="O129" i="29" s="1"/>
  <c r="O133" i="24"/>
  <c r="O133" i="29" s="1"/>
  <c r="O137" i="24"/>
  <c r="O137" i="29" s="1"/>
  <c r="R108" i="24"/>
  <c r="R108" i="29" s="1"/>
  <c r="R122" i="24"/>
  <c r="R122" i="29" s="1"/>
  <c r="R126" i="24"/>
  <c r="R126" i="29" s="1"/>
  <c r="R130" i="24"/>
  <c r="R130" i="29" s="1"/>
  <c r="R134" i="24"/>
  <c r="R134" i="29" s="1"/>
  <c r="R138" i="24"/>
  <c r="R138" i="29" s="1"/>
  <c r="Q109" i="24"/>
  <c r="Q109" i="29" s="1"/>
  <c r="Q119" i="24"/>
  <c r="Q123" i="24"/>
  <c r="Q123" i="29" s="1"/>
  <c r="Q127" i="24"/>
  <c r="Q127" i="29" s="1"/>
  <c r="Q131" i="24"/>
  <c r="Q131" i="29" s="1"/>
  <c r="Q135" i="24"/>
  <c r="Q135" i="29" s="1"/>
  <c r="Q139" i="24"/>
  <c r="Q139" i="29" s="1"/>
  <c r="D110" i="24"/>
  <c r="D115" i="24"/>
  <c r="D115" i="29" s="1"/>
  <c r="D120" i="24"/>
  <c r="D120" i="29" s="1"/>
  <c r="D124" i="24"/>
  <c r="D128" i="24"/>
  <c r="D128" i="29" s="1"/>
  <c r="D132" i="24"/>
  <c r="D136" i="24"/>
  <c r="D136" i="29" s="1"/>
  <c r="D140" i="24"/>
  <c r="I111" i="24"/>
  <c r="I111" i="29" s="1"/>
  <c r="I116" i="24"/>
  <c r="I116" i="29" s="1"/>
  <c r="I121" i="24"/>
  <c r="I121" i="29" s="1"/>
  <c r="I125" i="24"/>
  <c r="I125" i="29" s="1"/>
  <c r="F129" i="11"/>
  <c r="I129" i="24"/>
  <c r="I129" i="29" s="1"/>
  <c r="F133" i="11"/>
  <c r="I133" i="24"/>
  <c r="I133" i="29" s="1"/>
  <c r="F137" i="11"/>
  <c r="I137" i="24"/>
  <c r="I137" i="29" s="1"/>
  <c r="E94" i="29"/>
  <c r="E98" i="29"/>
  <c r="E102" i="29"/>
  <c r="E122" i="24"/>
  <c r="E122" i="29" s="1"/>
  <c r="E126" i="24"/>
  <c r="E130" i="24"/>
  <c r="E130" i="29" s="1"/>
  <c r="E134" i="24"/>
  <c r="E134" i="29" s="1"/>
  <c r="E138" i="24"/>
  <c r="H109" i="24"/>
  <c r="H109" i="29" s="1"/>
  <c r="H119" i="24"/>
  <c r="H119" i="29" s="1"/>
  <c r="H123" i="24"/>
  <c r="H123" i="29" s="1"/>
  <c r="H127" i="24"/>
  <c r="H127" i="29" s="1"/>
  <c r="H131" i="24"/>
  <c r="H131" i="29" s="1"/>
  <c r="H135" i="24"/>
  <c r="H135" i="29" s="1"/>
  <c r="H139" i="24"/>
  <c r="H139" i="29" s="1"/>
  <c r="F110" i="24"/>
  <c r="F110" i="29" s="1"/>
  <c r="F115" i="24"/>
  <c r="F115" i="29" s="1"/>
  <c r="F120" i="24"/>
  <c r="F120" i="29" s="1"/>
  <c r="F124" i="24"/>
  <c r="F124" i="29" s="1"/>
  <c r="F128" i="24"/>
  <c r="F128" i="29" s="1"/>
  <c r="F132" i="24"/>
  <c r="F132" i="29" s="1"/>
  <c r="F136" i="24"/>
  <c r="F136" i="29" s="1"/>
  <c r="F140" i="24"/>
  <c r="F140" i="29" s="1"/>
  <c r="K111" i="24"/>
  <c r="K111" i="29" s="1"/>
  <c r="K116" i="24"/>
  <c r="K116" i="29" s="1"/>
  <c r="K121" i="24"/>
  <c r="K121" i="29" s="1"/>
  <c r="K125" i="24"/>
  <c r="K125" i="29" s="1"/>
  <c r="K129" i="24"/>
  <c r="K129" i="29" s="1"/>
  <c r="K133" i="24"/>
  <c r="K133" i="29" s="1"/>
  <c r="K137" i="24"/>
  <c r="K137" i="29" s="1"/>
  <c r="J108" i="24"/>
  <c r="J108" i="29" s="1"/>
  <c r="J122" i="24"/>
  <c r="J122" i="29" s="1"/>
  <c r="J126" i="24"/>
  <c r="J126" i="29" s="1"/>
  <c r="J130" i="24"/>
  <c r="J130" i="29" s="1"/>
  <c r="J134" i="24"/>
  <c r="J134" i="29" s="1"/>
  <c r="J138" i="24"/>
  <c r="J138" i="29" s="1"/>
  <c r="X115" i="24"/>
  <c r="X115" i="29" s="1"/>
  <c r="X132" i="24"/>
  <c r="X132" i="29" s="1"/>
  <c r="W116" i="24"/>
  <c r="W116" i="29" s="1"/>
  <c r="W133" i="24"/>
  <c r="W133" i="29" s="1"/>
  <c r="V130" i="24"/>
  <c r="V130" i="29" s="1"/>
  <c r="B103" i="29"/>
  <c r="X111" i="24"/>
  <c r="X111" i="29" s="1"/>
  <c r="X116" i="24"/>
  <c r="X116" i="29" s="1"/>
  <c r="X121" i="24"/>
  <c r="X121" i="29" s="1"/>
  <c r="X125" i="24"/>
  <c r="X125" i="29" s="1"/>
  <c r="X129" i="24"/>
  <c r="X129" i="29" s="1"/>
  <c r="X133" i="24"/>
  <c r="X133" i="29" s="1"/>
  <c r="X137" i="24"/>
  <c r="X137" i="29" s="1"/>
  <c r="W108" i="24"/>
  <c r="W108" i="29" s="1"/>
  <c r="W122" i="24"/>
  <c r="W122" i="29" s="1"/>
  <c r="W126" i="29"/>
  <c r="W126" i="24"/>
  <c r="W130" i="24"/>
  <c r="W130" i="29" s="1"/>
  <c r="W134" i="24"/>
  <c r="W134" i="29" s="1"/>
  <c r="W138" i="24"/>
  <c r="W138" i="29" s="1"/>
  <c r="V109" i="24"/>
  <c r="V109" i="29" s="1"/>
  <c r="V119" i="24"/>
  <c r="V119" i="29" s="1"/>
  <c r="V123" i="24"/>
  <c r="V123" i="29" s="1"/>
  <c r="V127" i="24"/>
  <c r="V127" i="29" s="1"/>
  <c r="V131" i="24"/>
  <c r="V131" i="29" s="1"/>
  <c r="V135" i="24"/>
  <c r="V135" i="29" s="1"/>
  <c r="V139" i="24"/>
  <c r="V139" i="29" s="1"/>
  <c r="U110" i="24"/>
  <c r="U110" i="29" s="1"/>
  <c r="U115" i="24"/>
  <c r="U115" i="29" s="1"/>
  <c r="U120" i="24"/>
  <c r="U120" i="29" s="1"/>
  <c r="U124" i="24"/>
  <c r="U124" i="29" s="1"/>
  <c r="U128" i="24"/>
  <c r="U128" i="29" s="1"/>
  <c r="U132" i="29"/>
  <c r="U132" i="24"/>
  <c r="U136" i="24"/>
  <c r="U136" i="29" s="1"/>
  <c r="U140" i="24"/>
  <c r="U140" i="29" s="1"/>
  <c r="P111" i="24"/>
  <c r="P111" i="29" s="1"/>
  <c r="P116" i="24"/>
  <c r="P116" i="29" s="1"/>
  <c r="P121" i="24"/>
  <c r="P121" i="29" s="1"/>
  <c r="P125" i="24"/>
  <c r="P125" i="29" s="1"/>
  <c r="P129" i="24"/>
  <c r="P129" i="29" s="1"/>
  <c r="P133" i="29"/>
  <c r="P133" i="24"/>
  <c r="P137" i="24"/>
  <c r="P137" i="29" s="1"/>
  <c r="N108" i="24"/>
  <c r="N108" i="29" s="1"/>
  <c r="N122" i="24"/>
  <c r="N122" i="29" s="1"/>
  <c r="N126" i="24"/>
  <c r="N126" i="29" s="1"/>
  <c r="N130" i="24"/>
  <c r="N130" i="29" s="1"/>
  <c r="N134" i="24"/>
  <c r="N134" i="29" s="1"/>
  <c r="N138" i="24"/>
  <c r="N138" i="29" s="1"/>
  <c r="S109" i="29"/>
  <c r="S109" i="24"/>
  <c r="S119" i="24"/>
  <c r="S119" i="29" s="1"/>
  <c r="S123" i="24"/>
  <c r="S123" i="29" s="1"/>
  <c r="S127" i="24"/>
  <c r="S127" i="29" s="1"/>
  <c r="S131" i="24"/>
  <c r="S131" i="29" s="1"/>
  <c r="S135" i="24"/>
  <c r="S135" i="29" s="1"/>
  <c r="S139" i="24"/>
  <c r="S139" i="29" s="1"/>
  <c r="M96" i="29"/>
  <c r="Y96" i="24"/>
  <c r="M100" i="29"/>
  <c r="Y100" i="24"/>
  <c r="T111" i="24"/>
  <c r="T111" i="29" s="1"/>
  <c r="T116" i="24"/>
  <c r="T116" i="29" s="1"/>
  <c r="T121" i="24"/>
  <c r="T121" i="29" s="1"/>
  <c r="T125" i="24"/>
  <c r="T125" i="29" s="1"/>
  <c r="T129" i="24"/>
  <c r="T129" i="29" s="1"/>
  <c r="T133" i="24"/>
  <c r="T133" i="29" s="1"/>
  <c r="T137" i="24"/>
  <c r="T137" i="29" s="1"/>
  <c r="O108" i="24"/>
  <c r="O108" i="29" s="1"/>
  <c r="O122" i="24"/>
  <c r="O122" i="29" s="1"/>
  <c r="O126" i="24"/>
  <c r="O126" i="29" s="1"/>
  <c r="O130" i="24"/>
  <c r="O130" i="29" s="1"/>
  <c r="O134" i="24"/>
  <c r="O134" i="29" s="1"/>
  <c r="O138" i="24"/>
  <c r="O138" i="29" s="1"/>
  <c r="R109" i="24"/>
  <c r="R109" i="29" s="1"/>
  <c r="R119" i="24"/>
  <c r="R119" i="29" s="1"/>
  <c r="R123" i="24"/>
  <c r="R123" i="29" s="1"/>
  <c r="R127" i="24"/>
  <c r="R127" i="29" s="1"/>
  <c r="R131" i="24"/>
  <c r="R131" i="29" s="1"/>
  <c r="R135" i="24"/>
  <c r="R135" i="29" s="1"/>
  <c r="R139" i="24"/>
  <c r="R139" i="29" s="1"/>
  <c r="Q110" i="24"/>
  <c r="Q110" i="29" s="1"/>
  <c r="Q115" i="24"/>
  <c r="Q115" i="29" s="1"/>
  <c r="Q120" i="24"/>
  <c r="Q120" i="29" s="1"/>
  <c r="Q124" i="24"/>
  <c r="Q124" i="29" s="1"/>
  <c r="Q128" i="24"/>
  <c r="Q128" i="29" s="1"/>
  <c r="Q132" i="24"/>
  <c r="Q132" i="29" s="1"/>
  <c r="Q136" i="24"/>
  <c r="Q136" i="29" s="1"/>
  <c r="Q140" i="24"/>
  <c r="Q140" i="29" s="1"/>
  <c r="D111" i="24"/>
  <c r="D116" i="24"/>
  <c r="D116" i="29" s="1"/>
  <c r="D121" i="24"/>
  <c r="D125" i="24"/>
  <c r="D125" i="29" s="1"/>
  <c r="D129" i="24"/>
  <c r="D133" i="24"/>
  <c r="D133" i="29" s="1"/>
  <c r="D137" i="24"/>
  <c r="I108" i="24"/>
  <c r="I108" i="29" s="1"/>
  <c r="I122" i="24"/>
  <c r="I122" i="29" s="1"/>
  <c r="I126" i="24"/>
  <c r="I126" i="29" s="1"/>
  <c r="F130" i="11"/>
  <c r="I130" i="24"/>
  <c r="I130" i="29" s="1"/>
  <c r="F134" i="11"/>
  <c r="I134" i="24"/>
  <c r="I134" i="29" s="1"/>
  <c r="I138" i="24"/>
  <c r="I138" i="29" s="1"/>
  <c r="F138" i="11"/>
  <c r="E109" i="24"/>
  <c r="E109" i="29" s="1"/>
  <c r="E119" i="24"/>
  <c r="E119" i="29" s="1"/>
  <c r="E123" i="24"/>
  <c r="E123" i="29" s="1"/>
  <c r="E127" i="24"/>
  <c r="E127" i="29" s="1"/>
  <c r="E131" i="24"/>
  <c r="E131" i="29" s="1"/>
  <c r="E135" i="24"/>
  <c r="E135" i="29" s="1"/>
  <c r="E139" i="24"/>
  <c r="E139" i="29" s="1"/>
  <c r="H110" i="24"/>
  <c r="H110" i="29" s="1"/>
  <c r="H115" i="24"/>
  <c r="H115" i="29" s="1"/>
  <c r="H120" i="24"/>
  <c r="H120" i="29" s="1"/>
  <c r="H124" i="24"/>
  <c r="H124" i="29" s="1"/>
  <c r="H128" i="24"/>
  <c r="H128" i="29" s="1"/>
  <c r="H132" i="24"/>
  <c r="H132" i="29" s="1"/>
  <c r="H136" i="24"/>
  <c r="H136" i="29" s="1"/>
  <c r="H140" i="24"/>
  <c r="H140" i="29" s="1"/>
  <c r="F111" i="24"/>
  <c r="F111" i="29" s="1"/>
  <c r="F116" i="24"/>
  <c r="F116" i="29" s="1"/>
  <c r="F121" i="29"/>
  <c r="F121" i="24"/>
  <c r="F125" i="24"/>
  <c r="F125" i="29" s="1"/>
  <c r="F129" i="24"/>
  <c r="F129" i="29" s="1"/>
  <c r="F133" i="24"/>
  <c r="F133" i="29" s="1"/>
  <c r="F137" i="24"/>
  <c r="F137" i="29" s="1"/>
  <c r="K108" i="24"/>
  <c r="K108" i="29" s="1"/>
  <c r="K126" i="24"/>
  <c r="K126" i="29" s="1"/>
  <c r="K130" i="24"/>
  <c r="K130" i="29" s="1"/>
  <c r="K134" i="29"/>
  <c r="K134" i="24"/>
  <c r="J109" i="24"/>
  <c r="J109" i="29" s="1"/>
  <c r="J119" i="24"/>
  <c r="J119" i="29" s="1"/>
  <c r="J123" i="24"/>
  <c r="J123" i="29" s="1"/>
  <c r="J127" i="24"/>
  <c r="J127" i="29" s="1"/>
  <c r="J131" i="24"/>
  <c r="J131" i="29" s="1"/>
  <c r="J135" i="24"/>
  <c r="J135" i="29" s="1"/>
  <c r="J139" i="24"/>
  <c r="J139" i="29" s="1"/>
  <c r="C100" i="29"/>
  <c r="Y129" i="34"/>
  <c r="Y131" i="34"/>
  <c r="Y133" i="34"/>
  <c r="Y135" i="34"/>
  <c r="Y137" i="34"/>
  <c r="Y139" i="34"/>
  <c r="Y128" i="34"/>
  <c r="Y130" i="34"/>
  <c r="Y132" i="34"/>
  <c r="Y134" i="34"/>
  <c r="Y136" i="34"/>
  <c r="Y138" i="34"/>
  <c r="Y140" i="34"/>
  <c r="C109" i="29"/>
  <c r="L99" i="26"/>
  <c r="L107" i="26"/>
  <c r="L109" i="26"/>
  <c r="L114" i="26"/>
  <c r="L119" i="26"/>
  <c r="Z119" i="26" s="1"/>
  <c r="L145" i="26"/>
  <c r="L73" i="26"/>
  <c r="L75" i="26"/>
  <c r="L86" i="26"/>
  <c r="L120" i="26"/>
  <c r="L126" i="26"/>
  <c r="C21" i="36"/>
  <c r="E21" i="36" s="1"/>
  <c r="L73" i="21"/>
  <c r="C73" i="36" s="1"/>
  <c r="E73" i="36" s="1"/>
  <c r="L75" i="21"/>
  <c r="C75" i="36" s="1"/>
  <c r="E75" i="36" s="1"/>
  <c r="C86" i="36"/>
  <c r="E86" i="36" s="1"/>
  <c r="C126" i="36"/>
  <c r="E126" i="36" s="1"/>
  <c r="C132" i="36"/>
  <c r="E132" i="36" s="1"/>
  <c r="L111" i="26"/>
  <c r="L29" i="34"/>
  <c r="L34" i="34"/>
  <c r="L46" i="34"/>
  <c r="Z46" i="34" s="1"/>
  <c r="L81" i="34"/>
  <c r="Z81" i="34" s="1"/>
  <c r="B38" i="29"/>
  <c r="B51" i="29"/>
  <c r="L4" i="34"/>
  <c r="L8" i="34"/>
  <c r="Z8" i="34" s="1"/>
  <c r="C122" i="36"/>
  <c r="E122" i="36" s="1"/>
  <c r="L74" i="26"/>
  <c r="L76" i="34"/>
  <c r="C23" i="36"/>
  <c r="E23" i="36" s="1"/>
  <c r="L27" i="21"/>
  <c r="C27" i="36" s="1"/>
  <c r="E27" i="36" s="1"/>
  <c r="L29" i="21"/>
  <c r="C29" i="36" s="1"/>
  <c r="E29" i="36" s="1"/>
  <c r="C36" i="36"/>
  <c r="E36" i="36" s="1"/>
  <c r="C38" i="36"/>
  <c r="E38" i="36" s="1"/>
  <c r="L42" i="21"/>
  <c r="C42" i="36" s="1"/>
  <c r="E42" i="36" s="1"/>
  <c r="L44" i="21"/>
  <c r="C44" i="36" s="1"/>
  <c r="E44" i="36" s="1"/>
  <c r="L48" i="21"/>
  <c r="C48" i="36" s="1"/>
  <c r="E48" i="36" s="1"/>
  <c r="C61" i="36"/>
  <c r="E61" i="36" s="1"/>
  <c r="C67" i="36"/>
  <c r="E67" i="36" s="1"/>
  <c r="C137" i="36"/>
  <c r="E137" i="36" s="1"/>
  <c r="L143" i="21"/>
  <c r="C143" i="36" s="1"/>
  <c r="E143" i="36" s="1"/>
  <c r="L76" i="26"/>
  <c r="L85" i="26"/>
  <c r="L27" i="34"/>
  <c r="L139" i="34"/>
  <c r="L143" i="34"/>
  <c r="C12" i="24"/>
  <c r="C12" i="29" s="1"/>
  <c r="C21" i="24"/>
  <c r="C21" i="29" s="1"/>
  <c r="C29" i="24"/>
  <c r="C29" i="29" s="1"/>
  <c r="C38" i="24"/>
  <c r="C38" i="29" s="1"/>
  <c r="C51" i="24"/>
  <c r="C61" i="24"/>
  <c r="C61" i="29" s="1"/>
  <c r="C69" i="24"/>
  <c r="C69" i="29" s="1"/>
  <c r="C77" i="24"/>
  <c r="C77" i="29" s="1"/>
  <c r="C88" i="24"/>
  <c r="C88" i="29" s="1"/>
  <c r="C9" i="24"/>
  <c r="C22" i="24"/>
  <c r="C22" i="29" s="1"/>
  <c r="C30" i="24"/>
  <c r="C30" i="29" s="1"/>
  <c r="C39" i="24"/>
  <c r="C53" i="24"/>
  <c r="C53" i="29" s="1"/>
  <c r="C62" i="24"/>
  <c r="C62" i="29" s="1"/>
  <c r="C70" i="24"/>
  <c r="C70" i="29" s="1"/>
  <c r="C85" i="24"/>
  <c r="C89" i="24"/>
  <c r="C89" i="29" s="1"/>
  <c r="C114" i="24"/>
  <c r="C114" i="29" s="1"/>
  <c r="C119" i="29"/>
  <c r="C127" i="29"/>
  <c r="F131" i="4"/>
  <c r="C135" i="29"/>
  <c r="F135" i="4"/>
  <c r="C139" i="29"/>
  <c r="F139" i="4"/>
  <c r="C143" i="24"/>
  <c r="C143" i="29" s="1"/>
  <c r="C147" i="24"/>
  <c r="C147" i="29" s="1"/>
  <c r="C6" i="24"/>
  <c r="C6" i="29" s="1"/>
  <c r="C10" i="24"/>
  <c r="C10" i="29" s="1"/>
  <c r="C14" i="24"/>
  <c r="C14" i="29" s="1"/>
  <c r="C19" i="24"/>
  <c r="C19" i="29" s="1"/>
  <c r="C23" i="24"/>
  <c r="C27" i="24"/>
  <c r="C27" i="29" s="1"/>
  <c r="C31" i="24"/>
  <c r="C31" i="29" s="1"/>
  <c r="C36" i="24"/>
  <c r="C36" i="29" s="1"/>
  <c r="C40" i="24"/>
  <c r="C44" i="24"/>
  <c r="C44" i="29" s="1"/>
  <c r="C48" i="24"/>
  <c r="C48" i="29" s="1"/>
  <c r="C59" i="24"/>
  <c r="C59" i="29" s="1"/>
  <c r="C63" i="24"/>
  <c r="C63" i="29" s="1"/>
  <c r="C67" i="24"/>
  <c r="C67" i="29" s="1"/>
  <c r="C71" i="24"/>
  <c r="C71" i="29" s="1"/>
  <c r="C75" i="24"/>
  <c r="C75" i="29" s="1"/>
  <c r="C82" i="24"/>
  <c r="C82" i="29" s="1"/>
  <c r="C86" i="24"/>
  <c r="C86" i="29" s="1"/>
  <c r="C90" i="24"/>
  <c r="C90" i="29" s="1"/>
  <c r="C104" i="24"/>
  <c r="C104" i="29" s="1"/>
  <c r="C110" i="29"/>
  <c r="C120" i="29"/>
  <c r="C124" i="29"/>
  <c r="C128" i="29"/>
  <c r="C136" i="29"/>
  <c r="F136" i="4"/>
  <c r="F140" i="4"/>
  <c r="C144" i="24"/>
  <c r="C144" i="29" s="1"/>
  <c r="C148" i="24"/>
  <c r="C148" i="29" s="1"/>
  <c r="C6" i="36"/>
  <c r="E6" i="36" s="1"/>
  <c r="L12" i="21"/>
  <c r="C12" i="36" s="1"/>
  <c r="E12" i="36" s="1"/>
  <c r="L76" i="21"/>
  <c r="C76" i="36" s="1"/>
  <c r="E76" i="36" s="1"/>
  <c r="L77" i="21"/>
  <c r="C77" i="36" s="1"/>
  <c r="E77" i="36" s="1"/>
  <c r="C85" i="36"/>
  <c r="E85" i="36" s="1"/>
  <c r="C130" i="36"/>
  <c r="E130" i="36" s="1"/>
  <c r="L17" i="26"/>
  <c r="L148" i="26"/>
  <c r="L11" i="34"/>
  <c r="L15" i="34"/>
  <c r="L23" i="34"/>
  <c r="Z23" i="34" s="1"/>
  <c r="L36" i="34"/>
  <c r="L38" i="34"/>
  <c r="L42" i="34"/>
  <c r="L48" i="34"/>
  <c r="Z48" i="34" s="1"/>
  <c r="L70" i="34"/>
  <c r="L75" i="34"/>
  <c r="L83" i="34"/>
  <c r="L85" i="34"/>
  <c r="L93" i="34"/>
  <c r="Z93" i="34" s="1"/>
  <c r="C4" i="24"/>
  <c r="C4" i="29" s="1"/>
  <c r="C16" i="24"/>
  <c r="C16" i="29" s="1"/>
  <c r="C25" i="24"/>
  <c r="C25" i="29" s="1"/>
  <c r="C34" i="24"/>
  <c r="C34" i="29" s="1"/>
  <c r="C42" i="24"/>
  <c r="C42" i="29" s="1"/>
  <c r="C46" i="24"/>
  <c r="C46" i="29" s="1"/>
  <c r="C57" i="24"/>
  <c r="C57" i="29" s="1"/>
  <c r="C65" i="24"/>
  <c r="C65" i="29" s="1"/>
  <c r="C73" i="24"/>
  <c r="C84" i="24"/>
  <c r="C84" i="29" s="1"/>
  <c r="C5" i="24"/>
  <c r="C5" i="29" s="1"/>
  <c r="C13" i="24"/>
  <c r="C13" i="29" s="1"/>
  <c r="C17" i="24"/>
  <c r="C26" i="24"/>
  <c r="C26" i="29" s="1"/>
  <c r="C35" i="24"/>
  <c r="C35" i="29" s="1"/>
  <c r="C43" i="24"/>
  <c r="C43" i="29" s="1"/>
  <c r="C47" i="24"/>
  <c r="C58" i="24"/>
  <c r="C58" i="29" s="1"/>
  <c r="C66" i="24"/>
  <c r="C66" i="29" s="1"/>
  <c r="C74" i="24"/>
  <c r="C74" i="29" s="1"/>
  <c r="C7" i="24"/>
  <c r="C7" i="29" s="1"/>
  <c r="C11" i="24"/>
  <c r="C11" i="29" s="1"/>
  <c r="C15" i="24"/>
  <c r="C15" i="29" s="1"/>
  <c r="C20" i="24"/>
  <c r="C20" i="29" s="1"/>
  <c r="C24" i="24"/>
  <c r="C24" i="29" s="1"/>
  <c r="C28" i="24"/>
  <c r="C28" i="29" s="1"/>
  <c r="C33" i="24"/>
  <c r="C33" i="29" s="1"/>
  <c r="C37" i="24"/>
  <c r="C37" i="29" s="1"/>
  <c r="C41" i="24"/>
  <c r="C41" i="29" s="1"/>
  <c r="C45" i="24"/>
  <c r="C45" i="29" s="1"/>
  <c r="C50" i="24"/>
  <c r="C50" i="29" s="1"/>
  <c r="C56" i="24"/>
  <c r="C56" i="29" s="1"/>
  <c r="C60" i="24"/>
  <c r="C60" i="29" s="1"/>
  <c r="C64" i="24"/>
  <c r="C64" i="29" s="1"/>
  <c r="C68" i="24"/>
  <c r="C68" i="29" s="1"/>
  <c r="C72" i="24"/>
  <c r="C76" i="24"/>
  <c r="C76" i="29" s="1"/>
  <c r="C83" i="24"/>
  <c r="C83" i="29" s="1"/>
  <c r="C87" i="24"/>
  <c r="C87" i="29" s="1"/>
  <c r="C93" i="24"/>
  <c r="C93" i="29" s="1"/>
  <c r="C121" i="29"/>
  <c r="C129" i="29"/>
  <c r="C133" i="29"/>
  <c r="F133" i="4"/>
  <c r="C137" i="29"/>
  <c r="F137" i="4"/>
  <c r="C141" i="24"/>
  <c r="C141" i="29" s="1"/>
  <c r="C145" i="24"/>
  <c r="C145" i="29" s="1"/>
  <c r="L56" i="26"/>
  <c r="L125" i="26"/>
  <c r="L20" i="34"/>
  <c r="L22" i="34"/>
  <c r="L40" i="34"/>
  <c r="Z40" i="34" s="1"/>
  <c r="L44" i="34"/>
  <c r="L59" i="34"/>
  <c r="L65" i="34"/>
  <c r="L67" i="34"/>
  <c r="L69" i="34"/>
  <c r="Z69" i="34" s="1"/>
  <c r="L84" i="34"/>
  <c r="L88" i="34"/>
  <c r="Z88" i="34" s="1"/>
  <c r="L109" i="34"/>
  <c r="L125" i="34"/>
  <c r="C108" i="29"/>
  <c r="C112" i="24"/>
  <c r="C112" i="29" s="1"/>
  <c r="C118" i="24"/>
  <c r="C118" i="29" s="1"/>
  <c r="C122" i="29"/>
  <c r="C126" i="29"/>
  <c r="C130" i="29"/>
  <c r="F130" i="4"/>
  <c r="C134" i="29"/>
  <c r="F134" i="4"/>
  <c r="C138" i="29"/>
  <c r="F138" i="4"/>
  <c r="C142" i="24"/>
  <c r="C142" i="29" s="1"/>
  <c r="C146" i="24"/>
  <c r="C146" i="29" s="1"/>
  <c r="C7" i="36"/>
  <c r="E7" i="36" s="1"/>
  <c r="C9" i="36"/>
  <c r="E9" i="36" s="1"/>
  <c r="L13" i="21"/>
  <c r="C13" i="36" s="1"/>
  <c r="E13" i="36" s="1"/>
  <c r="L15" i="21"/>
  <c r="C15" i="36" s="1"/>
  <c r="E15" i="36" s="1"/>
  <c r="L19" i="21"/>
  <c r="C19" i="36" s="1"/>
  <c r="E19" i="36" s="1"/>
  <c r="C20" i="36"/>
  <c r="E20" i="36" s="1"/>
  <c r="C82" i="36"/>
  <c r="E82" i="36" s="1"/>
  <c r="C128" i="36"/>
  <c r="E128" i="36" s="1"/>
  <c r="C131" i="36"/>
  <c r="E131" i="36" s="1"/>
  <c r="L5" i="26"/>
  <c r="L7" i="26"/>
  <c r="L9" i="26"/>
  <c r="L13" i="26"/>
  <c r="L15" i="26"/>
  <c r="L20" i="26"/>
  <c r="L24" i="26"/>
  <c r="L26" i="26"/>
  <c r="L30" i="26"/>
  <c r="L37" i="26"/>
  <c r="L43" i="26"/>
  <c r="L50" i="26"/>
  <c r="L58" i="26"/>
  <c r="Z58" i="26" s="1"/>
  <c r="L70" i="26"/>
  <c r="L72" i="26"/>
  <c r="L88" i="26"/>
  <c r="L94" i="26"/>
  <c r="L96" i="26"/>
  <c r="L98" i="26"/>
  <c r="L100" i="26"/>
  <c r="L102" i="26"/>
  <c r="L108" i="26"/>
  <c r="Z108" i="26" s="1"/>
  <c r="L118" i="26"/>
  <c r="L131" i="26"/>
  <c r="L137" i="26"/>
  <c r="L143" i="26"/>
  <c r="Z143" i="26" s="1"/>
  <c r="L6" i="34"/>
  <c r="L28" i="34"/>
  <c r="Z28" i="34" s="1"/>
  <c r="L33" i="34"/>
  <c r="Z33" i="34" s="1"/>
  <c r="L37" i="34"/>
  <c r="L39" i="34"/>
  <c r="L41" i="34"/>
  <c r="L56" i="34"/>
  <c r="L82" i="34"/>
  <c r="L94" i="34"/>
  <c r="Z94" i="34" s="1"/>
  <c r="B112" i="24"/>
  <c r="B112" i="29" s="1"/>
  <c r="B146" i="24"/>
  <c r="B146" i="29" s="1"/>
  <c r="L10" i="34"/>
  <c r="L14" i="34"/>
  <c r="Z14" i="34" s="1"/>
  <c r="L87" i="34"/>
  <c r="B147" i="24"/>
  <c r="C68" i="36"/>
  <c r="E68" i="36" s="1"/>
  <c r="L81" i="21"/>
  <c r="C81" i="36" s="1"/>
  <c r="E81" i="36" s="1"/>
  <c r="C83" i="36"/>
  <c r="E83" i="36" s="1"/>
  <c r="C127" i="36"/>
  <c r="E127" i="36" s="1"/>
  <c r="C129" i="36"/>
  <c r="E129" i="36" s="1"/>
  <c r="C138" i="36"/>
  <c r="E138" i="36" s="1"/>
  <c r="L144" i="21"/>
  <c r="C144" i="36" s="1"/>
  <c r="E144" i="36" s="1"/>
  <c r="L83" i="26"/>
  <c r="L123" i="26"/>
  <c r="L132" i="26"/>
  <c r="Z132" i="26" s="1"/>
  <c r="L138" i="26"/>
  <c r="L24" i="34"/>
  <c r="Z24" i="34" s="1"/>
  <c r="L45" i="34"/>
  <c r="L71" i="34"/>
  <c r="L96" i="34"/>
  <c r="L100" i="34"/>
  <c r="L120" i="34"/>
  <c r="L141" i="34"/>
  <c r="B12" i="24"/>
  <c r="B12" i="29" s="1"/>
  <c r="B16" i="24"/>
  <c r="B25" i="24"/>
  <c r="B25" i="29" s="1"/>
  <c r="B29" i="24"/>
  <c r="B29" i="29" s="1"/>
  <c r="B42" i="24"/>
  <c r="B42" i="29" s="1"/>
  <c r="B61" i="24"/>
  <c r="B61" i="29" s="1"/>
  <c r="B69" i="24"/>
  <c r="B69" i="29" s="1"/>
  <c r="B84" i="24"/>
  <c r="B84" i="29" s="1"/>
  <c r="B118" i="24"/>
  <c r="B118" i="29" s="1"/>
  <c r="B126" i="29"/>
  <c r="B134" i="29"/>
  <c r="F134" i="2"/>
  <c r="B142" i="24"/>
  <c r="B142" i="29" s="1"/>
  <c r="C123" i="36"/>
  <c r="E123" i="36" s="1"/>
  <c r="L145" i="34"/>
  <c r="Z145" i="34" s="1"/>
  <c r="B5" i="24"/>
  <c r="B5" i="29" s="1"/>
  <c r="B22" i="24"/>
  <c r="B22" i="29" s="1"/>
  <c r="B30" i="24"/>
  <c r="B30" i="29" s="1"/>
  <c r="B39" i="24"/>
  <c r="B39" i="29" s="1"/>
  <c r="B43" i="24"/>
  <c r="B43" i="29" s="1"/>
  <c r="B47" i="24"/>
  <c r="B47" i="29" s="1"/>
  <c r="B58" i="24"/>
  <c r="B58" i="29" s="1"/>
  <c r="B66" i="24"/>
  <c r="B66" i="29" s="1"/>
  <c r="B74" i="24"/>
  <c r="B74" i="29" s="1"/>
  <c r="B85" i="24"/>
  <c r="B85" i="29" s="1"/>
  <c r="B127" i="29"/>
  <c r="B135" i="29"/>
  <c r="F135" i="2"/>
  <c r="B143" i="24"/>
  <c r="B14" i="24"/>
  <c r="B14" i="29" s="1"/>
  <c r="B19" i="24"/>
  <c r="B19" i="29" s="1"/>
  <c r="B23" i="24"/>
  <c r="B23" i="29" s="1"/>
  <c r="B27" i="24"/>
  <c r="B27" i="29" s="1"/>
  <c r="B31" i="24"/>
  <c r="B31" i="29" s="1"/>
  <c r="B36" i="24"/>
  <c r="B36" i="29" s="1"/>
  <c r="B40" i="24"/>
  <c r="B40" i="29" s="1"/>
  <c r="B44" i="24"/>
  <c r="B44" i="29" s="1"/>
  <c r="B48" i="24"/>
  <c r="B48" i="29" s="1"/>
  <c r="B54" i="24"/>
  <c r="B54" i="29" s="1"/>
  <c r="B59" i="24"/>
  <c r="B59" i="29" s="1"/>
  <c r="B63" i="24"/>
  <c r="B63" i="29" s="1"/>
  <c r="B67" i="24"/>
  <c r="B67" i="29" s="1"/>
  <c r="B71" i="24"/>
  <c r="B71" i="29" s="1"/>
  <c r="B75" i="24"/>
  <c r="B75" i="29" s="1"/>
  <c r="B82" i="24"/>
  <c r="B82" i="29" s="1"/>
  <c r="B86" i="24"/>
  <c r="B86" i="29" s="1"/>
  <c r="B90" i="24"/>
  <c r="B90" i="29" s="1"/>
  <c r="B104" i="24"/>
  <c r="B104" i="29" s="1"/>
  <c r="B110" i="29"/>
  <c r="B115" i="29"/>
  <c r="B120" i="29"/>
  <c r="B124" i="29"/>
  <c r="B128" i="29"/>
  <c r="B132" i="29"/>
  <c r="B136" i="29"/>
  <c r="F136" i="2"/>
  <c r="B140" i="29"/>
  <c r="F140" i="2"/>
  <c r="B144" i="24"/>
  <c r="B144" i="29" s="1"/>
  <c r="B148" i="24"/>
  <c r="B148" i="29" s="1"/>
  <c r="C4" i="36"/>
  <c r="E4" i="36" s="1"/>
  <c r="C5" i="36"/>
  <c r="E5" i="36" s="1"/>
  <c r="C11" i="36"/>
  <c r="E11" i="36" s="1"/>
  <c r="C24" i="36"/>
  <c r="E24" i="36" s="1"/>
  <c r="C25" i="36"/>
  <c r="E25" i="36" s="1"/>
  <c r="C57" i="36"/>
  <c r="E57" i="36" s="1"/>
  <c r="C63" i="36"/>
  <c r="E63" i="36" s="1"/>
  <c r="L74" i="21"/>
  <c r="C74" i="36" s="1"/>
  <c r="E74" i="36" s="1"/>
  <c r="C87" i="36"/>
  <c r="E87" i="36" s="1"/>
  <c r="L89" i="21"/>
  <c r="C89" i="36" s="1"/>
  <c r="E89" i="36" s="1"/>
  <c r="L90" i="21"/>
  <c r="C90" i="36" s="1"/>
  <c r="E90" i="36" s="1"/>
  <c r="C96" i="36"/>
  <c r="E96" i="36" s="1"/>
  <c r="C98" i="36"/>
  <c r="E98" i="36" s="1"/>
  <c r="C102" i="36"/>
  <c r="E102" i="36" s="1"/>
  <c r="C103" i="36"/>
  <c r="E103" i="36" s="1"/>
  <c r="L104" i="21"/>
  <c r="C104" i="36" s="1"/>
  <c r="E104" i="36" s="1"/>
  <c r="C133" i="36"/>
  <c r="E133" i="36" s="1"/>
  <c r="C134" i="36"/>
  <c r="E134" i="36" s="1"/>
  <c r="C140" i="36"/>
  <c r="E140" i="36" s="1"/>
  <c r="L141" i="21"/>
  <c r="C141" i="36" s="1"/>
  <c r="E141" i="36" s="1"/>
  <c r="L145" i="21"/>
  <c r="C145" i="36" s="1"/>
  <c r="E145" i="36" s="1"/>
  <c r="L146" i="21"/>
  <c r="C146" i="36" s="1"/>
  <c r="E146" i="36" s="1"/>
  <c r="L147" i="21"/>
  <c r="C147" i="36" s="1"/>
  <c r="E147" i="36" s="1"/>
  <c r="L19" i="26"/>
  <c r="Z19" i="26" s="1"/>
  <c r="L31" i="26"/>
  <c r="L34" i="26"/>
  <c r="L35" i="26"/>
  <c r="Z35" i="26" s="1"/>
  <c r="L57" i="26"/>
  <c r="L63" i="26"/>
  <c r="L89" i="26"/>
  <c r="Z89" i="26" s="1"/>
  <c r="L90" i="26"/>
  <c r="Z90" i="26" s="1"/>
  <c r="L121" i="26"/>
  <c r="L129" i="26"/>
  <c r="L141" i="26"/>
  <c r="L12" i="34"/>
  <c r="L16" i="34"/>
  <c r="Z16" i="34" s="1"/>
  <c r="L25" i="34"/>
  <c r="L26" i="34"/>
  <c r="L30" i="34"/>
  <c r="Z30" i="34" s="1"/>
  <c r="L35" i="34"/>
  <c r="Z35" i="34" s="1"/>
  <c r="L61" i="34"/>
  <c r="Z61" i="34" s="1"/>
  <c r="L62" i="34"/>
  <c r="L89" i="34"/>
  <c r="L101" i="34"/>
  <c r="L115" i="34"/>
  <c r="L121" i="34"/>
  <c r="L147" i="34"/>
  <c r="B4" i="24"/>
  <c r="B4" i="29" s="1"/>
  <c r="B21" i="24"/>
  <c r="B34" i="24"/>
  <c r="B34" i="29" s="1"/>
  <c r="B46" i="24"/>
  <c r="B46" i="29" s="1"/>
  <c r="B57" i="24"/>
  <c r="B57" i="29" s="1"/>
  <c r="B65" i="24"/>
  <c r="B65" i="29" s="1"/>
  <c r="B73" i="24"/>
  <c r="B73" i="29" s="1"/>
  <c r="B77" i="24"/>
  <c r="B77" i="29" s="1"/>
  <c r="B88" i="24"/>
  <c r="B88" i="29" s="1"/>
  <c r="B108" i="29"/>
  <c r="B122" i="29"/>
  <c r="B130" i="29"/>
  <c r="F130" i="2"/>
  <c r="B138" i="29"/>
  <c r="F138" i="2"/>
  <c r="C121" i="36"/>
  <c r="E121" i="36" s="1"/>
  <c r="L14" i="26"/>
  <c r="B9" i="24"/>
  <c r="B9" i="29" s="1"/>
  <c r="B13" i="24"/>
  <c r="B13" i="29" s="1"/>
  <c r="B17" i="24"/>
  <c r="B17" i="29" s="1"/>
  <c r="B26" i="24"/>
  <c r="B26" i="29" s="1"/>
  <c r="B35" i="24"/>
  <c r="B35" i="29" s="1"/>
  <c r="B53" i="24"/>
  <c r="B53" i="29" s="1"/>
  <c r="B62" i="24"/>
  <c r="B62" i="29" s="1"/>
  <c r="B70" i="24"/>
  <c r="B70" i="29" s="1"/>
  <c r="B81" i="24"/>
  <c r="B81" i="29" s="1"/>
  <c r="B89" i="24"/>
  <c r="B89" i="29" s="1"/>
  <c r="B114" i="24"/>
  <c r="B114" i="29" s="1"/>
  <c r="B123" i="29"/>
  <c r="B131" i="29"/>
  <c r="F131" i="2"/>
  <c r="B139" i="29"/>
  <c r="F139" i="2"/>
  <c r="B7" i="24"/>
  <c r="B7" i="29" s="1"/>
  <c r="B11" i="24"/>
  <c r="B11" i="29" s="1"/>
  <c r="B15" i="24"/>
  <c r="B15" i="29" s="1"/>
  <c r="B20" i="24"/>
  <c r="B20" i="29" s="1"/>
  <c r="B24" i="24"/>
  <c r="B24" i="29" s="1"/>
  <c r="B28" i="24"/>
  <c r="B28" i="29" s="1"/>
  <c r="B37" i="24"/>
  <c r="B37" i="29" s="1"/>
  <c r="B41" i="24"/>
  <c r="B41" i="29" s="1"/>
  <c r="B45" i="24"/>
  <c r="B56" i="24"/>
  <c r="B56" i="29" s="1"/>
  <c r="B60" i="24"/>
  <c r="B60" i="29" s="1"/>
  <c r="B64" i="24"/>
  <c r="B64" i="29" s="1"/>
  <c r="B68" i="24"/>
  <c r="B68" i="29" s="1"/>
  <c r="B72" i="24"/>
  <c r="B72" i="29" s="1"/>
  <c r="B76" i="24"/>
  <c r="B76" i="29" s="1"/>
  <c r="B83" i="24"/>
  <c r="B83" i="29" s="1"/>
  <c r="B87" i="24"/>
  <c r="B87" i="29" s="1"/>
  <c r="B93" i="24"/>
  <c r="B93" i="29" s="1"/>
  <c r="B107" i="24"/>
  <c r="B107" i="29" s="1"/>
  <c r="B111" i="29"/>
  <c r="B116" i="29"/>
  <c r="B121" i="29"/>
  <c r="B133" i="29"/>
  <c r="F133" i="2"/>
  <c r="B137" i="29"/>
  <c r="F137" i="2"/>
  <c r="B141" i="24"/>
  <c r="B141" i="29" s="1"/>
  <c r="B145" i="24"/>
  <c r="B145" i="29" s="1"/>
  <c r="L14" i="21"/>
  <c r="C14" i="36" s="1"/>
  <c r="E14" i="36" s="1"/>
  <c r="L16" i="21"/>
  <c r="C16" i="36" s="1"/>
  <c r="E16" i="36" s="1"/>
  <c r="L17" i="21"/>
  <c r="C17" i="36" s="1"/>
  <c r="E17" i="36" s="1"/>
  <c r="C22" i="36"/>
  <c r="E22" i="36" s="1"/>
  <c r="L30" i="21"/>
  <c r="C30" i="36" s="1"/>
  <c r="E30" i="36" s="1"/>
  <c r="L31" i="21"/>
  <c r="C31" i="36" s="1"/>
  <c r="E31" i="36" s="1"/>
  <c r="C34" i="36"/>
  <c r="E34" i="36" s="1"/>
  <c r="C35" i="36"/>
  <c r="E35" i="36" s="1"/>
  <c r="C40" i="36"/>
  <c r="E40" i="36" s="1"/>
  <c r="L46" i="21"/>
  <c r="C46" i="36" s="1"/>
  <c r="E46" i="36" s="1"/>
  <c r="L47" i="21"/>
  <c r="C47" i="36" s="1"/>
  <c r="E47" i="36" s="1"/>
  <c r="L53" i="21"/>
  <c r="C53" i="36" s="1"/>
  <c r="E53" i="36" s="1"/>
  <c r="C65" i="36"/>
  <c r="E65" i="36" s="1"/>
  <c r="C69" i="36"/>
  <c r="E69" i="36" s="1"/>
  <c r="C95" i="36"/>
  <c r="E95" i="36" s="1"/>
  <c r="C101" i="36"/>
  <c r="E101" i="36" s="1"/>
  <c r="C111" i="36"/>
  <c r="E111" i="36" s="1"/>
  <c r="L112" i="21"/>
  <c r="C112" i="36" s="1"/>
  <c r="E112" i="36" s="1"/>
  <c r="L4" i="26"/>
  <c r="L10" i="26"/>
  <c r="L11" i="26"/>
  <c r="L22" i="26"/>
  <c r="L28" i="26"/>
  <c r="L47" i="26"/>
  <c r="L48" i="26"/>
  <c r="L51" i="26"/>
  <c r="Z51" i="26" s="1"/>
  <c r="L69" i="26"/>
  <c r="L87" i="26"/>
  <c r="L95" i="26"/>
  <c r="L104" i="26"/>
  <c r="L127" i="26"/>
  <c r="L133" i="26"/>
  <c r="L147" i="26"/>
  <c r="L9" i="34"/>
  <c r="L13" i="34"/>
  <c r="Z13" i="34" s="1"/>
  <c r="L17" i="34"/>
  <c r="L31" i="34"/>
  <c r="Z31" i="34" s="1"/>
  <c r="L43" i="34"/>
  <c r="L47" i="34"/>
  <c r="Z47" i="34" s="1"/>
  <c r="L50" i="34"/>
  <c r="L53" i="34"/>
  <c r="L58" i="34"/>
  <c r="L63" i="34"/>
  <c r="L73" i="34"/>
  <c r="L74" i="34"/>
  <c r="L86" i="34"/>
  <c r="L90" i="34"/>
  <c r="L97" i="34"/>
  <c r="L102" i="34"/>
  <c r="L107" i="34"/>
  <c r="L110" i="34"/>
  <c r="L116" i="34"/>
  <c r="L118" i="34"/>
  <c r="L140" i="34"/>
  <c r="L144" i="34"/>
  <c r="L130" i="26"/>
  <c r="C135" i="36"/>
  <c r="E135" i="36" s="1"/>
  <c r="C39" i="36"/>
  <c r="E39" i="36" s="1"/>
  <c r="C139" i="36"/>
  <c r="E139" i="36" s="1"/>
  <c r="L135" i="26"/>
  <c r="L136" i="34"/>
  <c r="L138" i="34"/>
  <c r="L128" i="34"/>
  <c r="L131" i="34"/>
  <c r="L135" i="34"/>
  <c r="L137" i="34"/>
  <c r="L132" i="34"/>
  <c r="L134" i="34"/>
  <c r="L133" i="34"/>
  <c r="L130" i="34"/>
  <c r="L129" i="34"/>
  <c r="L124" i="26"/>
  <c r="C100" i="36"/>
  <c r="E100" i="36" s="1"/>
  <c r="L93" i="26"/>
  <c r="L84" i="26"/>
  <c r="C84" i="36"/>
  <c r="E84" i="36" s="1"/>
  <c r="C71" i="36"/>
  <c r="E71" i="36" s="1"/>
  <c r="L66" i="26"/>
  <c r="L62" i="26"/>
  <c r="L60" i="26"/>
  <c r="C59" i="36"/>
  <c r="E59" i="36" s="1"/>
  <c r="L59" i="26"/>
  <c r="Z59" i="26" s="1"/>
  <c r="L54" i="26"/>
  <c r="L53" i="26"/>
  <c r="B119" i="29"/>
  <c r="L116" i="26"/>
  <c r="C116" i="36"/>
  <c r="E116" i="36" s="1"/>
  <c r="C115" i="36"/>
  <c r="E115" i="36" s="1"/>
  <c r="L97" i="26"/>
  <c r="C97" i="36"/>
  <c r="E97" i="36" s="1"/>
  <c r="L71" i="26"/>
  <c r="L65" i="26"/>
  <c r="C54" i="36"/>
  <c r="E54" i="36" s="1"/>
  <c r="C51" i="36"/>
  <c r="E51" i="36" s="1"/>
  <c r="B50" i="29"/>
  <c r="C41" i="36"/>
  <c r="E41" i="36" s="1"/>
  <c r="L25" i="26"/>
  <c r="C10" i="36"/>
  <c r="E10" i="36" s="1"/>
  <c r="C8" i="36"/>
  <c r="E8" i="36" s="1"/>
  <c r="L8" i="26"/>
  <c r="B8" i="29"/>
  <c r="N15" i="22"/>
  <c r="P15" i="22" s="1"/>
  <c r="N27" i="22"/>
  <c r="P27" i="22" s="1"/>
  <c r="N30" i="22"/>
  <c r="P30" i="22" s="1"/>
  <c r="N44" i="22"/>
  <c r="P44" i="22" s="1"/>
  <c r="N48" i="22"/>
  <c r="P48" i="22" s="1"/>
  <c r="N74" i="22"/>
  <c r="P74" i="22" s="1"/>
  <c r="N93" i="22"/>
  <c r="N94" i="22"/>
  <c r="N95" i="22"/>
  <c r="N96" i="22"/>
  <c r="N97" i="22"/>
  <c r="N98" i="22"/>
  <c r="N99" i="22"/>
  <c r="N100" i="22"/>
  <c r="P100" i="22" s="1"/>
  <c r="N101" i="22"/>
  <c r="N102" i="22"/>
  <c r="N103" i="22"/>
  <c r="N104" i="22"/>
  <c r="P104" i="22" s="1"/>
  <c r="N122" i="22"/>
  <c r="N123" i="22"/>
  <c r="N124" i="22"/>
  <c r="N125" i="22"/>
  <c r="N126" i="22"/>
  <c r="P126" i="22" s="1"/>
  <c r="N127" i="22"/>
  <c r="P127" i="22" s="1"/>
  <c r="N128" i="22"/>
  <c r="N138" i="22"/>
  <c r="N139" i="22"/>
  <c r="N140" i="22"/>
  <c r="N141" i="22"/>
  <c r="N145" i="22"/>
  <c r="P145" i="22" s="1"/>
  <c r="M145" i="21" s="1"/>
  <c r="N4" i="22"/>
  <c r="N5" i="22"/>
  <c r="N6" i="22"/>
  <c r="N7" i="22"/>
  <c r="N8" i="22"/>
  <c r="N9" i="22"/>
  <c r="N10" i="22"/>
  <c r="N11" i="22"/>
  <c r="N12" i="22"/>
  <c r="P12" i="22" s="1"/>
  <c r="N16" i="22"/>
  <c r="P16" i="22" s="1"/>
  <c r="N21" i="22"/>
  <c r="N22" i="22"/>
  <c r="N23" i="22"/>
  <c r="N31" i="22"/>
  <c r="P31" i="22" s="1"/>
  <c r="N45" i="22"/>
  <c r="P45" i="22" s="1"/>
  <c r="N50" i="22"/>
  <c r="N51" i="22"/>
  <c r="N53" i="22"/>
  <c r="N54" i="22"/>
  <c r="N56" i="22"/>
  <c r="N57" i="22"/>
  <c r="N58" i="22"/>
  <c r="N59" i="22"/>
  <c r="N60" i="22"/>
  <c r="N61" i="22"/>
  <c r="N62" i="22"/>
  <c r="N63" i="22"/>
  <c r="N64" i="22"/>
  <c r="N65" i="22"/>
  <c r="N66" i="22"/>
  <c r="N67" i="22"/>
  <c r="N68" i="22"/>
  <c r="N69" i="22"/>
  <c r="N70" i="22"/>
  <c r="N71" i="22"/>
  <c r="N75" i="22"/>
  <c r="P75" i="22" s="1"/>
  <c r="N82" i="22"/>
  <c r="N83" i="22"/>
  <c r="N84" i="22"/>
  <c r="N85" i="22"/>
  <c r="N88" i="22"/>
  <c r="P88" i="22" s="1"/>
  <c r="N107" i="22"/>
  <c r="N108" i="22"/>
  <c r="N109" i="22"/>
  <c r="N110" i="22"/>
  <c r="N111" i="22"/>
  <c r="N112" i="22"/>
  <c r="P112" i="22" s="1"/>
  <c r="N142" i="22"/>
  <c r="P142" i="22" s="1"/>
  <c r="N146" i="22"/>
  <c r="P146" i="22" s="1"/>
  <c r="M146" i="21" s="1"/>
  <c r="N13" i="22"/>
  <c r="P13" i="22" s="1"/>
  <c r="N17" i="22"/>
  <c r="P17" i="22" s="1"/>
  <c r="N33" i="22"/>
  <c r="N34" i="22"/>
  <c r="N35" i="22"/>
  <c r="N36" i="22"/>
  <c r="N37" i="22"/>
  <c r="N38" i="22"/>
  <c r="N39" i="22"/>
  <c r="N40" i="22"/>
  <c r="N41" i="22"/>
  <c r="N42" i="22"/>
  <c r="P42" i="22" s="1"/>
  <c r="N46" i="22"/>
  <c r="P46" i="22" s="1"/>
  <c r="N72" i="22"/>
  <c r="P72" i="22" s="1"/>
  <c r="N76" i="22"/>
  <c r="P76" i="22" s="1"/>
  <c r="N81" i="22"/>
  <c r="N86" i="22"/>
  <c r="N89" i="22"/>
  <c r="P89" i="22" s="1"/>
  <c r="N114" i="22"/>
  <c r="P114" i="22" s="1"/>
  <c r="N115" i="22"/>
  <c r="N116" i="22"/>
  <c r="N118" i="22"/>
  <c r="N119" i="22"/>
  <c r="N120" i="22"/>
  <c r="N130" i="22"/>
  <c r="N131" i="22"/>
  <c r="N132" i="22"/>
  <c r="N133" i="22"/>
  <c r="N134" i="22"/>
  <c r="N135" i="22"/>
  <c r="N136" i="22"/>
  <c r="N143" i="22"/>
  <c r="P143" i="22" s="1"/>
  <c r="N147" i="22"/>
  <c r="P147" i="22" s="1"/>
  <c r="M147" i="21" s="1"/>
  <c r="Y24" i="24"/>
  <c r="M24" i="29"/>
  <c r="Y24" i="29" s="1"/>
  <c r="Y12" i="24"/>
  <c r="M12" i="29"/>
  <c r="Y25" i="24"/>
  <c r="M25" i="29"/>
  <c r="Y25" i="29" s="1"/>
  <c r="K75" i="29"/>
  <c r="Y69" i="24"/>
  <c r="M69" i="29"/>
  <c r="Y69" i="29" s="1"/>
  <c r="M109" i="29"/>
  <c r="K42" i="29"/>
  <c r="Y11" i="24"/>
  <c r="M11" i="29"/>
  <c r="Y11" i="29" s="1"/>
  <c r="Y7" i="29"/>
  <c r="Y37" i="24"/>
  <c r="M37" i="29"/>
  <c r="Y53" i="24"/>
  <c r="M53" i="29"/>
  <c r="Y53" i="29" s="1"/>
  <c r="E61" i="29"/>
  <c r="Y88" i="24"/>
  <c r="M88" i="29"/>
  <c r="Y88" i="29" s="1"/>
  <c r="Y9" i="24"/>
  <c r="M9" i="29"/>
  <c r="Y9" i="29" s="1"/>
  <c r="Y10" i="24"/>
  <c r="M10" i="29"/>
  <c r="Y23" i="24"/>
  <c r="M23" i="29"/>
  <c r="Y23" i="29" s="1"/>
  <c r="Y36" i="24"/>
  <c r="M36" i="29"/>
  <c r="Y28" i="24"/>
  <c r="M28" i="29"/>
  <c r="Y28" i="29" s="1"/>
  <c r="E36" i="29"/>
  <c r="F134" i="29"/>
  <c r="C111" i="29"/>
  <c r="Y68" i="24"/>
  <c r="M68" i="29"/>
  <c r="Y68" i="29" s="1"/>
  <c r="Y83" i="24"/>
  <c r="M83" i="29"/>
  <c r="Y83" i="29" s="1"/>
  <c r="Y57" i="24"/>
  <c r="M57" i="29"/>
  <c r="B143" i="29"/>
  <c r="Y5" i="24"/>
  <c r="M5" i="29"/>
  <c r="Y5" i="29" s="1"/>
  <c r="Y17" i="24"/>
  <c r="M17" i="29"/>
  <c r="Y17" i="29" s="1"/>
  <c r="Y30" i="24"/>
  <c r="M30" i="29"/>
  <c r="Y30" i="29" s="1"/>
  <c r="Y43" i="29"/>
  <c r="Y58" i="24"/>
  <c r="M58" i="29"/>
  <c r="Y70" i="24"/>
  <c r="M70" i="29"/>
  <c r="Y85" i="24"/>
  <c r="M85" i="29"/>
  <c r="Y85" i="29" s="1"/>
  <c r="Y114" i="24"/>
  <c r="M114" i="29"/>
  <c r="M127" i="29"/>
  <c r="M139" i="29"/>
  <c r="E65" i="29"/>
  <c r="E108" i="29"/>
  <c r="H26" i="29"/>
  <c r="K15" i="29"/>
  <c r="C17" i="29"/>
  <c r="C85" i="29"/>
  <c r="B33" i="29"/>
  <c r="Y56" i="24"/>
  <c r="M56" i="29"/>
  <c r="Y56" i="29" s="1"/>
  <c r="Y6" i="24"/>
  <c r="M6" i="29"/>
  <c r="Y19" i="24"/>
  <c r="M19" i="29"/>
  <c r="Y19" i="29" s="1"/>
  <c r="Y31" i="24"/>
  <c r="M31" i="29"/>
  <c r="Y44" i="24"/>
  <c r="M44" i="29"/>
  <c r="Y44" i="29" s="1"/>
  <c r="Y86" i="24"/>
  <c r="M86" i="29"/>
  <c r="M115" i="29"/>
  <c r="M128" i="29"/>
  <c r="M140" i="29"/>
  <c r="E53" i="29"/>
  <c r="K138" i="29"/>
  <c r="C115" i="29"/>
  <c r="C140" i="29"/>
  <c r="M125" i="29"/>
  <c r="Y84" i="24"/>
  <c r="M84" i="29"/>
  <c r="Y20" i="24"/>
  <c r="M20" i="29"/>
  <c r="Y33" i="24"/>
  <c r="M33" i="29"/>
  <c r="Y33" i="29" s="1"/>
  <c r="Y45" i="24"/>
  <c r="M45" i="29"/>
  <c r="Y45" i="29" s="1"/>
  <c r="Y60" i="24"/>
  <c r="M60" i="29"/>
  <c r="Y60" i="29" s="1"/>
  <c r="Y72" i="24"/>
  <c r="M72" i="29"/>
  <c r="Y72" i="29" s="1"/>
  <c r="Y87" i="24"/>
  <c r="M87" i="29"/>
  <c r="M116" i="29"/>
  <c r="M129" i="29"/>
  <c r="C72" i="29"/>
  <c r="C116" i="29"/>
  <c r="Y15" i="29"/>
  <c r="Y8" i="29"/>
  <c r="Y21" i="24"/>
  <c r="M21" i="29"/>
  <c r="Y34" i="24"/>
  <c r="M34" i="29"/>
  <c r="Y46" i="24"/>
  <c r="M46" i="29"/>
  <c r="Y61" i="24"/>
  <c r="M61" i="29"/>
  <c r="Y61" i="29" s="1"/>
  <c r="Y73" i="24"/>
  <c r="M73" i="29"/>
  <c r="Y118" i="24"/>
  <c r="M118" i="29"/>
  <c r="Y142" i="24"/>
  <c r="M142" i="29"/>
  <c r="Y142" i="29" s="1"/>
  <c r="C8" i="29"/>
  <c r="C73" i="29"/>
  <c r="B129" i="29"/>
  <c r="Y41" i="24"/>
  <c r="M41" i="29"/>
  <c r="Y41" i="29" s="1"/>
  <c r="B21" i="29"/>
  <c r="Y29" i="24"/>
  <c r="M29" i="29"/>
  <c r="Y22" i="24"/>
  <c r="M22" i="29"/>
  <c r="Y22" i="29" s="1"/>
  <c r="Y35" i="24"/>
  <c r="M35" i="29"/>
  <c r="Y47" i="24"/>
  <c r="M47" i="29"/>
  <c r="Y47" i="29" s="1"/>
  <c r="Y62" i="24"/>
  <c r="M62" i="29"/>
  <c r="Y62" i="29" s="1"/>
  <c r="Y74" i="24"/>
  <c r="M74" i="29"/>
  <c r="Y74" i="29" s="1"/>
  <c r="Y89" i="24"/>
  <c r="M89" i="29"/>
  <c r="M119" i="29"/>
  <c r="M131" i="29"/>
  <c r="Y143" i="24"/>
  <c r="M143" i="29"/>
  <c r="E112" i="29"/>
  <c r="H30" i="29"/>
  <c r="C9" i="29"/>
  <c r="C47" i="29"/>
  <c r="C131" i="29"/>
  <c r="Y4" i="24"/>
  <c r="M4" i="29"/>
  <c r="Y48" i="24"/>
  <c r="M48" i="29"/>
  <c r="Y63" i="29"/>
  <c r="Y75" i="24"/>
  <c r="M75" i="29"/>
  <c r="Y90" i="24"/>
  <c r="M90" i="29"/>
  <c r="Y90" i="29" s="1"/>
  <c r="Y104" i="24"/>
  <c r="M120" i="29"/>
  <c r="M132" i="29"/>
  <c r="Y144" i="24"/>
  <c r="M144" i="29"/>
  <c r="K142" i="29"/>
  <c r="C23" i="29"/>
  <c r="M137" i="29"/>
  <c r="M126" i="29"/>
  <c r="B10" i="29"/>
  <c r="B109" i="29"/>
  <c r="B125" i="29"/>
  <c r="Y50" i="24"/>
  <c r="M50" i="29"/>
  <c r="Y50" i="29" s="1"/>
  <c r="Y64" i="24"/>
  <c r="M64" i="29"/>
  <c r="Y64" i="29" s="1"/>
  <c r="Y76" i="24"/>
  <c r="M76" i="29"/>
  <c r="Y76" i="29" s="1"/>
  <c r="Y93" i="24"/>
  <c r="M93" i="29"/>
  <c r="Y107" i="24"/>
  <c r="M107" i="29"/>
  <c r="M121" i="29"/>
  <c r="Y145" i="24"/>
  <c r="M145" i="29"/>
  <c r="C107" i="29"/>
  <c r="B45" i="29"/>
  <c r="M111" i="29"/>
  <c r="Y112" i="24"/>
  <c r="M112" i="29"/>
  <c r="B147" i="29"/>
  <c r="B16" i="29"/>
  <c r="Y38" i="24"/>
  <c r="M38" i="29"/>
  <c r="Y51" i="24"/>
  <c r="M51" i="29"/>
  <c r="Y51" i="29" s="1"/>
  <c r="Y65" i="24"/>
  <c r="M65" i="29"/>
  <c r="Y77" i="24"/>
  <c r="M77" i="29"/>
  <c r="Y77" i="29" s="1"/>
  <c r="M108" i="29"/>
  <c r="M122" i="29"/>
  <c r="M134" i="29"/>
  <c r="Y146" i="24"/>
  <c r="M146" i="29"/>
  <c r="Y39" i="24"/>
  <c r="T39" i="29"/>
  <c r="C51" i="29"/>
  <c r="Y42" i="24"/>
  <c r="M42" i="29"/>
  <c r="Y42" i="29" s="1"/>
  <c r="Y13" i="24"/>
  <c r="M13" i="29"/>
  <c r="Y13" i="29" s="1"/>
  <c r="Y26" i="24"/>
  <c r="M26" i="29"/>
  <c r="Y26" i="29" s="1"/>
  <c r="Y66" i="24"/>
  <c r="M66" i="29"/>
  <c r="Y66" i="29" s="1"/>
  <c r="Y81" i="24"/>
  <c r="M81" i="29"/>
  <c r="M123" i="29"/>
  <c r="Y147" i="24"/>
  <c r="M147" i="29"/>
  <c r="H22" i="29"/>
  <c r="C39" i="29"/>
  <c r="C81" i="29"/>
  <c r="C123" i="29"/>
  <c r="Y16" i="24"/>
  <c r="M16" i="29"/>
  <c r="Y16" i="29" s="1"/>
  <c r="B6" i="29"/>
  <c r="Y14" i="24"/>
  <c r="M14" i="29"/>
  <c r="Y27" i="24"/>
  <c r="M27" i="29"/>
  <c r="Y40" i="24"/>
  <c r="M40" i="29"/>
  <c r="Y54" i="24"/>
  <c r="M54" i="29"/>
  <c r="Y54" i="29" s="1"/>
  <c r="Y67" i="29"/>
  <c r="Y82" i="24"/>
  <c r="M82" i="29"/>
  <c r="Y82" i="29" s="1"/>
  <c r="M110" i="29"/>
  <c r="M124" i="29"/>
  <c r="Y148" i="24"/>
  <c r="M148" i="29"/>
  <c r="K122" i="29"/>
  <c r="C40" i="29"/>
  <c r="C54" i="29"/>
  <c r="Z142" i="34"/>
  <c r="Z115" i="34"/>
  <c r="Z77" i="34"/>
  <c r="Z140" i="26"/>
  <c r="Y126" i="26"/>
  <c r="L139" i="26"/>
  <c r="L115" i="26"/>
  <c r="L112" i="26"/>
  <c r="L110" i="26"/>
  <c r="L103" i="26"/>
  <c r="L101" i="26"/>
  <c r="Y86" i="26"/>
  <c r="L81" i="26"/>
  <c r="L82" i="26"/>
  <c r="Y83" i="26"/>
  <c r="L68" i="26"/>
  <c r="L64" i="26"/>
  <c r="Y70" i="26"/>
  <c r="L77" i="26"/>
  <c r="Z77" i="26" s="1"/>
  <c r="Z42" i="26"/>
  <c r="Y38" i="26"/>
  <c r="Y44" i="26"/>
  <c r="L33" i="26"/>
  <c r="L39" i="26"/>
  <c r="L45" i="26"/>
  <c r="L40" i="26"/>
  <c r="L46" i="26"/>
  <c r="L41" i="26"/>
  <c r="Y45" i="26"/>
  <c r="L21" i="26"/>
  <c r="L27" i="26"/>
  <c r="Y13" i="26"/>
  <c r="Y9" i="26"/>
  <c r="L16" i="26"/>
  <c r="Y59" i="24"/>
  <c r="Y67" i="24"/>
  <c r="Y71" i="24"/>
  <c r="Y63" i="24"/>
  <c r="Y43" i="24"/>
  <c r="Y7" i="24"/>
  <c r="Y15" i="24"/>
  <c r="Y8" i="24"/>
  <c r="P43" i="22"/>
  <c r="P26" i="22"/>
  <c r="Z86" i="34" l="1"/>
  <c r="Z58" i="34"/>
  <c r="Z104" i="26"/>
  <c r="Z75" i="26"/>
  <c r="Y112" i="29"/>
  <c r="Y143" i="29"/>
  <c r="Z97" i="26"/>
  <c r="Z74" i="34"/>
  <c r="Z138" i="26"/>
  <c r="Z88" i="26"/>
  <c r="Z64" i="26"/>
  <c r="Y144" i="29"/>
  <c r="Y58" i="29"/>
  <c r="Z130" i="26"/>
  <c r="Z39" i="34"/>
  <c r="Z20" i="34"/>
  <c r="Z85" i="34"/>
  <c r="Y59" i="29"/>
  <c r="Z100" i="26"/>
  <c r="Z5" i="26"/>
  <c r="Z133" i="26"/>
  <c r="Z101" i="34"/>
  <c r="Z62" i="26"/>
  <c r="Z110" i="34"/>
  <c r="Z120" i="34"/>
  <c r="Z45" i="34"/>
  <c r="Z10" i="34"/>
  <c r="Z83" i="34"/>
  <c r="Z4" i="34"/>
  <c r="Y39" i="29"/>
  <c r="Z56" i="34"/>
  <c r="Z147" i="34"/>
  <c r="Z89" i="34"/>
  <c r="Z42" i="34"/>
  <c r="Z114" i="34"/>
  <c r="Z98" i="34"/>
  <c r="Z104" i="34"/>
  <c r="Z93" i="26"/>
  <c r="Z43" i="34"/>
  <c r="Z9" i="34"/>
  <c r="Z22" i="26"/>
  <c r="Z62" i="34"/>
  <c r="Z26" i="34"/>
  <c r="Z30" i="26"/>
  <c r="Z109" i="34"/>
  <c r="Z34" i="34"/>
  <c r="Z114" i="26"/>
  <c r="Z99" i="34"/>
  <c r="Z68" i="26"/>
  <c r="Y35" i="29"/>
  <c r="Z53" i="34"/>
  <c r="Z22" i="34"/>
  <c r="Z70" i="34"/>
  <c r="Z124" i="34"/>
  <c r="Z119" i="34"/>
  <c r="Z68" i="34"/>
  <c r="Z67" i="26"/>
  <c r="Z103" i="34"/>
  <c r="Z127" i="34"/>
  <c r="Z54" i="34"/>
  <c r="Z146" i="34"/>
  <c r="Z111" i="34"/>
  <c r="Z72" i="34"/>
  <c r="Z64" i="34"/>
  <c r="Z60" i="34"/>
  <c r="Z23" i="26"/>
  <c r="Z128" i="26"/>
  <c r="Z99" i="26"/>
  <c r="Z69" i="26"/>
  <c r="Z39" i="26"/>
  <c r="Y141" i="24"/>
  <c r="Y6" i="29"/>
  <c r="Y145" i="29"/>
  <c r="Y48" i="29"/>
  <c r="Y34" i="29"/>
  <c r="M141" i="29"/>
  <c r="Y84" i="29"/>
  <c r="Y101" i="29"/>
  <c r="Z126" i="26"/>
  <c r="Z85" i="26"/>
  <c r="Z144" i="26"/>
  <c r="Z134" i="26"/>
  <c r="Z61" i="26"/>
  <c r="Y37" i="29"/>
  <c r="Z125" i="26"/>
  <c r="Z33" i="26"/>
  <c r="Z9" i="26"/>
  <c r="Y118" i="29"/>
  <c r="Y114" i="29"/>
  <c r="Y70" i="29"/>
  <c r="Z60" i="26"/>
  <c r="Z147" i="26"/>
  <c r="Z131" i="26"/>
  <c r="Z50" i="26"/>
  <c r="Y14" i="29"/>
  <c r="Y89" i="29"/>
  <c r="Y57" i="29"/>
  <c r="Z81" i="26"/>
  <c r="Z103" i="26"/>
  <c r="Z139" i="26"/>
  <c r="Y38" i="29"/>
  <c r="Y4" i="29"/>
  <c r="Y73" i="29"/>
  <c r="Y21" i="29"/>
  <c r="Y36" i="29"/>
  <c r="Z123" i="26"/>
  <c r="Z7" i="26"/>
  <c r="Z122" i="26"/>
  <c r="Z142" i="26"/>
  <c r="M114" i="21"/>
  <c r="M76" i="21"/>
  <c r="N76" i="21" s="1"/>
  <c r="AB76" i="26" s="1"/>
  <c r="M142" i="21"/>
  <c r="N142" i="21" s="1"/>
  <c r="AB142" i="26" s="1"/>
  <c r="M75" i="21"/>
  <c r="N75" i="21" s="1"/>
  <c r="AB75" i="26" s="1"/>
  <c r="M100" i="21"/>
  <c r="N100" i="21" s="1"/>
  <c r="AB100" i="26" s="1"/>
  <c r="M74" i="21"/>
  <c r="N74" i="21" s="1"/>
  <c r="P74" i="21" s="1"/>
  <c r="M27" i="21"/>
  <c r="N27" i="21" s="1"/>
  <c r="P27" i="21" s="1"/>
  <c r="M121" i="21"/>
  <c r="N121" i="21" s="1"/>
  <c r="P121" i="21" s="1"/>
  <c r="M47" i="21"/>
  <c r="M43" i="21"/>
  <c r="N43" i="21" s="1"/>
  <c r="AB43" i="26" s="1"/>
  <c r="M89" i="21"/>
  <c r="N89" i="21" s="1"/>
  <c r="P89" i="21" s="1"/>
  <c r="M72" i="21"/>
  <c r="N72" i="21" s="1"/>
  <c r="M17" i="21"/>
  <c r="M112" i="21"/>
  <c r="M45" i="21"/>
  <c r="N45" i="21" s="1"/>
  <c r="P45" i="21" s="1"/>
  <c r="M48" i="21"/>
  <c r="N48" i="21" s="1"/>
  <c r="P48" i="21" s="1"/>
  <c r="M15" i="21"/>
  <c r="M28" i="21"/>
  <c r="N28" i="21" s="1"/>
  <c r="AB28" i="26" s="1"/>
  <c r="M104" i="21"/>
  <c r="N104" i="21" s="1"/>
  <c r="M46" i="21"/>
  <c r="N46" i="21" s="1"/>
  <c r="P46" i="21" s="1"/>
  <c r="M13" i="21"/>
  <c r="M31" i="21"/>
  <c r="N31" i="21" s="1"/>
  <c r="P31" i="21" s="1"/>
  <c r="M16" i="21"/>
  <c r="N16" i="21" s="1"/>
  <c r="AB16" i="26" s="1"/>
  <c r="M127" i="21"/>
  <c r="N127" i="21" s="1"/>
  <c r="P127" i="21" s="1"/>
  <c r="M44" i="21"/>
  <c r="M90" i="21"/>
  <c r="N90" i="21" s="1"/>
  <c r="P90" i="21" s="1"/>
  <c r="M77" i="21"/>
  <c r="N77" i="21" s="1"/>
  <c r="AB77" i="26" s="1"/>
  <c r="M29" i="21"/>
  <c r="N29" i="21" s="1"/>
  <c r="AB29" i="26" s="1"/>
  <c r="M26" i="21"/>
  <c r="N26" i="21" s="1"/>
  <c r="P26" i="21" s="1"/>
  <c r="M143" i="21"/>
  <c r="N143" i="21" s="1"/>
  <c r="AB143" i="26" s="1"/>
  <c r="M42" i="21"/>
  <c r="N42" i="21" s="1"/>
  <c r="P42" i="21" s="1"/>
  <c r="M88" i="21"/>
  <c r="N88" i="21" s="1"/>
  <c r="M12" i="21"/>
  <c r="M126" i="21"/>
  <c r="N126" i="21" s="1"/>
  <c r="P126" i="21" s="1"/>
  <c r="M30" i="21"/>
  <c r="N30" i="21" s="1"/>
  <c r="P30" i="21" s="1"/>
  <c r="M87" i="21"/>
  <c r="N87" i="21" s="1"/>
  <c r="P87" i="21" s="1"/>
  <c r="M73" i="21"/>
  <c r="M14" i="21"/>
  <c r="N14" i="21" s="1"/>
  <c r="AB14" i="26" s="1"/>
  <c r="N13" i="21"/>
  <c r="AB13" i="26" s="1"/>
  <c r="N44" i="21"/>
  <c r="AB44" i="26" s="1"/>
  <c r="Z29" i="26"/>
  <c r="N112" i="21"/>
  <c r="AB112" i="26" s="1"/>
  <c r="Z44" i="26"/>
  <c r="Z83" i="26"/>
  <c r="Z38" i="26"/>
  <c r="Z136" i="26"/>
  <c r="N148" i="21"/>
  <c r="AB148" i="26" s="1"/>
  <c r="Z12" i="26"/>
  <c r="Z109" i="26"/>
  <c r="Z74" i="26"/>
  <c r="Y29" i="29"/>
  <c r="Z48" i="26"/>
  <c r="Z34" i="26"/>
  <c r="Z15" i="26"/>
  <c r="Y102" i="29"/>
  <c r="Z115" i="26"/>
  <c r="Y147" i="29"/>
  <c r="Y81" i="29"/>
  <c r="Y65" i="29"/>
  <c r="Y93" i="29"/>
  <c r="Y46" i="29"/>
  <c r="Y12" i="29"/>
  <c r="Z135" i="26"/>
  <c r="Z87" i="26"/>
  <c r="Z26" i="26"/>
  <c r="Y27" i="29"/>
  <c r="Y146" i="29"/>
  <c r="Z127" i="26"/>
  <c r="Z43" i="26"/>
  <c r="Y99" i="29"/>
  <c r="Z56" i="26"/>
  <c r="Z8" i="26"/>
  <c r="N114" i="21"/>
  <c r="P114" i="21" s="1"/>
  <c r="Z108" i="34"/>
  <c r="Z73" i="26"/>
  <c r="Z84" i="34"/>
  <c r="Z19" i="34"/>
  <c r="N15" i="21"/>
  <c r="P15" i="21" s="1"/>
  <c r="Z118" i="26"/>
  <c r="Z82" i="34"/>
  <c r="Z122" i="34"/>
  <c r="Z112" i="34"/>
  <c r="Z75" i="34"/>
  <c r="Z29" i="34"/>
  <c r="Z6" i="34"/>
  <c r="Z37" i="26"/>
  <c r="Z76" i="34"/>
  <c r="Z129" i="26"/>
  <c r="Z96" i="26"/>
  <c r="Z70" i="26"/>
  <c r="Y75" i="29"/>
  <c r="Y31" i="29"/>
  <c r="Y10" i="29"/>
  <c r="Z134" i="34"/>
  <c r="Z131" i="34"/>
  <c r="Z116" i="34"/>
  <c r="Z97" i="34"/>
  <c r="Z50" i="34"/>
  <c r="Z17" i="34"/>
  <c r="Z47" i="26"/>
  <c r="Z14" i="26"/>
  <c r="Z63" i="26"/>
  <c r="Z87" i="34"/>
  <c r="Z41" i="34"/>
  <c r="Y103" i="29"/>
  <c r="Z112" i="26"/>
  <c r="Z25" i="26"/>
  <c r="Z66" i="26"/>
  <c r="Z84" i="26"/>
  <c r="Z28" i="26"/>
  <c r="Z141" i="34"/>
  <c r="Z98" i="26"/>
  <c r="Z17" i="26"/>
  <c r="Z76" i="26"/>
  <c r="Y100" i="29"/>
  <c r="Z40" i="26"/>
  <c r="Z107" i="34"/>
  <c r="Z12" i="34"/>
  <c r="Z125" i="34"/>
  <c r="Z65" i="26"/>
  <c r="Z137" i="34"/>
  <c r="Z16" i="26"/>
  <c r="Z27" i="26"/>
  <c r="Z41" i="26"/>
  <c r="Z82" i="26"/>
  <c r="Z101" i="26"/>
  <c r="Y40" i="29"/>
  <c r="Y107" i="29"/>
  <c r="Y141" i="29"/>
  <c r="Y87" i="29"/>
  <c r="Z53" i="26"/>
  <c r="Z118" i="34"/>
  <c r="Z95" i="26"/>
  <c r="Z11" i="26"/>
  <c r="Z121" i="34"/>
  <c r="Z141" i="26"/>
  <c r="Z137" i="26"/>
  <c r="Z67" i="34"/>
  <c r="Z38" i="34"/>
  <c r="Z11" i="34"/>
  <c r="Y96" i="29"/>
  <c r="Y148" i="29"/>
  <c r="Z116" i="26"/>
  <c r="Z129" i="34"/>
  <c r="Z132" i="34"/>
  <c r="Z144" i="34"/>
  <c r="Z90" i="34"/>
  <c r="Z63" i="34"/>
  <c r="Z4" i="26"/>
  <c r="Z121" i="26"/>
  <c r="Z57" i="26"/>
  <c r="Z71" i="34"/>
  <c r="Z72" i="26"/>
  <c r="Z24" i="26"/>
  <c r="Z59" i="34"/>
  <c r="Z143" i="34"/>
  <c r="Z111" i="26"/>
  <c r="Z120" i="26"/>
  <c r="Z145" i="26"/>
  <c r="Z107" i="26"/>
  <c r="Z21" i="26"/>
  <c r="Z44" i="34"/>
  <c r="Z15" i="34"/>
  <c r="Z46" i="26"/>
  <c r="Y20" i="29"/>
  <c r="Z71" i="26"/>
  <c r="Z102" i="34"/>
  <c r="Z100" i="34"/>
  <c r="Z102" i="26"/>
  <c r="Z94" i="26"/>
  <c r="Z27" i="34"/>
  <c r="Z20" i="26"/>
  <c r="Z110" i="26"/>
  <c r="Y86" i="29"/>
  <c r="Z54" i="26"/>
  <c r="Z124" i="26"/>
  <c r="Z73" i="34"/>
  <c r="Z10" i="26"/>
  <c r="Z25" i="34"/>
  <c r="Z31" i="26"/>
  <c r="Z96" i="34"/>
  <c r="Z65" i="34"/>
  <c r="Z36" i="34"/>
  <c r="Z148" i="26"/>
  <c r="Y108" i="24"/>
  <c r="Y119" i="24"/>
  <c r="Z130" i="34"/>
  <c r="Z138" i="34"/>
  <c r="Z133" i="34"/>
  <c r="Z45" i="26"/>
  <c r="Y135" i="29"/>
  <c r="Y130" i="29"/>
  <c r="Y116" i="29"/>
  <c r="Y128" i="29"/>
  <c r="Y127" i="29"/>
  <c r="Y109" i="29"/>
  <c r="L108" i="24"/>
  <c r="Z108" i="24" s="1"/>
  <c r="Y139" i="24"/>
  <c r="Y133" i="24"/>
  <c r="Y125" i="24"/>
  <c r="Y110" i="24"/>
  <c r="Y136" i="29"/>
  <c r="Y134" i="29"/>
  <c r="Y132" i="29"/>
  <c r="Y115" i="29"/>
  <c r="D137" i="29"/>
  <c r="D129" i="29"/>
  <c r="D121" i="29"/>
  <c r="D111" i="29"/>
  <c r="Y138" i="24"/>
  <c r="Y130" i="24"/>
  <c r="Y122" i="24"/>
  <c r="E126" i="29"/>
  <c r="D140" i="29"/>
  <c r="D132" i="29"/>
  <c r="D124" i="29"/>
  <c r="Y135" i="24"/>
  <c r="N133" i="29"/>
  <c r="Y133" i="29" s="1"/>
  <c r="N125" i="29"/>
  <c r="Y125" i="29" s="1"/>
  <c r="Y140" i="24"/>
  <c r="Y132" i="24"/>
  <c r="Y124" i="24"/>
  <c r="N110" i="29"/>
  <c r="D130" i="29"/>
  <c r="Y124" i="29"/>
  <c r="Y120" i="29"/>
  <c r="Y115" i="24"/>
  <c r="Y127" i="24"/>
  <c r="Y137" i="24"/>
  <c r="Y129" i="24"/>
  <c r="Y121" i="24"/>
  <c r="Y111" i="24"/>
  <c r="Y131" i="24"/>
  <c r="Y123" i="24"/>
  <c r="Y122" i="29"/>
  <c r="Y110" i="29"/>
  <c r="Y108" i="29"/>
  <c r="Y126" i="29"/>
  <c r="Y140" i="29"/>
  <c r="Y139" i="29"/>
  <c r="Y138" i="29"/>
  <c r="Y134" i="24"/>
  <c r="Y126" i="24"/>
  <c r="Y116" i="24"/>
  <c r="E138" i="29"/>
  <c r="D110" i="29"/>
  <c r="Q119" i="29"/>
  <c r="Y119" i="29" s="1"/>
  <c r="N137" i="29"/>
  <c r="Y137" i="29" s="1"/>
  <c r="N129" i="29"/>
  <c r="Y129" i="29" s="1"/>
  <c r="N121" i="29"/>
  <c r="Y121" i="29" s="1"/>
  <c r="N111" i="29"/>
  <c r="Y111" i="29" s="1"/>
  <c r="U131" i="29"/>
  <c r="Y131" i="29" s="1"/>
  <c r="U123" i="29"/>
  <c r="Y123" i="29" s="1"/>
  <c r="Y136" i="24"/>
  <c r="Y128" i="24"/>
  <c r="Y120" i="24"/>
  <c r="Y109" i="24"/>
  <c r="Z139" i="34"/>
  <c r="Z135" i="34"/>
  <c r="Z140" i="34"/>
  <c r="Z128" i="34"/>
  <c r="Z136" i="34"/>
  <c r="L108" i="29"/>
  <c r="N17" i="21"/>
  <c r="AB17" i="26" s="1"/>
  <c r="N47" i="21"/>
  <c r="P47" i="21" s="1"/>
  <c r="N146" i="21"/>
  <c r="P146" i="21" s="1"/>
  <c r="Z86" i="26"/>
  <c r="N73" i="21"/>
  <c r="P73" i="21" s="1"/>
  <c r="N12" i="21"/>
  <c r="P12" i="21" s="1"/>
  <c r="Z13" i="26"/>
  <c r="N144" i="21"/>
  <c r="AB144" i="26" s="1"/>
  <c r="N147" i="21"/>
  <c r="P147" i="21" s="1"/>
  <c r="N145" i="21"/>
  <c r="AB145" i="26" s="1"/>
  <c r="A1" i="4"/>
  <c r="A1" i="19"/>
  <c r="A1" i="20"/>
  <c r="A1" i="12"/>
  <c r="A1" i="9"/>
  <c r="A1" i="7"/>
  <c r="A1" i="11"/>
  <c r="A1" i="5"/>
  <c r="A1" i="15"/>
  <c r="A1" i="16"/>
  <c r="A1" i="13"/>
  <c r="A1" i="18"/>
  <c r="A1" i="6"/>
  <c r="A1" i="17"/>
  <c r="A1" i="8"/>
  <c r="A1" i="14"/>
  <c r="A1" i="25"/>
  <c r="A1" i="31"/>
  <c r="A1" i="32"/>
  <c r="A1" i="33"/>
  <c r="A1" i="21"/>
  <c r="A1" i="22"/>
  <c r="A1" i="24"/>
  <c r="A1" i="26"/>
  <c r="A1" i="34"/>
  <c r="A1" i="29"/>
  <c r="A1" i="2"/>
  <c r="AB42" i="26" l="1"/>
  <c r="P28" i="21"/>
  <c r="AB26" i="26"/>
  <c r="Z108" i="29"/>
  <c r="P143" i="21"/>
  <c r="P76" i="21"/>
  <c r="AB104" i="26"/>
  <c r="P104" i="21"/>
  <c r="AB127" i="26"/>
  <c r="P13" i="21"/>
  <c r="P142" i="21"/>
  <c r="P148" i="21"/>
  <c r="AB45" i="26"/>
  <c r="P72" i="21"/>
  <c r="AB72" i="26"/>
  <c r="P112" i="21"/>
  <c r="AB27" i="26"/>
  <c r="AB114" i="26"/>
  <c r="P144" i="21"/>
  <c r="AB90" i="26"/>
  <c r="P88" i="21"/>
  <c r="AB88" i="26"/>
  <c r="O108" i="22"/>
  <c r="P108" i="22" s="1"/>
  <c r="AB108" i="24"/>
  <c r="AD108" i="24" s="1"/>
  <c r="O36" i="22"/>
  <c r="P36" i="22" s="1"/>
  <c r="AB36" i="24"/>
  <c r="O111" i="22"/>
  <c r="P111" i="22" s="1"/>
  <c r="AB111" i="24"/>
  <c r="O53" i="22"/>
  <c r="P53" i="22" s="1"/>
  <c r="AB53" i="24"/>
  <c r="O139" i="22"/>
  <c r="P139" i="22" s="1"/>
  <c r="AB139" i="24"/>
  <c r="O95" i="22"/>
  <c r="P95" i="22" s="1"/>
  <c r="AB95" i="24"/>
  <c r="O33" i="22"/>
  <c r="P33" i="22" s="1"/>
  <c r="AB33" i="24"/>
  <c r="O20" i="22"/>
  <c r="P20" i="22" s="1"/>
  <c r="AB20" i="24"/>
  <c r="O56" i="22"/>
  <c r="P56" i="22" s="1"/>
  <c r="AB56" i="24"/>
  <c r="O35" i="22"/>
  <c r="P35" i="22" s="1"/>
  <c r="AB35" i="24"/>
  <c r="O19" i="22"/>
  <c r="P19" i="22" s="1"/>
  <c r="AB19" i="24"/>
  <c r="O21" i="22"/>
  <c r="P21" i="22" s="1"/>
  <c r="AB21" i="24"/>
  <c r="O94" i="22"/>
  <c r="P94" i="22" s="1"/>
  <c r="AB94" i="24"/>
  <c r="O96" i="22"/>
  <c r="P96" i="22" s="1"/>
  <c r="AB96" i="24"/>
  <c r="O93" i="22"/>
  <c r="P93" i="22" s="1"/>
  <c r="AB93" i="24"/>
  <c r="O37" i="22"/>
  <c r="P37" i="22" s="1"/>
  <c r="AB37" i="24"/>
  <c r="O109" i="22"/>
  <c r="P109" i="22" s="1"/>
  <c r="AB109" i="24"/>
  <c r="O97" i="22"/>
  <c r="P97" i="22" s="1"/>
  <c r="AB97" i="24"/>
  <c r="O54" i="22"/>
  <c r="P54" i="22" s="1"/>
  <c r="AB54" i="24"/>
  <c r="O57" i="22"/>
  <c r="P57" i="22" s="1"/>
  <c r="AB57" i="24"/>
  <c r="O38" i="22"/>
  <c r="P38" i="22" s="1"/>
  <c r="AB38" i="24"/>
  <c r="O124" i="22"/>
  <c r="P124" i="22" s="1"/>
  <c r="AB124" i="24"/>
  <c r="O58" i="22"/>
  <c r="P58" i="22" s="1"/>
  <c r="AB58" i="24"/>
  <c r="O129" i="22"/>
  <c r="P129" i="22" s="1"/>
  <c r="AB129" i="24"/>
  <c r="O110" i="22"/>
  <c r="P110" i="22" s="1"/>
  <c r="AB110" i="24"/>
  <c r="O34" i="22"/>
  <c r="P34" i="22" s="1"/>
  <c r="AB34" i="24"/>
  <c r="O140" i="22"/>
  <c r="P140" i="22" s="1"/>
  <c r="AB140" i="24"/>
  <c r="P145" i="21"/>
  <c r="P77" i="21"/>
  <c r="P44" i="21"/>
  <c r="P43" i="21"/>
  <c r="AB15" i="26"/>
  <c r="AB74" i="26"/>
  <c r="AB31" i="26"/>
  <c r="P29" i="21"/>
  <c r="P17" i="21"/>
  <c r="AB89" i="26"/>
  <c r="P14" i="21"/>
  <c r="AB146" i="26"/>
  <c r="P75" i="21"/>
  <c r="AB47" i="26"/>
  <c r="AB126" i="26"/>
  <c r="AB48" i="26"/>
  <c r="P100" i="21"/>
  <c r="P16" i="21"/>
  <c r="AB73" i="26"/>
  <c r="AB12" i="26"/>
  <c r="AB121" i="26"/>
  <c r="AB87" i="26"/>
  <c r="AB147" i="26"/>
  <c r="AB46" i="26"/>
  <c r="AB30" i="26"/>
  <c r="AB148" i="29"/>
  <c r="AB28" i="29"/>
  <c r="AB15" i="29"/>
  <c r="AB90" i="29"/>
  <c r="AB74" i="29"/>
  <c r="AB100" i="29"/>
  <c r="AB30" i="29"/>
  <c r="AB42" i="29"/>
  <c r="AB147" i="29"/>
  <c r="AB27" i="29"/>
  <c r="AB14" i="29"/>
  <c r="AB104" i="29"/>
  <c r="AB75" i="29"/>
  <c r="AB127" i="29"/>
  <c r="AB126" i="29"/>
  <c r="AB16" i="29"/>
  <c r="AB146" i="29"/>
  <c r="AB26" i="29"/>
  <c r="AB13" i="29"/>
  <c r="AB89" i="29"/>
  <c r="AB145" i="29"/>
  <c r="AB121" i="29"/>
  <c r="AB77" i="29"/>
  <c r="AB12" i="29"/>
  <c r="AB47" i="29"/>
  <c r="AB112" i="29"/>
  <c r="AB17" i="29"/>
  <c r="AB29" i="29"/>
  <c r="AB144" i="29"/>
  <c r="AB76" i="29"/>
  <c r="AB143" i="29"/>
  <c r="AB48" i="29"/>
  <c r="AB142" i="29"/>
  <c r="AB114" i="29"/>
  <c r="AB43" i="29"/>
  <c r="AB88" i="29"/>
  <c r="AB73" i="29"/>
  <c r="AB46" i="29"/>
  <c r="AB87" i="29"/>
  <c r="AB72" i="29"/>
  <c r="AB45" i="29"/>
  <c r="AB44" i="29"/>
  <c r="AB31" i="29"/>
  <c r="AG149" i="29"/>
  <c r="AF149" i="29"/>
  <c r="AG113" i="29"/>
  <c r="AG105" i="29"/>
  <c r="AG91" i="29"/>
  <c r="AG78" i="29"/>
  <c r="AG55" i="29"/>
  <c r="AG52" i="29"/>
  <c r="AG49" i="29"/>
  <c r="AG32" i="29"/>
  <c r="AG18" i="29"/>
  <c r="B3" i="34"/>
  <c r="C3" i="34"/>
  <c r="D3" i="34"/>
  <c r="E3" i="34"/>
  <c r="F3" i="34"/>
  <c r="G3" i="34"/>
  <c r="H3" i="34"/>
  <c r="I3" i="34"/>
  <c r="J3" i="34"/>
  <c r="K3" i="34"/>
  <c r="M3" i="34"/>
  <c r="N3" i="34"/>
  <c r="O3" i="34"/>
  <c r="P3" i="34"/>
  <c r="Q3" i="34"/>
  <c r="R3" i="34"/>
  <c r="S3" i="34"/>
  <c r="T3" i="34"/>
  <c r="U3" i="34"/>
  <c r="V3" i="34"/>
  <c r="W3" i="34"/>
  <c r="X3" i="34"/>
  <c r="AB17" i="34"/>
  <c r="AB19" i="34"/>
  <c r="AB20" i="34"/>
  <c r="AB21" i="34"/>
  <c r="AB31" i="34"/>
  <c r="AB33" i="34"/>
  <c r="AB34" i="34"/>
  <c r="AB35" i="34"/>
  <c r="AB36" i="34"/>
  <c r="AB37" i="34"/>
  <c r="AB38" i="34"/>
  <c r="AB48" i="34"/>
  <c r="G52" i="34"/>
  <c r="S52" i="34"/>
  <c r="AB53" i="34"/>
  <c r="F55" i="34"/>
  <c r="W55" i="34"/>
  <c r="AB54" i="34"/>
  <c r="O55" i="34"/>
  <c r="AB56" i="34"/>
  <c r="AB57" i="34"/>
  <c r="AB58" i="34"/>
  <c r="AB77" i="34"/>
  <c r="AD80" i="34"/>
  <c r="AB90" i="34"/>
  <c r="AD92" i="34"/>
  <c r="AB93" i="34"/>
  <c r="AB94" i="34"/>
  <c r="AB95" i="34"/>
  <c r="AB96" i="34"/>
  <c r="AB97" i="34"/>
  <c r="AB100" i="34"/>
  <c r="AB104" i="34"/>
  <c r="AD106" i="34"/>
  <c r="AB108" i="34"/>
  <c r="AB109" i="34"/>
  <c r="AB110" i="34"/>
  <c r="AB111" i="34"/>
  <c r="AB112" i="34"/>
  <c r="AB114" i="34"/>
  <c r="AB121" i="34"/>
  <c r="AB124" i="34"/>
  <c r="G149" i="19"/>
  <c r="G149" i="20"/>
  <c r="G149" i="12"/>
  <c r="G149" i="9"/>
  <c r="G149" i="7"/>
  <c r="G149" i="11"/>
  <c r="G149" i="5"/>
  <c r="G149" i="16"/>
  <c r="G149" i="13"/>
  <c r="G149" i="18"/>
  <c r="G149" i="6"/>
  <c r="G149" i="17"/>
  <c r="G149" i="8"/>
  <c r="G149" i="14"/>
  <c r="G149" i="25"/>
  <c r="G149" i="32"/>
  <c r="F128" i="2"/>
  <c r="F128" i="20"/>
  <c r="F128" i="12"/>
  <c r="F128" i="9"/>
  <c r="F128" i="11"/>
  <c r="F128" i="5"/>
  <c r="F128" i="15"/>
  <c r="F128" i="13"/>
  <c r="F128" i="18"/>
  <c r="F128" i="6"/>
  <c r="F128" i="8"/>
  <c r="F128" i="14"/>
  <c r="F128" i="25"/>
  <c r="AF113" i="29"/>
  <c r="AF105" i="29"/>
  <c r="AF91" i="29"/>
  <c r="AF78" i="29"/>
  <c r="AF55" i="29"/>
  <c r="AF52" i="29"/>
  <c r="AF49" i="29"/>
  <c r="AF32" i="29"/>
  <c r="AF18" i="29"/>
  <c r="M140" i="21" l="1"/>
  <c r="N140" i="21" s="1"/>
  <c r="M110" i="21"/>
  <c r="N110" i="21" s="1"/>
  <c r="M58" i="21"/>
  <c r="N58" i="21" s="1"/>
  <c r="M38" i="21"/>
  <c r="N38" i="21" s="1"/>
  <c r="M54" i="21"/>
  <c r="N54" i="21" s="1"/>
  <c r="M109" i="21"/>
  <c r="N109" i="21" s="1"/>
  <c r="M93" i="21"/>
  <c r="N93" i="21" s="1"/>
  <c r="M94" i="21"/>
  <c r="N94" i="21" s="1"/>
  <c r="M19" i="21"/>
  <c r="N19" i="21" s="1"/>
  <c r="M56" i="21"/>
  <c r="N56" i="21" s="1"/>
  <c r="M33" i="21"/>
  <c r="N33" i="21" s="1"/>
  <c r="M139" i="21"/>
  <c r="N139" i="21" s="1"/>
  <c r="M111" i="21"/>
  <c r="N111" i="21" s="1"/>
  <c r="M108" i="21"/>
  <c r="N108" i="21" s="1"/>
  <c r="M34" i="21"/>
  <c r="N34" i="21" s="1"/>
  <c r="M129" i="21"/>
  <c r="N129" i="21" s="1"/>
  <c r="M124" i="21"/>
  <c r="N124" i="21" s="1"/>
  <c r="M57" i="21"/>
  <c r="N57" i="21" s="1"/>
  <c r="M97" i="21"/>
  <c r="N97" i="21" s="1"/>
  <c r="M37" i="21"/>
  <c r="N37" i="21" s="1"/>
  <c r="M96" i="21"/>
  <c r="N96" i="21" s="1"/>
  <c r="M21" i="21"/>
  <c r="N21" i="21" s="1"/>
  <c r="M35" i="21"/>
  <c r="N35" i="21" s="1"/>
  <c r="M20" i="21"/>
  <c r="N20" i="21" s="1"/>
  <c r="M95" i="21"/>
  <c r="N95" i="21" s="1"/>
  <c r="M53" i="21"/>
  <c r="N53" i="21" s="1"/>
  <c r="M36" i="21"/>
  <c r="N36" i="21" s="1"/>
  <c r="F113" i="34"/>
  <c r="G91" i="34"/>
  <c r="V55" i="34"/>
  <c r="R55" i="34"/>
  <c r="N55" i="34"/>
  <c r="G55" i="34"/>
  <c r="S55" i="34"/>
  <c r="J55" i="34"/>
  <c r="H55" i="34"/>
  <c r="D55" i="34"/>
  <c r="B55" i="34"/>
  <c r="W52" i="34"/>
  <c r="O52" i="34"/>
  <c r="F129" i="12"/>
  <c r="F129" i="19"/>
  <c r="N105" i="34"/>
  <c r="G78" i="34"/>
  <c r="W32" i="34"/>
  <c r="J52" i="34"/>
  <c r="H52" i="34"/>
  <c r="F52" i="34"/>
  <c r="D52" i="34"/>
  <c r="X52" i="34"/>
  <c r="T52" i="34"/>
  <c r="P52" i="34"/>
  <c r="AG79" i="29"/>
  <c r="AG117" i="29" s="1"/>
  <c r="AG150" i="29" s="1"/>
  <c r="X105" i="34"/>
  <c r="W105" i="34"/>
  <c r="G32" i="34"/>
  <c r="V113" i="34"/>
  <c r="U113" i="34"/>
  <c r="Q113" i="34"/>
  <c r="G105" i="34"/>
  <c r="E113" i="34"/>
  <c r="P113" i="34"/>
  <c r="D78" i="34"/>
  <c r="U55" i="34"/>
  <c r="Q55" i="34"/>
  <c r="M55" i="34"/>
  <c r="X55" i="34"/>
  <c r="T55" i="34"/>
  <c r="P55" i="34"/>
  <c r="K55" i="34"/>
  <c r="C55" i="34"/>
  <c r="V52" i="34"/>
  <c r="R52" i="34"/>
  <c r="U52" i="34"/>
  <c r="Q52" i="34"/>
  <c r="M52" i="34"/>
  <c r="H49" i="34"/>
  <c r="Y55" i="34"/>
  <c r="W18" i="34"/>
  <c r="O18" i="34"/>
  <c r="Y3" i="34"/>
  <c r="H18" i="34"/>
  <c r="U149" i="34"/>
  <c r="Q149" i="34"/>
  <c r="M149" i="34"/>
  <c r="R149" i="34"/>
  <c r="V149" i="34"/>
  <c r="W149" i="34"/>
  <c r="S149" i="34"/>
  <c r="F149" i="34"/>
  <c r="H105" i="34"/>
  <c r="V105" i="34"/>
  <c r="R105" i="34"/>
  <c r="T91" i="34"/>
  <c r="S32" i="34"/>
  <c r="O32" i="34"/>
  <c r="W78" i="34"/>
  <c r="T78" i="34"/>
  <c r="F91" i="34"/>
  <c r="V91" i="34"/>
  <c r="H91" i="34"/>
  <c r="D91" i="34"/>
  <c r="W91" i="34"/>
  <c r="S91" i="34"/>
  <c r="O91" i="34"/>
  <c r="X91" i="34"/>
  <c r="E105" i="34"/>
  <c r="S105" i="34"/>
  <c r="C52" i="34"/>
  <c r="B149" i="34"/>
  <c r="K52" i="34"/>
  <c r="I55" i="34"/>
  <c r="K32" i="34"/>
  <c r="K91" i="34"/>
  <c r="C32" i="34"/>
  <c r="C105" i="34"/>
  <c r="J149" i="34"/>
  <c r="J113" i="34"/>
  <c r="J91" i="34"/>
  <c r="I149" i="34"/>
  <c r="I105" i="34"/>
  <c r="I52" i="34"/>
  <c r="AD37" i="34"/>
  <c r="AD56" i="34"/>
  <c r="AD109" i="34"/>
  <c r="C91" i="34"/>
  <c r="F129" i="4"/>
  <c r="F128" i="4"/>
  <c r="F129" i="2"/>
  <c r="F128" i="31"/>
  <c r="F128" i="17"/>
  <c r="F128" i="16"/>
  <c r="F128" i="7"/>
  <c r="F128" i="19"/>
  <c r="F128" i="33"/>
  <c r="F129" i="33"/>
  <c r="AB55" i="34"/>
  <c r="B105" i="34"/>
  <c r="AD124" i="34"/>
  <c r="X149" i="34"/>
  <c r="T149" i="34"/>
  <c r="P149" i="34"/>
  <c r="H149" i="34"/>
  <c r="D149" i="34"/>
  <c r="E149" i="34"/>
  <c r="K149" i="34"/>
  <c r="G149" i="34"/>
  <c r="C149" i="34"/>
  <c r="N149" i="34"/>
  <c r="U105" i="34"/>
  <c r="Q105" i="34"/>
  <c r="M105" i="34"/>
  <c r="X18" i="34"/>
  <c r="T18" i="34"/>
  <c r="P18" i="34"/>
  <c r="L3" i="34"/>
  <c r="D18" i="34"/>
  <c r="M113" i="34"/>
  <c r="I113" i="34"/>
  <c r="T105" i="34"/>
  <c r="P105" i="34"/>
  <c r="AD94" i="34"/>
  <c r="D105" i="34"/>
  <c r="P91" i="34"/>
  <c r="B91" i="34"/>
  <c r="K78" i="34"/>
  <c r="C78" i="34"/>
  <c r="S18" i="34"/>
  <c r="AD110" i="34"/>
  <c r="B113" i="34"/>
  <c r="AD95" i="34"/>
  <c r="K105" i="34"/>
  <c r="R91" i="34"/>
  <c r="N91" i="34"/>
  <c r="K18" i="34"/>
  <c r="O149" i="34"/>
  <c r="R113" i="34"/>
  <c r="N113" i="34"/>
  <c r="X113" i="34"/>
  <c r="T113" i="34"/>
  <c r="H113" i="34"/>
  <c r="D113" i="34"/>
  <c r="O105" i="34"/>
  <c r="J105" i="34"/>
  <c r="F105" i="34"/>
  <c r="O78" i="34"/>
  <c r="X78" i="34"/>
  <c r="P78" i="34"/>
  <c r="H78" i="34"/>
  <c r="S78" i="34"/>
  <c r="Y52" i="34"/>
  <c r="X49" i="34"/>
  <c r="T49" i="34"/>
  <c r="P49" i="34"/>
  <c r="D49" i="34"/>
  <c r="W113" i="34"/>
  <c r="S113" i="34"/>
  <c r="O113" i="34"/>
  <c r="K113" i="34"/>
  <c r="G113" i="34"/>
  <c r="C113" i="34"/>
  <c r="AD100" i="34"/>
  <c r="AD96" i="34"/>
  <c r="V78" i="34"/>
  <c r="R78" i="34"/>
  <c r="N78" i="34"/>
  <c r="G18" i="34"/>
  <c r="C18" i="34"/>
  <c r="AD114" i="34"/>
  <c r="U91" i="34"/>
  <c r="Q91" i="34"/>
  <c r="M91" i="34"/>
  <c r="I91" i="34"/>
  <c r="E91" i="34"/>
  <c r="U78" i="34"/>
  <c r="Q78" i="34"/>
  <c r="M78" i="34"/>
  <c r="I78" i="34"/>
  <c r="E78" i="34"/>
  <c r="J78" i="34"/>
  <c r="F78" i="34"/>
  <c r="B78" i="34"/>
  <c r="K49" i="34"/>
  <c r="G49" i="34"/>
  <c r="C49" i="34"/>
  <c r="U32" i="34"/>
  <c r="Q32" i="34"/>
  <c r="M32" i="34"/>
  <c r="W49" i="34"/>
  <c r="S49" i="34"/>
  <c r="O49" i="34"/>
  <c r="J49" i="34"/>
  <c r="F49" i="34"/>
  <c r="B49" i="34"/>
  <c r="AD31" i="34"/>
  <c r="X32" i="34"/>
  <c r="T32" i="34"/>
  <c r="P32" i="34"/>
  <c r="H32" i="34"/>
  <c r="D32" i="34"/>
  <c r="J18" i="34"/>
  <c r="F18" i="34"/>
  <c r="B18" i="34"/>
  <c r="AD54" i="34"/>
  <c r="E55" i="34"/>
  <c r="B52" i="34"/>
  <c r="V49" i="34"/>
  <c r="R49" i="34"/>
  <c r="N49" i="34"/>
  <c r="I49" i="34"/>
  <c r="E49" i="34"/>
  <c r="J32" i="34"/>
  <c r="F32" i="34"/>
  <c r="B32" i="34"/>
  <c r="V18" i="34"/>
  <c r="R18" i="34"/>
  <c r="N18" i="34"/>
  <c r="I18" i="34"/>
  <c r="E18" i="34"/>
  <c r="N52" i="34"/>
  <c r="E52" i="34"/>
  <c r="U49" i="34"/>
  <c r="Q49" i="34"/>
  <c r="M49" i="34"/>
  <c r="V32" i="34"/>
  <c r="R32" i="34"/>
  <c r="N32" i="34"/>
  <c r="I32" i="34"/>
  <c r="E32" i="34"/>
  <c r="AD20" i="34"/>
  <c r="U18" i="34"/>
  <c r="Q18" i="34"/>
  <c r="M18" i="34"/>
  <c r="AF79" i="29"/>
  <c r="AF117" i="29" s="1"/>
  <c r="AF150" i="29" s="1"/>
  <c r="O63" i="22" l="1"/>
  <c r="P63" i="22" s="1"/>
  <c r="AB63" i="24"/>
  <c r="AB63" i="34"/>
  <c r="O24" i="22"/>
  <c r="P24" i="22" s="1"/>
  <c r="AB24" i="24"/>
  <c r="AB24" i="34"/>
  <c r="AD24" i="34" s="1"/>
  <c r="O25" i="22"/>
  <c r="P25" i="22" s="1"/>
  <c r="AB25" i="24"/>
  <c r="AB25" i="34"/>
  <c r="O67" i="22"/>
  <c r="P67" i="22" s="1"/>
  <c r="AB67" i="24"/>
  <c r="AB67" i="34"/>
  <c r="AD67" i="34" s="1"/>
  <c r="AB141" i="24"/>
  <c r="O141" i="22"/>
  <c r="P141" i="22" s="1"/>
  <c r="O66" i="22"/>
  <c r="P66" i="22" s="1"/>
  <c r="AB66" i="24"/>
  <c r="AB66" i="34"/>
  <c r="O128" i="22"/>
  <c r="P128" i="22" s="1"/>
  <c r="AB128" i="24"/>
  <c r="O130" i="22"/>
  <c r="P130" i="22" s="1"/>
  <c r="AB130" i="24"/>
  <c r="O116" i="22"/>
  <c r="P116" i="22" s="1"/>
  <c r="AB116" i="24"/>
  <c r="AB116" i="34"/>
  <c r="AD116" i="34" s="1"/>
  <c r="P53" i="21"/>
  <c r="AB53" i="26"/>
  <c r="AB53" i="29"/>
  <c r="P20" i="21"/>
  <c r="AB20" i="26"/>
  <c r="AB20" i="29"/>
  <c r="P21" i="21"/>
  <c r="AB21" i="26"/>
  <c r="AB21" i="29"/>
  <c r="P37" i="21"/>
  <c r="AB37" i="26"/>
  <c r="AB37" i="29"/>
  <c r="AB57" i="26"/>
  <c r="P57" i="21"/>
  <c r="AB57" i="29"/>
  <c r="AB129" i="26"/>
  <c r="AB129" i="29"/>
  <c r="P129" i="21"/>
  <c r="P108" i="21"/>
  <c r="AB108" i="26"/>
  <c r="AB108" i="29"/>
  <c r="AD108" i="29" s="1"/>
  <c r="AH108" i="29" s="1"/>
  <c r="P139" i="21"/>
  <c r="AB139" i="29"/>
  <c r="AB139" i="26"/>
  <c r="AB56" i="26"/>
  <c r="AB56" i="29"/>
  <c r="P56" i="21"/>
  <c r="P94" i="21"/>
  <c r="AB94" i="26"/>
  <c r="AB94" i="29"/>
  <c r="AB109" i="26"/>
  <c r="P109" i="21"/>
  <c r="AB109" i="29"/>
  <c r="P38" i="21"/>
  <c r="AB38" i="29"/>
  <c r="AB38" i="26"/>
  <c r="P110" i="21"/>
  <c r="AB110" i="26"/>
  <c r="AB110" i="29"/>
  <c r="O119" i="22"/>
  <c r="P119" i="22" s="1"/>
  <c r="AB119" i="24"/>
  <c r="AB119" i="34"/>
  <c r="AD119" i="34" s="1"/>
  <c r="O41" i="22"/>
  <c r="P41" i="22" s="1"/>
  <c r="AB41" i="24"/>
  <c r="AB41" i="34"/>
  <c r="AD41" i="34" s="1"/>
  <c r="O131" i="22"/>
  <c r="P131" i="22" s="1"/>
  <c r="AB131" i="24"/>
  <c r="O40" i="22"/>
  <c r="P40" i="22" s="1"/>
  <c r="AB40" i="24"/>
  <c r="AB40" i="34"/>
  <c r="AD40" i="34" s="1"/>
  <c r="O23" i="22"/>
  <c r="P23" i="22" s="1"/>
  <c r="AB23" i="24"/>
  <c r="AB23" i="34"/>
  <c r="AD23" i="34" s="1"/>
  <c r="O115" i="22"/>
  <c r="P115" i="22" s="1"/>
  <c r="AB115" i="24"/>
  <c r="O64" i="22"/>
  <c r="P64" i="22" s="1"/>
  <c r="AB64" i="24"/>
  <c r="AB64" i="34"/>
  <c r="AD64" i="34" s="1"/>
  <c r="O68" i="22"/>
  <c r="P68" i="22" s="1"/>
  <c r="AB68" i="24"/>
  <c r="AB68" i="34"/>
  <c r="AD68" i="34" s="1"/>
  <c r="O118" i="22"/>
  <c r="P118" i="22" s="1"/>
  <c r="AB118" i="24"/>
  <c r="AB118" i="34"/>
  <c r="AD118" i="34" s="1"/>
  <c r="P36" i="21"/>
  <c r="AB36" i="29"/>
  <c r="AB36" i="26"/>
  <c r="AB95" i="26"/>
  <c r="P95" i="21"/>
  <c r="AB95" i="29"/>
  <c r="P35" i="21"/>
  <c r="AB35" i="26"/>
  <c r="AB35" i="29"/>
  <c r="AB96" i="26"/>
  <c r="P96" i="21"/>
  <c r="AB96" i="29"/>
  <c r="AB97" i="26"/>
  <c r="P97" i="21"/>
  <c r="AB97" i="29"/>
  <c r="P124" i="21"/>
  <c r="AB124" i="26"/>
  <c r="AB124" i="29"/>
  <c r="P34" i="21"/>
  <c r="AB34" i="26"/>
  <c r="AB34" i="29"/>
  <c r="P111" i="21"/>
  <c r="AB111" i="26"/>
  <c r="AB111" i="29"/>
  <c r="AB33" i="26"/>
  <c r="P33" i="21"/>
  <c r="AB33" i="29"/>
  <c r="P19" i="21"/>
  <c r="AB19" i="29"/>
  <c r="AB19" i="26"/>
  <c r="P93" i="21"/>
  <c r="AB93" i="26"/>
  <c r="AB93" i="29"/>
  <c r="P54" i="21"/>
  <c r="AB54" i="26"/>
  <c r="AB54" i="29"/>
  <c r="AB58" i="26"/>
  <c r="P58" i="21"/>
  <c r="AB58" i="29"/>
  <c r="P140" i="21"/>
  <c r="AB140" i="29"/>
  <c r="AB140" i="26"/>
  <c r="W79" i="34"/>
  <c r="Y149" i="34"/>
  <c r="Y113" i="34"/>
  <c r="U79" i="34"/>
  <c r="U117" i="34" s="1"/>
  <c r="U150" i="34" s="1"/>
  <c r="AD35" i="34"/>
  <c r="O79" i="34"/>
  <c r="W117" i="34"/>
  <c r="W150" i="34" s="1"/>
  <c r="AD108" i="34"/>
  <c r="AD97" i="34"/>
  <c r="AD121" i="34"/>
  <c r="H79" i="34"/>
  <c r="H117" i="34" s="1"/>
  <c r="H150" i="34" s="1"/>
  <c r="AD34" i="34"/>
  <c r="AD38" i="34"/>
  <c r="AD104" i="34"/>
  <c r="AD63" i="34"/>
  <c r="O117" i="34"/>
  <c r="O150" i="34" s="1"/>
  <c r="Q79" i="34"/>
  <c r="Q117" i="34" s="1"/>
  <c r="Q150" i="34" s="1"/>
  <c r="T79" i="34"/>
  <c r="T117" i="34" s="1"/>
  <c r="T150" i="34" s="1"/>
  <c r="AD90" i="34"/>
  <c r="AD111" i="34"/>
  <c r="AD57" i="34"/>
  <c r="AD48" i="34"/>
  <c r="C79" i="34"/>
  <c r="C117" i="34" s="1"/>
  <c r="C150" i="34" s="1"/>
  <c r="L149" i="34"/>
  <c r="L52" i="34"/>
  <c r="AD77" i="34"/>
  <c r="AD33" i="34"/>
  <c r="P79" i="34"/>
  <c r="P117" i="34" s="1"/>
  <c r="P150" i="34" s="1"/>
  <c r="E79" i="34"/>
  <c r="E117" i="34" s="1"/>
  <c r="E150" i="34" s="1"/>
  <c r="L32" i="34"/>
  <c r="Y49" i="34"/>
  <c r="K79" i="34"/>
  <c r="K117" i="34" s="1"/>
  <c r="K150" i="34" s="1"/>
  <c r="S79" i="34"/>
  <c r="S117" i="34" s="1"/>
  <c r="S150" i="34" s="1"/>
  <c r="Y105" i="34"/>
  <c r="B79" i="34"/>
  <c r="B117" i="34" s="1"/>
  <c r="B150" i="34" s="1"/>
  <c r="AD19" i="34"/>
  <c r="R79" i="34"/>
  <c r="R117" i="34" s="1"/>
  <c r="R150" i="34" s="1"/>
  <c r="AD21" i="34"/>
  <c r="L105" i="34"/>
  <c r="AD66" i="34"/>
  <c r="Y91" i="34"/>
  <c r="I79" i="34"/>
  <c r="I117" i="34" s="1"/>
  <c r="I150" i="34" s="1"/>
  <c r="V79" i="34"/>
  <c r="V117" i="34" s="1"/>
  <c r="V150" i="34" s="1"/>
  <c r="AD17" i="34"/>
  <c r="AD25" i="34"/>
  <c r="F79" i="34"/>
  <c r="F117" i="34" s="1"/>
  <c r="F150" i="34" s="1"/>
  <c r="AD36" i="34"/>
  <c r="Y78" i="34"/>
  <c r="G79" i="34"/>
  <c r="G117" i="34" s="1"/>
  <c r="G150" i="34" s="1"/>
  <c r="L55" i="34"/>
  <c r="D79" i="34"/>
  <c r="D117" i="34" s="1"/>
  <c r="D150" i="34" s="1"/>
  <c r="X79" i="34"/>
  <c r="X117" i="34" s="1"/>
  <c r="X150" i="34" s="1"/>
  <c r="AD58" i="34"/>
  <c r="L78" i="34"/>
  <c r="M79" i="34"/>
  <c r="M117" i="34" s="1"/>
  <c r="M150" i="34" s="1"/>
  <c r="N79" i="34"/>
  <c r="N117" i="34" s="1"/>
  <c r="N150" i="34" s="1"/>
  <c r="Y32" i="34"/>
  <c r="Y18" i="34"/>
  <c r="J79" i="34"/>
  <c r="J117" i="34" s="1"/>
  <c r="J150" i="34" s="1"/>
  <c r="L49" i="34"/>
  <c r="L113" i="34"/>
  <c r="L18" i="34"/>
  <c r="Z3" i="34"/>
  <c r="L91" i="34"/>
  <c r="AD112" i="34"/>
  <c r="X3" i="26"/>
  <c r="M3" i="22"/>
  <c r="E149" i="33"/>
  <c r="D149" i="33"/>
  <c r="F124" i="33"/>
  <c r="F123" i="33"/>
  <c r="F122" i="33"/>
  <c r="F120" i="33"/>
  <c r="F119" i="33"/>
  <c r="F118" i="33"/>
  <c r="F115" i="33"/>
  <c r="F114" i="33"/>
  <c r="E113" i="33"/>
  <c r="D113" i="33"/>
  <c r="F112" i="33"/>
  <c r="F111" i="33"/>
  <c r="F110" i="33"/>
  <c r="F109" i="33"/>
  <c r="F108" i="33"/>
  <c r="E105" i="33"/>
  <c r="D105" i="33"/>
  <c r="F104" i="33"/>
  <c r="F103" i="33"/>
  <c r="F101" i="33"/>
  <c r="F100" i="33"/>
  <c r="F99" i="33"/>
  <c r="F98" i="33"/>
  <c r="F97" i="33"/>
  <c r="F95" i="33"/>
  <c r="F94" i="33"/>
  <c r="E91" i="33"/>
  <c r="D91" i="33"/>
  <c r="F90" i="33"/>
  <c r="F89" i="33"/>
  <c r="F88" i="33"/>
  <c r="F87" i="33"/>
  <c r="F86" i="33"/>
  <c r="F85" i="33"/>
  <c r="F84" i="33"/>
  <c r="F83" i="33"/>
  <c r="F81" i="33"/>
  <c r="E78" i="33"/>
  <c r="D78" i="33"/>
  <c r="F77" i="33"/>
  <c r="F76" i="33"/>
  <c r="F75" i="33"/>
  <c r="F74" i="33"/>
  <c r="F73" i="33"/>
  <c r="F72" i="33"/>
  <c r="F71" i="33"/>
  <c r="F70" i="33"/>
  <c r="F69" i="33"/>
  <c r="F68" i="33"/>
  <c r="F67" i="33"/>
  <c r="F66" i="33"/>
  <c r="F65" i="33"/>
  <c r="F64" i="33"/>
  <c r="F63" i="33"/>
  <c r="F62" i="33"/>
  <c r="F61" i="33"/>
  <c r="F60" i="33"/>
  <c r="F59" i="33"/>
  <c r="F58" i="33"/>
  <c r="F57" i="33"/>
  <c r="F56" i="33"/>
  <c r="E55" i="33"/>
  <c r="D55" i="33"/>
  <c r="F54" i="33"/>
  <c r="E52" i="33"/>
  <c r="D52" i="33"/>
  <c r="F51" i="33"/>
  <c r="F50" i="33"/>
  <c r="E49" i="33"/>
  <c r="D49" i="33"/>
  <c r="F48" i="33"/>
  <c r="F47" i="33"/>
  <c r="F46" i="33"/>
  <c r="F45" i="33"/>
  <c r="F43" i="33"/>
  <c r="F42" i="33"/>
  <c r="F41" i="33"/>
  <c r="F40" i="33"/>
  <c r="F39" i="33"/>
  <c r="F37" i="33"/>
  <c r="F36" i="33"/>
  <c r="F35" i="33"/>
  <c r="F34" i="33"/>
  <c r="F33" i="33"/>
  <c r="E32" i="33"/>
  <c r="D32" i="33"/>
  <c r="F31" i="33"/>
  <c r="F30" i="33"/>
  <c r="F29" i="33"/>
  <c r="F28" i="33"/>
  <c r="F27" i="33"/>
  <c r="F26" i="33"/>
  <c r="F25" i="33"/>
  <c r="F24" i="33"/>
  <c r="F23" i="33"/>
  <c r="F22" i="33"/>
  <c r="F21" i="33"/>
  <c r="F20" i="33"/>
  <c r="E18" i="33"/>
  <c r="D18" i="33"/>
  <c r="F15" i="33"/>
  <c r="F13" i="33"/>
  <c r="F12" i="33"/>
  <c r="F10" i="33"/>
  <c r="F9" i="33"/>
  <c r="F7" i="33"/>
  <c r="F4" i="33"/>
  <c r="D149" i="19"/>
  <c r="D113" i="19"/>
  <c r="D105" i="19"/>
  <c r="D91" i="19"/>
  <c r="D78" i="19"/>
  <c r="D55" i="19"/>
  <c r="D52" i="19"/>
  <c r="D49" i="19"/>
  <c r="D32" i="19"/>
  <c r="D18" i="19"/>
  <c r="D149" i="7"/>
  <c r="D113" i="7"/>
  <c r="D105" i="7"/>
  <c r="D91" i="7"/>
  <c r="D78" i="7"/>
  <c r="D55" i="7"/>
  <c r="D52" i="7"/>
  <c r="D49" i="7"/>
  <c r="D32" i="7"/>
  <c r="D18" i="7"/>
  <c r="M64" i="21" l="1"/>
  <c r="N64" i="21" s="1"/>
  <c r="M40" i="21"/>
  <c r="N40" i="21" s="1"/>
  <c r="M119" i="21"/>
  <c r="N119" i="21" s="1"/>
  <c r="M130" i="21"/>
  <c r="N130" i="21" s="1"/>
  <c r="M24" i="21"/>
  <c r="N24" i="21" s="1"/>
  <c r="M68" i="21"/>
  <c r="N68" i="21" s="1"/>
  <c r="M23" i="21"/>
  <c r="N23" i="21" s="1"/>
  <c r="M41" i="21"/>
  <c r="N41" i="21" s="1"/>
  <c r="M66" i="21"/>
  <c r="N66" i="21" s="1"/>
  <c r="M25" i="21"/>
  <c r="N25" i="21" s="1"/>
  <c r="M118" i="21"/>
  <c r="N118" i="21" s="1"/>
  <c r="M115" i="21"/>
  <c r="N115" i="21" s="1"/>
  <c r="M131" i="21"/>
  <c r="N131" i="21" s="1"/>
  <c r="M116" i="21"/>
  <c r="N116" i="21" s="1"/>
  <c r="M128" i="21"/>
  <c r="N128" i="21" s="1"/>
  <c r="M141" i="21"/>
  <c r="N141" i="21" s="1"/>
  <c r="M67" i="21"/>
  <c r="N67" i="21" s="1"/>
  <c r="M63" i="21"/>
  <c r="N63" i="21" s="1"/>
  <c r="Z49" i="34"/>
  <c r="Z78" i="34"/>
  <c r="Z149" i="34"/>
  <c r="Z91" i="34"/>
  <c r="L79" i="34"/>
  <c r="L117" i="34" s="1"/>
  <c r="L150" i="34" s="1"/>
  <c r="Z32" i="34"/>
  <c r="Z18" i="34"/>
  <c r="AD53" i="34"/>
  <c r="Z55" i="34"/>
  <c r="AD55" i="34" s="1"/>
  <c r="Z105" i="34"/>
  <c r="AD93" i="34"/>
  <c r="Y79" i="34"/>
  <c r="Y117" i="34" s="1"/>
  <c r="Y150" i="34" s="1"/>
  <c r="Z113" i="34"/>
  <c r="Z52" i="34"/>
  <c r="M52" i="22"/>
  <c r="M32" i="22"/>
  <c r="M55" i="22"/>
  <c r="X32" i="26"/>
  <c r="X78" i="26"/>
  <c r="X55" i="26"/>
  <c r="X91" i="26"/>
  <c r="X113" i="26"/>
  <c r="M49" i="22"/>
  <c r="M78" i="22"/>
  <c r="M91" i="22"/>
  <c r="M105" i="22"/>
  <c r="M113" i="22"/>
  <c r="F8" i="33"/>
  <c r="E79" i="33"/>
  <c r="E117" i="33" s="1"/>
  <c r="E150" i="33" s="1"/>
  <c r="F11" i="33"/>
  <c r="F5" i="33"/>
  <c r="F102" i="33"/>
  <c r="F44" i="33"/>
  <c r="F96" i="33"/>
  <c r="F116" i="33"/>
  <c r="C55" i="33"/>
  <c r="C18" i="33"/>
  <c r="F38" i="33"/>
  <c r="F16" i="33"/>
  <c r="F6" i="33"/>
  <c r="F14" i="33"/>
  <c r="F53" i="33"/>
  <c r="F55" i="33" s="1"/>
  <c r="F126" i="33"/>
  <c r="F17" i="33"/>
  <c r="F121" i="33"/>
  <c r="F127" i="33"/>
  <c r="F125" i="33"/>
  <c r="X3" i="24"/>
  <c r="X3" i="29" s="1"/>
  <c r="C113" i="33"/>
  <c r="X149" i="26"/>
  <c r="X52" i="26"/>
  <c r="X18" i="26"/>
  <c r="X49" i="26"/>
  <c r="X105" i="26"/>
  <c r="M18" i="22"/>
  <c r="D79" i="33"/>
  <c r="D117" i="33" s="1"/>
  <c r="D150" i="33" s="1"/>
  <c r="F52" i="33"/>
  <c r="C32" i="33"/>
  <c r="C52" i="33"/>
  <c r="C49" i="33"/>
  <c r="F3" i="33"/>
  <c r="C91" i="33"/>
  <c r="C105" i="33"/>
  <c r="F93" i="33"/>
  <c r="F78" i="33"/>
  <c r="C78" i="33"/>
  <c r="F82" i="33"/>
  <c r="F91" i="33" s="1"/>
  <c r="C149" i="33"/>
  <c r="F19" i="33"/>
  <c r="F32" i="33" s="1"/>
  <c r="F107" i="33"/>
  <c r="D79" i="7"/>
  <c r="D117" i="7" s="1"/>
  <c r="D150" i="7" s="1"/>
  <c r="D79" i="19"/>
  <c r="D117" i="19" s="1"/>
  <c r="D150" i="19" s="1"/>
  <c r="O133" i="22" l="1"/>
  <c r="P133" i="22" s="1"/>
  <c r="AB133" i="24"/>
  <c r="AB63" i="26"/>
  <c r="P63" i="21"/>
  <c r="AB63" i="29"/>
  <c r="AB141" i="26"/>
  <c r="P141" i="21"/>
  <c r="AB141" i="29"/>
  <c r="AB116" i="26"/>
  <c r="P116" i="21"/>
  <c r="AB116" i="29"/>
  <c r="P115" i="21"/>
  <c r="AB115" i="26"/>
  <c r="AB115" i="29"/>
  <c r="AB25" i="26"/>
  <c r="P25" i="21"/>
  <c r="AB25" i="29"/>
  <c r="AB41" i="26"/>
  <c r="P41" i="21"/>
  <c r="AB41" i="29"/>
  <c r="AB68" i="26"/>
  <c r="P68" i="21"/>
  <c r="AB68" i="29"/>
  <c r="AB130" i="26"/>
  <c r="P130" i="21"/>
  <c r="AB130" i="29"/>
  <c r="P40" i="21"/>
  <c r="AB40" i="26"/>
  <c r="AB40" i="29"/>
  <c r="O134" i="22"/>
  <c r="P134" i="22" s="1"/>
  <c r="AB134" i="24"/>
  <c r="O82" i="22"/>
  <c r="P82" i="22" s="1"/>
  <c r="AB82" i="24"/>
  <c r="AB82" i="34"/>
  <c r="AD82" i="34" s="1"/>
  <c r="O137" i="22"/>
  <c r="P137" i="22" s="1"/>
  <c r="AB137" i="24"/>
  <c r="O83" i="22"/>
  <c r="P83" i="22" s="1"/>
  <c r="AB83" i="24"/>
  <c r="AB83" i="34"/>
  <c r="AD83" i="34" s="1"/>
  <c r="P67" i="21"/>
  <c r="AB67" i="26"/>
  <c r="AB67" i="29"/>
  <c r="P128" i="21"/>
  <c r="AB128" i="26"/>
  <c r="AB128" i="29"/>
  <c r="P131" i="21"/>
  <c r="AB131" i="29"/>
  <c r="AB131" i="26"/>
  <c r="P118" i="21"/>
  <c r="AB118" i="29"/>
  <c r="AB118" i="26"/>
  <c r="AB66" i="26"/>
  <c r="P66" i="21"/>
  <c r="AB66" i="29"/>
  <c r="AB23" i="26"/>
  <c r="P23" i="21"/>
  <c r="AB23" i="29"/>
  <c r="P24" i="21"/>
  <c r="AB24" i="26"/>
  <c r="AB24" i="29"/>
  <c r="AB119" i="26"/>
  <c r="P119" i="21"/>
  <c r="AB119" i="29"/>
  <c r="P64" i="21"/>
  <c r="AB64" i="26"/>
  <c r="AB64" i="29"/>
  <c r="O135" i="22"/>
  <c r="P135" i="22" s="1"/>
  <c r="AB135" i="24"/>
  <c r="O51" i="22"/>
  <c r="P51" i="22" s="1"/>
  <c r="AB51" i="24"/>
  <c r="AB51" i="34"/>
  <c r="AD51" i="34" s="1"/>
  <c r="O84" i="22"/>
  <c r="P84" i="22" s="1"/>
  <c r="AB84" i="24"/>
  <c r="AB84" i="34"/>
  <c r="AD84" i="34" s="1"/>
  <c r="O50" i="22"/>
  <c r="P50" i="22" s="1"/>
  <c r="AB50" i="24"/>
  <c r="AB50" i="34"/>
  <c r="Z79" i="34"/>
  <c r="F49" i="33"/>
  <c r="M79" i="22"/>
  <c r="M117" i="22" s="1"/>
  <c r="M149" i="22" s="1"/>
  <c r="X52" i="29"/>
  <c r="F105" i="33"/>
  <c r="F18" i="33"/>
  <c r="F113" i="33"/>
  <c r="F149" i="33"/>
  <c r="X32" i="29"/>
  <c r="X113" i="29"/>
  <c r="X105" i="29"/>
  <c r="X78" i="29"/>
  <c r="X149" i="29"/>
  <c r="X32" i="24"/>
  <c r="X49" i="24"/>
  <c r="X49" i="29"/>
  <c r="X149" i="24"/>
  <c r="X113" i="24"/>
  <c r="X55" i="24"/>
  <c r="X55" i="29"/>
  <c r="X18" i="24"/>
  <c r="X18" i="29"/>
  <c r="X78" i="24"/>
  <c r="X52" i="24"/>
  <c r="X91" i="29"/>
  <c r="X91" i="24"/>
  <c r="X105" i="24"/>
  <c r="X79" i="26"/>
  <c r="X117" i="26" s="1"/>
  <c r="X150" i="26" s="1"/>
  <c r="C79" i="33"/>
  <c r="C117" i="33" s="1"/>
  <c r="C150" i="33" s="1"/>
  <c r="D149" i="5"/>
  <c r="D113" i="5"/>
  <c r="D105" i="5"/>
  <c r="D91" i="5"/>
  <c r="D78" i="5"/>
  <c r="D55" i="5"/>
  <c r="D52" i="5"/>
  <c r="D49" i="5"/>
  <c r="D32" i="5"/>
  <c r="D18" i="5"/>
  <c r="M84" i="21" l="1"/>
  <c r="N84" i="21" s="1"/>
  <c r="M134" i="21"/>
  <c r="N134" i="21" s="1"/>
  <c r="M50" i="21"/>
  <c r="N50" i="21" s="1"/>
  <c r="M135" i="21"/>
  <c r="N135" i="21" s="1"/>
  <c r="M83" i="21"/>
  <c r="N83" i="21" s="1"/>
  <c r="M82" i="21"/>
  <c r="N82" i="21" s="1"/>
  <c r="M133" i="21"/>
  <c r="N133" i="21" s="1"/>
  <c r="AB52" i="34"/>
  <c r="AD52" i="34" s="1"/>
  <c r="AD50" i="34"/>
  <c r="M51" i="21"/>
  <c r="N51" i="21" s="1"/>
  <c r="M137" i="21"/>
  <c r="N137" i="21" s="1"/>
  <c r="Z117" i="34"/>
  <c r="F79" i="33"/>
  <c r="F117" i="33" s="1"/>
  <c r="F150" i="33" s="1"/>
  <c r="M150" i="22"/>
  <c r="X79" i="29"/>
  <c r="X117" i="29" s="1"/>
  <c r="X150" i="29" s="1"/>
  <c r="X79" i="24"/>
  <c r="X117" i="24" s="1"/>
  <c r="X150" i="24" s="1"/>
  <c r="D79" i="5"/>
  <c r="D117" i="5" s="1"/>
  <c r="D150" i="5" s="1"/>
  <c r="O102" i="22" l="1"/>
  <c r="P102" i="22" s="1"/>
  <c r="AB102" i="24"/>
  <c r="AB137" i="26"/>
  <c r="P137" i="21"/>
  <c r="AB137" i="29"/>
  <c r="AB82" i="26"/>
  <c r="P82" i="21"/>
  <c r="AB82" i="29"/>
  <c r="P135" i="21"/>
  <c r="AB135" i="26"/>
  <c r="AB135" i="29"/>
  <c r="P134" i="21"/>
  <c r="AB134" i="26"/>
  <c r="AB134" i="29"/>
  <c r="O61" i="22"/>
  <c r="P61" i="22" s="1"/>
  <c r="AB61" i="24"/>
  <c r="AB61" i="34"/>
  <c r="AD61" i="34" s="1"/>
  <c r="O103" i="22"/>
  <c r="P103" i="22" s="1"/>
  <c r="AB103" i="24"/>
  <c r="AB103" i="34"/>
  <c r="AD103" i="34" s="1"/>
  <c r="O60" i="22"/>
  <c r="P60" i="22" s="1"/>
  <c r="AB60" i="24"/>
  <c r="AB60" i="34"/>
  <c r="AD60" i="34" s="1"/>
  <c r="P51" i="21"/>
  <c r="AB51" i="29"/>
  <c r="AB51" i="26"/>
  <c r="AB133" i="26"/>
  <c r="P133" i="21"/>
  <c r="AB133" i="29"/>
  <c r="P83" i="21"/>
  <c r="AB83" i="26"/>
  <c r="AB83" i="29"/>
  <c r="P50" i="21"/>
  <c r="AB50" i="26"/>
  <c r="AB50" i="29"/>
  <c r="AB84" i="26"/>
  <c r="P84" i="21"/>
  <c r="AB84" i="29"/>
  <c r="Z150" i="34"/>
  <c r="D149" i="12"/>
  <c r="D113" i="12"/>
  <c r="D105" i="12"/>
  <c r="D91" i="12"/>
  <c r="D78" i="12"/>
  <c r="D55" i="12"/>
  <c r="D52" i="12"/>
  <c r="D49" i="12"/>
  <c r="D32" i="12"/>
  <c r="D18" i="12"/>
  <c r="M60" i="21" l="1"/>
  <c r="N60" i="21" s="1"/>
  <c r="M61" i="21"/>
  <c r="N61" i="21" s="1"/>
  <c r="M103" i="21"/>
  <c r="N103" i="21" s="1"/>
  <c r="M102" i="21"/>
  <c r="N102" i="21" s="1"/>
  <c r="D79" i="12"/>
  <c r="D117" i="12" s="1"/>
  <c r="D150" i="12" s="1"/>
  <c r="O122" i="22" l="1"/>
  <c r="P122" i="22" s="1"/>
  <c r="AB122" i="24"/>
  <c r="AB122" i="34"/>
  <c r="AD122" i="34" s="1"/>
  <c r="P102" i="21"/>
  <c r="AB102" i="29"/>
  <c r="AB102" i="26"/>
  <c r="P61" i="21"/>
  <c r="AB61" i="29"/>
  <c r="AB61" i="26"/>
  <c r="O123" i="22"/>
  <c r="P123" i="22" s="1"/>
  <c r="AB123" i="24"/>
  <c r="AB123" i="34"/>
  <c r="AD123" i="34" s="1"/>
  <c r="AB103" i="26"/>
  <c r="P103" i="21"/>
  <c r="AB103" i="29"/>
  <c r="O70" i="22"/>
  <c r="P70" i="22" s="1"/>
  <c r="AB70" i="24"/>
  <c r="AB70" i="34"/>
  <c r="AD70" i="34" s="1"/>
  <c r="AB71" i="24"/>
  <c r="O71" i="22"/>
  <c r="P71" i="22" s="1"/>
  <c r="AB60" i="26"/>
  <c r="P60" i="21"/>
  <c r="AB60" i="29"/>
  <c r="D149" i="9"/>
  <c r="D113" i="9"/>
  <c r="D105" i="9"/>
  <c r="D91" i="9"/>
  <c r="D78" i="9"/>
  <c r="D55" i="9"/>
  <c r="D52" i="9"/>
  <c r="D49" i="9"/>
  <c r="D32" i="9"/>
  <c r="D18" i="9"/>
  <c r="M71" i="21" l="1"/>
  <c r="N71" i="21" s="1"/>
  <c r="M70" i="21"/>
  <c r="N70" i="21" s="1"/>
  <c r="M123" i="21"/>
  <c r="N123" i="21" s="1"/>
  <c r="M122" i="21"/>
  <c r="N122" i="21" s="1"/>
  <c r="D79" i="9"/>
  <c r="D117" i="9" s="1"/>
  <c r="D150" i="9" s="1"/>
  <c r="O86" i="22" l="1"/>
  <c r="P86" i="22" s="1"/>
  <c r="AB86" i="24"/>
  <c r="P122" i="21"/>
  <c r="AB122" i="26"/>
  <c r="AB122" i="29"/>
  <c r="AB70" i="26"/>
  <c r="P70" i="21"/>
  <c r="AB70" i="29"/>
  <c r="AB123" i="26"/>
  <c r="AB123" i="29"/>
  <c r="P123" i="21"/>
  <c r="P71" i="21"/>
  <c r="AB71" i="26"/>
  <c r="AB71" i="29"/>
  <c r="D149" i="20"/>
  <c r="D113" i="20"/>
  <c r="D105" i="20"/>
  <c r="D91" i="20"/>
  <c r="D78" i="20"/>
  <c r="D55" i="20"/>
  <c r="D52" i="20"/>
  <c r="D49" i="20"/>
  <c r="D32" i="20"/>
  <c r="D18" i="20"/>
  <c r="D149" i="11"/>
  <c r="D113" i="11"/>
  <c r="D105" i="11"/>
  <c r="D91" i="11"/>
  <c r="D78" i="11"/>
  <c r="D55" i="11"/>
  <c r="D52" i="11"/>
  <c r="D49" i="11"/>
  <c r="D32" i="11"/>
  <c r="D18" i="11"/>
  <c r="M86" i="21" l="1"/>
  <c r="N86" i="21" s="1"/>
  <c r="D79" i="11"/>
  <c r="D117" i="11" s="1"/>
  <c r="D150" i="11" s="1"/>
  <c r="D79" i="20"/>
  <c r="D117" i="20" s="1"/>
  <c r="D150" i="20" s="1"/>
  <c r="O107" i="22" l="1"/>
  <c r="P107" i="22" s="1"/>
  <c r="AB107" i="24"/>
  <c r="AB107" i="34"/>
  <c r="P86" i="21"/>
  <c r="AB86" i="26"/>
  <c r="AB86" i="29"/>
  <c r="W3" i="26"/>
  <c r="V3" i="26"/>
  <c r="L3" i="22"/>
  <c r="K3" i="22"/>
  <c r="V3" i="24"/>
  <c r="F45" i="32"/>
  <c r="F41" i="32"/>
  <c r="F37" i="32"/>
  <c r="F33" i="32"/>
  <c r="F23" i="32"/>
  <c r="W3" i="24"/>
  <c r="E149" i="32"/>
  <c r="D149" i="32"/>
  <c r="F126" i="32"/>
  <c r="F125" i="32"/>
  <c r="F120" i="32"/>
  <c r="F116" i="32"/>
  <c r="G113" i="32"/>
  <c r="E113" i="32"/>
  <c r="D113" i="32"/>
  <c r="F112" i="32"/>
  <c r="F111" i="32"/>
  <c r="F109" i="32"/>
  <c r="F108" i="32"/>
  <c r="G105" i="32"/>
  <c r="E105" i="32"/>
  <c r="D105" i="32"/>
  <c r="F104" i="32"/>
  <c r="F103" i="32"/>
  <c r="F101" i="32"/>
  <c r="F100" i="32"/>
  <c r="F97" i="32"/>
  <c r="F96" i="32"/>
  <c r="F93" i="32"/>
  <c r="G91" i="32"/>
  <c r="E91" i="32"/>
  <c r="D91" i="32"/>
  <c r="F90" i="32"/>
  <c r="F87" i="32"/>
  <c r="F86" i="32"/>
  <c r="F83" i="32"/>
  <c r="F82" i="32"/>
  <c r="G78" i="32"/>
  <c r="E78" i="32"/>
  <c r="D78" i="32"/>
  <c r="F76" i="32"/>
  <c r="F75" i="32"/>
  <c r="F72" i="32"/>
  <c r="F71" i="32"/>
  <c r="F68" i="32"/>
  <c r="F67" i="32"/>
  <c r="F64" i="32"/>
  <c r="F63" i="32"/>
  <c r="F60" i="32"/>
  <c r="F59" i="32"/>
  <c r="G55" i="32"/>
  <c r="E55" i="32"/>
  <c r="D55" i="32"/>
  <c r="F54" i="32"/>
  <c r="G52" i="32"/>
  <c r="E52" i="32"/>
  <c r="D52" i="32"/>
  <c r="F50" i="32"/>
  <c r="G49" i="32"/>
  <c r="E49" i="32"/>
  <c r="D49" i="32"/>
  <c r="F48" i="32"/>
  <c r="F44" i="32"/>
  <c r="F40" i="32"/>
  <c r="G32" i="32"/>
  <c r="E32" i="32"/>
  <c r="D32" i="32"/>
  <c r="F28" i="32"/>
  <c r="F27" i="32"/>
  <c r="F24" i="32"/>
  <c r="F22" i="32"/>
  <c r="F20" i="32"/>
  <c r="F19" i="32"/>
  <c r="G18" i="32"/>
  <c r="E18" i="32"/>
  <c r="D18" i="32"/>
  <c r="F15" i="32"/>
  <c r="F11" i="32"/>
  <c r="F7" i="32"/>
  <c r="O149" i="21"/>
  <c r="O113" i="21"/>
  <c r="O105" i="21"/>
  <c r="O91" i="21"/>
  <c r="O78" i="21"/>
  <c r="O55" i="21"/>
  <c r="O52" i="21"/>
  <c r="O49" i="21"/>
  <c r="O32" i="21"/>
  <c r="O18" i="21"/>
  <c r="AB113" i="34" l="1"/>
  <c r="AD113" i="34" s="1"/>
  <c r="AD107" i="34"/>
  <c r="M107" i="21"/>
  <c r="N107" i="21" s="1"/>
  <c r="V55" i="26"/>
  <c r="K52" i="22"/>
  <c r="K55" i="22"/>
  <c r="G79" i="32"/>
  <c r="G117" i="32" s="1"/>
  <c r="G150" i="32" s="1"/>
  <c r="E79" i="32"/>
  <c r="E117" i="32" s="1"/>
  <c r="E150" i="32" s="1"/>
  <c r="W3" i="29"/>
  <c r="V52" i="26"/>
  <c r="O79" i="21"/>
  <c r="O117" i="21" s="1"/>
  <c r="O150" i="21" s="1"/>
  <c r="V91" i="26"/>
  <c r="V113" i="26"/>
  <c r="K91" i="22"/>
  <c r="K113" i="22"/>
  <c r="K78" i="22"/>
  <c r="V105" i="26"/>
  <c r="K105" i="22"/>
  <c r="V78" i="26"/>
  <c r="K49" i="22"/>
  <c r="V49" i="26"/>
  <c r="K32" i="22"/>
  <c r="V32" i="26"/>
  <c r="V18" i="26"/>
  <c r="K18" i="22"/>
  <c r="F30" i="32"/>
  <c r="F39" i="32"/>
  <c r="F47" i="32"/>
  <c r="F62" i="32"/>
  <c r="F26" i="32"/>
  <c r="F58" i="32"/>
  <c r="F70" i="32"/>
  <c r="F43" i="32"/>
  <c r="F95" i="32"/>
  <c r="V149" i="26"/>
  <c r="F74" i="32"/>
  <c r="F99" i="32"/>
  <c r="F6" i="32"/>
  <c r="F10" i="32"/>
  <c r="F14" i="32"/>
  <c r="F31" i="32"/>
  <c r="F36" i="32"/>
  <c r="D79" i="32"/>
  <c r="D117" i="32" s="1"/>
  <c r="D150" i="32" s="1"/>
  <c r="F122" i="32"/>
  <c r="F118" i="32"/>
  <c r="F21" i="32"/>
  <c r="F25" i="32"/>
  <c r="F29" i="32"/>
  <c r="F94" i="32"/>
  <c r="F98" i="32"/>
  <c r="F102" i="32"/>
  <c r="V18" i="24"/>
  <c r="V3" i="29"/>
  <c r="V49" i="24"/>
  <c r="V52" i="24"/>
  <c r="V105" i="24"/>
  <c r="V149" i="24"/>
  <c r="F8" i="32"/>
  <c r="F34" i="32"/>
  <c r="F46" i="32"/>
  <c r="F61" i="32"/>
  <c r="F73" i="32"/>
  <c r="F88" i="32"/>
  <c r="F119" i="32"/>
  <c r="F12" i="32"/>
  <c r="F57" i="32"/>
  <c r="F69" i="32"/>
  <c r="F84" i="32"/>
  <c r="F110" i="32"/>
  <c r="F121" i="32"/>
  <c r="F127" i="32"/>
  <c r="F42" i="32"/>
  <c r="V55" i="24"/>
  <c r="V55" i="29"/>
  <c r="V91" i="24"/>
  <c r="V113" i="24"/>
  <c r="F4" i="32"/>
  <c r="F16" i="32"/>
  <c r="F51" i="32"/>
  <c r="F52" i="32" s="1"/>
  <c r="F65" i="32"/>
  <c r="F77" i="32"/>
  <c r="F114" i="32"/>
  <c r="F38" i="32"/>
  <c r="V32" i="24"/>
  <c r="V78" i="24"/>
  <c r="F5" i="32"/>
  <c r="F13" i="32"/>
  <c r="F17" i="32"/>
  <c r="F81" i="32"/>
  <c r="F115" i="32"/>
  <c r="F123" i="32"/>
  <c r="F124" i="32"/>
  <c r="F9" i="32"/>
  <c r="F85" i="32"/>
  <c r="F89" i="32"/>
  <c r="F35" i="32"/>
  <c r="F66" i="32"/>
  <c r="C78" i="32"/>
  <c r="C113" i="32"/>
  <c r="C18" i="32"/>
  <c r="C55" i="32"/>
  <c r="F53" i="32"/>
  <c r="F55" i="32" s="1"/>
  <c r="C105" i="32"/>
  <c r="C49" i="32"/>
  <c r="F56" i="32"/>
  <c r="F107" i="32"/>
  <c r="F3" i="32"/>
  <c r="C32" i="32"/>
  <c r="C52" i="32"/>
  <c r="C91" i="32"/>
  <c r="C149" i="32"/>
  <c r="E169" i="10"/>
  <c r="E116" i="10"/>
  <c r="E107" i="10"/>
  <c r="E91" i="10"/>
  <c r="E78" i="10"/>
  <c r="E55" i="10"/>
  <c r="E52" i="10"/>
  <c r="E49" i="10"/>
  <c r="E32" i="10"/>
  <c r="E18" i="10"/>
  <c r="D169" i="10"/>
  <c r="D116" i="10"/>
  <c r="D107" i="10"/>
  <c r="D91" i="10"/>
  <c r="D78" i="10"/>
  <c r="D55" i="10"/>
  <c r="D52" i="10"/>
  <c r="D49" i="10"/>
  <c r="D32" i="10"/>
  <c r="D18" i="10"/>
  <c r="AB107" i="26" l="1"/>
  <c r="P107" i="21"/>
  <c r="AB107" i="29"/>
  <c r="V52" i="29"/>
  <c r="D79" i="10"/>
  <c r="D120" i="10" s="1"/>
  <c r="E79" i="10"/>
  <c r="E120" i="10" s="1"/>
  <c r="V113" i="29"/>
  <c r="V91" i="29"/>
  <c r="V105" i="29"/>
  <c r="V49" i="29"/>
  <c r="V78" i="29"/>
  <c r="V32" i="29"/>
  <c r="V18" i="29"/>
  <c r="K79" i="22"/>
  <c r="K117" i="22" s="1"/>
  <c r="K149" i="22" s="1"/>
  <c r="K150" i="22" s="1"/>
  <c r="V79" i="26"/>
  <c r="V117" i="26" s="1"/>
  <c r="V150" i="26" s="1"/>
  <c r="V79" i="24"/>
  <c r="V117" i="24" s="1"/>
  <c r="V150" i="24" s="1"/>
  <c r="F91" i="32"/>
  <c r="F32" i="32"/>
  <c r="V149" i="29"/>
  <c r="F105" i="32"/>
  <c r="F49" i="32"/>
  <c r="F18" i="32"/>
  <c r="F149" i="32"/>
  <c r="F113" i="32"/>
  <c r="F78" i="32"/>
  <c r="C79" i="32"/>
  <c r="C117" i="32" s="1"/>
  <c r="C150" i="32" s="1"/>
  <c r="E170" i="10"/>
  <c r="D170" i="10"/>
  <c r="E149" i="17"/>
  <c r="D149" i="17"/>
  <c r="E113" i="17"/>
  <c r="D113" i="17"/>
  <c r="E105" i="17"/>
  <c r="D105" i="17"/>
  <c r="E91" i="17"/>
  <c r="D91" i="17"/>
  <c r="E78" i="17"/>
  <c r="D78" i="17"/>
  <c r="E55" i="17"/>
  <c r="D55" i="17"/>
  <c r="E52" i="17"/>
  <c r="D52" i="17"/>
  <c r="E49" i="17"/>
  <c r="D49" i="17"/>
  <c r="E32" i="17"/>
  <c r="D32" i="17"/>
  <c r="E18" i="17"/>
  <c r="D18" i="17"/>
  <c r="E149" i="6"/>
  <c r="D149" i="6"/>
  <c r="E113" i="6"/>
  <c r="D113" i="6"/>
  <c r="E105" i="6"/>
  <c r="D105" i="6"/>
  <c r="E91" i="6"/>
  <c r="D91" i="6"/>
  <c r="E78" i="6"/>
  <c r="D78" i="6"/>
  <c r="E55" i="6"/>
  <c r="D55" i="6"/>
  <c r="E52" i="6"/>
  <c r="D52" i="6"/>
  <c r="E49" i="6"/>
  <c r="D49" i="6"/>
  <c r="E32" i="6"/>
  <c r="D32" i="6"/>
  <c r="E18" i="6"/>
  <c r="D18" i="6"/>
  <c r="E149" i="7"/>
  <c r="E113" i="7"/>
  <c r="E105" i="7"/>
  <c r="E91" i="7"/>
  <c r="E78" i="7"/>
  <c r="E55" i="7"/>
  <c r="E52" i="7"/>
  <c r="E49" i="7"/>
  <c r="E32" i="7"/>
  <c r="E18" i="7"/>
  <c r="E149" i="11"/>
  <c r="E113" i="11"/>
  <c r="E105" i="11"/>
  <c r="E91" i="11"/>
  <c r="E78" i="11"/>
  <c r="E55" i="11"/>
  <c r="E52" i="11"/>
  <c r="E49" i="11"/>
  <c r="E32" i="11"/>
  <c r="E18" i="11"/>
  <c r="E79" i="7" l="1"/>
  <c r="E117" i="7" s="1"/>
  <c r="E150" i="7" s="1"/>
  <c r="E79" i="11"/>
  <c r="E117" i="11" s="1"/>
  <c r="E150" i="11" s="1"/>
  <c r="E79" i="17"/>
  <c r="E117" i="17" s="1"/>
  <c r="E150" i="17" s="1"/>
  <c r="E79" i="6"/>
  <c r="E117" i="6" s="1"/>
  <c r="E150" i="6" s="1"/>
  <c r="D79" i="17"/>
  <c r="D117" i="17" s="1"/>
  <c r="D150" i="17" s="1"/>
  <c r="D79" i="6"/>
  <c r="D117" i="6" s="1"/>
  <c r="D150" i="6" s="1"/>
  <c r="V79" i="29"/>
  <c r="V117" i="29" s="1"/>
  <c r="V150" i="29" s="1"/>
  <c r="F79" i="32"/>
  <c r="F117" i="32" s="1"/>
  <c r="F150" i="32" s="1"/>
  <c r="E149" i="12" l="1"/>
  <c r="E113" i="12"/>
  <c r="E105" i="12"/>
  <c r="E91" i="12"/>
  <c r="E78" i="12"/>
  <c r="E55" i="12"/>
  <c r="E52" i="12"/>
  <c r="E49" i="12"/>
  <c r="E32" i="12"/>
  <c r="E18" i="12"/>
  <c r="E149" i="25"/>
  <c r="D149" i="25"/>
  <c r="E113" i="25"/>
  <c r="D113" i="25"/>
  <c r="E105" i="25"/>
  <c r="D105" i="25"/>
  <c r="E91" i="25"/>
  <c r="D91" i="25"/>
  <c r="E78" i="25"/>
  <c r="D78" i="25"/>
  <c r="E55" i="25"/>
  <c r="D55" i="25"/>
  <c r="E52" i="25"/>
  <c r="D52" i="25"/>
  <c r="E49" i="25"/>
  <c r="D49" i="25"/>
  <c r="E32" i="25"/>
  <c r="D32" i="25"/>
  <c r="E18" i="25"/>
  <c r="D18" i="25"/>
  <c r="E149" i="5"/>
  <c r="E113" i="5"/>
  <c r="E105" i="5"/>
  <c r="E91" i="5"/>
  <c r="E78" i="5"/>
  <c r="E55" i="5"/>
  <c r="E52" i="5"/>
  <c r="E49" i="5"/>
  <c r="E32" i="5"/>
  <c r="E18" i="5"/>
  <c r="E18" i="9"/>
  <c r="E32" i="9"/>
  <c r="E49" i="9"/>
  <c r="E52" i="9"/>
  <c r="E55" i="9"/>
  <c r="E78" i="9"/>
  <c r="E91" i="9"/>
  <c r="E105" i="9"/>
  <c r="E113" i="9"/>
  <c r="E149" i="9"/>
  <c r="E149" i="20"/>
  <c r="E113" i="20"/>
  <c r="E105" i="20"/>
  <c r="E91" i="20"/>
  <c r="E78" i="20"/>
  <c r="E55" i="20"/>
  <c r="E52" i="20"/>
  <c r="E49" i="20"/>
  <c r="E32" i="20"/>
  <c r="E18" i="20"/>
  <c r="E149" i="19"/>
  <c r="E113" i="19"/>
  <c r="E105" i="19"/>
  <c r="E91" i="19"/>
  <c r="E78" i="19"/>
  <c r="E55" i="19"/>
  <c r="E52" i="19"/>
  <c r="E49" i="19"/>
  <c r="E32" i="19"/>
  <c r="E18" i="19"/>
  <c r="E149" i="14"/>
  <c r="E113" i="14"/>
  <c r="E105" i="14"/>
  <c r="E91" i="14"/>
  <c r="E78" i="14"/>
  <c r="E55" i="14"/>
  <c r="E52" i="14"/>
  <c r="E49" i="14"/>
  <c r="E32" i="14"/>
  <c r="E18" i="14"/>
  <c r="E79" i="14" l="1"/>
  <c r="E79" i="20"/>
  <c r="E117" i="20" s="1"/>
  <c r="E150" i="20" s="1"/>
  <c r="E79" i="19"/>
  <c r="E117" i="19" s="1"/>
  <c r="E150" i="19" s="1"/>
  <c r="E79" i="12"/>
  <c r="E117" i="12" s="1"/>
  <c r="E150" i="12" s="1"/>
  <c r="E117" i="14"/>
  <c r="E150" i="14" s="1"/>
  <c r="E79" i="9"/>
  <c r="E117" i="9" s="1"/>
  <c r="E150" i="9" s="1"/>
  <c r="E79" i="5"/>
  <c r="E117" i="5" s="1"/>
  <c r="E150" i="5" s="1"/>
  <c r="E79" i="25"/>
  <c r="E117" i="25" s="1"/>
  <c r="E150" i="25" s="1"/>
  <c r="D79" i="25"/>
  <c r="D117" i="25" s="1"/>
  <c r="D150" i="25" s="1"/>
  <c r="E149" i="8" l="1"/>
  <c r="D149" i="8"/>
  <c r="E113" i="8"/>
  <c r="D113" i="8"/>
  <c r="E105" i="8"/>
  <c r="D105" i="8"/>
  <c r="E91" i="8"/>
  <c r="D91" i="8"/>
  <c r="E78" i="8"/>
  <c r="D78" i="8"/>
  <c r="E55" i="8"/>
  <c r="D55" i="8"/>
  <c r="E52" i="8"/>
  <c r="D52" i="8"/>
  <c r="E49" i="8"/>
  <c r="D49" i="8"/>
  <c r="E32" i="8"/>
  <c r="D32" i="8"/>
  <c r="E18" i="8"/>
  <c r="D18" i="8"/>
  <c r="D18" i="31"/>
  <c r="D32" i="31"/>
  <c r="D49" i="31"/>
  <c r="D52" i="31"/>
  <c r="D55" i="31"/>
  <c r="D78" i="31"/>
  <c r="D91" i="31"/>
  <c r="D105" i="31"/>
  <c r="D113" i="31"/>
  <c r="D149" i="31"/>
  <c r="E149" i="16"/>
  <c r="D149" i="16"/>
  <c r="E113" i="16"/>
  <c r="D113" i="16"/>
  <c r="E105" i="16"/>
  <c r="D105" i="16"/>
  <c r="E91" i="16"/>
  <c r="D91" i="16"/>
  <c r="E78" i="16"/>
  <c r="D78" i="16"/>
  <c r="E55" i="16"/>
  <c r="D55" i="16"/>
  <c r="E52" i="16"/>
  <c r="D52" i="16"/>
  <c r="E49" i="16"/>
  <c r="D49" i="16"/>
  <c r="E32" i="16"/>
  <c r="D32" i="16"/>
  <c r="E18" i="16"/>
  <c r="D18" i="16"/>
  <c r="E149" i="15"/>
  <c r="E113" i="15"/>
  <c r="E105" i="15"/>
  <c r="E91" i="15"/>
  <c r="E78" i="15"/>
  <c r="E55" i="15"/>
  <c r="E52" i="15"/>
  <c r="E49" i="15"/>
  <c r="E32" i="15"/>
  <c r="E18" i="15"/>
  <c r="E79" i="15" l="1"/>
  <c r="E117" i="15" s="1"/>
  <c r="E150" i="15" s="1"/>
  <c r="E79" i="8"/>
  <c r="E117" i="8" s="1"/>
  <c r="E150" i="8" s="1"/>
  <c r="E79" i="16"/>
  <c r="E117" i="16" s="1"/>
  <c r="E150" i="16" s="1"/>
  <c r="D79" i="16"/>
  <c r="D117" i="16" s="1"/>
  <c r="D150" i="16" s="1"/>
  <c r="D79" i="31"/>
  <c r="D117" i="31" s="1"/>
  <c r="D150" i="31" s="1"/>
  <c r="D79" i="8"/>
  <c r="D117" i="8" s="1"/>
  <c r="D150" i="8" s="1"/>
  <c r="E149" i="18" l="1"/>
  <c r="D149" i="18"/>
  <c r="E113" i="18"/>
  <c r="D113" i="18"/>
  <c r="E105" i="18"/>
  <c r="D105" i="18"/>
  <c r="E91" i="18"/>
  <c r="D91" i="18"/>
  <c r="E78" i="18"/>
  <c r="D78" i="18"/>
  <c r="E55" i="18"/>
  <c r="D55" i="18"/>
  <c r="E52" i="18"/>
  <c r="D52" i="18"/>
  <c r="E49" i="18"/>
  <c r="D49" i="18"/>
  <c r="E32" i="18"/>
  <c r="D32" i="18"/>
  <c r="E18" i="18"/>
  <c r="D18" i="18"/>
  <c r="D149" i="13"/>
  <c r="D113" i="13"/>
  <c r="D105" i="13"/>
  <c r="D91" i="13"/>
  <c r="D78" i="13"/>
  <c r="D55" i="13"/>
  <c r="D52" i="13"/>
  <c r="D49" i="13"/>
  <c r="D32" i="13"/>
  <c r="D18" i="13"/>
  <c r="E113" i="13"/>
  <c r="E105" i="13"/>
  <c r="E91" i="13"/>
  <c r="E78" i="13"/>
  <c r="E55" i="13"/>
  <c r="E52" i="13"/>
  <c r="E49" i="13"/>
  <c r="E32" i="13"/>
  <c r="E18" i="13"/>
  <c r="E149" i="2"/>
  <c r="E113" i="2"/>
  <c r="E105" i="2"/>
  <c r="E91" i="2"/>
  <c r="E78" i="2"/>
  <c r="E55" i="2"/>
  <c r="E52" i="2"/>
  <c r="E49" i="2"/>
  <c r="E32" i="2"/>
  <c r="E18" i="2"/>
  <c r="E79" i="18" l="1"/>
  <c r="E117" i="18" s="1"/>
  <c r="E150" i="18" s="1"/>
  <c r="E79" i="13"/>
  <c r="E117" i="13" s="1"/>
  <c r="D79" i="18"/>
  <c r="D117" i="18" s="1"/>
  <c r="D150" i="18" s="1"/>
  <c r="D79" i="13"/>
  <c r="D117" i="13" s="1"/>
  <c r="D150" i="13" s="1"/>
  <c r="E79" i="2"/>
  <c r="E117" i="2" s="1"/>
  <c r="E150" i="2" s="1"/>
  <c r="C166" i="10" l="1"/>
  <c r="F119" i="20"/>
  <c r="F121" i="20"/>
  <c r="F127" i="20"/>
  <c r="F118" i="12"/>
  <c r="F120" i="12"/>
  <c r="F122" i="12"/>
  <c r="F126" i="12"/>
  <c r="F119" i="9"/>
  <c r="F121" i="9"/>
  <c r="F122" i="9"/>
  <c r="F123" i="9"/>
  <c r="F124" i="9"/>
  <c r="F125" i="9"/>
  <c r="F118" i="7"/>
  <c r="F119" i="7"/>
  <c r="F123" i="7"/>
  <c r="F124" i="7"/>
  <c r="F127" i="7"/>
  <c r="F118" i="11"/>
  <c r="F119" i="11"/>
  <c r="F120" i="11"/>
  <c r="F121" i="11"/>
  <c r="F126" i="11"/>
  <c r="F127" i="11"/>
  <c r="F118" i="5"/>
  <c r="F120" i="5"/>
  <c r="F122" i="5"/>
  <c r="F124" i="5"/>
  <c r="F126" i="5"/>
  <c r="C121" i="10"/>
  <c r="G121" i="24" s="1"/>
  <c r="L121" i="24" s="1"/>
  <c r="Z121" i="24" s="1"/>
  <c r="C122" i="10"/>
  <c r="G122" i="24" s="1"/>
  <c r="L122" i="24" s="1"/>
  <c r="Z122" i="24" s="1"/>
  <c r="C123" i="10"/>
  <c r="G123" i="24" s="1"/>
  <c r="L123" i="24" s="1"/>
  <c r="Z123" i="24" s="1"/>
  <c r="C124" i="10"/>
  <c r="G124" i="24" s="1"/>
  <c r="L124" i="24" s="1"/>
  <c r="Z124" i="24" s="1"/>
  <c r="C125" i="10"/>
  <c r="G125" i="24" s="1"/>
  <c r="L125" i="24" s="1"/>
  <c r="Z125" i="24" s="1"/>
  <c r="C126" i="10"/>
  <c r="G126" i="24" s="1"/>
  <c r="L126" i="24" s="1"/>
  <c r="Z126" i="24" s="1"/>
  <c r="C127" i="10"/>
  <c r="G127" i="24" s="1"/>
  <c r="L127" i="24" s="1"/>
  <c r="Z127" i="24" s="1"/>
  <c r="C128" i="10"/>
  <c r="G128" i="24" s="1"/>
  <c r="L128" i="24" s="1"/>
  <c r="Z128" i="24" s="1"/>
  <c r="C129" i="10"/>
  <c r="G129" i="24" s="1"/>
  <c r="L129" i="24" s="1"/>
  <c r="Z129" i="24" s="1"/>
  <c r="C130" i="10"/>
  <c r="G130" i="24" s="1"/>
  <c r="L130" i="24" s="1"/>
  <c r="Z130" i="24" s="1"/>
  <c r="C131" i="10"/>
  <c r="G131" i="24" s="1"/>
  <c r="L131" i="24" s="1"/>
  <c r="Z131" i="24" s="1"/>
  <c r="C132" i="10"/>
  <c r="G132" i="24" s="1"/>
  <c r="L132" i="24" s="1"/>
  <c r="Z132" i="24" s="1"/>
  <c r="C133" i="10"/>
  <c r="G133" i="24" s="1"/>
  <c r="L133" i="24" s="1"/>
  <c r="Z133" i="24" s="1"/>
  <c r="C134" i="10"/>
  <c r="G134" i="24" s="1"/>
  <c r="L134" i="24" s="1"/>
  <c r="Z134" i="24" s="1"/>
  <c r="C135" i="10"/>
  <c r="G135" i="24" s="1"/>
  <c r="L135" i="24" s="1"/>
  <c r="Z135" i="24" s="1"/>
  <c r="C136" i="10"/>
  <c r="G136" i="24" s="1"/>
  <c r="L136" i="24" s="1"/>
  <c r="Z136" i="24" s="1"/>
  <c r="C137" i="10"/>
  <c r="G137" i="24" s="1"/>
  <c r="L137" i="24" s="1"/>
  <c r="Z137" i="24" s="1"/>
  <c r="C138" i="10"/>
  <c r="G138" i="24" s="1"/>
  <c r="L138" i="24" s="1"/>
  <c r="Z138" i="24" s="1"/>
  <c r="C139" i="10"/>
  <c r="G139" i="24" s="1"/>
  <c r="L139" i="24" s="1"/>
  <c r="Z139" i="24" s="1"/>
  <c r="C140" i="10"/>
  <c r="G140" i="24" s="1"/>
  <c r="L140" i="24" s="1"/>
  <c r="Z140" i="24" s="1"/>
  <c r="C141" i="10"/>
  <c r="C142" i="10"/>
  <c r="C143" i="10"/>
  <c r="C144" i="10"/>
  <c r="C145" i="10"/>
  <c r="C146" i="10"/>
  <c r="C147" i="10"/>
  <c r="C148" i="10"/>
  <c r="C149" i="10"/>
  <c r="F149" i="10" s="1"/>
  <c r="C150" i="10"/>
  <c r="F150" i="10" s="1"/>
  <c r="C151" i="10"/>
  <c r="F151" i="10" s="1"/>
  <c r="C152" i="10"/>
  <c r="F152" i="10" s="1"/>
  <c r="C153" i="10"/>
  <c r="F153" i="10" s="1"/>
  <c r="C154" i="10"/>
  <c r="F154" i="10" s="1"/>
  <c r="C155" i="10"/>
  <c r="F155" i="10" s="1"/>
  <c r="C156" i="10"/>
  <c r="F156" i="10" s="1"/>
  <c r="C157" i="10"/>
  <c r="F157" i="10" s="1"/>
  <c r="C158" i="10"/>
  <c r="C159" i="10"/>
  <c r="C160" i="10"/>
  <c r="C161" i="10"/>
  <c r="C162" i="10"/>
  <c r="C163" i="10"/>
  <c r="C164" i="10"/>
  <c r="C165" i="10"/>
  <c r="F118" i="15"/>
  <c r="F119" i="15"/>
  <c r="F120" i="15"/>
  <c r="F121" i="15"/>
  <c r="F123" i="15"/>
  <c r="F124" i="15"/>
  <c r="F127" i="15"/>
  <c r="F118" i="16"/>
  <c r="F119" i="16"/>
  <c r="F120" i="16"/>
  <c r="F121" i="16"/>
  <c r="F122" i="16"/>
  <c r="F126" i="16"/>
  <c r="F127" i="16"/>
  <c r="F118" i="13"/>
  <c r="F120" i="13"/>
  <c r="F122" i="13"/>
  <c r="F123" i="13"/>
  <c r="F124" i="13"/>
  <c r="F125" i="13"/>
  <c r="F126" i="13"/>
  <c r="F119" i="18"/>
  <c r="F122" i="18"/>
  <c r="F123" i="18"/>
  <c r="F124" i="18"/>
  <c r="F125" i="18"/>
  <c r="F118" i="6"/>
  <c r="F119" i="6"/>
  <c r="F120" i="6"/>
  <c r="F121" i="6"/>
  <c r="F122" i="6"/>
  <c r="F123" i="6"/>
  <c r="F124" i="6"/>
  <c r="F126" i="6"/>
  <c r="F127" i="6"/>
  <c r="F118" i="17"/>
  <c r="F119" i="17"/>
  <c r="F120" i="17"/>
  <c r="F121" i="17"/>
  <c r="F122" i="17"/>
  <c r="F126" i="17"/>
  <c r="F127" i="17"/>
  <c r="F118" i="8"/>
  <c r="F120" i="8"/>
  <c r="F122" i="8"/>
  <c r="F123" i="8"/>
  <c r="F124" i="8"/>
  <c r="F125" i="8"/>
  <c r="F126" i="8"/>
  <c r="F119" i="14"/>
  <c r="F121" i="14"/>
  <c r="F122" i="14"/>
  <c r="F123" i="14"/>
  <c r="F124" i="14"/>
  <c r="F125" i="14"/>
  <c r="F118" i="25"/>
  <c r="F119" i="25"/>
  <c r="F120" i="25"/>
  <c r="F121" i="25"/>
  <c r="F122" i="25"/>
  <c r="F123" i="25"/>
  <c r="F124" i="25"/>
  <c r="F126" i="25"/>
  <c r="F127" i="25"/>
  <c r="F118" i="31"/>
  <c r="F119" i="31"/>
  <c r="F120" i="31"/>
  <c r="F121" i="31"/>
  <c r="F122" i="31"/>
  <c r="F126" i="31"/>
  <c r="F127" i="31"/>
  <c r="F118" i="19"/>
  <c r="F120" i="19"/>
  <c r="F121" i="19"/>
  <c r="F122" i="19"/>
  <c r="F123" i="19"/>
  <c r="F124" i="19"/>
  <c r="F125" i="19"/>
  <c r="F126" i="19"/>
  <c r="C87" i="10"/>
  <c r="G87" i="24" s="1"/>
  <c r="C88" i="10"/>
  <c r="G88" i="24" s="1"/>
  <c r="C89" i="10"/>
  <c r="G89" i="24" s="1"/>
  <c r="C90" i="10"/>
  <c r="G90" i="24" s="1"/>
  <c r="C72" i="10"/>
  <c r="G72" i="24" s="1"/>
  <c r="C73" i="10"/>
  <c r="G73" i="24" s="1"/>
  <c r="C74" i="10"/>
  <c r="G74" i="24" s="1"/>
  <c r="C75" i="10"/>
  <c r="G75" i="24" s="1"/>
  <c r="C76" i="10"/>
  <c r="G76" i="24" s="1"/>
  <c r="C77" i="10"/>
  <c r="G77" i="24" s="1"/>
  <c r="C43" i="10"/>
  <c r="G43" i="24" s="1"/>
  <c r="C44" i="10"/>
  <c r="G44" i="24" s="1"/>
  <c r="C45" i="10"/>
  <c r="G45" i="24" s="1"/>
  <c r="C46" i="10"/>
  <c r="G46" i="24" s="1"/>
  <c r="C47" i="10"/>
  <c r="G47" i="24" s="1"/>
  <c r="C48" i="10"/>
  <c r="G48" i="24" s="1"/>
  <c r="C27" i="10"/>
  <c r="G27" i="24" s="1"/>
  <c r="C28" i="10"/>
  <c r="G28" i="24" s="1"/>
  <c r="C29" i="10"/>
  <c r="G29" i="24" s="1"/>
  <c r="C30" i="10"/>
  <c r="G30" i="24" s="1"/>
  <c r="C31" i="10"/>
  <c r="G31" i="24" s="1"/>
  <c r="C15" i="10"/>
  <c r="G15" i="24" s="1"/>
  <c r="C16" i="10"/>
  <c r="G16" i="24" s="1"/>
  <c r="C17" i="10"/>
  <c r="G17" i="24" s="1"/>
  <c r="F118" i="20"/>
  <c r="F118" i="9"/>
  <c r="F118" i="18"/>
  <c r="F118" i="14"/>
  <c r="F126" i="20"/>
  <c r="F125" i="20"/>
  <c r="F124" i="20"/>
  <c r="F123" i="20"/>
  <c r="F122" i="20"/>
  <c r="F120" i="20"/>
  <c r="F127" i="12"/>
  <c r="F125" i="12"/>
  <c r="F124" i="12"/>
  <c r="F123" i="12"/>
  <c r="F121" i="12"/>
  <c r="F119" i="12"/>
  <c r="F127" i="9"/>
  <c r="F126" i="9"/>
  <c r="F120" i="9"/>
  <c r="F126" i="7"/>
  <c r="F125" i="7"/>
  <c r="F122" i="7"/>
  <c r="F121" i="7"/>
  <c r="F120" i="7"/>
  <c r="F125" i="11"/>
  <c r="F124" i="11"/>
  <c r="F123" i="11"/>
  <c r="F122" i="11"/>
  <c r="F127" i="5"/>
  <c r="F125" i="5"/>
  <c r="F123" i="5"/>
  <c r="F121" i="5"/>
  <c r="F119" i="5"/>
  <c r="F126" i="15"/>
  <c r="F125" i="15"/>
  <c r="F122" i="15"/>
  <c r="F125" i="16"/>
  <c r="F124" i="16"/>
  <c r="F123" i="16"/>
  <c r="F127" i="13"/>
  <c r="F121" i="13"/>
  <c r="F119" i="13"/>
  <c r="F127" i="18"/>
  <c r="F126" i="18"/>
  <c r="F121" i="18"/>
  <c r="F120" i="18"/>
  <c r="F125" i="6"/>
  <c r="F125" i="17"/>
  <c r="F124" i="17"/>
  <c r="F123" i="17"/>
  <c r="F127" i="8"/>
  <c r="F121" i="8"/>
  <c r="F119" i="8"/>
  <c r="F127" i="14"/>
  <c r="F126" i="14"/>
  <c r="F120" i="14"/>
  <c r="F125" i="25"/>
  <c r="F125" i="31"/>
  <c r="F124" i="31"/>
  <c r="F123" i="31"/>
  <c r="F127" i="19"/>
  <c r="F119" i="19"/>
  <c r="F87" i="20"/>
  <c r="F87" i="12"/>
  <c r="F87" i="11"/>
  <c r="F87" i="5"/>
  <c r="F87" i="16"/>
  <c r="F87" i="13"/>
  <c r="F87" i="18"/>
  <c r="F87" i="17"/>
  <c r="F87" i="8"/>
  <c r="F87" i="31"/>
  <c r="F87" i="19"/>
  <c r="F90" i="20"/>
  <c r="F88" i="12"/>
  <c r="F89" i="12"/>
  <c r="F88" i="9"/>
  <c r="F89" i="9"/>
  <c r="F90" i="9"/>
  <c r="F89" i="7"/>
  <c r="F90" i="7"/>
  <c r="F90" i="11"/>
  <c r="F88" i="5"/>
  <c r="F89" i="15"/>
  <c r="F90" i="15"/>
  <c r="F88" i="16"/>
  <c r="F90" i="16"/>
  <c r="F88" i="13"/>
  <c r="F88" i="18"/>
  <c r="F89" i="18"/>
  <c r="F89" i="6"/>
  <c r="F90" i="6"/>
  <c r="F88" i="17"/>
  <c r="F90" i="17"/>
  <c r="F88" i="8"/>
  <c r="F89" i="8"/>
  <c r="F88" i="14"/>
  <c r="F89" i="25"/>
  <c r="F90" i="25"/>
  <c r="F88" i="31"/>
  <c r="F90" i="31"/>
  <c r="F88" i="19"/>
  <c r="F72" i="9"/>
  <c r="F72" i="11"/>
  <c r="F72" i="16"/>
  <c r="F72" i="18"/>
  <c r="F72" i="17"/>
  <c r="F72" i="31"/>
  <c r="F72" i="19"/>
  <c r="F74" i="20"/>
  <c r="F74" i="12"/>
  <c r="F73" i="9"/>
  <c r="F75" i="9"/>
  <c r="F77" i="9"/>
  <c r="F76" i="7"/>
  <c r="F73" i="11"/>
  <c r="F75" i="11"/>
  <c r="F74" i="5"/>
  <c r="F75" i="5"/>
  <c r="F73" i="15"/>
  <c r="F74" i="15"/>
  <c r="F76" i="15"/>
  <c r="F77" i="15"/>
  <c r="F75" i="16"/>
  <c r="F74" i="13"/>
  <c r="F73" i="18"/>
  <c r="F75" i="18"/>
  <c r="F77" i="18"/>
  <c r="F76" i="6"/>
  <c r="F73" i="17"/>
  <c r="F75" i="17"/>
  <c r="F74" i="8"/>
  <c r="F76" i="8"/>
  <c r="F73" i="14"/>
  <c r="F77" i="14"/>
  <c r="F74" i="25"/>
  <c r="F76" i="25"/>
  <c r="F75" i="31"/>
  <c r="F76" i="31"/>
  <c r="F77" i="31"/>
  <c r="F75" i="19"/>
  <c r="F76" i="19"/>
  <c r="F77" i="19"/>
  <c r="F45" i="20"/>
  <c r="F45" i="12"/>
  <c r="F46" i="12"/>
  <c r="F43" i="9"/>
  <c r="F44" i="9"/>
  <c r="F47" i="9"/>
  <c r="F48" i="9"/>
  <c r="F45" i="7"/>
  <c r="F46" i="7"/>
  <c r="F43" i="11"/>
  <c r="F44" i="11"/>
  <c r="F47" i="11"/>
  <c r="F48" i="11"/>
  <c r="F45" i="5"/>
  <c r="F46" i="5"/>
  <c r="F45" i="15"/>
  <c r="F46" i="15"/>
  <c r="F43" i="16"/>
  <c r="F44" i="16"/>
  <c r="F47" i="16"/>
  <c r="F45" i="13"/>
  <c r="F43" i="18"/>
  <c r="F45" i="18"/>
  <c r="F47" i="18"/>
  <c r="F45" i="6"/>
  <c r="F47" i="6"/>
  <c r="F43" i="17"/>
  <c r="F47" i="17"/>
  <c r="F45" i="8"/>
  <c r="F43" i="14"/>
  <c r="F45" i="14"/>
  <c r="F47" i="14"/>
  <c r="F45" i="25"/>
  <c r="F47" i="25"/>
  <c r="F43" i="31"/>
  <c r="F47" i="31"/>
  <c r="F43" i="19"/>
  <c r="F44" i="19"/>
  <c r="F47" i="19"/>
  <c r="F48" i="19"/>
  <c r="F27" i="20"/>
  <c r="F27" i="9"/>
  <c r="F27" i="11"/>
  <c r="F27" i="16"/>
  <c r="F27" i="31"/>
  <c r="F31" i="20"/>
  <c r="F30" i="12"/>
  <c r="F29" i="9"/>
  <c r="F28" i="7"/>
  <c r="F31" i="11"/>
  <c r="F30" i="5"/>
  <c r="F28" i="15"/>
  <c r="F31" i="16"/>
  <c r="F30" i="13"/>
  <c r="F29" i="18"/>
  <c r="F30" i="6"/>
  <c r="F28" i="6"/>
  <c r="F31" i="17"/>
  <c r="F30" i="14"/>
  <c r="F29" i="14"/>
  <c r="F28" i="25"/>
  <c r="F30" i="19"/>
  <c r="F15" i="9"/>
  <c r="F16" i="15"/>
  <c r="F15" i="18"/>
  <c r="F17" i="17"/>
  <c r="F118" i="4"/>
  <c r="F119" i="4"/>
  <c r="F120" i="4"/>
  <c r="F121" i="4"/>
  <c r="F122" i="4"/>
  <c r="F123" i="4"/>
  <c r="F124" i="4"/>
  <c r="F125" i="4"/>
  <c r="F126" i="4"/>
  <c r="F127" i="4"/>
  <c r="G87" i="29" l="1"/>
  <c r="L87" i="29" s="1"/>
  <c r="Z87" i="29" s="1"/>
  <c r="AD87" i="29" s="1"/>
  <c r="AH87" i="29" s="1"/>
  <c r="L87" i="24"/>
  <c r="Z87" i="24" s="1"/>
  <c r="AD87" i="24" s="1"/>
  <c r="G44" i="29"/>
  <c r="L44" i="29" s="1"/>
  <c r="Z44" i="29" s="1"/>
  <c r="AD44" i="29" s="1"/>
  <c r="AH44" i="29" s="1"/>
  <c r="L44" i="24"/>
  <c r="Z44" i="24" s="1"/>
  <c r="AD44" i="24" s="1"/>
  <c r="G31" i="29"/>
  <c r="L31" i="29" s="1"/>
  <c r="Z31" i="29" s="1"/>
  <c r="AD31" i="29" s="1"/>
  <c r="AH31" i="29" s="1"/>
  <c r="L31" i="24"/>
  <c r="Z31" i="24" s="1"/>
  <c r="AD31" i="24" s="1"/>
  <c r="G75" i="29"/>
  <c r="L75" i="29" s="1"/>
  <c r="Z75" i="29" s="1"/>
  <c r="AD75" i="29" s="1"/>
  <c r="AH75" i="29" s="1"/>
  <c r="L75" i="24"/>
  <c r="Z75" i="24" s="1"/>
  <c r="AD75" i="24" s="1"/>
  <c r="F131" i="10"/>
  <c r="G46" i="29"/>
  <c r="L46" i="29" s="1"/>
  <c r="Z46" i="29" s="1"/>
  <c r="AD46" i="29" s="1"/>
  <c r="AH46" i="29" s="1"/>
  <c r="L46" i="24"/>
  <c r="Z46" i="24" s="1"/>
  <c r="AD46" i="24" s="1"/>
  <c r="G88" i="29"/>
  <c r="L88" i="29" s="1"/>
  <c r="Z88" i="29" s="1"/>
  <c r="AD88" i="29" s="1"/>
  <c r="AH88" i="29" s="1"/>
  <c r="L88" i="24"/>
  <c r="Z88" i="24" s="1"/>
  <c r="AD88" i="24" s="1"/>
  <c r="F138" i="10"/>
  <c r="F126" i="10"/>
  <c r="G16" i="29"/>
  <c r="L16" i="29" s="1"/>
  <c r="Z16" i="29" s="1"/>
  <c r="AD16" i="29" s="1"/>
  <c r="AH16" i="29" s="1"/>
  <c r="L16" i="24"/>
  <c r="Z16" i="24" s="1"/>
  <c r="AD16" i="24" s="1"/>
  <c r="G43" i="29"/>
  <c r="L43" i="29" s="1"/>
  <c r="Z43" i="29" s="1"/>
  <c r="AD43" i="29" s="1"/>
  <c r="AH43" i="29" s="1"/>
  <c r="L43" i="24"/>
  <c r="Z43" i="24" s="1"/>
  <c r="AD43" i="24" s="1"/>
  <c r="F147" i="10"/>
  <c r="G147" i="24"/>
  <c r="F135" i="10"/>
  <c r="F123" i="10"/>
  <c r="G15" i="29"/>
  <c r="L15" i="29" s="1"/>
  <c r="Z15" i="29" s="1"/>
  <c r="AD15" i="29" s="1"/>
  <c r="AH15" i="29" s="1"/>
  <c r="L15" i="24"/>
  <c r="Z15" i="24" s="1"/>
  <c r="AD15" i="24" s="1"/>
  <c r="G77" i="29"/>
  <c r="L77" i="29" s="1"/>
  <c r="Z77" i="29" s="1"/>
  <c r="AD77" i="29" s="1"/>
  <c r="AH77" i="29" s="1"/>
  <c r="L77" i="24"/>
  <c r="Z77" i="24" s="1"/>
  <c r="AD77" i="24" s="1"/>
  <c r="F146" i="10"/>
  <c r="G146" i="24"/>
  <c r="F134" i="10"/>
  <c r="F122" i="10"/>
  <c r="G17" i="29"/>
  <c r="L17" i="29" s="1"/>
  <c r="Z17" i="29" s="1"/>
  <c r="AD17" i="29" s="1"/>
  <c r="AH17" i="29" s="1"/>
  <c r="L17" i="24"/>
  <c r="Z17" i="24" s="1"/>
  <c r="AD17" i="24" s="1"/>
  <c r="G76" i="29"/>
  <c r="L76" i="29" s="1"/>
  <c r="Z76" i="29" s="1"/>
  <c r="AD76" i="29" s="1"/>
  <c r="AH76" i="29" s="1"/>
  <c r="L76" i="24"/>
  <c r="Z76" i="24" s="1"/>
  <c r="AD76" i="24" s="1"/>
  <c r="F133" i="10"/>
  <c r="F144" i="10"/>
  <c r="G144" i="24"/>
  <c r="F143" i="10"/>
  <c r="G143" i="24"/>
  <c r="G28" i="29"/>
  <c r="L28" i="29" s="1"/>
  <c r="Z28" i="29" s="1"/>
  <c r="AD28" i="29" s="1"/>
  <c r="AH28" i="29" s="1"/>
  <c r="L28" i="24"/>
  <c r="Z28" i="24" s="1"/>
  <c r="AD28" i="24" s="1"/>
  <c r="G73" i="29"/>
  <c r="L73" i="29" s="1"/>
  <c r="Z73" i="29" s="1"/>
  <c r="AD73" i="29" s="1"/>
  <c r="AH73" i="29" s="1"/>
  <c r="L73" i="24"/>
  <c r="Z73" i="24" s="1"/>
  <c r="AD73" i="24" s="1"/>
  <c r="F142" i="10"/>
  <c r="G142" i="24"/>
  <c r="F130" i="10"/>
  <c r="G45" i="29"/>
  <c r="L45" i="29" s="1"/>
  <c r="Z45" i="29" s="1"/>
  <c r="AD45" i="29" s="1"/>
  <c r="AH45" i="29" s="1"/>
  <c r="L45" i="24"/>
  <c r="Z45" i="24" s="1"/>
  <c r="AD45" i="24" s="1"/>
  <c r="F136" i="10"/>
  <c r="F121" i="10"/>
  <c r="G74" i="29"/>
  <c r="L74" i="29" s="1"/>
  <c r="Z74" i="29" s="1"/>
  <c r="AD74" i="29" s="1"/>
  <c r="AH74" i="29" s="1"/>
  <c r="L74" i="24"/>
  <c r="Z74" i="24" s="1"/>
  <c r="AD74" i="24" s="1"/>
  <c r="G27" i="29"/>
  <c r="L27" i="29" s="1"/>
  <c r="Z27" i="29" s="1"/>
  <c r="AD27" i="29" s="1"/>
  <c r="AH27" i="29" s="1"/>
  <c r="L27" i="24"/>
  <c r="Z27" i="24" s="1"/>
  <c r="AD27" i="24" s="1"/>
  <c r="G72" i="29"/>
  <c r="L72" i="29" s="1"/>
  <c r="Z72" i="29" s="1"/>
  <c r="AD72" i="29" s="1"/>
  <c r="AH72" i="29" s="1"/>
  <c r="L72" i="24"/>
  <c r="Z72" i="24" s="1"/>
  <c r="AD72" i="24" s="1"/>
  <c r="F141" i="10"/>
  <c r="G141" i="24"/>
  <c r="F129" i="10"/>
  <c r="F137" i="10"/>
  <c r="F148" i="10"/>
  <c r="G148" i="24"/>
  <c r="F145" i="10"/>
  <c r="G145" i="24"/>
  <c r="G30" i="29"/>
  <c r="L30" i="29" s="1"/>
  <c r="Z30" i="29" s="1"/>
  <c r="AD30" i="29" s="1"/>
  <c r="AH30" i="29" s="1"/>
  <c r="L30" i="24"/>
  <c r="Z30" i="24" s="1"/>
  <c r="AD30" i="24" s="1"/>
  <c r="G48" i="29"/>
  <c r="L48" i="29" s="1"/>
  <c r="Z48" i="29" s="1"/>
  <c r="AD48" i="29" s="1"/>
  <c r="AH48" i="29" s="1"/>
  <c r="L48" i="24"/>
  <c r="Z48" i="24" s="1"/>
  <c r="AD48" i="24" s="1"/>
  <c r="G90" i="29"/>
  <c r="L90" i="29" s="1"/>
  <c r="Z90" i="29" s="1"/>
  <c r="AD90" i="29" s="1"/>
  <c r="AH90" i="29" s="1"/>
  <c r="L90" i="24"/>
  <c r="Z90" i="24" s="1"/>
  <c r="AD90" i="24" s="1"/>
  <c r="F140" i="10"/>
  <c r="F128" i="10"/>
  <c r="F125" i="10"/>
  <c r="F124" i="10"/>
  <c r="F132" i="10"/>
  <c r="G29" i="29"/>
  <c r="L29" i="29" s="1"/>
  <c r="Z29" i="29" s="1"/>
  <c r="AD29" i="29" s="1"/>
  <c r="AH29" i="29" s="1"/>
  <c r="L29" i="24"/>
  <c r="Z29" i="24" s="1"/>
  <c r="AD29" i="24" s="1"/>
  <c r="F44" i="10"/>
  <c r="G47" i="29"/>
  <c r="L47" i="29" s="1"/>
  <c r="Z47" i="29" s="1"/>
  <c r="AD47" i="29" s="1"/>
  <c r="AH47" i="29" s="1"/>
  <c r="L47" i="24"/>
  <c r="Z47" i="24" s="1"/>
  <c r="AD47" i="24" s="1"/>
  <c r="G89" i="29"/>
  <c r="L89" i="29" s="1"/>
  <c r="Z89" i="29" s="1"/>
  <c r="AD89" i="29" s="1"/>
  <c r="AH89" i="29" s="1"/>
  <c r="L89" i="24"/>
  <c r="Z89" i="24" s="1"/>
  <c r="AD89" i="24" s="1"/>
  <c r="F139" i="10"/>
  <c r="F127" i="10"/>
  <c r="F158" i="10"/>
  <c r="F166" i="10"/>
  <c r="F159" i="10"/>
  <c r="F160" i="10"/>
  <c r="F161" i="10"/>
  <c r="F162" i="10"/>
  <c r="F163" i="10"/>
  <c r="F164" i="10"/>
  <c r="F165" i="10"/>
  <c r="F88" i="10"/>
  <c r="F89" i="10"/>
  <c r="F75" i="10"/>
  <c r="F48" i="10"/>
  <c r="F74" i="10"/>
  <c r="F47" i="10"/>
  <c r="F73" i="10"/>
  <c r="F77" i="10"/>
  <c r="F90" i="10"/>
  <c r="F87" i="10"/>
  <c r="F29" i="10"/>
  <c r="F30" i="10"/>
  <c r="F43" i="10"/>
  <c r="F31" i="14"/>
  <c r="F31" i="9"/>
  <c r="F27" i="18"/>
  <c r="F73" i="16"/>
  <c r="F77" i="11"/>
  <c r="F74" i="7"/>
  <c r="F76" i="12"/>
  <c r="F89" i="19"/>
  <c r="F89" i="13"/>
  <c r="F88" i="11"/>
  <c r="F87" i="14"/>
  <c r="F31" i="18"/>
  <c r="F30" i="15"/>
  <c r="F43" i="13"/>
  <c r="F73" i="19"/>
  <c r="F73" i="31"/>
  <c r="F75" i="14"/>
  <c r="F77" i="17"/>
  <c r="F74" i="6"/>
  <c r="F76" i="13"/>
  <c r="F76" i="5"/>
  <c r="F72" i="14"/>
  <c r="F72" i="10"/>
  <c r="F90" i="18"/>
  <c r="F89" i="5"/>
  <c r="F88" i="20"/>
  <c r="F87" i="9"/>
  <c r="F44" i="15"/>
  <c r="F16" i="25"/>
  <c r="F17" i="11"/>
  <c r="F27" i="10"/>
  <c r="F43" i="8"/>
  <c r="F46" i="11"/>
  <c r="F87" i="7"/>
  <c r="F48" i="12"/>
  <c r="F27" i="17"/>
  <c r="F17" i="31"/>
  <c r="F15" i="14"/>
  <c r="F16" i="6"/>
  <c r="F17" i="16"/>
  <c r="F15" i="10"/>
  <c r="F16" i="7"/>
  <c r="F17" i="20"/>
  <c r="F31" i="31"/>
  <c r="F30" i="25"/>
  <c r="F30" i="8"/>
  <c r="F27" i="14"/>
  <c r="F75" i="7"/>
  <c r="F77" i="12"/>
  <c r="F72" i="6"/>
  <c r="F72" i="7"/>
  <c r="F88" i="25"/>
  <c r="F48" i="5"/>
  <c r="F44" i="7"/>
  <c r="F75" i="15"/>
  <c r="F76" i="10"/>
  <c r="F77" i="5"/>
  <c r="F90" i="19"/>
  <c r="F89" i="31"/>
  <c r="F76" i="9"/>
  <c r="F72" i="25"/>
  <c r="F72" i="15"/>
  <c r="F48" i="15"/>
  <c r="F44" i="5"/>
  <c r="F46" i="9"/>
  <c r="F46" i="10"/>
  <c r="F48" i="7"/>
  <c r="F44" i="12"/>
  <c r="F90" i="8"/>
  <c r="F89" i="17"/>
  <c r="F88" i="6"/>
  <c r="F90" i="13"/>
  <c r="F89" i="16"/>
  <c r="F88" i="15"/>
  <c r="F90" i="5"/>
  <c r="F89" i="11"/>
  <c r="F88" i="7"/>
  <c r="F90" i="12"/>
  <c r="F89" i="20"/>
  <c r="F87" i="25"/>
  <c r="F87" i="6"/>
  <c r="F87" i="15"/>
  <c r="F15" i="19"/>
  <c r="F16" i="14"/>
  <c r="F17" i="6"/>
  <c r="F15" i="13"/>
  <c r="F16" i="10"/>
  <c r="F17" i="7"/>
  <c r="F15" i="12"/>
  <c r="F30" i="9"/>
  <c r="F77" i="7"/>
  <c r="F73" i="7"/>
  <c r="F74" i="9"/>
  <c r="F75" i="12"/>
  <c r="F72" i="8"/>
  <c r="F72" i="13"/>
  <c r="F72" i="5"/>
  <c r="F72" i="12"/>
  <c r="F17" i="25"/>
  <c r="F15" i="8"/>
  <c r="F16" i="18"/>
  <c r="F17" i="15"/>
  <c r="F15" i="5"/>
  <c r="F16" i="9"/>
  <c r="F30" i="18"/>
  <c r="F31" i="10"/>
  <c r="F30" i="7"/>
  <c r="F45" i="31"/>
  <c r="F43" i="25"/>
  <c r="F47" i="8"/>
  <c r="F45" i="17"/>
  <c r="F43" i="6"/>
  <c r="F47" i="13"/>
  <c r="F45" i="16"/>
  <c r="F47" i="15"/>
  <c r="F43" i="15"/>
  <c r="F45" i="10"/>
  <c r="F47" i="5"/>
  <c r="F43" i="5"/>
  <c r="F45" i="11"/>
  <c r="F47" i="7"/>
  <c r="F43" i="7"/>
  <c r="F45" i="9"/>
  <c r="F47" i="12"/>
  <c r="F43" i="12"/>
  <c r="F75" i="20"/>
  <c r="F28" i="31"/>
  <c r="F28" i="17"/>
  <c r="F28" i="16"/>
  <c r="F28" i="11"/>
  <c r="F28" i="20"/>
  <c r="F77" i="25"/>
  <c r="F75" i="25"/>
  <c r="F73" i="25"/>
  <c r="F76" i="14"/>
  <c r="F74" i="14"/>
  <c r="F77" i="8"/>
  <c r="F75" i="8"/>
  <c r="F73" i="8"/>
  <c r="F76" i="17"/>
  <c r="F74" i="17"/>
  <c r="F77" i="6"/>
  <c r="F75" i="6"/>
  <c r="F73" i="6"/>
  <c r="F76" i="18"/>
  <c r="F74" i="18"/>
  <c r="F77" i="13"/>
  <c r="F75" i="13"/>
  <c r="F76" i="16"/>
  <c r="F76" i="11"/>
  <c r="F72" i="20"/>
  <c r="F77" i="4"/>
  <c r="F88" i="4"/>
  <c r="F48" i="4"/>
  <c r="F44" i="4"/>
  <c r="F29" i="4"/>
  <c r="F45" i="4"/>
  <c r="F31" i="19"/>
  <c r="F30" i="31"/>
  <c r="F31" i="8"/>
  <c r="F30" i="17"/>
  <c r="F31" i="13"/>
  <c r="F30" i="16"/>
  <c r="F31" i="5"/>
  <c r="F30" i="11"/>
  <c r="F31" i="12"/>
  <c r="F30" i="20"/>
  <c r="F27" i="19"/>
  <c r="F27" i="25"/>
  <c r="F27" i="8"/>
  <c r="F27" i="6"/>
  <c r="F27" i="13"/>
  <c r="F27" i="15"/>
  <c r="F27" i="5"/>
  <c r="F27" i="7"/>
  <c r="F27" i="12"/>
  <c r="F48" i="31"/>
  <c r="F46" i="31"/>
  <c r="F44" i="31"/>
  <c r="F48" i="25"/>
  <c r="F46" i="25"/>
  <c r="F44" i="25"/>
  <c r="F48" i="14"/>
  <c r="F46" i="14"/>
  <c r="F44" i="14"/>
  <c r="F48" i="8"/>
  <c r="F46" i="8"/>
  <c r="F44" i="8"/>
  <c r="F48" i="17"/>
  <c r="F46" i="17"/>
  <c r="F44" i="17"/>
  <c r="F48" i="6"/>
  <c r="F46" i="6"/>
  <c r="F44" i="6"/>
  <c r="F48" i="18"/>
  <c r="F46" i="18"/>
  <c r="F44" i="18"/>
  <c r="F48" i="13"/>
  <c r="F46" i="13"/>
  <c r="F44" i="13"/>
  <c r="F48" i="16"/>
  <c r="F46" i="16"/>
  <c r="F46" i="20"/>
  <c r="F76" i="4"/>
  <c r="F16" i="19"/>
  <c r="F15" i="31"/>
  <c r="F17" i="14"/>
  <c r="F16" i="8"/>
  <c r="F15" i="17"/>
  <c r="F17" i="18"/>
  <c r="F16" i="13"/>
  <c r="F15" i="16"/>
  <c r="F17" i="10"/>
  <c r="F16" i="5"/>
  <c r="F15" i="11"/>
  <c r="F17" i="9"/>
  <c r="F16" i="12"/>
  <c r="F15" i="20"/>
  <c r="F28" i="19"/>
  <c r="F29" i="31"/>
  <c r="F28" i="8"/>
  <c r="F29" i="17"/>
  <c r="F28" i="13"/>
  <c r="F29" i="16"/>
  <c r="F28" i="5"/>
  <c r="F29" i="11"/>
  <c r="F28" i="12"/>
  <c r="F29" i="20"/>
  <c r="F47" i="20"/>
  <c r="F43" i="20"/>
  <c r="F45" i="19"/>
  <c r="F76" i="20"/>
  <c r="F77" i="16"/>
  <c r="F90" i="14"/>
  <c r="F17" i="4"/>
  <c r="F31" i="4"/>
  <c r="F27" i="4"/>
  <c r="F47" i="4"/>
  <c r="F43" i="4"/>
  <c r="F75" i="4"/>
  <c r="F29" i="25"/>
  <c r="F29" i="6"/>
  <c r="F29" i="15"/>
  <c r="F29" i="7"/>
  <c r="F89" i="14"/>
  <c r="F28" i="4"/>
  <c r="F16" i="4"/>
  <c r="F30" i="4"/>
  <c r="F46" i="4"/>
  <c r="F74" i="4"/>
  <c r="F90" i="4"/>
  <c r="F15" i="4"/>
  <c r="F89" i="4"/>
  <c r="F17" i="19"/>
  <c r="F16" i="31"/>
  <c r="F15" i="25"/>
  <c r="F17" i="8"/>
  <c r="F16" i="17"/>
  <c r="F15" i="6"/>
  <c r="F17" i="13"/>
  <c r="F16" i="16"/>
  <c r="F15" i="15"/>
  <c r="F17" i="5"/>
  <c r="F16" i="11"/>
  <c r="F15" i="7"/>
  <c r="F17" i="12"/>
  <c r="F16" i="20"/>
  <c r="F29" i="19"/>
  <c r="F31" i="25"/>
  <c r="F28" i="14"/>
  <c r="F29" i="8"/>
  <c r="F31" i="6"/>
  <c r="F28" i="18"/>
  <c r="F29" i="13"/>
  <c r="F31" i="15"/>
  <c r="F28" i="10"/>
  <c r="F29" i="5"/>
  <c r="F31" i="7"/>
  <c r="F28" i="9"/>
  <c r="F29" i="12"/>
  <c r="F48" i="20"/>
  <c r="F44" i="20"/>
  <c r="F46" i="19"/>
  <c r="F77" i="20"/>
  <c r="F73" i="13"/>
  <c r="F73" i="4"/>
  <c r="F73" i="20"/>
  <c r="F74" i="16"/>
  <c r="F73" i="5"/>
  <c r="F74" i="11"/>
  <c r="F73" i="12"/>
  <c r="F74" i="31"/>
  <c r="F74" i="19"/>
  <c r="F118" i="2"/>
  <c r="F119" i="2"/>
  <c r="F120" i="2"/>
  <c r="F121" i="2"/>
  <c r="F122" i="2"/>
  <c r="F123" i="2"/>
  <c r="F124" i="2"/>
  <c r="F125" i="2"/>
  <c r="F126" i="2"/>
  <c r="F127" i="2"/>
  <c r="G141" i="29" l="1"/>
  <c r="L141" i="29" s="1"/>
  <c r="Z141" i="29" s="1"/>
  <c r="AD141" i="29" s="1"/>
  <c r="L141" i="24"/>
  <c r="Z141" i="24" s="1"/>
  <c r="AD141" i="24" s="1"/>
  <c r="G127" i="29"/>
  <c r="L127" i="29" s="1"/>
  <c r="Z127" i="29" s="1"/>
  <c r="AD127" i="29" s="1"/>
  <c r="AH127" i="29" s="1"/>
  <c r="AD127" i="24"/>
  <c r="G134" i="29"/>
  <c r="L134" i="29" s="1"/>
  <c r="Z134" i="29" s="1"/>
  <c r="AD134" i="29" s="1"/>
  <c r="AH134" i="29" s="1"/>
  <c r="AD134" i="24"/>
  <c r="G132" i="29"/>
  <c r="L132" i="29" s="1"/>
  <c r="Z132" i="29" s="1"/>
  <c r="G144" i="29"/>
  <c r="L144" i="29" s="1"/>
  <c r="Z144" i="29" s="1"/>
  <c r="AD144" i="29" s="1"/>
  <c r="L144" i="24"/>
  <c r="Z144" i="24" s="1"/>
  <c r="AD144" i="24" s="1"/>
  <c r="G146" i="29"/>
  <c r="L146" i="29" s="1"/>
  <c r="Z146" i="29" s="1"/>
  <c r="AD146" i="29" s="1"/>
  <c r="L146" i="24"/>
  <c r="Z146" i="24" s="1"/>
  <c r="AD146" i="24" s="1"/>
  <c r="G131" i="29"/>
  <c r="L131" i="29" s="1"/>
  <c r="Z131" i="29" s="1"/>
  <c r="AD131" i="29" s="1"/>
  <c r="AH131" i="29" s="1"/>
  <c r="AD131" i="24"/>
  <c r="G124" i="29"/>
  <c r="L124" i="29" s="1"/>
  <c r="Z124" i="29" s="1"/>
  <c r="AD124" i="29" s="1"/>
  <c r="AH124" i="29" s="1"/>
  <c r="AD124" i="24"/>
  <c r="G130" i="29"/>
  <c r="L130" i="29" s="1"/>
  <c r="Z130" i="29" s="1"/>
  <c r="AD130" i="29" s="1"/>
  <c r="AH130" i="29" s="1"/>
  <c r="AD130" i="24"/>
  <c r="G133" i="29"/>
  <c r="L133" i="29" s="1"/>
  <c r="Z133" i="29" s="1"/>
  <c r="AD133" i="29" s="1"/>
  <c r="AH133" i="29" s="1"/>
  <c r="AD133" i="24"/>
  <c r="G136" i="29"/>
  <c r="L136" i="29" s="1"/>
  <c r="Z136" i="29" s="1"/>
  <c r="G143" i="29"/>
  <c r="L143" i="29" s="1"/>
  <c r="Z143" i="29" s="1"/>
  <c r="AD143" i="29" s="1"/>
  <c r="L143" i="24"/>
  <c r="Z143" i="24" s="1"/>
  <c r="AD143" i="24" s="1"/>
  <c r="G128" i="29"/>
  <c r="L128" i="29" s="1"/>
  <c r="Z128" i="29" s="1"/>
  <c r="AD128" i="29" s="1"/>
  <c r="AH128" i="29" s="1"/>
  <c r="AD128" i="24"/>
  <c r="G148" i="29"/>
  <c r="L148" i="29" s="1"/>
  <c r="Z148" i="29" s="1"/>
  <c r="AD148" i="29" s="1"/>
  <c r="L148" i="24"/>
  <c r="Z148" i="24" s="1"/>
  <c r="AD148" i="24" s="1"/>
  <c r="G123" i="29"/>
  <c r="L123" i="29" s="1"/>
  <c r="Z123" i="29" s="1"/>
  <c r="AD123" i="29" s="1"/>
  <c r="AH123" i="29" s="1"/>
  <c r="AD123" i="24"/>
  <c r="G138" i="29"/>
  <c r="L138" i="29" s="1"/>
  <c r="Z138" i="29" s="1"/>
  <c r="G145" i="29"/>
  <c r="L145" i="29" s="1"/>
  <c r="Z145" i="29" s="1"/>
  <c r="AD145" i="29" s="1"/>
  <c r="L145" i="24"/>
  <c r="Z145" i="24" s="1"/>
  <c r="AD145" i="24" s="1"/>
  <c r="G126" i="29"/>
  <c r="L126" i="29" s="1"/>
  <c r="Z126" i="29" s="1"/>
  <c r="AD126" i="29" s="1"/>
  <c r="AH126" i="29" s="1"/>
  <c r="AD126" i="24"/>
  <c r="G147" i="29"/>
  <c r="L147" i="29" s="1"/>
  <c r="Z147" i="29" s="1"/>
  <c r="AD147" i="29" s="1"/>
  <c r="L147" i="24"/>
  <c r="Z147" i="24" s="1"/>
  <c r="AD147" i="24" s="1"/>
  <c r="G139" i="29"/>
  <c r="L139" i="29" s="1"/>
  <c r="Z139" i="29" s="1"/>
  <c r="AD139" i="29" s="1"/>
  <c r="AH139" i="29" s="1"/>
  <c r="AD139" i="24"/>
  <c r="G140" i="29"/>
  <c r="L140" i="29" s="1"/>
  <c r="Z140" i="29" s="1"/>
  <c r="AD140" i="29" s="1"/>
  <c r="AH140" i="29" s="1"/>
  <c r="AD140" i="24"/>
  <c r="G137" i="29"/>
  <c r="L137" i="29" s="1"/>
  <c r="Z137" i="29" s="1"/>
  <c r="AD137" i="29" s="1"/>
  <c r="AH137" i="29" s="1"/>
  <c r="AD137" i="24"/>
  <c r="G121" i="29"/>
  <c r="L121" i="29" s="1"/>
  <c r="Z121" i="29" s="1"/>
  <c r="AD121" i="29" s="1"/>
  <c r="AH121" i="29" s="1"/>
  <c r="AD121" i="24"/>
  <c r="G122" i="29"/>
  <c r="L122" i="29" s="1"/>
  <c r="Z122" i="29" s="1"/>
  <c r="AD122" i="29" s="1"/>
  <c r="AH122" i="29" s="1"/>
  <c r="AD122" i="24"/>
  <c r="G135" i="29"/>
  <c r="L135" i="29" s="1"/>
  <c r="Z135" i="29" s="1"/>
  <c r="AD135" i="29" s="1"/>
  <c r="AH135" i="29" s="1"/>
  <c r="AD135" i="24"/>
  <c r="G129" i="29"/>
  <c r="L129" i="29" s="1"/>
  <c r="Z129" i="29" s="1"/>
  <c r="AD129" i="29" s="1"/>
  <c r="AH129" i="29" s="1"/>
  <c r="AD129" i="24"/>
  <c r="G125" i="29"/>
  <c r="L125" i="29" s="1"/>
  <c r="Z125" i="29" s="1"/>
  <c r="G142" i="29"/>
  <c r="L142" i="29" s="1"/>
  <c r="Z142" i="29" s="1"/>
  <c r="AD142" i="29" s="1"/>
  <c r="L142" i="24"/>
  <c r="Z142" i="24" s="1"/>
  <c r="AD142" i="24" s="1"/>
  <c r="F90" i="2"/>
  <c r="F89" i="2"/>
  <c r="F88" i="2"/>
  <c r="C4" i="10" l="1"/>
  <c r="G4" i="24" s="1"/>
  <c r="C5" i="10"/>
  <c r="G5" i="24" s="1"/>
  <c r="C6" i="10"/>
  <c r="G6" i="24" s="1"/>
  <c r="C7" i="10"/>
  <c r="G7" i="24" s="1"/>
  <c r="C8" i="10"/>
  <c r="G8" i="24" s="1"/>
  <c r="C9" i="10"/>
  <c r="G9" i="24" s="1"/>
  <c r="C10" i="10"/>
  <c r="G10" i="24" s="1"/>
  <c r="C11" i="10"/>
  <c r="G11" i="24" s="1"/>
  <c r="C12" i="10"/>
  <c r="G12" i="24" s="1"/>
  <c r="C13" i="10"/>
  <c r="G13" i="24" s="1"/>
  <c r="C14" i="10"/>
  <c r="G14" i="24" s="1"/>
  <c r="C42" i="10"/>
  <c r="G42" i="24" s="1"/>
  <c r="C26" i="10"/>
  <c r="G26" i="24" s="1"/>
  <c r="F12" i="18"/>
  <c r="F12" i="8"/>
  <c r="F12" i="14"/>
  <c r="F13" i="13"/>
  <c r="F13" i="6"/>
  <c r="F13" i="8"/>
  <c r="F13" i="25"/>
  <c r="F14" i="2"/>
  <c r="C86" i="10"/>
  <c r="G86" i="24" s="1"/>
  <c r="C25" i="10"/>
  <c r="G25" i="24" s="1"/>
  <c r="C24" i="10"/>
  <c r="G24" i="24" s="1"/>
  <c r="C23" i="10"/>
  <c r="G23" i="24" s="1"/>
  <c r="F11" i="6"/>
  <c r="F11" i="25"/>
  <c r="C119" i="10"/>
  <c r="G119" i="24" s="1"/>
  <c r="L119" i="24" s="1"/>
  <c r="Z119" i="24" s="1"/>
  <c r="C118" i="10"/>
  <c r="G118" i="24" s="1"/>
  <c r="C102" i="10"/>
  <c r="G102" i="24" s="1"/>
  <c r="C101" i="10"/>
  <c r="G101" i="24" s="1"/>
  <c r="C71" i="10"/>
  <c r="G71" i="24" s="1"/>
  <c r="C167" i="10"/>
  <c r="C168" i="10"/>
  <c r="G101" i="29" l="1"/>
  <c r="L101" i="29" s="1"/>
  <c r="Z101" i="29" s="1"/>
  <c r="L101" i="24"/>
  <c r="Z101" i="24" s="1"/>
  <c r="G102" i="29"/>
  <c r="L102" i="29" s="1"/>
  <c r="Z102" i="29" s="1"/>
  <c r="AD102" i="29" s="1"/>
  <c r="AH102" i="29" s="1"/>
  <c r="L102" i="24"/>
  <c r="Z102" i="24" s="1"/>
  <c r="AD102" i="24" s="1"/>
  <c r="G13" i="29"/>
  <c r="L13" i="29" s="1"/>
  <c r="Z13" i="29" s="1"/>
  <c r="AD13" i="29" s="1"/>
  <c r="AH13" i="29" s="1"/>
  <c r="L13" i="24"/>
  <c r="Z13" i="24" s="1"/>
  <c r="AD13" i="24" s="1"/>
  <c r="G12" i="29"/>
  <c r="L12" i="29" s="1"/>
  <c r="Z12" i="29" s="1"/>
  <c r="AD12" i="29" s="1"/>
  <c r="AH12" i="29" s="1"/>
  <c r="L12" i="24"/>
  <c r="Z12" i="24" s="1"/>
  <c r="AD12" i="24" s="1"/>
  <c r="G14" i="29"/>
  <c r="L14" i="29" s="1"/>
  <c r="Z14" i="29" s="1"/>
  <c r="AD14" i="29" s="1"/>
  <c r="AH14" i="29" s="1"/>
  <c r="L14" i="24"/>
  <c r="Z14" i="24" s="1"/>
  <c r="AD14" i="24" s="1"/>
  <c r="G11" i="29"/>
  <c r="L11" i="29" s="1"/>
  <c r="Z11" i="29" s="1"/>
  <c r="L11" i="24"/>
  <c r="Z11" i="24" s="1"/>
  <c r="G24" i="29"/>
  <c r="L24" i="29" s="1"/>
  <c r="Z24" i="29" s="1"/>
  <c r="AD24" i="29" s="1"/>
  <c r="AH24" i="29" s="1"/>
  <c r="L24" i="24"/>
  <c r="Z24" i="24" s="1"/>
  <c r="AD24" i="24" s="1"/>
  <c r="G9" i="29"/>
  <c r="L9" i="29" s="1"/>
  <c r="Z9" i="29" s="1"/>
  <c r="L9" i="24"/>
  <c r="Z9" i="24" s="1"/>
  <c r="G42" i="29"/>
  <c r="L42" i="29" s="1"/>
  <c r="Z42" i="29" s="1"/>
  <c r="AD42" i="29" s="1"/>
  <c r="AH42" i="29" s="1"/>
  <c r="L42" i="24"/>
  <c r="Z42" i="24" s="1"/>
  <c r="AD42" i="24" s="1"/>
  <c r="G10" i="29"/>
  <c r="L10" i="29" s="1"/>
  <c r="Z10" i="29" s="1"/>
  <c r="L10" i="24"/>
  <c r="Z10" i="24" s="1"/>
  <c r="G8" i="29"/>
  <c r="L8" i="29" s="1"/>
  <c r="Z8" i="29" s="1"/>
  <c r="L8" i="24"/>
  <c r="Z8" i="24" s="1"/>
  <c r="G26" i="29"/>
  <c r="L26" i="29" s="1"/>
  <c r="Z26" i="29" s="1"/>
  <c r="AD26" i="29" s="1"/>
  <c r="AH26" i="29" s="1"/>
  <c r="L26" i="24"/>
  <c r="Z26" i="24" s="1"/>
  <c r="AD26" i="24" s="1"/>
  <c r="G86" i="29"/>
  <c r="L86" i="29" s="1"/>
  <c r="Z86" i="29" s="1"/>
  <c r="AD86" i="29" s="1"/>
  <c r="AH86" i="29" s="1"/>
  <c r="L86" i="24"/>
  <c r="Z86" i="24" s="1"/>
  <c r="AD86" i="24" s="1"/>
  <c r="G119" i="29"/>
  <c r="L119" i="29" s="1"/>
  <c r="Z119" i="29" s="1"/>
  <c r="AD119" i="29" s="1"/>
  <c r="AH119" i="29" s="1"/>
  <c r="AD119" i="24"/>
  <c r="G23" i="29"/>
  <c r="L23" i="29" s="1"/>
  <c r="Z23" i="29" s="1"/>
  <c r="AD23" i="29" s="1"/>
  <c r="AH23" i="29" s="1"/>
  <c r="L23" i="24"/>
  <c r="Z23" i="24" s="1"/>
  <c r="AD23" i="24" s="1"/>
  <c r="G71" i="29"/>
  <c r="L71" i="29" s="1"/>
  <c r="Z71" i="29" s="1"/>
  <c r="AD71" i="29" s="1"/>
  <c r="AH71" i="29" s="1"/>
  <c r="L71" i="24"/>
  <c r="Z71" i="24" s="1"/>
  <c r="AD71" i="24" s="1"/>
  <c r="G7" i="29"/>
  <c r="L7" i="29" s="1"/>
  <c r="Z7" i="29" s="1"/>
  <c r="L7" i="24"/>
  <c r="Z7" i="24" s="1"/>
  <c r="G6" i="29"/>
  <c r="L6" i="29" s="1"/>
  <c r="Z6" i="29" s="1"/>
  <c r="L6" i="24"/>
  <c r="Z6" i="24" s="1"/>
  <c r="G25" i="29"/>
  <c r="L25" i="29" s="1"/>
  <c r="Z25" i="29" s="1"/>
  <c r="AD25" i="29" s="1"/>
  <c r="AH25" i="29" s="1"/>
  <c r="L25" i="24"/>
  <c r="Z25" i="24" s="1"/>
  <c r="AD25" i="24" s="1"/>
  <c r="G118" i="29"/>
  <c r="L118" i="29" s="1"/>
  <c r="Z118" i="29" s="1"/>
  <c r="AD118" i="29" s="1"/>
  <c r="AH118" i="29" s="1"/>
  <c r="L118" i="24"/>
  <c r="Z118" i="24" s="1"/>
  <c r="AD118" i="24" s="1"/>
  <c r="G5" i="29"/>
  <c r="L5" i="29" s="1"/>
  <c r="Z5" i="29" s="1"/>
  <c r="L5" i="24"/>
  <c r="Z5" i="24" s="1"/>
  <c r="G4" i="29"/>
  <c r="L4" i="29" s="1"/>
  <c r="Z4" i="29" s="1"/>
  <c r="L4" i="24"/>
  <c r="Z4" i="24" s="1"/>
  <c r="F167" i="10"/>
  <c r="F168" i="10"/>
  <c r="F13" i="15"/>
  <c r="F13" i="7"/>
  <c r="F12" i="25"/>
  <c r="F11" i="31"/>
  <c r="F11" i="16"/>
  <c r="F12" i="15"/>
  <c r="F11" i="11"/>
  <c r="F13" i="14"/>
  <c r="F11" i="17"/>
  <c r="F11" i="20"/>
  <c r="F12" i="6"/>
  <c r="F13" i="10"/>
  <c r="F12" i="7"/>
  <c r="F13" i="19"/>
  <c r="F86" i="15"/>
  <c r="F101" i="9"/>
  <c r="F24" i="15"/>
  <c r="F115" i="7"/>
  <c r="F23" i="15"/>
  <c r="F25" i="15"/>
  <c r="F13" i="18"/>
  <c r="F13" i="16"/>
  <c r="F13" i="9"/>
  <c r="F13" i="4"/>
  <c r="F71" i="31"/>
  <c r="F71" i="14"/>
  <c r="F71" i="6"/>
  <c r="F71" i="16"/>
  <c r="F71" i="5"/>
  <c r="F71" i="20"/>
  <c r="F102" i="2"/>
  <c r="F102" i="25"/>
  <c r="F102" i="8"/>
  <c r="F102" i="13"/>
  <c r="F101" i="15"/>
  <c r="F102" i="10"/>
  <c r="F101" i="11"/>
  <c r="F101" i="7"/>
  <c r="F102" i="20"/>
  <c r="F102" i="4"/>
  <c r="F115" i="14"/>
  <c r="F115" i="6"/>
  <c r="F115" i="16"/>
  <c r="F115" i="5"/>
  <c r="F115" i="12"/>
  <c r="F115" i="4"/>
  <c r="F116" i="14"/>
  <c r="F116" i="6"/>
  <c r="F116" i="16"/>
  <c r="F116" i="5"/>
  <c r="F116" i="20"/>
  <c r="F23" i="2"/>
  <c r="F23" i="8"/>
  <c r="F23" i="6"/>
  <c r="F23" i="16"/>
  <c r="F23" i="7"/>
  <c r="F24" i="2"/>
  <c r="F24" i="8"/>
  <c r="F24" i="6"/>
  <c r="F24" i="16"/>
  <c r="F24" i="7"/>
  <c r="F25" i="2"/>
  <c r="F25" i="8"/>
  <c r="F25" i="6"/>
  <c r="F25" i="16"/>
  <c r="F25" i="7"/>
  <c r="F86" i="2"/>
  <c r="F86" i="8"/>
  <c r="F86" i="6"/>
  <c r="F86" i="16"/>
  <c r="F86" i="7"/>
  <c r="F72" i="2"/>
  <c r="F26" i="31"/>
  <c r="F26" i="15"/>
  <c r="F26" i="11"/>
  <c r="F26" i="7"/>
  <c r="F26" i="20"/>
  <c r="F42" i="31"/>
  <c r="F42" i="17"/>
  <c r="F42" i="18"/>
  <c r="F42" i="10"/>
  <c r="F42" i="12"/>
  <c r="F42" i="4"/>
  <c r="F11" i="4"/>
  <c r="F14" i="19"/>
  <c r="F13" i="20"/>
  <c r="F12" i="12"/>
  <c r="F11" i="9"/>
  <c r="F14" i="7"/>
  <c r="F13" i="11"/>
  <c r="F12" i="5"/>
  <c r="F11" i="10"/>
  <c r="F14" i="15"/>
  <c r="F12" i="13"/>
  <c r="F11" i="18"/>
  <c r="F14" i="6"/>
  <c r="F13" i="17"/>
  <c r="F11" i="14"/>
  <c r="F14" i="25"/>
  <c r="F13" i="31"/>
  <c r="F15" i="2"/>
  <c r="F11" i="2"/>
  <c r="F31" i="2"/>
  <c r="F27" i="2"/>
  <c r="F45" i="2"/>
  <c r="F76" i="2"/>
  <c r="F71" i="2"/>
  <c r="F71" i="8"/>
  <c r="F71" i="15"/>
  <c r="F71" i="11"/>
  <c r="F71" i="9"/>
  <c r="F71" i="19"/>
  <c r="F101" i="31"/>
  <c r="F101" i="14"/>
  <c r="F101" i="17"/>
  <c r="F101" i="6"/>
  <c r="F101" i="18"/>
  <c r="F101" i="16"/>
  <c r="F102" i="15"/>
  <c r="F102" i="12"/>
  <c r="F101" i="19"/>
  <c r="F115" i="2"/>
  <c r="F115" i="8"/>
  <c r="F115" i="15"/>
  <c r="F115" i="11"/>
  <c r="F116" i="2"/>
  <c r="F116" i="8"/>
  <c r="F116" i="15"/>
  <c r="F116" i="11"/>
  <c r="F116" i="9"/>
  <c r="F116" i="19"/>
  <c r="F23" i="31"/>
  <c r="F23" i="5"/>
  <c r="F23" i="20"/>
  <c r="F24" i="31"/>
  <c r="F24" i="5"/>
  <c r="F24" i="20"/>
  <c r="F25" i="31"/>
  <c r="F25" i="5"/>
  <c r="F25" i="20"/>
  <c r="F86" i="31"/>
  <c r="F86" i="5"/>
  <c r="F86" i="20"/>
  <c r="F87" i="4"/>
  <c r="F26" i="25"/>
  <c r="F26" i="18"/>
  <c r="F26" i="10"/>
  <c r="F26" i="9"/>
  <c r="F26" i="19"/>
  <c r="F42" i="25"/>
  <c r="F42" i="13"/>
  <c r="F42" i="7"/>
  <c r="F14" i="4"/>
  <c r="F12" i="20"/>
  <c r="F11" i="12"/>
  <c r="F14" i="9"/>
  <c r="F12" i="11"/>
  <c r="F11" i="5"/>
  <c r="F14" i="10"/>
  <c r="F12" i="16"/>
  <c r="F11" i="13"/>
  <c r="F14" i="18"/>
  <c r="F12" i="17"/>
  <c r="F11" i="8"/>
  <c r="F14" i="14"/>
  <c r="F12" i="31"/>
  <c r="F30" i="2"/>
  <c r="F48" i="2"/>
  <c r="F44" i="2"/>
  <c r="F75" i="2"/>
  <c r="F71" i="18"/>
  <c r="F71" i="10"/>
  <c r="F71" i="12"/>
  <c r="F71" i="4"/>
  <c r="F102" i="31"/>
  <c r="F102" i="14"/>
  <c r="F102" i="18"/>
  <c r="F101" i="10"/>
  <c r="F101" i="5"/>
  <c r="F102" i="11"/>
  <c r="F102" i="7"/>
  <c r="F102" i="9"/>
  <c r="F102" i="19"/>
  <c r="F115" i="31"/>
  <c r="F115" i="17"/>
  <c r="F115" i="18"/>
  <c r="F118" i="10"/>
  <c r="F115" i="20"/>
  <c r="F116" i="31"/>
  <c r="F116" i="17"/>
  <c r="F116" i="18"/>
  <c r="F119" i="10"/>
  <c r="F116" i="12"/>
  <c r="F116" i="4"/>
  <c r="F23" i="25"/>
  <c r="F23" i="18"/>
  <c r="F23" i="11"/>
  <c r="F23" i="9"/>
  <c r="F23" i="19"/>
  <c r="F24" i="25"/>
  <c r="F24" i="18"/>
  <c r="F24" i="11"/>
  <c r="F24" i="9"/>
  <c r="F24" i="19"/>
  <c r="F25" i="25"/>
  <c r="F25" i="18"/>
  <c r="F25" i="11"/>
  <c r="F25" i="9"/>
  <c r="F25" i="19"/>
  <c r="F86" i="25"/>
  <c r="F86" i="18"/>
  <c r="F86" i="11"/>
  <c r="F86" i="9"/>
  <c r="F86" i="19"/>
  <c r="F87" i="2"/>
  <c r="F26" i="14"/>
  <c r="F26" i="17"/>
  <c r="F26" i="13"/>
  <c r="F26" i="12"/>
  <c r="F26" i="4"/>
  <c r="F42" i="14"/>
  <c r="F42" i="6"/>
  <c r="F42" i="16"/>
  <c r="F42" i="5"/>
  <c r="F42" i="20"/>
  <c r="F12" i="19"/>
  <c r="F14" i="12"/>
  <c r="F14" i="5"/>
  <c r="F14" i="13"/>
  <c r="F14" i="8"/>
  <c r="F17" i="2"/>
  <c r="F13" i="2"/>
  <c r="F29" i="2"/>
  <c r="F47" i="2"/>
  <c r="F43" i="2"/>
  <c r="F71" i="17"/>
  <c r="F71" i="25"/>
  <c r="F71" i="13"/>
  <c r="F71" i="7"/>
  <c r="F101" i="2"/>
  <c r="F101" i="25"/>
  <c r="F101" i="8"/>
  <c r="F102" i="17"/>
  <c r="F102" i="6"/>
  <c r="F101" i="13"/>
  <c r="F102" i="16"/>
  <c r="F102" i="5"/>
  <c r="F101" i="12"/>
  <c r="F101" i="20"/>
  <c r="F101" i="4"/>
  <c r="F115" i="25"/>
  <c r="F115" i="13"/>
  <c r="F115" i="9"/>
  <c r="F115" i="19"/>
  <c r="F116" i="25"/>
  <c r="F116" i="13"/>
  <c r="F116" i="7"/>
  <c r="F23" i="14"/>
  <c r="F23" i="17"/>
  <c r="F23" i="13"/>
  <c r="F23" i="10"/>
  <c r="F23" i="12"/>
  <c r="F23" i="4"/>
  <c r="F24" i="14"/>
  <c r="F24" i="17"/>
  <c r="F24" i="13"/>
  <c r="F24" i="10"/>
  <c r="F24" i="12"/>
  <c r="F24" i="4"/>
  <c r="F25" i="14"/>
  <c r="F25" i="17"/>
  <c r="F25" i="13"/>
  <c r="F25" i="10"/>
  <c r="F25" i="12"/>
  <c r="F25" i="4"/>
  <c r="F86" i="14"/>
  <c r="F86" i="17"/>
  <c r="F86" i="13"/>
  <c r="F86" i="10"/>
  <c r="F86" i="12"/>
  <c r="F86" i="4"/>
  <c r="F72" i="4"/>
  <c r="F26" i="2"/>
  <c r="F26" i="8"/>
  <c r="F26" i="6"/>
  <c r="F26" i="16"/>
  <c r="F26" i="5"/>
  <c r="F42" i="2"/>
  <c r="F42" i="8"/>
  <c r="F42" i="15"/>
  <c r="F42" i="11"/>
  <c r="F42" i="9"/>
  <c r="F42" i="19"/>
  <c r="F12" i="4"/>
  <c r="F11" i="19"/>
  <c r="F14" i="20"/>
  <c r="F13" i="12"/>
  <c r="F12" i="9"/>
  <c r="F11" i="7"/>
  <c r="F14" i="11"/>
  <c r="F13" i="5"/>
  <c r="F12" i="10"/>
  <c r="F11" i="15"/>
  <c r="F14" i="16"/>
  <c r="F14" i="17"/>
  <c r="F14" i="31"/>
  <c r="F16" i="2"/>
  <c r="F12" i="2"/>
  <c r="F28" i="2"/>
  <c r="F46" i="2"/>
  <c r="F77" i="2"/>
  <c r="F74" i="2"/>
  <c r="F73" i="2"/>
  <c r="U3" i="26"/>
  <c r="J3" i="22"/>
  <c r="E149" i="31"/>
  <c r="F114" i="31"/>
  <c r="F112" i="31"/>
  <c r="F111" i="31"/>
  <c r="F110" i="31"/>
  <c r="F109" i="31"/>
  <c r="F108" i="31"/>
  <c r="E113" i="31"/>
  <c r="E105" i="31"/>
  <c r="E91" i="31"/>
  <c r="E78" i="31"/>
  <c r="F54" i="31"/>
  <c r="E55" i="31"/>
  <c r="F51" i="31"/>
  <c r="E49" i="31"/>
  <c r="E32" i="31"/>
  <c r="F10" i="31"/>
  <c r="F9" i="31"/>
  <c r="F8" i="31"/>
  <c r="F7" i="31"/>
  <c r="F6" i="31"/>
  <c r="F5" i="31"/>
  <c r="F4" i="31"/>
  <c r="E18" i="31"/>
  <c r="F35" i="31" l="1"/>
  <c r="F39" i="31"/>
  <c r="F60" i="31"/>
  <c r="F64" i="31"/>
  <c r="F68" i="31"/>
  <c r="F84" i="31"/>
  <c r="F97" i="31"/>
  <c r="F103" i="31"/>
  <c r="F20" i="31"/>
  <c r="F36" i="31"/>
  <c r="F40" i="31"/>
  <c r="F57" i="31"/>
  <c r="F61" i="31"/>
  <c r="F65" i="31"/>
  <c r="F69" i="31"/>
  <c r="F85" i="31"/>
  <c r="F94" i="31"/>
  <c r="F98" i="31"/>
  <c r="F104" i="31"/>
  <c r="F21" i="31"/>
  <c r="F37" i="31"/>
  <c r="F41" i="31"/>
  <c r="F58" i="31"/>
  <c r="F62" i="31"/>
  <c r="F66" i="31"/>
  <c r="F70" i="31"/>
  <c r="F82" i="31"/>
  <c r="F95" i="31"/>
  <c r="F99" i="31"/>
  <c r="F22" i="31"/>
  <c r="F34" i="31"/>
  <c r="F38" i="31"/>
  <c r="F59" i="31"/>
  <c r="F63" i="31"/>
  <c r="F67" i="31"/>
  <c r="F83" i="31"/>
  <c r="F96" i="31"/>
  <c r="F100" i="31"/>
  <c r="J52" i="22"/>
  <c r="U55" i="26"/>
  <c r="U113" i="26"/>
  <c r="U49" i="26"/>
  <c r="U91" i="26"/>
  <c r="J32" i="22"/>
  <c r="J78" i="22"/>
  <c r="J105" i="22"/>
  <c r="J49" i="22"/>
  <c r="J55" i="22"/>
  <c r="J113" i="22"/>
  <c r="U18" i="26"/>
  <c r="U52" i="26"/>
  <c r="U78" i="26"/>
  <c r="J18" i="22"/>
  <c r="J91" i="22"/>
  <c r="U105" i="26"/>
  <c r="U149" i="26"/>
  <c r="C113" i="31"/>
  <c r="U32" i="26"/>
  <c r="E52" i="31"/>
  <c r="E79" i="31" s="1"/>
  <c r="E117" i="31" s="1"/>
  <c r="E150" i="31" s="1"/>
  <c r="C18" i="31"/>
  <c r="C32" i="31"/>
  <c r="C49" i="31"/>
  <c r="C78" i="31"/>
  <c r="C91" i="31"/>
  <c r="C105" i="31"/>
  <c r="C52" i="31"/>
  <c r="C55" i="31"/>
  <c r="F149" i="31"/>
  <c r="F3" i="31"/>
  <c r="F18" i="31" s="1"/>
  <c r="F19" i="31"/>
  <c r="F50" i="31"/>
  <c r="F52" i="31" s="1"/>
  <c r="F56" i="31"/>
  <c r="F81" i="31"/>
  <c r="F107" i="31"/>
  <c r="F113" i="31" s="1"/>
  <c r="C149" i="31"/>
  <c r="F33" i="31"/>
  <c r="F53" i="31"/>
  <c r="F55" i="31" s="1"/>
  <c r="F93" i="31"/>
  <c r="F91" i="31" l="1"/>
  <c r="B136" i="27"/>
  <c r="F105" i="31"/>
  <c r="F49" i="31"/>
  <c r="F78" i="31"/>
  <c r="F32" i="31"/>
  <c r="J79" i="22"/>
  <c r="J117" i="22" s="1"/>
  <c r="U79" i="26"/>
  <c r="U117" i="26" s="1"/>
  <c r="U150" i="26" s="1"/>
  <c r="B134" i="27"/>
  <c r="B129" i="27"/>
  <c r="B137" i="27"/>
  <c r="C79" i="31"/>
  <c r="C117" i="31" s="1"/>
  <c r="C150" i="31" s="1"/>
  <c r="B131" i="27" l="1"/>
  <c r="F79" i="31"/>
  <c r="F117" i="31" s="1"/>
  <c r="F150" i="31" s="1"/>
  <c r="B138" i="27"/>
  <c r="B132" i="27"/>
  <c r="B135" i="27"/>
  <c r="J149" i="22"/>
  <c r="J150" i="22" s="1"/>
  <c r="B128" i="27"/>
  <c r="B130" i="27"/>
  <c r="B133" i="27"/>
  <c r="C131" i="27" l="1"/>
  <c r="D131" i="27" s="1"/>
  <c r="C128" i="27"/>
  <c r="D128" i="27" s="1"/>
  <c r="C129" i="27"/>
  <c r="D129" i="27" s="1"/>
  <c r="C132" i="27"/>
  <c r="D132" i="27" s="1"/>
  <c r="C133" i="27"/>
  <c r="D133" i="27" s="1"/>
  <c r="C127" i="27"/>
  <c r="C134" i="27"/>
  <c r="D134" i="27" s="1"/>
  <c r="C130" i="27"/>
  <c r="D130" i="27" s="1"/>
  <c r="C135" i="27"/>
  <c r="D135" i="27" s="1"/>
  <c r="C137" i="27"/>
  <c r="D137" i="27" s="1"/>
  <c r="C136" i="27"/>
  <c r="D136" i="27" s="1"/>
  <c r="C138" i="27"/>
  <c r="D138" i="27" s="1"/>
  <c r="B127" i="27"/>
  <c r="D127" i="27" l="1"/>
  <c r="C123" i="27" l="1"/>
  <c r="C124" i="27"/>
  <c r="C122" i="27"/>
  <c r="C118" i="27"/>
  <c r="C120" i="27"/>
  <c r="C119" i="27"/>
  <c r="C121" i="27"/>
  <c r="B118" i="27" l="1"/>
  <c r="D118" i="27" s="1"/>
  <c r="C117" i="27"/>
  <c r="B122" i="27"/>
  <c r="D122" i="27" s="1"/>
  <c r="B126" i="27"/>
  <c r="B125" i="27"/>
  <c r="B123" i="27"/>
  <c r="D123" i="27" s="1"/>
  <c r="B124" i="27"/>
  <c r="D124" i="27" s="1"/>
  <c r="B117" i="27" l="1"/>
  <c r="D117" i="27" s="1"/>
  <c r="B121" i="27"/>
  <c r="D121" i="27" s="1"/>
  <c r="B119" i="27"/>
  <c r="D119" i="27" s="1"/>
  <c r="B120" i="27"/>
  <c r="D120" i="27" s="1"/>
  <c r="F116" i="28" l="1"/>
  <c r="F118" i="28"/>
  <c r="F120" i="28"/>
  <c r="F122" i="28"/>
  <c r="F124" i="28"/>
  <c r="F126" i="28"/>
  <c r="F117" i="28"/>
  <c r="F119" i="28"/>
  <c r="F121" i="28"/>
  <c r="F123" i="28"/>
  <c r="F125" i="28"/>
  <c r="F127" i="28"/>
  <c r="F128" i="28"/>
  <c r="F129" i="28"/>
  <c r="F130" i="28"/>
  <c r="F131" i="28"/>
  <c r="F132" i="28"/>
  <c r="F133" i="28"/>
  <c r="F134" i="28"/>
  <c r="F135" i="28"/>
  <c r="F136" i="28"/>
  <c r="F137" i="28"/>
  <c r="F138" i="28"/>
  <c r="F92" i="28"/>
  <c r="F94" i="28"/>
  <c r="F96" i="28"/>
  <c r="F98" i="28"/>
  <c r="F100" i="28"/>
  <c r="F102" i="28"/>
  <c r="F104" i="28"/>
  <c r="F106" i="28"/>
  <c r="F108" i="28"/>
  <c r="F110" i="28"/>
  <c r="F112" i="28"/>
  <c r="F114" i="28"/>
  <c r="F93" i="28"/>
  <c r="F95" i="28"/>
  <c r="F97" i="28"/>
  <c r="F99" i="28"/>
  <c r="F101" i="28"/>
  <c r="F103" i="28"/>
  <c r="F105" i="28"/>
  <c r="F107" i="28"/>
  <c r="F109" i="28"/>
  <c r="F111" i="28"/>
  <c r="F113" i="28"/>
  <c r="F115" i="28"/>
  <c r="C114" i="27" l="1"/>
  <c r="C113" i="27"/>
  <c r="C109" i="27"/>
  <c r="C112" i="27"/>
  <c r="C111" i="27"/>
  <c r="C110" i="27"/>
  <c r="C115" i="27"/>
  <c r="C116" i="27"/>
  <c r="C125" i="27"/>
  <c r="D125" i="27" s="1"/>
  <c r="B112" i="27" l="1"/>
  <c r="D112" i="27" s="1"/>
  <c r="B113" i="27"/>
  <c r="D113" i="27" s="1"/>
  <c r="C149" i="2"/>
  <c r="C149" i="4"/>
  <c r="C52" i="2"/>
  <c r="C55" i="2"/>
  <c r="C49" i="2"/>
  <c r="C105" i="2"/>
  <c r="C113" i="2"/>
  <c r="C78" i="2"/>
  <c r="C32" i="2"/>
  <c r="C91" i="2"/>
  <c r="C18" i="2"/>
  <c r="B111" i="27" l="1"/>
  <c r="D111" i="27" s="1"/>
  <c r="B109" i="27"/>
  <c r="D109" i="27" s="1"/>
  <c r="B114" i="27"/>
  <c r="D114" i="27" s="1"/>
  <c r="B116" i="27"/>
  <c r="D116" i="27" s="1"/>
  <c r="B108" i="27"/>
  <c r="B110" i="27"/>
  <c r="D110" i="27" s="1"/>
  <c r="B115" i="27"/>
  <c r="D115" i="27" s="1"/>
  <c r="C79" i="2"/>
  <c r="C117" i="2" s="1"/>
  <c r="C150" i="2" s="1"/>
  <c r="D149" i="4"/>
  <c r="D113" i="4"/>
  <c r="D105" i="4"/>
  <c r="D91" i="4"/>
  <c r="D78" i="4"/>
  <c r="D55" i="4"/>
  <c r="D52" i="4"/>
  <c r="D49" i="4"/>
  <c r="D32" i="4"/>
  <c r="D18" i="4"/>
  <c r="D149" i="2"/>
  <c r="D113" i="2"/>
  <c r="D105" i="2"/>
  <c r="D91" i="2"/>
  <c r="D78" i="2"/>
  <c r="D55" i="2"/>
  <c r="D52" i="2"/>
  <c r="D49" i="2"/>
  <c r="D32" i="2"/>
  <c r="D18" i="2"/>
  <c r="D79" i="4" l="1"/>
  <c r="D117" i="4" s="1"/>
  <c r="D150" i="4" s="1"/>
  <c r="D79" i="2"/>
  <c r="D117" i="2" s="1"/>
  <c r="D150" i="2" s="1"/>
  <c r="T3" i="26" l="1"/>
  <c r="S3" i="26"/>
  <c r="R3" i="26"/>
  <c r="Q3" i="26"/>
  <c r="P3" i="26"/>
  <c r="O3" i="26"/>
  <c r="N3" i="26"/>
  <c r="M3" i="26"/>
  <c r="K3" i="26"/>
  <c r="J3" i="26"/>
  <c r="I3" i="26"/>
  <c r="H3" i="26"/>
  <c r="G3" i="26"/>
  <c r="F3" i="26"/>
  <c r="E3" i="26"/>
  <c r="D3" i="26"/>
  <c r="C3" i="26"/>
  <c r="B3" i="26"/>
  <c r="B3" i="22"/>
  <c r="Y3" i="26" l="1"/>
  <c r="AD106" i="29"/>
  <c r="AD92" i="29"/>
  <c r="AD80" i="29"/>
  <c r="A1" i="28" l="1"/>
  <c r="G18" i="7" l="1"/>
  <c r="AD80" i="24" l="1"/>
  <c r="AD92" i="24"/>
  <c r="AD106" i="24"/>
  <c r="G149" i="26"/>
  <c r="B149" i="26"/>
  <c r="G149" i="22"/>
  <c r="G149" i="21"/>
  <c r="B149" i="21"/>
  <c r="B149" i="22" l="1"/>
  <c r="C82" i="10"/>
  <c r="G82" i="24" s="1"/>
  <c r="C58" i="10"/>
  <c r="G58" i="24" s="1"/>
  <c r="G58" i="29" l="1"/>
  <c r="L58" i="29" s="1"/>
  <c r="Z58" i="29" s="1"/>
  <c r="AD58" i="29" s="1"/>
  <c r="AH58" i="29" s="1"/>
  <c r="L58" i="24"/>
  <c r="Z58" i="24" s="1"/>
  <c r="AD58" i="24" s="1"/>
  <c r="G82" i="29"/>
  <c r="L82" i="29" s="1"/>
  <c r="Z82" i="29" s="1"/>
  <c r="AD82" i="29" s="1"/>
  <c r="AH82" i="29" s="1"/>
  <c r="L82" i="24"/>
  <c r="Z82" i="24" s="1"/>
  <c r="AD82" i="24" s="1"/>
  <c r="C107" i="27"/>
  <c r="C99" i="27"/>
  <c r="C106" i="27"/>
  <c r="C102" i="27"/>
  <c r="C98" i="27"/>
  <c r="C103" i="27"/>
  <c r="C105" i="27"/>
  <c r="C101" i="27"/>
  <c r="C108" i="27"/>
  <c r="D108" i="27" s="1"/>
  <c r="C104" i="27"/>
  <c r="C100" i="27"/>
  <c r="F82" i="10"/>
  <c r="F58" i="18"/>
  <c r="F58" i="8"/>
  <c r="F82" i="8"/>
  <c r="F82" i="14"/>
  <c r="F82" i="4"/>
  <c r="F82" i="5"/>
  <c r="F58" i="2"/>
  <c r="F58" i="7"/>
  <c r="F58" i="17"/>
  <c r="F58" i="10"/>
  <c r="F58" i="9"/>
  <c r="F58" i="12"/>
  <c r="F58" i="19"/>
  <c r="F82" i="2"/>
  <c r="F82" i="6"/>
  <c r="F82" i="13"/>
  <c r="F82" i="16"/>
  <c r="F82" i="7"/>
  <c r="F82" i="12"/>
  <c r="F82" i="20"/>
  <c r="F58" i="25"/>
  <c r="F58" i="16"/>
  <c r="F58" i="6"/>
  <c r="F58" i="5"/>
  <c r="F58" i="11"/>
  <c r="F82" i="18"/>
  <c r="F82" i="9"/>
  <c r="F58" i="14"/>
  <c r="F58" i="13"/>
  <c r="F58" i="15"/>
  <c r="F58" i="20"/>
  <c r="F58" i="4"/>
  <c r="F82" i="25"/>
  <c r="F82" i="17"/>
  <c r="F82" i="15"/>
  <c r="F82" i="11"/>
  <c r="F82" i="19"/>
  <c r="C59" i="27" l="1"/>
  <c r="C31" i="27"/>
  <c r="C80" i="27"/>
  <c r="C17" i="27"/>
  <c r="C41" i="27"/>
  <c r="F4" i="2" l="1"/>
  <c r="C18" i="27"/>
  <c r="C81" i="27"/>
  <c r="C39" i="27"/>
  <c r="C30" i="27"/>
  <c r="B41" i="27"/>
  <c r="D41" i="27" s="1"/>
  <c r="B59" i="27"/>
  <c r="D59" i="27" s="1"/>
  <c r="F4" i="12"/>
  <c r="F4" i="14"/>
  <c r="F4" i="18"/>
  <c r="F4" i="10"/>
  <c r="F4" i="11"/>
  <c r="F4" i="9"/>
  <c r="F4" i="17"/>
  <c r="F4" i="16"/>
  <c r="F4" i="20"/>
  <c r="F4" i="4"/>
  <c r="F4" i="25"/>
  <c r="F4" i="8"/>
  <c r="F4" i="6"/>
  <c r="F4" i="15"/>
  <c r="F4" i="5"/>
  <c r="F4" i="7"/>
  <c r="F4" i="13"/>
  <c r="F4" i="19"/>
  <c r="A1" i="27"/>
  <c r="J55" i="26"/>
  <c r="T55" i="26"/>
  <c r="K55" i="26"/>
  <c r="C55" i="26"/>
  <c r="N52" i="26"/>
  <c r="I52" i="26"/>
  <c r="E52" i="26"/>
  <c r="R52" i="26"/>
  <c r="U3" i="24"/>
  <c r="U3" i="29" s="1"/>
  <c r="G113" i="25"/>
  <c r="G105" i="25"/>
  <c r="G91" i="25"/>
  <c r="G78" i="25"/>
  <c r="G55" i="25"/>
  <c r="G52" i="25"/>
  <c r="G49" i="25"/>
  <c r="G32" i="25"/>
  <c r="G18" i="25"/>
  <c r="U49" i="24" l="1"/>
  <c r="U49" i="29"/>
  <c r="U105" i="29"/>
  <c r="U105" i="24"/>
  <c r="U113" i="29"/>
  <c r="U113" i="24"/>
  <c r="U32" i="29"/>
  <c r="U32" i="24"/>
  <c r="U52" i="29"/>
  <c r="U52" i="24"/>
  <c r="U55" i="29"/>
  <c r="U55" i="24"/>
  <c r="U78" i="24"/>
  <c r="U78" i="29"/>
  <c r="U91" i="29"/>
  <c r="U91" i="24"/>
  <c r="U149" i="29"/>
  <c r="U149" i="24"/>
  <c r="U18" i="29"/>
  <c r="U18" i="24"/>
  <c r="C116" i="28"/>
  <c r="C118" i="28"/>
  <c r="C120" i="28"/>
  <c r="C122" i="28"/>
  <c r="C124" i="28"/>
  <c r="C126" i="28"/>
  <c r="C117" i="28"/>
  <c r="C119" i="28"/>
  <c r="C121" i="28"/>
  <c r="C123" i="28"/>
  <c r="C125" i="28"/>
  <c r="C127" i="28"/>
  <c r="C128" i="28"/>
  <c r="C129" i="28"/>
  <c r="C130" i="28"/>
  <c r="C131" i="28"/>
  <c r="C132" i="28"/>
  <c r="C133" i="28"/>
  <c r="C134" i="28"/>
  <c r="C135" i="28"/>
  <c r="C136" i="28"/>
  <c r="C137" i="28"/>
  <c r="C138" i="28"/>
  <c r="C92" i="28"/>
  <c r="C94" i="28"/>
  <c r="C96" i="28"/>
  <c r="C98" i="28"/>
  <c r="C100" i="28"/>
  <c r="C102" i="28"/>
  <c r="C104" i="28"/>
  <c r="C106" i="28"/>
  <c r="C108" i="28"/>
  <c r="C110" i="28"/>
  <c r="C112" i="28"/>
  <c r="C114" i="28"/>
  <c r="C93" i="28"/>
  <c r="C95" i="28"/>
  <c r="C97" i="28"/>
  <c r="C99" i="28"/>
  <c r="C101" i="28"/>
  <c r="C103" i="28"/>
  <c r="C105" i="28"/>
  <c r="C107" i="28"/>
  <c r="C109" i="28"/>
  <c r="C111" i="28"/>
  <c r="C113" i="28"/>
  <c r="C115" i="28"/>
  <c r="C149" i="25"/>
  <c r="W149" i="26"/>
  <c r="C37" i="27"/>
  <c r="C23" i="28"/>
  <c r="C75" i="28"/>
  <c r="C62" i="28"/>
  <c r="C42" i="28"/>
  <c r="C26" i="28"/>
  <c r="C8" i="28"/>
  <c r="C69" i="28"/>
  <c r="C36" i="28"/>
  <c r="C44" i="28"/>
  <c r="C24" i="28"/>
  <c r="C25" i="28"/>
  <c r="C74" i="28"/>
  <c r="C13" i="28"/>
  <c r="C71" i="28"/>
  <c r="C43" i="28"/>
  <c r="C37" i="28"/>
  <c r="C51" i="28"/>
  <c r="C47" i="28"/>
  <c r="C28" i="28"/>
  <c r="C10" i="28"/>
  <c r="C33" i="28"/>
  <c r="C80" i="28"/>
  <c r="C76" i="28"/>
  <c r="C58" i="28"/>
  <c r="C29" i="28"/>
  <c r="C16" i="28"/>
  <c r="C52" i="28"/>
  <c r="C15" i="28"/>
  <c r="C11" i="28"/>
  <c r="C86" i="28"/>
  <c r="C17" i="28"/>
  <c r="C61" i="28"/>
  <c r="C83" i="28"/>
  <c r="C82" i="28"/>
  <c r="C18" i="28"/>
  <c r="C85" i="28"/>
  <c r="C39" i="28"/>
  <c r="C45" i="28"/>
  <c r="C84" i="28"/>
  <c r="C72" i="28"/>
  <c r="C50" i="28"/>
  <c r="C88" i="28"/>
  <c r="C20" i="28"/>
  <c r="C30" i="28"/>
  <c r="C73" i="28"/>
  <c r="C9" i="28"/>
  <c r="C4" i="28"/>
  <c r="C70" i="28"/>
  <c r="C67" i="28"/>
  <c r="C66" i="28"/>
  <c r="C40" i="28"/>
  <c r="C41" i="28"/>
  <c r="C14" i="28"/>
  <c r="C81" i="28"/>
  <c r="C77" i="28"/>
  <c r="C6" i="28"/>
  <c r="C19" i="28"/>
  <c r="C49" i="28"/>
  <c r="C54" i="28"/>
  <c r="C68" i="28"/>
  <c r="C46" i="28"/>
  <c r="C22" i="28"/>
  <c r="C7" i="28"/>
  <c r="C53" i="28"/>
  <c r="C89" i="28"/>
  <c r="C48" i="28"/>
  <c r="C34" i="28"/>
  <c r="C60" i="28"/>
  <c r="C91" i="28"/>
  <c r="C27" i="28"/>
  <c r="C63" i="28"/>
  <c r="C31" i="28"/>
  <c r="C5" i="28"/>
  <c r="C59" i="28"/>
  <c r="F9" i="25"/>
  <c r="F8" i="25"/>
  <c r="F10" i="25"/>
  <c r="F20" i="25"/>
  <c r="F22" i="25"/>
  <c r="F51" i="25"/>
  <c r="F57" i="25"/>
  <c r="F60" i="25"/>
  <c r="F62" i="25"/>
  <c r="F64" i="25"/>
  <c r="F66" i="25"/>
  <c r="F68" i="25"/>
  <c r="F70" i="25"/>
  <c r="F94" i="25"/>
  <c r="F96" i="25"/>
  <c r="F98" i="25"/>
  <c r="F100" i="25"/>
  <c r="F104" i="25"/>
  <c r="F114" i="25"/>
  <c r="F21" i="25"/>
  <c r="F34" i="25"/>
  <c r="F36" i="25"/>
  <c r="F38" i="25"/>
  <c r="F40" i="25"/>
  <c r="F54" i="25"/>
  <c r="F81" i="25"/>
  <c r="F84" i="25"/>
  <c r="F108" i="25"/>
  <c r="F110" i="25"/>
  <c r="F111" i="25"/>
  <c r="S55" i="26"/>
  <c r="W32" i="26"/>
  <c r="G32" i="26"/>
  <c r="H55" i="26"/>
  <c r="B78" i="26"/>
  <c r="S78" i="26"/>
  <c r="R91" i="26"/>
  <c r="I105" i="26"/>
  <c r="R105" i="26"/>
  <c r="I49" i="26"/>
  <c r="R18" i="26"/>
  <c r="G18" i="26"/>
  <c r="N55" i="26"/>
  <c r="L55" i="22"/>
  <c r="I18" i="26"/>
  <c r="B18" i="26"/>
  <c r="K18" i="26"/>
  <c r="P18" i="26"/>
  <c r="T18" i="26"/>
  <c r="N32" i="26"/>
  <c r="F32" i="26"/>
  <c r="M32" i="26"/>
  <c r="E49" i="26"/>
  <c r="N49" i="26"/>
  <c r="R49" i="26"/>
  <c r="G49" i="26"/>
  <c r="P49" i="26"/>
  <c r="C52" i="26"/>
  <c r="G52" i="26"/>
  <c r="K52" i="26"/>
  <c r="P52" i="26"/>
  <c r="T52" i="26"/>
  <c r="E55" i="26"/>
  <c r="H78" i="26"/>
  <c r="Q78" i="26"/>
  <c r="J78" i="26"/>
  <c r="F91" i="26"/>
  <c r="O91" i="26"/>
  <c r="H91" i="26"/>
  <c r="Q91" i="26"/>
  <c r="G105" i="26"/>
  <c r="T105" i="26"/>
  <c r="J105" i="26"/>
  <c r="I113" i="26"/>
  <c r="O113" i="26"/>
  <c r="L105" i="22"/>
  <c r="Q55" i="26"/>
  <c r="D52" i="26"/>
  <c r="H52" i="26"/>
  <c r="M52" i="26"/>
  <c r="Q52" i="26"/>
  <c r="W52" i="26"/>
  <c r="B55" i="26"/>
  <c r="F55" i="26"/>
  <c r="O55" i="26"/>
  <c r="E18" i="26"/>
  <c r="N18" i="26"/>
  <c r="P32" i="26"/>
  <c r="D32" i="26"/>
  <c r="E32" i="26"/>
  <c r="C49" i="26"/>
  <c r="K49" i="26"/>
  <c r="T49" i="26"/>
  <c r="E78" i="26"/>
  <c r="I78" i="26"/>
  <c r="N78" i="26"/>
  <c r="R78" i="26"/>
  <c r="F78" i="26"/>
  <c r="O78" i="26"/>
  <c r="D91" i="26"/>
  <c r="B91" i="26"/>
  <c r="J91" i="26"/>
  <c r="E105" i="26"/>
  <c r="O105" i="26"/>
  <c r="C105" i="26"/>
  <c r="E113" i="26"/>
  <c r="N113" i="26"/>
  <c r="F113" i="26"/>
  <c r="J113" i="26"/>
  <c r="S113" i="26"/>
  <c r="T113" i="26"/>
  <c r="C32" i="25"/>
  <c r="L18" i="22"/>
  <c r="L32" i="22"/>
  <c r="F18" i="26"/>
  <c r="J18" i="26"/>
  <c r="O18" i="26"/>
  <c r="S18" i="26"/>
  <c r="C18" i="26"/>
  <c r="B32" i="26"/>
  <c r="J32" i="26"/>
  <c r="O32" i="26"/>
  <c r="S32" i="26"/>
  <c r="K32" i="26"/>
  <c r="T32" i="26"/>
  <c r="B49" i="26"/>
  <c r="F49" i="26"/>
  <c r="J49" i="26"/>
  <c r="O49" i="26"/>
  <c r="S49" i="26"/>
  <c r="G55" i="26"/>
  <c r="P55" i="26"/>
  <c r="D78" i="26"/>
  <c r="W78" i="26"/>
  <c r="C91" i="26"/>
  <c r="G91" i="26"/>
  <c r="K91" i="26"/>
  <c r="P91" i="26"/>
  <c r="T91" i="26"/>
  <c r="M91" i="26"/>
  <c r="W91" i="26"/>
  <c r="D105" i="26"/>
  <c r="H105" i="26"/>
  <c r="Q105" i="26"/>
  <c r="W105" i="26"/>
  <c r="N105" i="26"/>
  <c r="D113" i="26"/>
  <c r="M113" i="26"/>
  <c r="Q113" i="26"/>
  <c r="R113" i="26"/>
  <c r="D18" i="26"/>
  <c r="H18" i="26"/>
  <c r="M18" i="26"/>
  <c r="Q18" i="26"/>
  <c r="W18" i="26"/>
  <c r="H32" i="26"/>
  <c r="Q32" i="26"/>
  <c r="I32" i="26"/>
  <c r="R32" i="26"/>
  <c r="D49" i="26"/>
  <c r="H49" i="26"/>
  <c r="M49" i="26"/>
  <c r="Q49" i="26"/>
  <c r="W49" i="26"/>
  <c r="B52" i="26"/>
  <c r="F52" i="26"/>
  <c r="J52" i="26"/>
  <c r="O52" i="26"/>
  <c r="S52" i="26"/>
  <c r="D55" i="26"/>
  <c r="M55" i="26"/>
  <c r="W55" i="26"/>
  <c r="I55" i="26"/>
  <c r="R55" i="26"/>
  <c r="E91" i="26"/>
  <c r="I91" i="26"/>
  <c r="N91" i="26"/>
  <c r="S91" i="26"/>
  <c r="B105" i="26"/>
  <c r="F105" i="26"/>
  <c r="S105" i="26"/>
  <c r="K105" i="26"/>
  <c r="P105" i="26"/>
  <c r="C78" i="26"/>
  <c r="G78" i="26"/>
  <c r="K78" i="26"/>
  <c r="P78" i="26"/>
  <c r="T78" i="26"/>
  <c r="C113" i="26"/>
  <c r="K113" i="26"/>
  <c r="P113" i="26"/>
  <c r="H113" i="26"/>
  <c r="W113" i="26"/>
  <c r="G113" i="26"/>
  <c r="F5" i="25"/>
  <c r="F6" i="25"/>
  <c r="F7" i="25"/>
  <c r="F35" i="25"/>
  <c r="F37" i="25"/>
  <c r="F39" i="25"/>
  <c r="F41" i="25"/>
  <c r="C52" i="25"/>
  <c r="C55" i="25"/>
  <c r="F59" i="25"/>
  <c r="F61" i="25"/>
  <c r="F63" i="25"/>
  <c r="F65" i="25"/>
  <c r="F67" i="25"/>
  <c r="F69" i="25"/>
  <c r="F85" i="25"/>
  <c r="F95" i="25"/>
  <c r="F97" i="25"/>
  <c r="F99" i="25"/>
  <c r="F103" i="25"/>
  <c r="F109" i="25"/>
  <c r="F112" i="25"/>
  <c r="B113" i="26"/>
  <c r="C32" i="26"/>
  <c r="L3" i="26"/>
  <c r="Z3" i="26" s="1"/>
  <c r="M78" i="26"/>
  <c r="M105" i="26"/>
  <c r="L113" i="22"/>
  <c r="L91" i="22"/>
  <c r="L78" i="22"/>
  <c r="L52" i="22"/>
  <c r="L49" i="22"/>
  <c r="C49" i="25"/>
  <c r="C105" i="25"/>
  <c r="C91" i="25"/>
  <c r="C113" i="25"/>
  <c r="F19" i="25"/>
  <c r="F50" i="25"/>
  <c r="C18" i="25"/>
  <c r="G79" i="25"/>
  <c r="G117" i="25" s="1"/>
  <c r="G150" i="25" s="1"/>
  <c r="C78" i="25"/>
  <c r="F56" i="25"/>
  <c r="F107" i="25"/>
  <c r="F83" i="25"/>
  <c r="F3" i="25"/>
  <c r="F33" i="25"/>
  <c r="F53" i="25"/>
  <c r="F93" i="25"/>
  <c r="G113" i="17"/>
  <c r="G105" i="17"/>
  <c r="G91" i="17"/>
  <c r="G78" i="17"/>
  <c r="G55" i="17"/>
  <c r="G52" i="17"/>
  <c r="G49" i="17"/>
  <c r="G32" i="17"/>
  <c r="G18" i="17"/>
  <c r="G113" i="6"/>
  <c r="G105" i="6"/>
  <c r="G91" i="6"/>
  <c r="G78" i="6"/>
  <c r="G55" i="6"/>
  <c r="G52" i="6"/>
  <c r="G49" i="6"/>
  <c r="G32" i="6"/>
  <c r="G18" i="6"/>
  <c r="U79" i="29" l="1"/>
  <c r="U117" i="29" s="1"/>
  <c r="U150" i="29" s="1"/>
  <c r="U79" i="24"/>
  <c r="U117" i="24" s="1"/>
  <c r="U150" i="24" s="1"/>
  <c r="B128" i="28"/>
  <c r="D128" i="28" s="1"/>
  <c r="B129" i="28"/>
  <c r="D129" i="28" s="1"/>
  <c r="B130" i="28"/>
  <c r="D130" i="28" s="1"/>
  <c r="B131" i="28"/>
  <c r="D131" i="28" s="1"/>
  <c r="B132" i="28"/>
  <c r="D132" i="28" s="1"/>
  <c r="B133" i="28"/>
  <c r="D133" i="28" s="1"/>
  <c r="B134" i="28"/>
  <c r="D134" i="28" s="1"/>
  <c r="B135" i="28"/>
  <c r="D135" i="28" s="1"/>
  <c r="B136" i="28"/>
  <c r="D136" i="28" s="1"/>
  <c r="B137" i="28"/>
  <c r="D137" i="28" s="1"/>
  <c r="B138" i="28"/>
  <c r="D138" i="28" s="1"/>
  <c r="B127" i="28"/>
  <c r="D127" i="28" s="1"/>
  <c r="B125" i="28"/>
  <c r="D125" i="28" s="1"/>
  <c r="B122" i="28"/>
  <c r="D122" i="28" s="1"/>
  <c r="B126" i="28"/>
  <c r="D126" i="28" s="1"/>
  <c r="B123" i="28"/>
  <c r="D123" i="28" s="1"/>
  <c r="B124" i="28"/>
  <c r="D124" i="28" s="1"/>
  <c r="B117" i="28"/>
  <c r="D117" i="28" s="1"/>
  <c r="B116" i="28"/>
  <c r="D116" i="28" s="1"/>
  <c r="B111" i="28"/>
  <c r="D111" i="28" s="1"/>
  <c r="B113" i="28"/>
  <c r="D113" i="28" s="1"/>
  <c r="B109" i="28"/>
  <c r="D109" i="28" s="1"/>
  <c r="B112" i="28"/>
  <c r="D112" i="28" s="1"/>
  <c r="B108" i="28"/>
  <c r="D108" i="28" s="1"/>
  <c r="B114" i="28"/>
  <c r="D114" i="28" s="1"/>
  <c r="B110" i="28"/>
  <c r="D110" i="28" s="1"/>
  <c r="B115" i="28"/>
  <c r="D115" i="28" s="1"/>
  <c r="W52" i="29"/>
  <c r="W55" i="29"/>
  <c r="W32" i="29"/>
  <c r="W78" i="29"/>
  <c r="W91" i="29"/>
  <c r="W105" i="29"/>
  <c r="W49" i="29"/>
  <c r="W113" i="29"/>
  <c r="W18" i="29"/>
  <c r="C29" i="27"/>
  <c r="C82" i="27"/>
  <c r="C19" i="27"/>
  <c r="C21" i="28"/>
  <c r="F55" i="25"/>
  <c r="C55" i="28"/>
  <c r="C64" i="28"/>
  <c r="C87" i="28"/>
  <c r="C35" i="28"/>
  <c r="B59" i="28"/>
  <c r="G59" i="28" s="1"/>
  <c r="B41" i="28"/>
  <c r="G41" i="28" s="1"/>
  <c r="C32" i="28"/>
  <c r="C78" i="28"/>
  <c r="C38" i="28"/>
  <c r="F52" i="25"/>
  <c r="F32" i="25"/>
  <c r="B4" i="28"/>
  <c r="Y55" i="26"/>
  <c r="W52" i="24"/>
  <c r="N79" i="26"/>
  <c r="N117" i="26" s="1"/>
  <c r="G79" i="26"/>
  <c r="G117" i="26" s="1"/>
  <c r="B79" i="26"/>
  <c r="B117" i="26" s="1"/>
  <c r="B150" i="26" s="1"/>
  <c r="I79" i="26"/>
  <c r="I117" i="26" s="1"/>
  <c r="P79" i="26"/>
  <c r="P117" i="26" s="1"/>
  <c r="F79" i="26"/>
  <c r="F117" i="26" s="1"/>
  <c r="E79" i="26"/>
  <c r="E117" i="26" s="1"/>
  <c r="Q79" i="26"/>
  <c r="Q117" i="26" s="1"/>
  <c r="W18" i="24"/>
  <c r="T79" i="26"/>
  <c r="T117" i="26" s="1"/>
  <c r="R79" i="26"/>
  <c r="R117" i="26" s="1"/>
  <c r="W79" i="26"/>
  <c r="W117" i="26" s="1"/>
  <c r="W150" i="26" s="1"/>
  <c r="D79" i="26"/>
  <c r="D117" i="26" s="1"/>
  <c r="H79" i="26"/>
  <c r="H117" i="26" s="1"/>
  <c r="W105" i="24"/>
  <c r="Y78" i="26"/>
  <c r="O79" i="26"/>
  <c r="O117" i="26" s="1"/>
  <c r="K79" i="26"/>
  <c r="K117" i="26" s="1"/>
  <c r="J79" i="26"/>
  <c r="J117" i="26" s="1"/>
  <c r="S79" i="26"/>
  <c r="S117" i="26" s="1"/>
  <c r="Y32" i="26"/>
  <c r="F105" i="25"/>
  <c r="F91" i="25"/>
  <c r="F78" i="25"/>
  <c r="Y113" i="26"/>
  <c r="M79" i="26"/>
  <c r="M117" i="26" s="1"/>
  <c r="C79" i="26"/>
  <c r="C117" i="26" s="1"/>
  <c r="G79" i="6"/>
  <c r="G117" i="6" s="1"/>
  <c r="G150" i="6" s="1"/>
  <c r="Y52" i="26"/>
  <c r="Y49" i="26"/>
  <c r="Y18" i="26"/>
  <c r="Y91" i="26"/>
  <c r="G79" i="17"/>
  <c r="G117" i="17" s="1"/>
  <c r="G150" i="17" s="1"/>
  <c r="F49" i="25"/>
  <c r="F113" i="25"/>
  <c r="Y105" i="26"/>
  <c r="W149" i="24"/>
  <c r="W78" i="24"/>
  <c r="W32" i="24"/>
  <c r="F18" i="25"/>
  <c r="F149" i="25"/>
  <c r="W49" i="24"/>
  <c r="W55" i="24"/>
  <c r="W113" i="24"/>
  <c r="W91" i="24"/>
  <c r="L91" i="26"/>
  <c r="L52" i="26"/>
  <c r="Z52" i="26"/>
  <c r="L49" i="26"/>
  <c r="L32" i="26"/>
  <c r="L18" i="26"/>
  <c r="L105" i="26"/>
  <c r="L78" i="26"/>
  <c r="L55" i="26"/>
  <c r="Z55" i="26"/>
  <c r="L113" i="26"/>
  <c r="L79" i="22"/>
  <c r="L117" i="22" s="1"/>
  <c r="L149" i="22" s="1"/>
  <c r="C79" i="25"/>
  <c r="C117" i="25" s="1"/>
  <c r="C150" i="25" s="1"/>
  <c r="G122" i="28" l="1"/>
  <c r="G124" i="28"/>
  <c r="G123" i="28"/>
  <c r="G117" i="28"/>
  <c r="G113" i="28"/>
  <c r="G111" i="28"/>
  <c r="G126" i="28"/>
  <c r="G125" i="28"/>
  <c r="G115" i="28"/>
  <c r="G114" i="28"/>
  <c r="G116" i="28"/>
  <c r="G138" i="28"/>
  <c r="G112" i="28"/>
  <c r="G137" i="28"/>
  <c r="G110" i="28"/>
  <c r="W79" i="29"/>
  <c r="W117" i="29" s="1"/>
  <c r="D41" i="28"/>
  <c r="D59" i="28"/>
  <c r="D4" i="28"/>
  <c r="G4" i="28"/>
  <c r="Z18" i="26"/>
  <c r="C3" i="28"/>
  <c r="B4" i="27"/>
  <c r="Z78" i="26"/>
  <c r="Z49" i="26"/>
  <c r="Y79" i="26"/>
  <c r="Y117" i="26" s="1"/>
  <c r="Z105" i="26"/>
  <c r="Z32" i="26"/>
  <c r="Z113" i="26"/>
  <c r="F79" i="25"/>
  <c r="F117" i="25" s="1"/>
  <c r="F150" i="25" s="1"/>
  <c r="Z91" i="26"/>
  <c r="W79" i="24"/>
  <c r="W117" i="24" s="1"/>
  <c r="W150" i="24" s="1"/>
  <c r="W149" i="29" s="1"/>
  <c r="L79" i="26"/>
  <c r="L117" i="26" s="1"/>
  <c r="L150" i="22"/>
  <c r="C117" i="10"/>
  <c r="C115" i="10"/>
  <c r="G115" i="24" s="1"/>
  <c r="L115" i="24" s="1"/>
  <c r="Z115" i="24" s="1"/>
  <c r="C114" i="10"/>
  <c r="G114" i="24" s="1"/>
  <c r="C113" i="10"/>
  <c r="C112" i="10"/>
  <c r="G112" i="24" s="1"/>
  <c r="C111" i="10"/>
  <c r="G111" i="24" s="1"/>
  <c r="L111" i="24" s="1"/>
  <c r="Z111" i="24" s="1"/>
  <c r="C110" i="10"/>
  <c r="G110" i="24" s="1"/>
  <c r="L110" i="24" s="1"/>
  <c r="Z110" i="24" s="1"/>
  <c r="C109" i="10"/>
  <c r="G109" i="24" s="1"/>
  <c r="L109" i="24" s="1"/>
  <c r="Z109" i="24" s="1"/>
  <c r="C106" i="10"/>
  <c r="C105" i="10"/>
  <c r="C104" i="10"/>
  <c r="G104" i="24" s="1"/>
  <c r="G104" i="29" s="1"/>
  <c r="L104" i="29" s="1"/>
  <c r="Z104" i="29" s="1"/>
  <c r="C103" i="10"/>
  <c r="G103" i="24" s="1"/>
  <c r="C100" i="10"/>
  <c r="G100" i="24" s="1"/>
  <c r="C99" i="10"/>
  <c r="G99" i="24" s="1"/>
  <c r="C98" i="10"/>
  <c r="G98" i="24" s="1"/>
  <c r="C97" i="10"/>
  <c r="G97" i="24" s="1"/>
  <c r="C96" i="10"/>
  <c r="G96" i="24" s="1"/>
  <c r="C95" i="10"/>
  <c r="G95" i="24" s="1"/>
  <c r="C94" i="10"/>
  <c r="G94" i="24" s="1"/>
  <c r="C93" i="10"/>
  <c r="G93" i="24" s="1"/>
  <c r="C85" i="10"/>
  <c r="G85" i="24" s="1"/>
  <c r="C84" i="10"/>
  <c r="G84" i="24" s="1"/>
  <c r="C83" i="10"/>
  <c r="G83" i="24" s="1"/>
  <c r="C81" i="10"/>
  <c r="G81" i="24" s="1"/>
  <c r="C70" i="10"/>
  <c r="G70" i="24" s="1"/>
  <c r="C69" i="10"/>
  <c r="G69" i="24" s="1"/>
  <c r="C68" i="10"/>
  <c r="G68" i="24" s="1"/>
  <c r="C67" i="10"/>
  <c r="G67" i="24" s="1"/>
  <c r="C66" i="10"/>
  <c r="G66" i="24" s="1"/>
  <c r="C65" i="10"/>
  <c r="G65" i="24" s="1"/>
  <c r="C64" i="10"/>
  <c r="G64" i="24" s="1"/>
  <c r="C63" i="10"/>
  <c r="G63" i="24" s="1"/>
  <c r="C62" i="10"/>
  <c r="G62" i="24" s="1"/>
  <c r="C61" i="10"/>
  <c r="G61" i="24" s="1"/>
  <c r="C60" i="10"/>
  <c r="G60" i="24" s="1"/>
  <c r="C59" i="10"/>
  <c r="G59" i="24" s="1"/>
  <c r="C57" i="10"/>
  <c r="G57" i="24" s="1"/>
  <c r="C56" i="10"/>
  <c r="G56" i="24" s="1"/>
  <c r="C54" i="10"/>
  <c r="G54" i="24" s="1"/>
  <c r="C53" i="10"/>
  <c r="G53" i="24" s="1"/>
  <c r="C51" i="10"/>
  <c r="G51" i="24" s="1"/>
  <c r="C50" i="10"/>
  <c r="G50" i="24" s="1"/>
  <c r="C41" i="10"/>
  <c r="G41" i="24" s="1"/>
  <c r="C40" i="10"/>
  <c r="G40" i="24" s="1"/>
  <c r="C39" i="10"/>
  <c r="G39" i="24" s="1"/>
  <c r="C38" i="10"/>
  <c r="G38" i="24" s="1"/>
  <c r="C37" i="10"/>
  <c r="G37" i="24" s="1"/>
  <c r="C36" i="10"/>
  <c r="G36" i="24" s="1"/>
  <c r="C35" i="10"/>
  <c r="G35" i="24" s="1"/>
  <c r="C34" i="10"/>
  <c r="G34" i="24" s="1"/>
  <c r="C33" i="10"/>
  <c r="G33" i="24" s="1"/>
  <c r="C22" i="10"/>
  <c r="G22" i="24" s="1"/>
  <c r="C21" i="10"/>
  <c r="G21" i="24" s="1"/>
  <c r="C20" i="10"/>
  <c r="G20" i="24" s="1"/>
  <c r="C19" i="10"/>
  <c r="G19" i="24" s="1"/>
  <c r="C3" i="10"/>
  <c r="G95" i="29" l="1"/>
  <c r="L95" i="29" s="1"/>
  <c r="Z95" i="29" s="1"/>
  <c r="L95" i="24"/>
  <c r="Z95" i="24" s="1"/>
  <c r="AD95" i="24" s="1"/>
  <c r="G99" i="29"/>
  <c r="L99" i="29" s="1"/>
  <c r="Z99" i="29" s="1"/>
  <c r="L99" i="24"/>
  <c r="Z99" i="24" s="1"/>
  <c r="G96" i="29"/>
  <c r="L96" i="29" s="1"/>
  <c r="Z96" i="29" s="1"/>
  <c r="AD96" i="29" s="1"/>
  <c r="AH96" i="29" s="1"/>
  <c r="L96" i="24"/>
  <c r="Z96" i="24" s="1"/>
  <c r="AD96" i="24" s="1"/>
  <c r="G100" i="29"/>
  <c r="L100" i="29" s="1"/>
  <c r="Z100" i="29" s="1"/>
  <c r="AD100" i="29" s="1"/>
  <c r="AH100" i="29" s="1"/>
  <c r="L100" i="24"/>
  <c r="Z100" i="24" s="1"/>
  <c r="AD100" i="24" s="1"/>
  <c r="G97" i="29"/>
  <c r="L97" i="29" s="1"/>
  <c r="Z97" i="29" s="1"/>
  <c r="AD97" i="29" s="1"/>
  <c r="AH97" i="29" s="1"/>
  <c r="L97" i="24"/>
  <c r="Z97" i="24" s="1"/>
  <c r="AD97" i="24" s="1"/>
  <c r="G103" i="29"/>
  <c r="L103" i="29" s="1"/>
  <c r="Z103" i="29" s="1"/>
  <c r="L103" i="24"/>
  <c r="Z103" i="24" s="1"/>
  <c r="G94" i="29"/>
  <c r="L94" i="29" s="1"/>
  <c r="Z94" i="29" s="1"/>
  <c r="AD94" i="29" s="1"/>
  <c r="AH94" i="29" s="1"/>
  <c r="L94" i="24"/>
  <c r="Z94" i="24" s="1"/>
  <c r="AD94" i="24" s="1"/>
  <c r="G98" i="29"/>
  <c r="L98" i="29" s="1"/>
  <c r="Z98" i="29" s="1"/>
  <c r="L98" i="24"/>
  <c r="Z98" i="24" s="1"/>
  <c r="G69" i="29"/>
  <c r="L69" i="29" s="1"/>
  <c r="Z69" i="29" s="1"/>
  <c r="L69" i="24"/>
  <c r="Z69" i="24" s="1"/>
  <c r="G36" i="29"/>
  <c r="L36" i="29" s="1"/>
  <c r="Z36" i="29" s="1"/>
  <c r="AD36" i="29" s="1"/>
  <c r="AH36" i="29" s="1"/>
  <c r="L36" i="24"/>
  <c r="Z36" i="24" s="1"/>
  <c r="AD36" i="24" s="1"/>
  <c r="G81" i="29"/>
  <c r="L81" i="29" s="1"/>
  <c r="Z81" i="29" s="1"/>
  <c r="L81" i="24"/>
  <c r="Z81" i="24" s="1"/>
  <c r="AD103" i="29"/>
  <c r="AH103" i="29" s="1"/>
  <c r="AD103" i="24"/>
  <c r="G37" i="29"/>
  <c r="L37" i="29" s="1"/>
  <c r="Z37" i="29" s="1"/>
  <c r="AD37" i="29" s="1"/>
  <c r="AH37" i="29" s="1"/>
  <c r="L37" i="24"/>
  <c r="Z37" i="24" s="1"/>
  <c r="AD37" i="24" s="1"/>
  <c r="G60" i="29"/>
  <c r="L60" i="29" s="1"/>
  <c r="Z60" i="29" s="1"/>
  <c r="AD60" i="29" s="1"/>
  <c r="AH60" i="29" s="1"/>
  <c r="L60" i="24"/>
  <c r="Z60" i="24" s="1"/>
  <c r="AD60" i="24" s="1"/>
  <c r="G83" i="29"/>
  <c r="L83" i="29" s="1"/>
  <c r="Z83" i="29" s="1"/>
  <c r="AD83" i="29" s="1"/>
  <c r="AH83" i="29" s="1"/>
  <c r="L83" i="24"/>
  <c r="Z83" i="24" s="1"/>
  <c r="AD83" i="24" s="1"/>
  <c r="AD104" i="29"/>
  <c r="AH104" i="29" s="1"/>
  <c r="L104" i="24"/>
  <c r="Z104" i="24" s="1"/>
  <c r="AD104" i="24" s="1"/>
  <c r="G70" i="29"/>
  <c r="L70" i="29" s="1"/>
  <c r="Z70" i="29" s="1"/>
  <c r="AD70" i="29" s="1"/>
  <c r="AH70" i="29" s="1"/>
  <c r="L70" i="24"/>
  <c r="Z70" i="24" s="1"/>
  <c r="AD70" i="24" s="1"/>
  <c r="G38" i="29"/>
  <c r="L38" i="29" s="1"/>
  <c r="Z38" i="29" s="1"/>
  <c r="AD38" i="29" s="1"/>
  <c r="AH38" i="29" s="1"/>
  <c r="L38" i="24"/>
  <c r="Z38" i="24" s="1"/>
  <c r="AD38" i="24" s="1"/>
  <c r="G61" i="29"/>
  <c r="L61" i="29" s="1"/>
  <c r="Z61" i="29" s="1"/>
  <c r="AD61" i="29" s="1"/>
  <c r="AH61" i="29" s="1"/>
  <c r="L61" i="24"/>
  <c r="Z61" i="24" s="1"/>
  <c r="AD61" i="24" s="1"/>
  <c r="G84" i="29"/>
  <c r="L84" i="29" s="1"/>
  <c r="Z84" i="29" s="1"/>
  <c r="AD84" i="29" s="1"/>
  <c r="AH84" i="29" s="1"/>
  <c r="L84" i="24"/>
  <c r="Z84" i="24" s="1"/>
  <c r="AD84" i="24" s="1"/>
  <c r="G34" i="29"/>
  <c r="L34" i="29" s="1"/>
  <c r="Z34" i="29" s="1"/>
  <c r="AD34" i="29" s="1"/>
  <c r="AH34" i="29" s="1"/>
  <c r="L34" i="24"/>
  <c r="Z34" i="24" s="1"/>
  <c r="AD34" i="24" s="1"/>
  <c r="G59" i="29"/>
  <c r="L59" i="29" s="1"/>
  <c r="Z59" i="29" s="1"/>
  <c r="L59" i="24"/>
  <c r="Z59" i="24" s="1"/>
  <c r="G39" i="29"/>
  <c r="L39" i="29" s="1"/>
  <c r="Z39" i="29" s="1"/>
  <c r="L39" i="24"/>
  <c r="Z39" i="24" s="1"/>
  <c r="G62" i="29"/>
  <c r="L62" i="29" s="1"/>
  <c r="Z62" i="29" s="1"/>
  <c r="L62" i="24"/>
  <c r="Z62" i="24" s="1"/>
  <c r="G85" i="29"/>
  <c r="L85" i="29" s="1"/>
  <c r="Z85" i="29" s="1"/>
  <c r="L85" i="24"/>
  <c r="Z85" i="24" s="1"/>
  <c r="G35" i="29"/>
  <c r="L35" i="29" s="1"/>
  <c r="Z35" i="29" s="1"/>
  <c r="AD35" i="29" s="1"/>
  <c r="AH35" i="29" s="1"/>
  <c r="L35" i="24"/>
  <c r="Z35" i="24" s="1"/>
  <c r="AD35" i="24" s="1"/>
  <c r="G109" i="29"/>
  <c r="L109" i="29" s="1"/>
  <c r="Z109" i="29" s="1"/>
  <c r="AD109" i="29" s="1"/>
  <c r="AH109" i="29" s="1"/>
  <c r="AD109" i="24"/>
  <c r="G110" i="29"/>
  <c r="L110" i="29" s="1"/>
  <c r="Z110" i="29" s="1"/>
  <c r="AD110" i="29" s="1"/>
  <c r="AH110" i="29" s="1"/>
  <c r="AD110" i="24"/>
  <c r="G56" i="29"/>
  <c r="L56" i="29" s="1"/>
  <c r="Z56" i="29" s="1"/>
  <c r="AD56" i="29" s="1"/>
  <c r="AH56" i="29" s="1"/>
  <c r="L56" i="24"/>
  <c r="Z56" i="24" s="1"/>
  <c r="AD56" i="24" s="1"/>
  <c r="G19" i="29"/>
  <c r="L19" i="29" s="1"/>
  <c r="Z19" i="29" s="1"/>
  <c r="AD19" i="29" s="1"/>
  <c r="AH19" i="29" s="1"/>
  <c r="L19" i="24"/>
  <c r="Z19" i="24" s="1"/>
  <c r="AD19" i="24" s="1"/>
  <c r="G50" i="29"/>
  <c r="L50" i="29" s="1"/>
  <c r="Z50" i="29" s="1"/>
  <c r="AD50" i="29" s="1"/>
  <c r="AH50" i="29" s="1"/>
  <c r="L50" i="24"/>
  <c r="Z50" i="24" s="1"/>
  <c r="AD50" i="24" s="1"/>
  <c r="G65" i="29"/>
  <c r="L65" i="29" s="1"/>
  <c r="Z65" i="29" s="1"/>
  <c r="L65" i="24"/>
  <c r="Z65" i="24" s="1"/>
  <c r="AD95" i="29"/>
  <c r="AH95" i="29" s="1"/>
  <c r="G111" i="29"/>
  <c r="L111" i="29" s="1"/>
  <c r="Z111" i="29" s="1"/>
  <c r="AD111" i="29" s="1"/>
  <c r="AH111" i="29" s="1"/>
  <c r="AD111" i="24"/>
  <c r="G115" i="29"/>
  <c r="L115" i="29" s="1"/>
  <c r="Z115" i="29" s="1"/>
  <c r="AD115" i="29" s="1"/>
  <c r="AH115" i="29" s="1"/>
  <c r="AD115" i="24"/>
  <c r="G40" i="29"/>
  <c r="L40" i="29" s="1"/>
  <c r="Z40" i="29" s="1"/>
  <c r="AD40" i="29" s="1"/>
  <c r="AH40" i="29" s="1"/>
  <c r="L40" i="24"/>
  <c r="Z40" i="24" s="1"/>
  <c r="AD40" i="24" s="1"/>
  <c r="G41" i="29"/>
  <c r="L41" i="29" s="1"/>
  <c r="Z41" i="29" s="1"/>
  <c r="AD41" i="29" s="1"/>
  <c r="AH41" i="29" s="1"/>
  <c r="L41" i="24"/>
  <c r="Z41" i="24" s="1"/>
  <c r="AD41" i="24" s="1"/>
  <c r="G20" i="29"/>
  <c r="L20" i="29" s="1"/>
  <c r="Z20" i="29" s="1"/>
  <c r="AD20" i="29" s="1"/>
  <c r="AH20" i="29" s="1"/>
  <c r="L20" i="24"/>
  <c r="Z20" i="24" s="1"/>
  <c r="AD20" i="24" s="1"/>
  <c r="G51" i="29"/>
  <c r="L51" i="29" s="1"/>
  <c r="Z51" i="29" s="1"/>
  <c r="AD51" i="29" s="1"/>
  <c r="AH51" i="29" s="1"/>
  <c r="L51" i="24"/>
  <c r="Z51" i="24" s="1"/>
  <c r="AD51" i="24" s="1"/>
  <c r="G66" i="29"/>
  <c r="L66" i="29" s="1"/>
  <c r="Z66" i="29" s="1"/>
  <c r="AD66" i="29" s="1"/>
  <c r="AH66" i="29" s="1"/>
  <c r="L66" i="24"/>
  <c r="Z66" i="24" s="1"/>
  <c r="AD66" i="24" s="1"/>
  <c r="G112" i="29"/>
  <c r="L112" i="29" s="1"/>
  <c r="Z112" i="29" s="1"/>
  <c r="AD112" i="29" s="1"/>
  <c r="AH112" i="29" s="1"/>
  <c r="L112" i="24"/>
  <c r="Z112" i="24" s="1"/>
  <c r="AD112" i="24" s="1"/>
  <c r="G57" i="29"/>
  <c r="L57" i="29" s="1"/>
  <c r="Z57" i="29" s="1"/>
  <c r="AD57" i="29" s="1"/>
  <c r="AH57" i="29" s="1"/>
  <c r="L57" i="24"/>
  <c r="Z57" i="24" s="1"/>
  <c r="AD57" i="24" s="1"/>
  <c r="G93" i="29"/>
  <c r="L93" i="29" s="1"/>
  <c r="Z93" i="29" s="1"/>
  <c r="AD93" i="29" s="1"/>
  <c r="AH93" i="29" s="1"/>
  <c r="L93" i="24"/>
  <c r="Z93" i="24" s="1"/>
  <c r="AD93" i="24" s="1"/>
  <c r="G64" i="29"/>
  <c r="L64" i="29" s="1"/>
  <c r="Z64" i="29" s="1"/>
  <c r="AD64" i="29" s="1"/>
  <c r="AH64" i="29" s="1"/>
  <c r="L64" i="24"/>
  <c r="Z64" i="24" s="1"/>
  <c r="AD64" i="24" s="1"/>
  <c r="G22" i="29"/>
  <c r="L22" i="29" s="1"/>
  <c r="Z22" i="29" s="1"/>
  <c r="L22" i="24"/>
  <c r="Z22" i="24" s="1"/>
  <c r="G53" i="29"/>
  <c r="L53" i="29" s="1"/>
  <c r="Z53" i="29" s="1"/>
  <c r="AD53" i="29" s="1"/>
  <c r="AH53" i="29" s="1"/>
  <c r="L53" i="24"/>
  <c r="Z53" i="24" s="1"/>
  <c r="AD53" i="24" s="1"/>
  <c r="G67" i="29"/>
  <c r="L67" i="29" s="1"/>
  <c r="Z67" i="29" s="1"/>
  <c r="AD67" i="29" s="1"/>
  <c r="AH67" i="29" s="1"/>
  <c r="L67" i="24"/>
  <c r="Z67" i="24" s="1"/>
  <c r="AD67" i="24" s="1"/>
  <c r="G63" i="29"/>
  <c r="L63" i="29" s="1"/>
  <c r="Z63" i="29" s="1"/>
  <c r="AD63" i="29" s="1"/>
  <c r="AH63" i="29" s="1"/>
  <c r="L63" i="24"/>
  <c r="Z63" i="24" s="1"/>
  <c r="AD63" i="24" s="1"/>
  <c r="G21" i="29"/>
  <c r="L21" i="29" s="1"/>
  <c r="Z21" i="29" s="1"/>
  <c r="AD21" i="29" s="1"/>
  <c r="AH21" i="29" s="1"/>
  <c r="L21" i="24"/>
  <c r="Z21" i="24" s="1"/>
  <c r="AD21" i="24" s="1"/>
  <c r="G33" i="29"/>
  <c r="L33" i="29" s="1"/>
  <c r="Z33" i="29" s="1"/>
  <c r="AD33" i="29" s="1"/>
  <c r="AH33" i="29" s="1"/>
  <c r="L33" i="24"/>
  <c r="Z33" i="24" s="1"/>
  <c r="AD33" i="24" s="1"/>
  <c r="G54" i="29"/>
  <c r="L54" i="29" s="1"/>
  <c r="Z54" i="29" s="1"/>
  <c r="AD54" i="29" s="1"/>
  <c r="AH54" i="29" s="1"/>
  <c r="L54" i="24"/>
  <c r="Z54" i="24" s="1"/>
  <c r="AD54" i="24" s="1"/>
  <c r="G68" i="29"/>
  <c r="L68" i="29" s="1"/>
  <c r="Z68" i="29" s="1"/>
  <c r="AD68" i="29" s="1"/>
  <c r="AH68" i="29" s="1"/>
  <c r="L68" i="24"/>
  <c r="Z68" i="24" s="1"/>
  <c r="AD68" i="24" s="1"/>
  <c r="G114" i="29"/>
  <c r="L114" i="29" s="1"/>
  <c r="Z114" i="29" s="1"/>
  <c r="AD114" i="29" s="1"/>
  <c r="AH114" i="29" s="1"/>
  <c r="L114" i="24"/>
  <c r="Z114" i="24" s="1"/>
  <c r="AD114" i="24" s="1"/>
  <c r="C149" i="19"/>
  <c r="C149" i="15"/>
  <c r="C149" i="20"/>
  <c r="C149" i="11"/>
  <c r="C149" i="13"/>
  <c r="C149" i="6"/>
  <c r="B94" i="27"/>
  <c r="B94" i="28"/>
  <c r="D94" i="28" s="1"/>
  <c r="C149" i="12"/>
  <c r="C149" i="18"/>
  <c r="C149" i="8"/>
  <c r="C149" i="14"/>
  <c r="C149" i="9"/>
  <c r="C149" i="7"/>
  <c r="C149" i="5"/>
  <c r="C169" i="10"/>
  <c r="C149" i="16"/>
  <c r="C149" i="17"/>
  <c r="W150" i="29"/>
  <c r="P3" i="24"/>
  <c r="P3" i="29" s="1"/>
  <c r="K3" i="24"/>
  <c r="K3" i="29" s="1"/>
  <c r="E3" i="24"/>
  <c r="E3" i="29" s="1"/>
  <c r="F3" i="24"/>
  <c r="F3" i="29" s="1"/>
  <c r="I3" i="24"/>
  <c r="I3" i="29" s="1"/>
  <c r="O3" i="24"/>
  <c r="O3" i="29" s="1"/>
  <c r="Q3" i="24"/>
  <c r="R3" i="24"/>
  <c r="R3" i="29" s="1"/>
  <c r="D3" i="24"/>
  <c r="D3" i="29" s="1"/>
  <c r="S3" i="24"/>
  <c r="S3" i="29" s="1"/>
  <c r="N3" i="24"/>
  <c r="G3" i="24"/>
  <c r="G3" i="29" s="1"/>
  <c r="J3" i="24"/>
  <c r="J3" i="29" s="1"/>
  <c r="H3" i="24"/>
  <c r="H3" i="29" s="1"/>
  <c r="T3" i="24"/>
  <c r="C83" i="27"/>
  <c r="C12" i="28"/>
  <c r="C56" i="28" s="1"/>
  <c r="C90" i="28" s="1"/>
  <c r="Z79" i="26"/>
  <c r="Z117" i="26" s="1"/>
  <c r="G150" i="26"/>
  <c r="R149" i="26"/>
  <c r="R150" i="26" s="1"/>
  <c r="O149" i="26"/>
  <c r="O150" i="26" s="1"/>
  <c r="K149" i="26"/>
  <c r="K150" i="26" s="1"/>
  <c r="I149" i="26"/>
  <c r="I150" i="26" s="1"/>
  <c r="M149" i="26"/>
  <c r="M150" i="26" s="1"/>
  <c r="J149" i="26"/>
  <c r="J150" i="26" s="1"/>
  <c r="F149" i="26"/>
  <c r="F150" i="26" s="1"/>
  <c r="H149" i="26"/>
  <c r="H150" i="26" s="1"/>
  <c r="E149" i="26"/>
  <c r="E150" i="26" s="1"/>
  <c r="D149" i="26"/>
  <c r="D150" i="26" s="1"/>
  <c r="Q149" i="26"/>
  <c r="Q150" i="26" s="1"/>
  <c r="S149" i="26"/>
  <c r="S150" i="26" s="1"/>
  <c r="P149" i="26"/>
  <c r="P150" i="26" s="1"/>
  <c r="F103" i="20"/>
  <c r="F103" i="9"/>
  <c r="F103" i="11"/>
  <c r="F100" i="5"/>
  <c r="F103" i="10"/>
  <c r="F100" i="15"/>
  <c r="F103" i="16"/>
  <c r="F100" i="13"/>
  <c r="F103" i="18"/>
  <c r="F100" i="6"/>
  <c r="F103" i="17"/>
  <c r="F100" i="8"/>
  <c r="F103" i="14"/>
  <c r="F22" i="10"/>
  <c r="F22" i="15"/>
  <c r="F22" i="16"/>
  <c r="F22" i="13"/>
  <c r="F22" i="18"/>
  <c r="F22" i="6"/>
  <c r="F22" i="17"/>
  <c r="F22" i="8"/>
  <c r="F22" i="14"/>
  <c r="F99" i="19"/>
  <c r="F100" i="19"/>
  <c r="F103" i="19"/>
  <c r="F99" i="20"/>
  <c r="F100" i="20"/>
  <c r="F99" i="12"/>
  <c r="F100" i="12"/>
  <c r="F103" i="12"/>
  <c r="F99" i="9"/>
  <c r="F100" i="9"/>
  <c r="F99" i="7"/>
  <c r="F100" i="7"/>
  <c r="F103" i="7"/>
  <c r="F99" i="11"/>
  <c r="F100" i="11"/>
  <c r="F99" i="5"/>
  <c r="F103" i="5"/>
  <c r="F99" i="10"/>
  <c r="F100" i="10"/>
  <c r="F99" i="15"/>
  <c r="F103" i="15"/>
  <c r="F99" i="16"/>
  <c r="F100" i="16"/>
  <c r="F99" i="13"/>
  <c r="F103" i="13"/>
  <c r="F99" i="18"/>
  <c r="F100" i="18"/>
  <c r="F99" i="6"/>
  <c r="F103" i="6"/>
  <c r="F99" i="17"/>
  <c r="F100" i="17"/>
  <c r="F99" i="8"/>
  <c r="F103" i="8"/>
  <c r="F99" i="14"/>
  <c r="F100" i="14"/>
  <c r="F22" i="19"/>
  <c r="F22" i="20"/>
  <c r="F22" i="12"/>
  <c r="F22" i="9"/>
  <c r="F22" i="7"/>
  <c r="F22" i="11"/>
  <c r="F22" i="5"/>
  <c r="G105" i="13"/>
  <c r="N3" i="29" l="1"/>
  <c r="Y3" i="24"/>
  <c r="Q3" i="29"/>
  <c r="M3" i="29"/>
  <c r="B107" i="27"/>
  <c r="D107" i="27" s="1"/>
  <c r="B104" i="27"/>
  <c r="D104" i="27" s="1"/>
  <c r="B93" i="28"/>
  <c r="D93" i="28" s="1"/>
  <c r="B101" i="27"/>
  <c r="D101" i="27" s="1"/>
  <c r="B104" i="28"/>
  <c r="D104" i="28" s="1"/>
  <c r="B121" i="28"/>
  <c r="B119" i="28"/>
  <c r="B107" i="28"/>
  <c r="D107" i="28" s="1"/>
  <c r="G94" i="28"/>
  <c r="N52" i="24"/>
  <c r="T52" i="29"/>
  <c r="S52" i="29"/>
  <c r="T52" i="24"/>
  <c r="I52" i="29"/>
  <c r="F55" i="24"/>
  <c r="T55" i="24"/>
  <c r="Q52" i="24"/>
  <c r="D55" i="24"/>
  <c r="D55" i="29"/>
  <c r="T18" i="24"/>
  <c r="T3" i="29"/>
  <c r="T18" i="29" s="1"/>
  <c r="R49" i="29"/>
  <c r="S113" i="24"/>
  <c r="S78" i="29"/>
  <c r="K113" i="24"/>
  <c r="K113" i="29"/>
  <c r="M91" i="24"/>
  <c r="I55" i="24"/>
  <c r="I55" i="29"/>
  <c r="T113" i="24"/>
  <c r="H52" i="24"/>
  <c r="H52" i="29"/>
  <c r="N55" i="24"/>
  <c r="N55" i="29"/>
  <c r="R52" i="24"/>
  <c r="D52" i="24"/>
  <c r="D52" i="29"/>
  <c r="J52" i="24"/>
  <c r="J52" i="29"/>
  <c r="F52" i="24"/>
  <c r="F52" i="29"/>
  <c r="P55" i="24"/>
  <c r="P55" i="29"/>
  <c r="Q55" i="24"/>
  <c r="Q55" i="29"/>
  <c r="R55" i="24"/>
  <c r="R55" i="29"/>
  <c r="E55" i="24"/>
  <c r="E55" i="29"/>
  <c r="D78" i="24"/>
  <c r="G18" i="24"/>
  <c r="H32" i="24"/>
  <c r="N113" i="24"/>
  <c r="S52" i="24"/>
  <c r="D105" i="24"/>
  <c r="M113" i="24"/>
  <c r="P91" i="24"/>
  <c r="T78" i="24"/>
  <c r="F32" i="24"/>
  <c r="E52" i="24"/>
  <c r="H18" i="24"/>
  <c r="D91" i="24"/>
  <c r="Q32" i="24"/>
  <c r="M18" i="24"/>
  <c r="P113" i="24"/>
  <c r="H49" i="24"/>
  <c r="K91" i="24"/>
  <c r="I52" i="24"/>
  <c r="D113" i="24"/>
  <c r="P32" i="24"/>
  <c r="N32" i="24"/>
  <c r="T32" i="24"/>
  <c r="O55" i="24"/>
  <c r="R78" i="24"/>
  <c r="Q49" i="24"/>
  <c r="S91" i="24"/>
  <c r="M78" i="24"/>
  <c r="F91" i="24"/>
  <c r="K105" i="24"/>
  <c r="F18" i="24"/>
  <c r="E113" i="24"/>
  <c r="P52" i="24"/>
  <c r="K55" i="24"/>
  <c r="I91" i="24"/>
  <c r="P52" i="29"/>
  <c r="P105" i="29"/>
  <c r="I78" i="29"/>
  <c r="O105" i="29"/>
  <c r="T78" i="29"/>
  <c r="K32" i="29"/>
  <c r="T105" i="29"/>
  <c r="P105" i="24"/>
  <c r="N105" i="24"/>
  <c r="O18" i="24"/>
  <c r="R32" i="24"/>
  <c r="I78" i="24"/>
  <c r="O105" i="24"/>
  <c r="G49" i="24"/>
  <c r="H105" i="24"/>
  <c r="D32" i="24"/>
  <c r="F113" i="24"/>
  <c r="F78" i="24"/>
  <c r="J113" i="24"/>
  <c r="J49" i="24"/>
  <c r="F49" i="24"/>
  <c r="R49" i="24"/>
  <c r="Q91" i="24"/>
  <c r="K32" i="24"/>
  <c r="S78" i="24"/>
  <c r="O32" i="24"/>
  <c r="Q78" i="24"/>
  <c r="K78" i="24"/>
  <c r="T105" i="24"/>
  <c r="S55" i="24"/>
  <c r="G32" i="24"/>
  <c r="O49" i="24"/>
  <c r="N18" i="24"/>
  <c r="S32" i="24"/>
  <c r="S18" i="24"/>
  <c r="T91" i="24"/>
  <c r="R91" i="24"/>
  <c r="Q113" i="29"/>
  <c r="Q52" i="29"/>
  <c r="F32" i="29"/>
  <c r="E91" i="29"/>
  <c r="G55" i="29"/>
  <c r="G18" i="29"/>
  <c r="G52" i="29"/>
  <c r="K91" i="29"/>
  <c r="N18" i="29"/>
  <c r="J18" i="29"/>
  <c r="O91" i="29"/>
  <c r="K18" i="29"/>
  <c r="Q113" i="24"/>
  <c r="Q105" i="24"/>
  <c r="D18" i="24"/>
  <c r="I49" i="24"/>
  <c r="H55" i="24"/>
  <c r="J78" i="24"/>
  <c r="N49" i="24"/>
  <c r="M49" i="24"/>
  <c r="E91" i="24"/>
  <c r="F105" i="24"/>
  <c r="S49" i="24"/>
  <c r="G55" i="24"/>
  <c r="H113" i="24"/>
  <c r="I105" i="24"/>
  <c r="T49" i="24"/>
  <c r="P78" i="24"/>
  <c r="G105" i="24"/>
  <c r="J55" i="24"/>
  <c r="I113" i="24"/>
  <c r="R18" i="24"/>
  <c r="D49" i="24"/>
  <c r="M32" i="24"/>
  <c r="H91" i="24"/>
  <c r="I32" i="24"/>
  <c r="Q18" i="24"/>
  <c r="E78" i="24"/>
  <c r="E32" i="24"/>
  <c r="J105" i="24"/>
  <c r="M105" i="24"/>
  <c r="G52" i="24"/>
  <c r="E18" i="24"/>
  <c r="G91" i="24"/>
  <c r="K49" i="24"/>
  <c r="K52" i="24"/>
  <c r="E49" i="24"/>
  <c r="J18" i="24"/>
  <c r="O78" i="24"/>
  <c r="I18" i="24"/>
  <c r="J91" i="24"/>
  <c r="O91" i="24"/>
  <c r="R113" i="24"/>
  <c r="R105" i="24"/>
  <c r="K18" i="24"/>
  <c r="E105" i="24"/>
  <c r="H78" i="24"/>
  <c r="S105" i="24"/>
  <c r="G78" i="24"/>
  <c r="P49" i="24"/>
  <c r="J32" i="24"/>
  <c r="M52" i="24"/>
  <c r="P18" i="24"/>
  <c r="F91" i="29"/>
  <c r="K105" i="29"/>
  <c r="O52" i="29"/>
  <c r="J49" i="29"/>
  <c r="S55" i="29"/>
  <c r="R91" i="29"/>
  <c r="Q105" i="29"/>
  <c r="H49" i="29"/>
  <c r="J78" i="29"/>
  <c r="H113" i="29"/>
  <c r="J55" i="29"/>
  <c r="I113" i="29"/>
  <c r="H91" i="29"/>
  <c r="K55" i="29"/>
  <c r="E32" i="29"/>
  <c r="F49" i="29"/>
  <c r="I18" i="29"/>
  <c r="P113" i="29"/>
  <c r="P32" i="29"/>
  <c r="D49" i="29"/>
  <c r="B3" i="24"/>
  <c r="F3" i="2"/>
  <c r="S49" i="29"/>
  <c r="N91" i="24"/>
  <c r="H18" i="29"/>
  <c r="P49" i="29"/>
  <c r="T49" i="29"/>
  <c r="C3" i="24"/>
  <c r="C3" i="29" s="1"/>
  <c r="S105" i="29"/>
  <c r="K52" i="29"/>
  <c r="N52" i="29"/>
  <c r="F55" i="29"/>
  <c r="K78" i="29"/>
  <c r="E105" i="29"/>
  <c r="I105" i="29"/>
  <c r="F78" i="29"/>
  <c r="N113" i="29"/>
  <c r="G49" i="29"/>
  <c r="H78" i="29"/>
  <c r="O55" i="29"/>
  <c r="D32" i="29"/>
  <c r="F113" i="29"/>
  <c r="E113" i="29"/>
  <c r="G91" i="29"/>
  <c r="I49" i="29"/>
  <c r="Q91" i="29"/>
  <c r="G32" i="29"/>
  <c r="Q78" i="29"/>
  <c r="E78" i="29"/>
  <c r="P91" i="29"/>
  <c r="E52" i="29"/>
  <c r="O18" i="29"/>
  <c r="F105" i="29"/>
  <c r="P18" i="29"/>
  <c r="H55" i="29"/>
  <c r="E49" i="29"/>
  <c r="H105" i="29"/>
  <c r="R18" i="29"/>
  <c r="E18" i="29"/>
  <c r="O52" i="24"/>
  <c r="D91" i="29"/>
  <c r="Q18" i="29"/>
  <c r="O113" i="24"/>
  <c r="J105" i="29"/>
  <c r="G105" i="29"/>
  <c r="Q49" i="29"/>
  <c r="I91" i="29"/>
  <c r="G78" i="29"/>
  <c r="T91" i="29"/>
  <c r="I32" i="29"/>
  <c r="T32" i="29"/>
  <c r="N49" i="29"/>
  <c r="J91" i="29"/>
  <c r="Q32" i="29"/>
  <c r="M55" i="24"/>
  <c r="O49" i="29"/>
  <c r="S32" i="29"/>
  <c r="M32" i="29"/>
  <c r="R113" i="29"/>
  <c r="O113" i="29"/>
  <c r="S91" i="29"/>
  <c r="O78" i="29"/>
  <c r="J32" i="29"/>
  <c r="H32" i="29"/>
  <c r="K49" i="29"/>
  <c r="R78" i="29"/>
  <c r="J113" i="29"/>
  <c r="T55" i="29"/>
  <c r="F18" i="29"/>
  <c r="D78" i="29"/>
  <c r="P78" i="29"/>
  <c r="D113" i="29"/>
  <c r="D18" i="29"/>
  <c r="S18" i="29"/>
  <c r="D105" i="29"/>
  <c r="O32" i="29"/>
  <c r="N78" i="24"/>
  <c r="N91" i="29"/>
  <c r="T149" i="26"/>
  <c r="T150" i="26" s="1"/>
  <c r="F100" i="2"/>
  <c r="F99" i="4"/>
  <c r="C149" i="26"/>
  <c r="C150" i="26" s="1"/>
  <c r="Y149" i="26"/>
  <c r="N149" i="26"/>
  <c r="N150" i="26" s="1"/>
  <c r="F99" i="2"/>
  <c r="F103" i="2"/>
  <c r="F22" i="2"/>
  <c r="F100" i="4"/>
  <c r="F22" i="4"/>
  <c r="F103" i="4"/>
  <c r="C78" i="14"/>
  <c r="C78" i="19"/>
  <c r="C78" i="20"/>
  <c r="C78" i="12"/>
  <c r="C78" i="11"/>
  <c r="C78" i="5"/>
  <c r="C78" i="13"/>
  <c r="C78" i="8"/>
  <c r="C78" i="9"/>
  <c r="C78" i="10"/>
  <c r="C78" i="16"/>
  <c r="C78" i="18"/>
  <c r="C78" i="17"/>
  <c r="C78" i="4"/>
  <c r="C78" i="7"/>
  <c r="C78" i="15"/>
  <c r="C78" i="6"/>
  <c r="G169" i="10"/>
  <c r="D149" i="15"/>
  <c r="D149" i="14"/>
  <c r="M18" i="29" l="1"/>
  <c r="Y3" i="29"/>
  <c r="B3" i="29"/>
  <c r="L3" i="29" s="1"/>
  <c r="L3" i="24"/>
  <c r="Z3" i="24" s="1"/>
  <c r="M52" i="29"/>
  <c r="M105" i="29"/>
  <c r="M55" i="29"/>
  <c r="D119" i="28"/>
  <c r="G119" i="28"/>
  <c r="D121" i="28"/>
  <c r="G121" i="28"/>
  <c r="B118" i="28"/>
  <c r="B120" i="28"/>
  <c r="B101" i="28"/>
  <c r="D101" i="28" s="1"/>
  <c r="B102" i="27"/>
  <c r="D102" i="27" s="1"/>
  <c r="B92" i="28"/>
  <c r="D92" i="28" s="1"/>
  <c r="B102" i="28"/>
  <c r="D102" i="28" s="1"/>
  <c r="B93" i="27"/>
  <c r="B92" i="27"/>
  <c r="B103" i="27"/>
  <c r="D103" i="27" s="1"/>
  <c r="B103" i="28"/>
  <c r="D103" i="28" s="1"/>
  <c r="B97" i="28"/>
  <c r="D97" i="28" s="1"/>
  <c r="B97" i="27"/>
  <c r="B99" i="27"/>
  <c r="D99" i="27" s="1"/>
  <c r="B99" i="28"/>
  <c r="D99" i="28" s="1"/>
  <c r="B105" i="27"/>
  <c r="D105" i="27" s="1"/>
  <c r="B105" i="28"/>
  <c r="D105" i="28" s="1"/>
  <c r="B100" i="27"/>
  <c r="D100" i="27" s="1"/>
  <c r="B100" i="28"/>
  <c r="D100" i="28" s="1"/>
  <c r="B95" i="28"/>
  <c r="D95" i="28" s="1"/>
  <c r="B96" i="28"/>
  <c r="D96" i="28" s="1"/>
  <c r="B96" i="27"/>
  <c r="B98" i="28"/>
  <c r="D98" i="28" s="1"/>
  <c r="B98" i="27"/>
  <c r="D98" i="27" s="1"/>
  <c r="R52" i="29"/>
  <c r="S113" i="29"/>
  <c r="B15" i="28"/>
  <c r="G15" i="28" s="1"/>
  <c r="Y49" i="29"/>
  <c r="M113" i="29"/>
  <c r="M49" i="29"/>
  <c r="R32" i="29"/>
  <c r="T113" i="29"/>
  <c r="Y18" i="29"/>
  <c r="M91" i="29"/>
  <c r="N32" i="29"/>
  <c r="N78" i="29"/>
  <c r="Y55" i="29"/>
  <c r="B25" i="27"/>
  <c r="B7" i="28"/>
  <c r="D7" i="28" s="1"/>
  <c r="B14" i="28"/>
  <c r="G14" i="28" s="1"/>
  <c r="N105" i="29"/>
  <c r="B52" i="24"/>
  <c r="B43" i="28"/>
  <c r="D43" i="28" s="1"/>
  <c r="B24" i="28"/>
  <c r="R105" i="29"/>
  <c r="B55" i="24"/>
  <c r="B44" i="27"/>
  <c r="M78" i="29"/>
  <c r="B73" i="28"/>
  <c r="G73" i="28" s="1"/>
  <c r="B76" i="28"/>
  <c r="D76" i="28" s="1"/>
  <c r="B20" i="27"/>
  <c r="B50" i="28"/>
  <c r="B75" i="27"/>
  <c r="B13" i="27"/>
  <c r="H79" i="24"/>
  <c r="H117" i="24" s="1"/>
  <c r="B74" i="28"/>
  <c r="G74" i="28" s="1"/>
  <c r="B49" i="28"/>
  <c r="Q79" i="24"/>
  <c r="Q117" i="24" s="1"/>
  <c r="B89" i="28"/>
  <c r="F79" i="24"/>
  <c r="F117" i="24" s="1"/>
  <c r="B77" i="28"/>
  <c r="G77" i="28" s="1"/>
  <c r="B6" i="28"/>
  <c r="G6" i="28" s="1"/>
  <c r="R79" i="24"/>
  <c r="R117" i="24" s="1"/>
  <c r="G79" i="24"/>
  <c r="B40" i="28"/>
  <c r="G40" i="28" s="1"/>
  <c r="B86" i="28"/>
  <c r="D86" i="28" s="1"/>
  <c r="B68" i="28"/>
  <c r="D68" i="28" s="1"/>
  <c r="C55" i="24"/>
  <c r="B19" i="28"/>
  <c r="D19" i="28" s="1"/>
  <c r="E79" i="24"/>
  <c r="E117" i="24" s="1"/>
  <c r="Y52" i="24"/>
  <c r="T79" i="24"/>
  <c r="T117" i="24" s="1"/>
  <c r="B53" i="27"/>
  <c r="N79" i="24"/>
  <c r="N117" i="24" s="1"/>
  <c r="B8" i="28"/>
  <c r="B31" i="28"/>
  <c r="G31" i="28" s="1"/>
  <c r="B62" i="28"/>
  <c r="Y91" i="24"/>
  <c r="B54" i="27"/>
  <c r="B29" i="28"/>
  <c r="B82" i="28"/>
  <c r="G82" i="28" s="1"/>
  <c r="B16" i="28"/>
  <c r="G16" i="28" s="1"/>
  <c r="Y32" i="24"/>
  <c r="I79" i="24"/>
  <c r="I117" i="24" s="1"/>
  <c r="S79" i="24"/>
  <c r="S117" i="24" s="1"/>
  <c r="Y55" i="24"/>
  <c r="D79" i="29"/>
  <c r="D117" i="29" s="1"/>
  <c r="K79" i="29"/>
  <c r="K117" i="29" s="1"/>
  <c r="O79" i="24"/>
  <c r="O117" i="24" s="1"/>
  <c r="Y49" i="24"/>
  <c r="B81" i="28"/>
  <c r="B63" i="28"/>
  <c r="G63" i="28" s="1"/>
  <c r="C49" i="24"/>
  <c r="K79" i="24"/>
  <c r="K117" i="24" s="1"/>
  <c r="Y113" i="24"/>
  <c r="Y105" i="24"/>
  <c r="B47" i="28"/>
  <c r="D47" i="28" s="1"/>
  <c r="B72" i="27"/>
  <c r="B42" i="28"/>
  <c r="G42" i="28" s="1"/>
  <c r="B10" i="28"/>
  <c r="G10" i="28" s="1"/>
  <c r="Y18" i="24"/>
  <c r="Y78" i="24"/>
  <c r="J79" i="24"/>
  <c r="J117" i="24" s="1"/>
  <c r="D79" i="24"/>
  <c r="D117" i="24" s="1"/>
  <c r="B18" i="28"/>
  <c r="D18" i="28" s="1"/>
  <c r="B78" i="24"/>
  <c r="B91" i="24"/>
  <c r="B71" i="28"/>
  <c r="C18" i="24"/>
  <c r="P79" i="24"/>
  <c r="P117" i="24" s="1"/>
  <c r="Y91" i="29"/>
  <c r="H79" i="29"/>
  <c r="H117" i="29" s="1"/>
  <c r="B67" i="27"/>
  <c r="B46" i="28"/>
  <c r="B51" i="28"/>
  <c r="G51" i="28" s="1"/>
  <c r="B60" i="27"/>
  <c r="B22" i="28"/>
  <c r="B27" i="28"/>
  <c r="D27" i="28" s="1"/>
  <c r="T79" i="29"/>
  <c r="B26" i="28"/>
  <c r="G26" i="28" s="1"/>
  <c r="B37" i="28"/>
  <c r="D37" i="28" s="1"/>
  <c r="C55" i="29"/>
  <c r="B36" i="28"/>
  <c r="B48" i="28"/>
  <c r="C91" i="24"/>
  <c r="B11" i="28"/>
  <c r="G11" i="28" s="1"/>
  <c r="M79" i="24"/>
  <c r="M117" i="24" s="1"/>
  <c r="B45" i="28"/>
  <c r="C32" i="24"/>
  <c r="B88" i="28"/>
  <c r="D88" i="28" s="1"/>
  <c r="C113" i="24"/>
  <c r="B69" i="28"/>
  <c r="G69" i="28" s="1"/>
  <c r="B17" i="27"/>
  <c r="D17" i="27" s="1"/>
  <c r="B113" i="24"/>
  <c r="B70" i="28"/>
  <c r="C52" i="24"/>
  <c r="B18" i="24"/>
  <c r="O79" i="29"/>
  <c r="O117" i="29" s="1"/>
  <c r="B49" i="24"/>
  <c r="I79" i="29"/>
  <c r="I117" i="29" s="1"/>
  <c r="Y32" i="29"/>
  <c r="C91" i="29"/>
  <c r="C78" i="24"/>
  <c r="B34" i="27"/>
  <c r="Y105" i="29"/>
  <c r="B52" i="28"/>
  <c r="G52" i="28" s="1"/>
  <c r="Q79" i="29"/>
  <c r="Q117" i="29" s="1"/>
  <c r="G79" i="29"/>
  <c r="B32" i="29"/>
  <c r="B78" i="29"/>
  <c r="B105" i="24"/>
  <c r="B113" i="29"/>
  <c r="B33" i="27"/>
  <c r="B39" i="28"/>
  <c r="D39" i="28" s="1"/>
  <c r="B49" i="29"/>
  <c r="S79" i="29"/>
  <c r="J79" i="29"/>
  <c r="J117" i="29" s="1"/>
  <c r="C52" i="29"/>
  <c r="F79" i="29"/>
  <c r="F117" i="29" s="1"/>
  <c r="E79" i="29"/>
  <c r="E117" i="29" s="1"/>
  <c r="B32" i="24"/>
  <c r="B58" i="28"/>
  <c r="D58" i="28" s="1"/>
  <c r="C105" i="29"/>
  <c r="P79" i="29"/>
  <c r="P117" i="29" s="1"/>
  <c r="C15" i="27"/>
  <c r="C84" i="27"/>
  <c r="C27" i="27"/>
  <c r="Y150" i="26"/>
  <c r="C105" i="24"/>
  <c r="F149" i="24"/>
  <c r="F149" i="14"/>
  <c r="P149" i="24"/>
  <c r="O149" i="24"/>
  <c r="E149" i="13"/>
  <c r="E149" i="4"/>
  <c r="F149" i="15"/>
  <c r="F149" i="20"/>
  <c r="F169" i="10"/>
  <c r="F149" i="17"/>
  <c r="F149" i="8"/>
  <c r="F149" i="11"/>
  <c r="F149" i="7"/>
  <c r="F149" i="16"/>
  <c r="F149" i="6"/>
  <c r="F149" i="9"/>
  <c r="F149" i="5"/>
  <c r="F149" i="18"/>
  <c r="F149" i="13"/>
  <c r="F149" i="19"/>
  <c r="F149" i="12"/>
  <c r="F149" i="4"/>
  <c r="Q149" i="24"/>
  <c r="K149" i="24"/>
  <c r="C149" i="24"/>
  <c r="T149" i="24"/>
  <c r="J149" i="24"/>
  <c r="S149" i="24"/>
  <c r="I149" i="24"/>
  <c r="E149" i="24"/>
  <c r="R149" i="24"/>
  <c r="M149" i="24"/>
  <c r="H149" i="24"/>
  <c r="D149" i="24"/>
  <c r="A1" i="10"/>
  <c r="B18" i="29" l="1"/>
  <c r="Y52" i="29"/>
  <c r="Y113" i="29"/>
  <c r="B3" i="27"/>
  <c r="D120" i="28"/>
  <c r="G120" i="28"/>
  <c r="D118" i="28"/>
  <c r="G118" i="28"/>
  <c r="B106" i="28"/>
  <c r="D106" i="28" s="1"/>
  <c r="B106" i="27"/>
  <c r="D106" i="27" s="1"/>
  <c r="G100" i="28"/>
  <c r="G101" i="28"/>
  <c r="B29" i="27"/>
  <c r="D29" i="27" s="1"/>
  <c r="G102" i="28"/>
  <c r="B91" i="29"/>
  <c r="S117" i="29"/>
  <c r="G105" i="28"/>
  <c r="B15" i="27"/>
  <c r="D15" i="27" s="1"/>
  <c r="G95" i="28"/>
  <c r="G92" i="28"/>
  <c r="R79" i="29"/>
  <c r="R117" i="29" s="1"/>
  <c r="D15" i="28"/>
  <c r="B49" i="27"/>
  <c r="B13" i="28"/>
  <c r="D13" i="28" s="1"/>
  <c r="B74" i="27"/>
  <c r="M79" i="29"/>
  <c r="M117" i="29" s="1"/>
  <c r="B76" i="27"/>
  <c r="B20" i="28"/>
  <c r="G20" i="28" s="1"/>
  <c r="B50" i="27"/>
  <c r="B84" i="27"/>
  <c r="D84" i="27" s="1"/>
  <c r="E150" i="24"/>
  <c r="E149" i="29" s="1"/>
  <c r="E150" i="29" s="1"/>
  <c r="C113" i="29"/>
  <c r="G107" i="28"/>
  <c r="G108" i="28"/>
  <c r="Q150" i="24"/>
  <c r="Q149" i="29" s="1"/>
  <c r="Q150" i="29" s="1"/>
  <c r="B19" i="27"/>
  <c r="D19" i="27" s="1"/>
  <c r="B73" i="27"/>
  <c r="B43" i="27"/>
  <c r="D73" i="28"/>
  <c r="B25" i="28"/>
  <c r="D25" i="28" s="1"/>
  <c r="B84" i="28"/>
  <c r="G84" i="28" s="1"/>
  <c r="G104" i="28"/>
  <c r="B68" i="27"/>
  <c r="B62" i="27"/>
  <c r="J150" i="24"/>
  <c r="J149" i="29" s="1"/>
  <c r="J150" i="29" s="1"/>
  <c r="G68" i="28"/>
  <c r="D74" i="28"/>
  <c r="C18" i="29"/>
  <c r="T117" i="29"/>
  <c r="B77" i="27"/>
  <c r="Y78" i="29"/>
  <c r="G43" i="28"/>
  <c r="B72" i="28"/>
  <c r="G72" i="28" s="1"/>
  <c r="B53" i="28"/>
  <c r="D53" i="28" s="1"/>
  <c r="B71" i="27"/>
  <c r="G96" i="28"/>
  <c r="B75" i="28"/>
  <c r="G75" i="28" s="1"/>
  <c r="B81" i="27"/>
  <c r="D81" i="27" s="1"/>
  <c r="N79" i="29"/>
  <c r="N117" i="29" s="1"/>
  <c r="B85" i="27"/>
  <c r="B85" i="28"/>
  <c r="D85" i="28" s="1"/>
  <c r="B8" i="27"/>
  <c r="D77" i="28"/>
  <c r="C32" i="29"/>
  <c r="F150" i="24"/>
  <c r="F149" i="29" s="1"/>
  <c r="F150" i="29" s="1"/>
  <c r="Y79" i="24"/>
  <c r="Y117" i="24" s="1"/>
  <c r="B5" i="27"/>
  <c r="B5" i="28"/>
  <c r="G5" i="28" s="1"/>
  <c r="B61" i="28"/>
  <c r="B61" i="27"/>
  <c r="B23" i="28"/>
  <c r="G23" i="28" s="1"/>
  <c r="B23" i="27"/>
  <c r="D14" i="28"/>
  <c r="B55" i="29"/>
  <c r="B105" i="29"/>
  <c r="B6" i="27"/>
  <c r="G86" i="28"/>
  <c r="B14" i="27"/>
  <c r="D82" i="28"/>
  <c r="D40" i="28"/>
  <c r="C78" i="29"/>
  <c r="C49" i="29"/>
  <c r="B24" i="27"/>
  <c r="G76" i="28"/>
  <c r="B30" i="27"/>
  <c r="D30" i="27" s="1"/>
  <c r="B9" i="27"/>
  <c r="B9" i="28"/>
  <c r="G9" i="28" s="1"/>
  <c r="I150" i="24"/>
  <c r="I149" i="29" s="1"/>
  <c r="I150" i="29" s="1"/>
  <c r="B86" i="27"/>
  <c r="D42" i="28"/>
  <c r="G7" i="28"/>
  <c r="G19" i="28"/>
  <c r="B44" i="28"/>
  <c r="D44" i="28" s="1"/>
  <c r="B52" i="29"/>
  <c r="G47" i="28"/>
  <c r="D6" i="28"/>
  <c r="H150" i="24"/>
  <c r="H149" i="29" s="1"/>
  <c r="H150" i="29" s="1"/>
  <c r="R150" i="24"/>
  <c r="R149" i="29" s="1"/>
  <c r="S150" i="24"/>
  <c r="S149" i="29" s="1"/>
  <c r="K150" i="24"/>
  <c r="K149" i="29" s="1"/>
  <c r="K150" i="29" s="1"/>
  <c r="B31" i="27"/>
  <c r="D31" i="27" s="1"/>
  <c r="B7" i="27"/>
  <c r="B10" i="27"/>
  <c r="B82" i="27"/>
  <c r="D82" i="27" s="1"/>
  <c r="B42" i="27"/>
  <c r="B47" i="27"/>
  <c r="B30" i="28"/>
  <c r="G30" i="28" s="1"/>
  <c r="B60" i="28"/>
  <c r="B54" i="28"/>
  <c r="D54" i="28" s="1"/>
  <c r="B40" i="27"/>
  <c r="B18" i="27"/>
  <c r="D18" i="27" s="1"/>
  <c r="B28" i="27"/>
  <c r="B80" i="28"/>
  <c r="D80" i="28" s="1"/>
  <c r="B83" i="28"/>
  <c r="B83" i="27"/>
  <c r="D83" i="27" s="1"/>
  <c r="D31" i="28"/>
  <c r="G18" i="28"/>
  <c r="B46" i="27"/>
  <c r="B28" i="28"/>
  <c r="G28" i="28" s="1"/>
  <c r="B67" i="28"/>
  <c r="G67" i="28" s="1"/>
  <c r="B22" i="27"/>
  <c r="B48" i="27"/>
  <c r="T150" i="24"/>
  <c r="T149" i="29" s="1"/>
  <c r="B26" i="27"/>
  <c r="B17" i="28"/>
  <c r="D26" i="28"/>
  <c r="B70" i="27"/>
  <c r="M150" i="24"/>
  <c r="B51" i="27"/>
  <c r="B16" i="27"/>
  <c r="D16" i="28"/>
  <c r="C79" i="24"/>
  <c r="C117" i="24" s="1"/>
  <c r="C150" i="24" s="1"/>
  <c r="C149" i="29" s="1"/>
  <c r="D10" i="28"/>
  <c r="D150" i="24"/>
  <c r="D149" i="29" s="1"/>
  <c r="D150" i="29" s="1"/>
  <c r="P150" i="24"/>
  <c r="P149" i="29" s="1"/>
  <c r="P150" i="29" s="1"/>
  <c r="B58" i="27"/>
  <c r="L18" i="24"/>
  <c r="B36" i="27"/>
  <c r="B34" i="28"/>
  <c r="D34" i="28" s="1"/>
  <c r="O150" i="24"/>
  <c r="O149" i="29" s="1"/>
  <c r="O150" i="29" s="1"/>
  <c r="B39" i="27"/>
  <c r="D39" i="27" s="1"/>
  <c r="B63" i="27"/>
  <c r="L91" i="24"/>
  <c r="D51" i="28"/>
  <c r="B11" i="27"/>
  <c r="B79" i="24"/>
  <c r="B117" i="24" s="1"/>
  <c r="L49" i="24"/>
  <c r="B27" i="27"/>
  <c r="D27" i="27" s="1"/>
  <c r="G27" i="28"/>
  <c r="G37" i="28"/>
  <c r="G58" i="28"/>
  <c r="G39" i="28"/>
  <c r="D69" i="28"/>
  <c r="G88" i="28"/>
  <c r="D11" i="28"/>
  <c r="D52" i="28"/>
  <c r="L78" i="24"/>
  <c r="L55" i="24"/>
  <c r="B37" i="27"/>
  <c r="D37" i="27" s="1"/>
  <c r="B52" i="27"/>
  <c r="B69" i="27"/>
  <c r="B45" i="27"/>
  <c r="B88" i="27"/>
  <c r="L32" i="29"/>
  <c r="L78" i="29"/>
  <c r="L52" i="24"/>
  <c r="L105" i="29"/>
  <c r="G70" i="28"/>
  <c r="D70" i="28"/>
  <c r="D63" i="28"/>
  <c r="L91" i="29"/>
  <c r="B66" i="28"/>
  <c r="B66" i="27"/>
  <c r="L49" i="29"/>
  <c r="G48" i="28"/>
  <c r="D48" i="28"/>
  <c r="B33" i="28"/>
  <c r="L55" i="29"/>
  <c r="L18" i="29"/>
  <c r="Z3" i="29"/>
  <c r="D24" i="28"/>
  <c r="G24" i="28"/>
  <c r="G71" i="28"/>
  <c r="D71" i="28"/>
  <c r="G89" i="28"/>
  <c r="D89" i="28"/>
  <c r="G49" i="28"/>
  <c r="D49" i="28"/>
  <c r="G103" i="28"/>
  <c r="D45" i="28"/>
  <c r="G45" i="28"/>
  <c r="D36" i="28"/>
  <c r="D38" i="28" s="1"/>
  <c r="G36" i="28"/>
  <c r="B38" i="28"/>
  <c r="B3" i="28"/>
  <c r="D8" i="28"/>
  <c r="G8" i="28"/>
  <c r="D46" i="28"/>
  <c r="G46" i="28"/>
  <c r="G29" i="28"/>
  <c r="D29" i="28"/>
  <c r="D22" i="28"/>
  <c r="G22" i="28"/>
  <c r="G62" i="28"/>
  <c r="D62" i="28"/>
  <c r="G99" i="28"/>
  <c r="G81" i="28"/>
  <c r="D81" i="28"/>
  <c r="G50" i="28"/>
  <c r="D50" i="28"/>
  <c r="N149" i="24"/>
  <c r="Z91" i="24"/>
  <c r="Z18" i="24"/>
  <c r="Z78" i="24"/>
  <c r="Z105" i="24"/>
  <c r="Z55" i="24"/>
  <c r="Z52" i="24"/>
  <c r="Z49" i="24"/>
  <c r="L149" i="26"/>
  <c r="L150" i="26" s="1"/>
  <c r="Z32" i="24"/>
  <c r="L32" i="24"/>
  <c r="L105" i="24"/>
  <c r="G113" i="20"/>
  <c r="G105" i="20"/>
  <c r="G91" i="20"/>
  <c r="G78" i="20"/>
  <c r="G55" i="20"/>
  <c r="G52" i="20"/>
  <c r="G49" i="20"/>
  <c r="G32" i="20"/>
  <c r="G18" i="20"/>
  <c r="G113" i="19"/>
  <c r="G105" i="19"/>
  <c r="G91" i="19"/>
  <c r="G78" i="19"/>
  <c r="G55" i="19"/>
  <c r="G52" i="19"/>
  <c r="G49" i="19"/>
  <c r="G32" i="19"/>
  <c r="G18" i="19"/>
  <c r="G113" i="11"/>
  <c r="G105" i="11"/>
  <c r="G91" i="11"/>
  <c r="G78" i="11"/>
  <c r="G55" i="11"/>
  <c r="G52" i="11"/>
  <c r="G49" i="11"/>
  <c r="G32" i="11"/>
  <c r="G18" i="11"/>
  <c r="G113" i="9"/>
  <c r="G105" i="9"/>
  <c r="G91" i="9"/>
  <c r="G78" i="9"/>
  <c r="G55" i="9"/>
  <c r="G52" i="9"/>
  <c r="G49" i="9"/>
  <c r="G32" i="9"/>
  <c r="G18" i="9"/>
  <c r="G116" i="10"/>
  <c r="G107" i="10"/>
  <c r="G91" i="10"/>
  <c r="G78" i="10"/>
  <c r="G55" i="10"/>
  <c r="G52" i="10"/>
  <c r="G49" i="10"/>
  <c r="G32" i="10"/>
  <c r="G18" i="10"/>
  <c r="G113" i="12"/>
  <c r="G105" i="12"/>
  <c r="G91" i="12"/>
  <c r="G78" i="12"/>
  <c r="G55" i="12"/>
  <c r="G52" i="12"/>
  <c r="G49" i="12"/>
  <c r="G32" i="12"/>
  <c r="G18" i="12"/>
  <c r="G113" i="7"/>
  <c r="G105" i="7"/>
  <c r="G91" i="7"/>
  <c r="G78" i="7"/>
  <c r="G55" i="7"/>
  <c r="G52" i="7"/>
  <c r="G49" i="7"/>
  <c r="G32" i="7"/>
  <c r="G113" i="5"/>
  <c r="G105" i="5"/>
  <c r="G91" i="5"/>
  <c r="G78" i="5"/>
  <c r="G55" i="5"/>
  <c r="G52" i="5"/>
  <c r="G49" i="5"/>
  <c r="G32" i="5"/>
  <c r="G18" i="5"/>
  <c r="Y79" i="29" l="1"/>
  <c r="Y117" i="29" s="1"/>
  <c r="G106" i="28"/>
  <c r="T150" i="29"/>
  <c r="R150" i="29"/>
  <c r="S150" i="29"/>
  <c r="N150" i="24"/>
  <c r="M149" i="29"/>
  <c r="M150" i="29" s="1"/>
  <c r="G98" i="28"/>
  <c r="G93" i="28"/>
  <c r="G97" i="28"/>
  <c r="G13" i="28"/>
  <c r="Z49" i="29"/>
  <c r="D20" i="28"/>
  <c r="B21" i="28"/>
  <c r="G25" i="28"/>
  <c r="G32" i="28" s="1"/>
  <c r="Z149" i="26"/>
  <c r="Z150" i="26" s="1"/>
  <c r="D84" i="28"/>
  <c r="G53" i="28"/>
  <c r="D72" i="28"/>
  <c r="G44" i="28"/>
  <c r="D5" i="28"/>
  <c r="G85" i="28"/>
  <c r="B64" i="28"/>
  <c r="G60" i="28"/>
  <c r="G34" i="28"/>
  <c r="D75" i="28"/>
  <c r="B79" i="29"/>
  <c r="B117" i="29" s="1"/>
  <c r="D9" i="28"/>
  <c r="L52" i="29"/>
  <c r="L79" i="29" s="1"/>
  <c r="C79" i="29"/>
  <c r="C117" i="29" s="1"/>
  <c r="C150" i="29" s="1"/>
  <c r="D23" i="28"/>
  <c r="D67" i="28"/>
  <c r="D60" i="28"/>
  <c r="G61" i="28"/>
  <c r="D61" i="28"/>
  <c r="G80" i="28"/>
  <c r="B78" i="28"/>
  <c r="B87" i="28"/>
  <c r="G54" i="28"/>
  <c r="D30" i="28"/>
  <c r="B55" i="28"/>
  <c r="B12" i="27"/>
  <c r="B21" i="27"/>
  <c r="D17" i="28"/>
  <c r="D28" i="28"/>
  <c r="D83" i="28"/>
  <c r="G83" i="28"/>
  <c r="G17" i="28"/>
  <c r="B32" i="28"/>
  <c r="B35" i="28"/>
  <c r="G38" i="28"/>
  <c r="Z78" i="29"/>
  <c r="Z91" i="29"/>
  <c r="D33" i="28"/>
  <c r="D35" i="28" s="1"/>
  <c r="G33" i="28"/>
  <c r="Z105" i="29"/>
  <c r="Z32" i="29"/>
  <c r="L79" i="24"/>
  <c r="Z55" i="29"/>
  <c r="Z18" i="29"/>
  <c r="G66" i="28"/>
  <c r="G78" i="28" s="1"/>
  <c r="D66" i="28"/>
  <c r="Z52" i="29"/>
  <c r="C85" i="27"/>
  <c r="C14" i="27"/>
  <c r="D14" i="27" s="1"/>
  <c r="C26" i="27"/>
  <c r="D26" i="27" s="1"/>
  <c r="D55" i="28"/>
  <c r="G3" i="28"/>
  <c r="G12" i="28" s="1"/>
  <c r="B12" i="28"/>
  <c r="D3" i="28"/>
  <c r="Z79" i="24"/>
  <c r="B64" i="27"/>
  <c r="B32" i="27"/>
  <c r="B35" i="27"/>
  <c r="B38" i="27"/>
  <c r="B78" i="27"/>
  <c r="B55" i="27"/>
  <c r="G79" i="12"/>
  <c r="G117" i="12" s="1"/>
  <c r="G150" i="12" s="1"/>
  <c r="G79" i="19"/>
  <c r="G117" i="19" s="1"/>
  <c r="G150" i="19" s="1"/>
  <c r="G79" i="10"/>
  <c r="G120" i="10" s="1"/>
  <c r="G170" i="10" s="1"/>
  <c r="G79" i="20"/>
  <c r="G117" i="20" s="1"/>
  <c r="G150" i="20" s="1"/>
  <c r="G79" i="5"/>
  <c r="G117" i="5" s="1"/>
  <c r="G150" i="5" s="1"/>
  <c r="G79" i="9"/>
  <c r="G117" i="9" s="1"/>
  <c r="G150" i="9" s="1"/>
  <c r="G79" i="7"/>
  <c r="G117" i="7" s="1"/>
  <c r="G150" i="7" s="1"/>
  <c r="G79" i="11"/>
  <c r="G117" i="11" s="1"/>
  <c r="G150" i="11" s="1"/>
  <c r="N149" i="29" l="1"/>
  <c r="N150" i="29" s="1"/>
  <c r="G21" i="28"/>
  <c r="D21" i="28"/>
  <c r="C139" i="28"/>
  <c r="C140" i="28" s="1"/>
  <c r="G109" i="28"/>
  <c r="D87" i="28"/>
  <c r="G55" i="28"/>
  <c r="G35" i="28"/>
  <c r="G64" i="28"/>
  <c r="D12" i="28"/>
  <c r="D78" i="28"/>
  <c r="D64" i="28"/>
  <c r="G87" i="28"/>
  <c r="D32" i="28"/>
  <c r="B56" i="28"/>
  <c r="B90" i="28" s="1"/>
  <c r="Z79" i="29"/>
  <c r="D85" i="27"/>
  <c r="C13" i="27"/>
  <c r="I149" i="21"/>
  <c r="B56" i="27"/>
  <c r="H149" i="21"/>
  <c r="D149" i="21"/>
  <c r="J149" i="21"/>
  <c r="K149" i="21"/>
  <c r="E149" i="21"/>
  <c r="F149" i="21"/>
  <c r="Y149" i="29" l="1"/>
  <c r="Y150" i="29" s="1"/>
  <c r="D56" i="28"/>
  <c r="D90" i="28" s="1"/>
  <c r="G56" i="28"/>
  <c r="G90" i="28" s="1"/>
  <c r="D13" i="27"/>
  <c r="C25" i="27"/>
  <c r="D25" i="27" s="1"/>
  <c r="L149" i="21"/>
  <c r="C149" i="36" s="1"/>
  <c r="E149" i="36" s="1"/>
  <c r="C149" i="21"/>
  <c r="C86" i="27" l="1"/>
  <c r="D86" i="27" s="1"/>
  <c r="C24" i="27" l="1"/>
  <c r="D24" i="27" s="1"/>
  <c r="C52" i="9" l="1"/>
  <c r="C55" i="9"/>
  <c r="F62" i="9"/>
  <c r="F61" i="9"/>
  <c r="F60" i="9"/>
  <c r="F59" i="9"/>
  <c r="F57" i="9"/>
  <c r="F56" i="9"/>
  <c r="F54" i="9"/>
  <c r="F53" i="9"/>
  <c r="F51" i="9"/>
  <c r="F50" i="9"/>
  <c r="G91" i="22"/>
  <c r="H55" i="22"/>
  <c r="D55" i="22"/>
  <c r="F52" i="22"/>
  <c r="H32" i="22"/>
  <c r="D32" i="22"/>
  <c r="I3" i="22"/>
  <c r="H3" i="22"/>
  <c r="G3" i="22"/>
  <c r="F3" i="22"/>
  <c r="E3" i="22"/>
  <c r="D3" i="22"/>
  <c r="C3" i="22"/>
  <c r="K3" i="21"/>
  <c r="J3" i="21"/>
  <c r="I3" i="21"/>
  <c r="H3" i="21"/>
  <c r="G3" i="21"/>
  <c r="F3" i="21"/>
  <c r="E3" i="21"/>
  <c r="D3" i="21"/>
  <c r="C3" i="21"/>
  <c r="B3" i="21"/>
  <c r="G113" i="8"/>
  <c r="G105" i="8"/>
  <c r="G91" i="8"/>
  <c r="G78" i="8"/>
  <c r="G55" i="8"/>
  <c r="G52" i="8"/>
  <c r="G49" i="8"/>
  <c r="G32" i="8"/>
  <c r="G18" i="8"/>
  <c r="G113" i="13"/>
  <c r="G91" i="13"/>
  <c r="G78" i="13"/>
  <c r="G55" i="13"/>
  <c r="G52" i="13"/>
  <c r="G49" i="13"/>
  <c r="G32" i="13"/>
  <c r="G18" i="13"/>
  <c r="G113" i="14"/>
  <c r="G105" i="14"/>
  <c r="G91" i="14"/>
  <c r="G78" i="14"/>
  <c r="G55" i="14"/>
  <c r="G52" i="14"/>
  <c r="G49" i="14"/>
  <c r="G32" i="14"/>
  <c r="G18" i="14"/>
  <c r="G113" i="16"/>
  <c r="G105" i="16"/>
  <c r="G91" i="16"/>
  <c r="G78" i="16"/>
  <c r="G55" i="16"/>
  <c r="G52" i="16"/>
  <c r="G49" i="16"/>
  <c r="G32" i="16"/>
  <c r="G18" i="16"/>
  <c r="G113" i="18"/>
  <c r="G105" i="18"/>
  <c r="G91" i="18"/>
  <c r="G78" i="18"/>
  <c r="G55" i="18"/>
  <c r="G52" i="18"/>
  <c r="G49" i="18"/>
  <c r="G32" i="18"/>
  <c r="G18" i="18"/>
  <c r="D113" i="14"/>
  <c r="D113" i="15"/>
  <c r="D105" i="14"/>
  <c r="D105" i="15"/>
  <c r="D91" i="14"/>
  <c r="D91" i="15"/>
  <c r="D78" i="14"/>
  <c r="D78" i="15"/>
  <c r="D55" i="14"/>
  <c r="D55" i="15"/>
  <c r="D52" i="14"/>
  <c r="D52" i="15"/>
  <c r="D49" i="14"/>
  <c r="D49" i="15"/>
  <c r="D32" i="14"/>
  <c r="D32" i="15"/>
  <c r="D18" i="14"/>
  <c r="D18" i="15"/>
  <c r="F3" i="6"/>
  <c r="N3" i="22" l="1"/>
  <c r="L3" i="21"/>
  <c r="C3" i="36" s="1"/>
  <c r="E3" i="36" s="1"/>
  <c r="E117" i="28"/>
  <c r="E119" i="28"/>
  <c r="E121" i="28"/>
  <c r="E123" i="28"/>
  <c r="E125" i="28"/>
  <c r="E127" i="28"/>
  <c r="E128" i="28"/>
  <c r="E129" i="28"/>
  <c r="E130" i="28"/>
  <c r="E131" i="28"/>
  <c r="E132" i="28"/>
  <c r="E133" i="28"/>
  <c r="E134" i="28"/>
  <c r="E135" i="28"/>
  <c r="E136" i="28"/>
  <c r="E137" i="28"/>
  <c r="E138" i="28"/>
  <c r="E116" i="28"/>
  <c r="E118" i="28"/>
  <c r="E120" i="28"/>
  <c r="E122" i="28"/>
  <c r="E124" i="28"/>
  <c r="E126" i="28"/>
  <c r="E93" i="28"/>
  <c r="E95" i="28"/>
  <c r="E97" i="28"/>
  <c r="E99" i="28"/>
  <c r="E101" i="28"/>
  <c r="E103" i="28"/>
  <c r="E105" i="28"/>
  <c r="E107" i="28"/>
  <c r="E109" i="28"/>
  <c r="E111" i="28"/>
  <c r="E113" i="28"/>
  <c r="E115" i="28"/>
  <c r="E92" i="28"/>
  <c r="E94" i="28"/>
  <c r="E96" i="28"/>
  <c r="E98" i="28"/>
  <c r="E100" i="28"/>
  <c r="E102" i="28"/>
  <c r="E104" i="28"/>
  <c r="E106" i="28"/>
  <c r="E108" i="28"/>
  <c r="E110" i="28"/>
  <c r="E112" i="28"/>
  <c r="E114" i="28"/>
  <c r="C23" i="27"/>
  <c r="D23" i="27" s="1"/>
  <c r="F31" i="28"/>
  <c r="F82" i="28"/>
  <c r="F80" i="28"/>
  <c r="F23" i="28"/>
  <c r="F83" i="28"/>
  <c r="F59" i="28"/>
  <c r="F84" i="28"/>
  <c r="F81" i="28"/>
  <c r="F85" i="28"/>
  <c r="F26" i="28"/>
  <c r="F15" i="28"/>
  <c r="F30" i="28"/>
  <c r="F29" i="28"/>
  <c r="F41" i="28"/>
  <c r="F13" i="28"/>
  <c r="F27" i="28"/>
  <c r="F39" i="28"/>
  <c r="F19" i="28"/>
  <c r="F37" i="28"/>
  <c r="F16" i="28"/>
  <c r="F28" i="28"/>
  <c r="F17" i="28"/>
  <c r="F14" i="28"/>
  <c r="F86" i="28"/>
  <c r="F24" i="28"/>
  <c r="F25" i="28"/>
  <c r="F18" i="28"/>
  <c r="E13" i="28"/>
  <c r="E15" i="28"/>
  <c r="E17" i="28"/>
  <c r="E19" i="28"/>
  <c r="E22" i="28"/>
  <c r="E24" i="28"/>
  <c r="E26" i="28"/>
  <c r="E28" i="28"/>
  <c r="E30" i="28"/>
  <c r="E39" i="28"/>
  <c r="E41" i="28"/>
  <c r="E83" i="28"/>
  <c r="E80" i="28"/>
  <c r="E82" i="28"/>
  <c r="E84" i="28"/>
  <c r="E86" i="28"/>
  <c r="E59" i="28"/>
  <c r="E14" i="28"/>
  <c r="E18" i="28"/>
  <c r="E23" i="28"/>
  <c r="E27" i="28"/>
  <c r="E31" i="28"/>
  <c r="E37" i="28"/>
  <c r="E85" i="28"/>
  <c r="E16" i="28"/>
  <c r="E25" i="28"/>
  <c r="E29" i="28"/>
  <c r="E81" i="28"/>
  <c r="J52" i="21"/>
  <c r="G52" i="22"/>
  <c r="B52" i="21"/>
  <c r="F113" i="21"/>
  <c r="E113" i="21"/>
  <c r="D49" i="22"/>
  <c r="H105" i="22"/>
  <c r="G52" i="21"/>
  <c r="G18" i="21"/>
  <c r="E55" i="21"/>
  <c r="E78" i="22"/>
  <c r="I78" i="22"/>
  <c r="E91" i="22"/>
  <c r="C32" i="22"/>
  <c r="K52" i="21"/>
  <c r="F78" i="21"/>
  <c r="E32" i="21"/>
  <c r="C52" i="22"/>
  <c r="J55" i="21"/>
  <c r="G105" i="22"/>
  <c r="G55" i="22"/>
  <c r="C55" i="22"/>
  <c r="K105" i="21"/>
  <c r="I55" i="21"/>
  <c r="I52" i="21"/>
  <c r="H55" i="21"/>
  <c r="G49" i="21"/>
  <c r="F55" i="21"/>
  <c r="F52" i="21"/>
  <c r="F32" i="21"/>
  <c r="E52" i="21"/>
  <c r="F3" i="5"/>
  <c r="F52" i="9"/>
  <c r="F55" i="9"/>
  <c r="D79" i="15"/>
  <c r="D117" i="15" s="1"/>
  <c r="D150" i="15" s="1"/>
  <c r="D79" i="14"/>
  <c r="D117" i="14" s="1"/>
  <c r="D150" i="14" s="1"/>
  <c r="E52" i="22"/>
  <c r="G32" i="22"/>
  <c r="G78" i="22"/>
  <c r="D52" i="22"/>
  <c r="H52" i="22"/>
  <c r="H78" i="22"/>
  <c r="F91" i="22"/>
  <c r="G113" i="22"/>
  <c r="E18" i="22"/>
  <c r="I18" i="22"/>
  <c r="I52" i="22"/>
  <c r="D113" i="22"/>
  <c r="H113" i="22"/>
  <c r="H18" i="22"/>
  <c r="F32" i="22"/>
  <c r="B18" i="22"/>
  <c r="F18" i="22"/>
  <c r="G49" i="22"/>
  <c r="D18" i="22"/>
  <c r="C91" i="22"/>
  <c r="E32" i="22"/>
  <c r="I32" i="22"/>
  <c r="C49" i="22"/>
  <c r="C105" i="22"/>
  <c r="C113" i="22"/>
  <c r="C18" i="22"/>
  <c r="G18" i="22"/>
  <c r="H49" i="22"/>
  <c r="D105" i="22"/>
  <c r="E113" i="22"/>
  <c r="I113" i="22"/>
  <c r="B32" i="22"/>
  <c r="E49" i="22"/>
  <c r="I49" i="22"/>
  <c r="B52" i="22"/>
  <c r="D78" i="22"/>
  <c r="C78" i="22"/>
  <c r="I91" i="22"/>
  <c r="B91" i="22"/>
  <c r="B49" i="22"/>
  <c r="F49" i="22"/>
  <c r="E55" i="22"/>
  <c r="I55" i="22"/>
  <c r="B78" i="22"/>
  <c r="F78" i="22"/>
  <c r="D91" i="22"/>
  <c r="H91" i="22"/>
  <c r="E105" i="22"/>
  <c r="I105" i="22"/>
  <c r="B113" i="22"/>
  <c r="F113" i="22"/>
  <c r="B55" i="22"/>
  <c r="F55" i="22"/>
  <c r="B105" i="22"/>
  <c r="F105" i="22"/>
  <c r="C113" i="21"/>
  <c r="K113" i="21"/>
  <c r="G113" i="21"/>
  <c r="B32" i="21"/>
  <c r="J32" i="21"/>
  <c r="F49" i="21"/>
  <c r="J49" i="21"/>
  <c r="D55" i="21"/>
  <c r="E91" i="21"/>
  <c r="I91" i="21"/>
  <c r="C105" i="21"/>
  <c r="G105" i="21"/>
  <c r="I32" i="21"/>
  <c r="K49" i="21"/>
  <c r="J78" i="21"/>
  <c r="H105" i="21"/>
  <c r="J113" i="21"/>
  <c r="I113" i="21"/>
  <c r="K18" i="21"/>
  <c r="C49" i="21"/>
  <c r="I18" i="21"/>
  <c r="D49" i="21"/>
  <c r="B49" i="21"/>
  <c r="D78" i="21"/>
  <c r="G91" i="21"/>
  <c r="B113" i="21"/>
  <c r="B18" i="21"/>
  <c r="F18" i="21"/>
  <c r="J18" i="21"/>
  <c r="D18" i="21"/>
  <c r="H18" i="21"/>
  <c r="C18" i="21"/>
  <c r="E49" i="21"/>
  <c r="I49" i="21"/>
  <c r="D52" i="21"/>
  <c r="H52" i="21"/>
  <c r="B55" i="21"/>
  <c r="E78" i="21"/>
  <c r="I78" i="21"/>
  <c r="C78" i="21"/>
  <c r="G78" i="21"/>
  <c r="K78" i="21"/>
  <c r="B78" i="21"/>
  <c r="D91" i="21"/>
  <c r="H91" i="21"/>
  <c r="E105" i="21"/>
  <c r="I105" i="21"/>
  <c r="D105" i="21"/>
  <c r="E18" i="21"/>
  <c r="H49" i="21"/>
  <c r="C52" i="21"/>
  <c r="H78" i="21"/>
  <c r="C91" i="21"/>
  <c r="K91" i="21"/>
  <c r="D32" i="21"/>
  <c r="H32" i="21"/>
  <c r="C32" i="21"/>
  <c r="G32" i="21"/>
  <c r="K32" i="21"/>
  <c r="C55" i="21"/>
  <c r="G55" i="21"/>
  <c r="K55" i="21"/>
  <c r="F91" i="21"/>
  <c r="J91" i="21"/>
  <c r="B105" i="21"/>
  <c r="F105" i="21"/>
  <c r="J105" i="21"/>
  <c r="D113" i="21"/>
  <c r="H113" i="21"/>
  <c r="B91" i="21"/>
  <c r="G79" i="13"/>
  <c r="G117" i="13" s="1"/>
  <c r="G150" i="13" s="1"/>
  <c r="G79" i="8"/>
  <c r="G117" i="8" s="1"/>
  <c r="G150" i="8" s="1"/>
  <c r="G79" i="18"/>
  <c r="G117" i="18" s="1"/>
  <c r="G150" i="18" s="1"/>
  <c r="G79" i="16"/>
  <c r="G117" i="16" s="1"/>
  <c r="G150" i="16" s="1"/>
  <c r="G79" i="14"/>
  <c r="G117" i="14" s="1"/>
  <c r="G150" i="14" s="1"/>
  <c r="N18" i="22" l="1"/>
  <c r="F22" i="28"/>
  <c r="F32" i="28" s="1"/>
  <c r="C22" i="27"/>
  <c r="E32" i="28"/>
  <c r="L55" i="21"/>
  <c r="C55" i="36" s="1"/>
  <c r="E55" i="36" s="1"/>
  <c r="L91" i="21"/>
  <c r="C91" i="36" s="1"/>
  <c r="E91" i="36" s="1"/>
  <c r="L105" i="21"/>
  <c r="C105" i="36" s="1"/>
  <c r="E105" i="36" s="1"/>
  <c r="L52" i="21"/>
  <c r="C52" i="36" s="1"/>
  <c r="E52" i="36" s="1"/>
  <c r="F63" i="9"/>
  <c r="N52" i="22"/>
  <c r="H79" i="22"/>
  <c r="H117" i="22" s="1"/>
  <c r="H149" i="22" s="1"/>
  <c r="H150" i="22" s="1"/>
  <c r="I79" i="22"/>
  <c r="I117" i="22" s="1"/>
  <c r="N105" i="22"/>
  <c r="N55" i="22"/>
  <c r="E79" i="22"/>
  <c r="E117" i="22" s="1"/>
  <c r="E149" i="22" s="1"/>
  <c r="E150" i="22" s="1"/>
  <c r="N78" i="22"/>
  <c r="B79" i="22"/>
  <c r="B117" i="22" s="1"/>
  <c r="B150" i="22" s="1"/>
  <c r="N32" i="22"/>
  <c r="G79" i="22"/>
  <c r="G117" i="22" s="1"/>
  <c r="G150" i="22" s="1"/>
  <c r="F79" i="22"/>
  <c r="F117" i="22" s="1"/>
  <c r="F149" i="22" s="1"/>
  <c r="F150" i="22" s="1"/>
  <c r="N91" i="22"/>
  <c r="N113" i="22"/>
  <c r="N49" i="22"/>
  <c r="C79" i="22"/>
  <c r="C117" i="22" s="1"/>
  <c r="C149" i="22" s="1"/>
  <c r="C150" i="22" s="1"/>
  <c r="D79" i="22"/>
  <c r="D117" i="22" s="1"/>
  <c r="K79" i="21"/>
  <c r="K117" i="21" s="1"/>
  <c r="K150" i="21" s="1"/>
  <c r="G79" i="21"/>
  <c r="G117" i="21" s="1"/>
  <c r="G150" i="21" s="1"/>
  <c r="J79" i="21"/>
  <c r="J117" i="21" s="1"/>
  <c r="J150" i="21" s="1"/>
  <c r="F79" i="21"/>
  <c r="F117" i="21" s="1"/>
  <c r="F150" i="21" s="1"/>
  <c r="H79" i="21"/>
  <c r="H117" i="21" s="1"/>
  <c r="H150" i="21" s="1"/>
  <c r="L49" i="21"/>
  <c r="C49" i="36" s="1"/>
  <c r="E49" i="36" s="1"/>
  <c r="L78" i="21"/>
  <c r="C78" i="36" s="1"/>
  <c r="E78" i="36" s="1"/>
  <c r="L32" i="21"/>
  <c r="C32" i="36" s="1"/>
  <c r="E32" i="36" s="1"/>
  <c r="D79" i="21"/>
  <c r="D117" i="21" s="1"/>
  <c r="D150" i="21" s="1"/>
  <c r="B79" i="21"/>
  <c r="B117" i="21" s="1"/>
  <c r="B150" i="21" s="1"/>
  <c r="L113" i="21"/>
  <c r="C113" i="36" s="1"/>
  <c r="E113" i="36" s="1"/>
  <c r="L18" i="21"/>
  <c r="C18" i="36" s="1"/>
  <c r="E18" i="36" s="1"/>
  <c r="E79" i="21"/>
  <c r="E117" i="21" s="1"/>
  <c r="E150" i="21" s="1"/>
  <c r="C79" i="21"/>
  <c r="C117" i="21" s="1"/>
  <c r="C150" i="21" s="1"/>
  <c r="I79" i="21"/>
  <c r="I117" i="21" s="1"/>
  <c r="I150" i="21" s="1"/>
  <c r="D22" i="27" l="1"/>
  <c r="D149" i="22"/>
  <c r="D150" i="22" s="1"/>
  <c r="I149" i="22"/>
  <c r="I150" i="22" s="1"/>
  <c r="F64" i="9"/>
  <c r="N79" i="22"/>
  <c r="N117" i="22" s="1"/>
  <c r="L79" i="21"/>
  <c r="L117" i="21" l="1"/>
  <c r="C79" i="36"/>
  <c r="E79" i="36" s="1"/>
  <c r="N149" i="22"/>
  <c r="N150" i="22" s="1"/>
  <c r="F65" i="9"/>
  <c r="F107" i="20"/>
  <c r="F93" i="20"/>
  <c r="F81" i="20"/>
  <c r="F56" i="20"/>
  <c r="F53" i="20"/>
  <c r="F50" i="20"/>
  <c r="F33" i="20"/>
  <c r="F19" i="20"/>
  <c r="F107" i="19"/>
  <c r="F93" i="19"/>
  <c r="F81" i="19"/>
  <c r="F56" i="19"/>
  <c r="F53" i="19"/>
  <c r="F50" i="19"/>
  <c r="F33" i="19"/>
  <c r="F19" i="19"/>
  <c r="F107" i="18"/>
  <c r="F93" i="18"/>
  <c r="F81" i="18"/>
  <c r="F56" i="18"/>
  <c r="F53" i="18"/>
  <c r="F50" i="18"/>
  <c r="F33" i="18"/>
  <c r="F19" i="18"/>
  <c r="F107" i="17"/>
  <c r="F93" i="17"/>
  <c r="F81" i="17"/>
  <c r="F56" i="17"/>
  <c r="F53" i="17"/>
  <c r="F50" i="17"/>
  <c r="F33" i="17"/>
  <c r="F19" i="17"/>
  <c r="F107" i="16"/>
  <c r="F93" i="16"/>
  <c r="F81" i="16"/>
  <c r="F56" i="16"/>
  <c r="F53" i="16"/>
  <c r="F50" i="16"/>
  <c r="F33" i="16"/>
  <c r="F19" i="16"/>
  <c r="F107" i="15"/>
  <c r="F93" i="15"/>
  <c r="F81" i="15"/>
  <c r="F56" i="15"/>
  <c r="F53" i="15"/>
  <c r="F50" i="15"/>
  <c r="F33" i="15"/>
  <c r="F19" i="15"/>
  <c r="F107" i="14"/>
  <c r="F93" i="14"/>
  <c r="F81" i="14"/>
  <c r="F56" i="14"/>
  <c r="F53" i="14"/>
  <c r="F50" i="14"/>
  <c r="F33" i="14"/>
  <c r="F19" i="14"/>
  <c r="F107" i="13"/>
  <c r="F93" i="13"/>
  <c r="F81" i="13"/>
  <c r="F56" i="13"/>
  <c r="F53" i="13"/>
  <c r="F50" i="13"/>
  <c r="F33" i="13"/>
  <c r="F19" i="13"/>
  <c r="F107" i="12"/>
  <c r="F93" i="12"/>
  <c r="F81" i="12"/>
  <c r="F56" i="12"/>
  <c r="F53" i="12"/>
  <c r="F50" i="12"/>
  <c r="F33" i="12"/>
  <c r="F19" i="12"/>
  <c r="F107" i="11"/>
  <c r="F93" i="11"/>
  <c r="F81" i="11"/>
  <c r="F56" i="11"/>
  <c r="F53" i="11"/>
  <c r="F50" i="11"/>
  <c r="F33" i="11"/>
  <c r="F19" i="11"/>
  <c r="F109" i="10"/>
  <c r="F93" i="10"/>
  <c r="F81" i="10"/>
  <c r="F56" i="10"/>
  <c r="F53" i="10"/>
  <c r="F50" i="10"/>
  <c r="F33" i="10"/>
  <c r="F19" i="10"/>
  <c r="F107" i="9"/>
  <c r="F93" i="9"/>
  <c r="F81" i="9"/>
  <c r="F33" i="9"/>
  <c r="F19" i="9"/>
  <c r="F107" i="8"/>
  <c r="F93" i="8"/>
  <c r="F81" i="8"/>
  <c r="F56" i="8"/>
  <c r="F53" i="8"/>
  <c r="F50" i="8"/>
  <c r="F33" i="8"/>
  <c r="F19" i="8"/>
  <c r="F107" i="7"/>
  <c r="F93" i="7"/>
  <c r="F81" i="7"/>
  <c r="F56" i="7"/>
  <c r="F53" i="7"/>
  <c r="F50" i="7"/>
  <c r="F33" i="7"/>
  <c r="F19" i="7"/>
  <c r="F108" i="6"/>
  <c r="F93" i="6"/>
  <c r="F53" i="6"/>
  <c r="F50" i="6"/>
  <c r="F33" i="6"/>
  <c r="F19" i="6"/>
  <c r="F108" i="5"/>
  <c r="F93" i="5"/>
  <c r="F53" i="5"/>
  <c r="F50" i="5"/>
  <c r="F33" i="5"/>
  <c r="F19" i="5"/>
  <c r="F108" i="4"/>
  <c r="F93" i="4"/>
  <c r="F53" i="4"/>
  <c r="F50" i="4"/>
  <c r="F33" i="4"/>
  <c r="F19" i="4"/>
  <c r="F3" i="4"/>
  <c r="F107" i="2"/>
  <c r="F108" i="2"/>
  <c r="F19" i="2"/>
  <c r="F33" i="2"/>
  <c r="F50" i="2"/>
  <c r="F53" i="2"/>
  <c r="F56" i="2"/>
  <c r="F81" i="2"/>
  <c r="F93" i="2"/>
  <c r="L150" i="21" l="1"/>
  <c r="C150" i="36" s="1"/>
  <c r="E150" i="36" s="1"/>
  <c r="C117" i="36"/>
  <c r="E117" i="36" s="1"/>
  <c r="F96" i="2"/>
  <c r="F64" i="2"/>
  <c r="F10" i="2"/>
  <c r="F110" i="2"/>
  <c r="F35" i="4"/>
  <c r="F54" i="4"/>
  <c r="F66" i="4"/>
  <c r="F83" i="4"/>
  <c r="F97" i="4"/>
  <c r="F62" i="5"/>
  <c r="F70" i="5"/>
  <c r="F38" i="6"/>
  <c r="F57" i="6"/>
  <c r="F8" i="7"/>
  <c r="F40" i="7"/>
  <c r="F54" i="7"/>
  <c r="F66" i="7"/>
  <c r="F83" i="7"/>
  <c r="F111" i="7"/>
  <c r="F10" i="8"/>
  <c r="F51" i="8"/>
  <c r="F64" i="8"/>
  <c r="F85" i="8"/>
  <c r="F108" i="8"/>
  <c r="F35" i="9"/>
  <c r="F85" i="9"/>
  <c r="F104" i="9"/>
  <c r="F114" i="9"/>
  <c r="F35" i="10"/>
  <c r="F94" i="10"/>
  <c r="F6" i="11"/>
  <c r="F51" i="11"/>
  <c r="F57" i="11"/>
  <c r="F68" i="2"/>
  <c r="F36" i="2"/>
  <c r="F20" i="2"/>
  <c r="F112" i="2"/>
  <c r="F5" i="4"/>
  <c r="F60" i="4"/>
  <c r="F95" i="4"/>
  <c r="F107" i="4"/>
  <c r="F112" i="4"/>
  <c r="F35" i="5"/>
  <c r="F54" i="5"/>
  <c r="F66" i="5"/>
  <c r="F94" i="5"/>
  <c r="F97" i="5"/>
  <c r="F111" i="5"/>
  <c r="F7" i="6"/>
  <c r="F34" i="6"/>
  <c r="F39" i="6"/>
  <c r="F62" i="6"/>
  <c r="F65" i="6"/>
  <c r="F70" i="6"/>
  <c r="F5" i="7"/>
  <c r="F9" i="7"/>
  <c r="F20" i="7"/>
  <c r="F36" i="7"/>
  <c r="F41" i="7"/>
  <c r="F60" i="7"/>
  <c r="F63" i="7"/>
  <c r="F68" i="7"/>
  <c r="F84" i="7"/>
  <c r="F95" i="7"/>
  <c r="F98" i="7"/>
  <c r="F109" i="7"/>
  <c r="F112" i="7"/>
  <c r="F3" i="8"/>
  <c r="F7" i="8"/>
  <c r="F34" i="8"/>
  <c r="F39" i="8"/>
  <c r="F62" i="8"/>
  <c r="F65" i="8"/>
  <c r="F70" i="8"/>
  <c r="F5" i="9"/>
  <c r="F9" i="9"/>
  <c r="F20" i="9"/>
  <c r="F36" i="9"/>
  <c r="F41" i="9"/>
  <c r="F5" i="10"/>
  <c r="F9" i="10"/>
  <c r="F20" i="10"/>
  <c r="F36" i="10"/>
  <c r="F41" i="10"/>
  <c r="F60" i="10"/>
  <c r="F63" i="10"/>
  <c r="F68" i="10"/>
  <c r="F84" i="10"/>
  <c r="F95" i="10"/>
  <c r="F98" i="10"/>
  <c r="F111" i="10"/>
  <c r="F115" i="10"/>
  <c r="F3" i="11"/>
  <c r="F7" i="11"/>
  <c r="F34" i="11"/>
  <c r="F39" i="11"/>
  <c r="F62" i="11"/>
  <c r="F65" i="11"/>
  <c r="F70" i="11"/>
  <c r="F5" i="12"/>
  <c r="F9" i="12"/>
  <c r="F20" i="12"/>
  <c r="F36" i="12"/>
  <c r="F41" i="12"/>
  <c r="F60" i="12"/>
  <c r="F63" i="12"/>
  <c r="F68" i="12"/>
  <c r="F84" i="12"/>
  <c r="F95" i="12"/>
  <c r="F98" i="12"/>
  <c r="F109" i="12"/>
  <c r="F112" i="12"/>
  <c r="F3" i="13"/>
  <c r="F7" i="13"/>
  <c r="F34" i="13"/>
  <c r="F39" i="13"/>
  <c r="F62" i="13"/>
  <c r="F65" i="13"/>
  <c r="F70" i="13"/>
  <c r="F5" i="14"/>
  <c r="F9" i="14"/>
  <c r="F20" i="14"/>
  <c r="F36" i="14"/>
  <c r="F41" i="14"/>
  <c r="F60" i="14"/>
  <c r="F63" i="14"/>
  <c r="F68" i="14"/>
  <c r="F84" i="14"/>
  <c r="F95" i="14"/>
  <c r="F98" i="14"/>
  <c r="F109" i="14"/>
  <c r="F112" i="14"/>
  <c r="F3" i="15"/>
  <c r="F7" i="15"/>
  <c r="F34" i="15"/>
  <c r="F39" i="15"/>
  <c r="F62" i="15"/>
  <c r="F65" i="15"/>
  <c r="F70" i="15"/>
  <c r="F5" i="16"/>
  <c r="F9" i="16"/>
  <c r="F20" i="16"/>
  <c r="F36" i="16"/>
  <c r="F41" i="16"/>
  <c r="F60" i="16"/>
  <c r="F63" i="16"/>
  <c r="F68" i="16"/>
  <c r="F84" i="16"/>
  <c r="F95" i="16"/>
  <c r="F98" i="16"/>
  <c r="F109" i="16"/>
  <c r="F112" i="16"/>
  <c r="F3" i="17"/>
  <c r="F7" i="17"/>
  <c r="F34" i="17"/>
  <c r="F39" i="17"/>
  <c r="F62" i="17"/>
  <c r="F65" i="17"/>
  <c r="F70" i="17"/>
  <c r="F5" i="18"/>
  <c r="F9" i="18"/>
  <c r="F20" i="18"/>
  <c r="F36" i="18"/>
  <c r="F41" i="18"/>
  <c r="F60" i="18"/>
  <c r="F63" i="18"/>
  <c r="F68" i="18"/>
  <c r="F84" i="18"/>
  <c r="F95" i="18"/>
  <c r="F98" i="18"/>
  <c r="F109" i="18"/>
  <c r="F112" i="18"/>
  <c r="F3" i="19"/>
  <c r="F7" i="19"/>
  <c r="F34" i="19"/>
  <c r="F39" i="19"/>
  <c r="F62" i="19"/>
  <c r="F65" i="19"/>
  <c r="F70" i="19"/>
  <c r="F5" i="20"/>
  <c r="F9" i="20"/>
  <c r="F20" i="20"/>
  <c r="F36" i="20"/>
  <c r="F41" i="20"/>
  <c r="F60" i="20"/>
  <c r="F63" i="20"/>
  <c r="F68" i="20"/>
  <c r="F84" i="20"/>
  <c r="F95" i="20"/>
  <c r="F98" i="20"/>
  <c r="F109" i="20"/>
  <c r="F112" i="20"/>
  <c r="F85" i="2"/>
  <c r="F51" i="2"/>
  <c r="F37" i="2"/>
  <c r="F21" i="2"/>
  <c r="F114" i="2"/>
  <c r="F40" i="4"/>
  <c r="F59" i="4"/>
  <c r="F67" i="4"/>
  <c r="F94" i="4"/>
  <c r="F7" i="5"/>
  <c r="F10" i="6"/>
  <c r="F64" i="6"/>
  <c r="F69" i="6"/>
  <c r="F96" i="6"/>
  <c r="F104" i="6"/>
  <c r="F114" i="6"/>
  <c r="F59" i="7"/>
  <c r="F94" i="7"/>
  <c r="F6" i="8"/>
  <c r="F21" i="8"/>
  <c r="F37" i="8"/>
  <c r="F57" i="8"/>
  <c r="F104" i="8"/>
  <c r="F114" i="8"/>
  <c r="F40" i="9"/>
  <c r="F110" i="9"/>
  <c r="F8" i="10"/>
  <c r="F40" i="10"/>
  <c r="F54" i="10"/>
  <c r="F66" i="10"/>
  <c r="F83" i="10"/>
  <c r="F97" i="10"/>
  <c r="F106" i="10"/>
  <c r="F10" i="11"/>
  <c r="F61" i="11"/>
  <c r="F98" i="2"/>
  <c r="F84" i="2"/>
  <c r="F63" i="2"/>
  <c r="F109" i="2"/>
  <c r="F9" i="4"/>
  <c r="F56" i="4"/>
  <c r="F59" i="5"/>
  <c r="F67" i="5"/>
  <c r="F94" i="2"/>
  <c r="F83" i="2"/>
  <c r="F66" i="2"/>
  <c r="F59" i="2"/>
  <c r="F35" i="2"/>
  <c r="F6" i="4"/>
  <c r="F21" i="4"/>
  <c r="F37" i="4"/>
  <c r="F38" i="4"/>
  <c r="F51" i="4"/>
  <c r="F57" i="4"/>
  <c r="F61" i="4"/>
  <c r="F64" i="4"/>
  <c r="F69" i="4"/>
  <c r="F81" i="4"/>
  <c r="F85" i="4"/>
  <c r="F96" i="4"/>
  <c r="F104" i="4"/>
  <c r="F110" i="4"/>
  <c r="F114" i="4"/>
  <c r="F5" i="5"/>
  <c r="F9" i="5"/>
  <c r="F20" i="5"/>
  <c r="F36" i="5"/>
  <c r="F41" i="5"/>
  <c r="F56" i="5"/>
  <c r="F60" i="5"/>
  <c r="F63" i="5"/>
  <c r="F68" i="5"/>
  <c r="F84" i="5"/>
  <c r="F95" i="5"/>
  <c r="F98" i="5"/>
  <c r="F107" i="5"/>
  <c r="F109" i="5"/>
  <c r="F112" i="5"/>
  <c r="F8" i="6"/>
  <c r="F35" i="6"/>
  <c r="F40" i="6"/>
  <c r="F54" i="6"/>
  <c r="F59" i="6"/>
  <c r="F66" i="6"/>
  <c r="F67" i="6"/>
  <c r="F83" i="6"/>
  <c r="F94" i="6"/>
  <c r="F97" i="6"/>
  <c r="F111" i="6"/>
  <c r="F6" i="7"/>
  <c r="F10" i="7"/>
  <c r="F21" i="7"/>
  <c r="F37" i="7"/>
  <c r="F38" i="7"/>
  <c r="F51" i="7"/>
  <c r="F57" i="7"/>
  <c r="F61" i="7"/>
  <c r="F64" i="7"/>
  <c r="F69" i="7"/>
  <c r="F85" i="7"/>
  <c r="F96" i="7"/>
  <c r="F104" i="7"/>
  <c r="F108" i="7"/>
  <c r="F110" i="7"/>
  <c r="F114" i="7"/>
  <c r="F8" i="8"/>
  <c r="F35" i="8"/>
  <c r="F40" i="8"/>
  <c r="F54" i="8"/>
  <c r="F59" i="8"/>
  <c r="F66" i="8"/>
  <c r="F67" i="8"/>
  <c r="F83" i="8"/>
  <c r="F94" i="8"/>
  <c r="F97" i="8"/>
  <c r="F111" i="8"/>
  <c r="F6" i="9"/>
  <c r="F10" i="9"/>
  <c r="F21" i="9"/>
  <c r="F37" i="9"/>
  <c r="F38" i="9"/>
  <c r="F83" i="9"/>
  <c r="F94" i="9"/>
  <c r="F97" i="9"/>
  <c r="F111" i="9"/>
  <c r="F6" i="10"/>
  <c r="F10" i="10"/>
  <c r="F21" i="10"/>
  <c r="F37" i="10"/>
  <c r="F38" i="10"/>
  <c r="F51" i="10"/>
  <c r="F57" i="10"/>
  <c r="F61" i="10"/>
  <c r="F64" i="10"/>
  <c r="F69" i="10"/>
  <c r="F85" i="10"/>
  <c r="F96" i="10"/>
  <c r="F104" i="10"/>
  <c r="F110" i="10"/>
  <c r="F112" i="10"/>
  <c r="F117" i="10"/>
  <c r="F8" i="11"/>
  <c r="F35" i="11"/>
  <c r="F40" i="11"/>
  <c r="F54" i="11"/>
  <c r="F59" i="11"/>
  <c r="F66" i="11"/>
  <c r="F67" i="11"/>
  <c r="F83" i="11"/>
  <c r="F94" i="11"/>
  <c r="F97" i="11"/>
  <c r="F111" i="11"/>
  <c r="F6" i="12"/>
  <c r="F10" i="12"/>
  <c r="F21" i="12"/>
  <c r="F37" i="12"/>
  <c r="F38" i="12"/>
  <c r="F51" i="12"/>
  <c r="F57" i="12"/>
  <c r="F61" i="12"/>
  <c r="F64" i="12"/>
  <c r="F69" i="12"/>
  <c r="F85" i="12"/>
  <c r="F96" i="12"/>
  <c r="F104" i="12"/>
  <c r="F108" i="12"/>
  <c r="F110" i="12"/>
  <c r="F114" i="12"/>
  <c r="F8" i="13"/>
  <c r="F35" i="13"/>
  <c r="F40" i="13"/>
  <c r="F54" i="13"/>
  <c r="F59" i="13"/>
  <c r="F66" i="13"/>
  <c r="F67" i="13"/>
  <c r="F83" i="13"/>
  <c r="F94" i="13"/>
  <c r="F97" i="13"/>
  <c r="F111" i="13"/>
  <c r="F6" i="14"/>
  <c r="F10" i="14"/>
  <c r="F21" i="14"/>
  <c r="F37" i="14"/>
  <c r="F38" i="14"/>
  <c r="F51" i="14"/>
  <c r="F57" i="14"/>
  <c r="F61" i="14"/>
  <c r="F64" i="14"/>
  <c r="F69" i="14"/>
  <c r="F85" i="14"/>
  <c r="F96" i="14"/>
  <c r="F104" i="14"/>
  <c r="F108" i="14"/>
  <c r="F110" i="14"/>
  <c r="F114" i="14"/>
  <c r="F8" i="15"/>
  <c r="F35" i="15"/>
  <c r="F40" i="15"/>
  <c r="F54" i="15"/>
  <c r="F59" i="15"/>
  <c r="F66" i="15"/>
  <c r="F67" i="15"/>
  <c r="F83" i="15"/>
  <c r="F94" i="15"/>
  <c r="F97" i="15"/>
  <c r="F111" i="15"/>
  <c r="F6" i="16"/>
  <c r="F10" i="16"/>
  <c r="F21" i="16"/>
  <c r="F37" i="16"/>
  <c r="F38" i="16"/>
  <c r="F51" i="16"/>
  <c r="F57" i="16"/>
  <c r="F61" i="16"/>
  <c r="F64" i="16"/>
  <c r="F69" i="16"/>
  <c r="F85" i="16"/>
  <c r="F96" i="16"/>
  <c r="F104" i="16"/>
  <c r="F108" i="16"/>
  <c r="F110" i="16"/>
  <c r="F114" i="16"/>
  <c r="F8" i="17"/>
  <c r="F35" i="17"/>
  <c r="F40" i="17"/>
  <c r="F54" i="17"/>
  <c r="F55" i="17" s="1"/>
  <c r="F59" i="17"/>
  <c r="F66" i="17"/>
  <c r="F67" i="17"/>
  <c r="F83" i="17"/>
  <c r="F94" i="17"/>
  <c r="F97" i="17"/>
  <c r="F111" i="17"/>
  <c r="F6" i="18"/>
  <c r="F10" i="18"/>
  <c r="F21" i="18"/>
  <c r="F37" i="18"/>
  <c r="F38" i="18"/>
  <c r="F51" i="18"/>
  <c r="F57" i="18"/>
  <c r="F61" i="18"/>
  <c r="F64" i="18"/>
  <c r="F69" i="18"/>
  <c r="F85" i="18"/>
  <c r="F96" i="18"/>
  <c r="F104" i="18"/>
  <c r="F108" i="18"/>
  <c r="F110" i="18"/>
  <c r="F114" i="18"/>
  <c r="F8" i="19"/>
  <c r="F35" i="19"/>
  <c r="F40" i="19"/>
  <c r="F54" i="19"/>
  <c r="F59" i="19"/>
  <c r="F66" i="19"/>
  <c r="F67" i="19"/>
  <c r="F83" i="19"/>
  <c r="F94" i="19"/>
  <c r="F97" i="19"/>
  <c r="F111" i="19"/>
  <c r="F6" i="20"/>
  <c r="F10" i="20"/>
  <c r="F21" i="20"/>
  <c r="F37" i="20"/>
  <c r="F38" i="20"/>
  <c r="F51" i="20"/>
  <c r="F57" i="20"/>
  <c r="F61" i="20"/>
  <c r="F64" i="20"/>
  <c r="F69" i="20"/>
  <c r="F85" i="20"/>
  <c r="F96" i="20"/>
  <c r="F104" i="20"/>
  <c r="F108" i="20"/>
  <c r="F110" i="20"/>
  <c r="F114" i="20"/>
  <c r="F104" i="2"/>
  <c r="F69" i="2"/>
  <c r="F61" i="2"/>
  <c r="F57" i="2"/>
  <c r="F38" i="2"/>
  <c r="F6" i="2"/>
  <c r="F8" i="4"/>
  <c r="F111" i="4"/>
  <c r="F34" i="5"/>
  <c r="F39" i="5"/>
  <c r="F65" i="5"/>
  <c r="F6" i="6"/>
  <c r="F21" i="6"/>
  <c r="F37" i="6"/>
  <c r="F51" i="6"/>
  <c r="F61" i="6"/>
  <c r="F81" i="6"/>
  <c r="F85" i="6"/>
  <c r="F110" i="6"/>
  <c r="F35" i="7"/>
  <c r="F67" i="7"/>
  <c r="F97" i="7"/>
  <c r="F38" i="8"/>
  <c r="F61" i="8"/>
  <c r="F69" i="8"/>
  <c r="F96" i="8"/>
  <c r="F110" i="8"/>
  <c r="F8" i="9"/>
  <c r="F96" i="9"/>
  <c r="F108" i="9"/>
  <c r="F59" i="10"/>
  <c r="F67" i="10"/>
  <c r="F114" i="10"/>
  <c r="F21" i="11"/>
  <c r="F37" i="11"/>
  <c r="F38" i="11"/>
  <c r="F64" i="11"/>
  <c r="F95" i="2"/>
  <c r="F60" i="2"/>
  <c r="F41" i="2"/>
  <c r="F9" i="2"/>
  <c r="F5" i="2"/>
  <c r="F20" i="4"/>
  <c r="F36" i="4"/>
  <c r="F41" i="4"/>
  <c r="F63" i="4"/>
  <c r="F68" i="4"/>
  <c r="F84" i="4"/>
  <c r="F98" i="4"/>
  <c r="F109" i="4"/>
  <c r="F8" i="5"/>
  <c r="F40" i="5"/>
  <c r="F83" i="5"/>
  <c r="F97" i="2"/>
  <c r="F67" i="2"/>
  <c r="F54" i="2"/>
  <c r="F40" i="2"/>
  <c r="F8" i="2"/>
  <c r="F111" i="2"/>
  <c r="F10" i="4"/>
  <c r="F70" i="2"/>
  <c r="F65" i="2"/>
  <c r="F62" i="2"/>
  <c r="F39" i="2"/>
  <c r="F34" i="2"/>
  <c r="F7" i="2"/>
  <c r="F7" i="4"/>
  <c r="F34" i="4"/>
  <c r="F39" i="4"/>
  <c r="F62" i="4"/>
  <c r="F65" i="4"/>
  <c r="F70" i="4"/>
  <c r="F6" i="5"/>
  <c r="F10" i="5"/>
  <c r="F21" i="5"/>
  <c r="F37" i="5"/>
  <c r="F38" i="5"/>
  <c r="F51" i="5"/>
  <c r="F57" i="5"/>
  <c r="F61" i="5"/>
  <c r="F64" i="5"/>
  <c r="F69" i="5"/>
  <c r="F81" i="5"/>
  <c r="F85" i="5"/>
  <c r="F96" i="5"/>
  <c r="F104" i="5"/>
  <c r="F110" i="5"/>
  <c r="F114" i="5"/>
  <c r="F5" i="6"/>
  <c r="F9" i="6"/>
  <c r="F20" i="6"/>
  <c r="F36" i="6"/>
  <c r="F41" i="6"/>
  <c r="F56" i="6"/>
  <c r="F60" i="6"/>
  <c r="F63" i="6"/>
  <c r="F68" i="6"/>
  <c r="F84" i="6"/>
  <c r="F95" i="6"/>
  <c r="F98" i="6"/>
  <c r="F107" i="6"/>
  <c r="F109" i="6"/>
  <c r="F112" i="6"/>
  <c r="F3" i="7"/>
  <c r="F7" i="7"/>
  <c r="F34" i="7"/>
  <c r="F39" i="7"/>
  <c r="F62" i="7"/>
  <c r="F65" i="7"/>
  <c r="F70" i="7"/>
  <c r="F5" i="8"/>
  <c r="F9" i="8"/>
  <c r="F20" i="8"/>
  <c r="F36" i="8"/>
  <c r="F41" i="8"/>
  <c r="F60" i="8"/>
  <c r="F63" i="8"/>
  <c r="F68" i="8"/>
  <c r="F84" i="8"/>
  <c r="F95" i="8"/>
  <c r="F98" i="8"/>
  <c r="F109" i="8"/>
  <c r="F112" i="8"/>
  <c r="F3" i="9"/>
  <c r="F7" i="9"/>
  <c r="F34" i="9"/>
  <c r="F39" i="9"/>
  <c r="F84" i="9"/>
  <c r="F95" i="9"/>
  <c r="F98" i="9"/>
  <c r="F109" i="9"/>
  <c r="F112" i="9"/>
  <c r="F3" i="10"/>
  <c r="F7" i="10"/>
  <c r="F34" i="10"/>
  <c r="F39" i="10"/>
  <c r="F62" i="10"/>
  <c r="F65" i="10"/>
  <c r="F70" i="10"/>
  <c r="F105" i="10"/>
  <c r="F113" i="10"/>
  <c r="F5" i="11"/>
  <c r="F9" i="11"/>
  <c r="F20" i="11"/>
  <c r="F36" i="11"/>
  <c r="F41" i="11"/>
  <c r="F60" i="11"/>
  <c r="F63" i="11"/>
  <c r="F68" i="11"/>
  <c r="F84" i="11"/>
  <c r="F95" i="11"/>
  <c r="F98" i="11"/>
  <c r="F109" i="11"/>
  <c r="F112" i="11"/>
  <c r="F3" i="12"/>
  <c r="F7" i="12"/>
  <c r="F34" i="12"/>
  <c r="F39" i="12"/>
  <c r="F62" i="12"/>
  <c r="F65" i="12"/>
  <c r="F70" i="12"/>
  <c r="F5" i="13"/>
  <c r="F9" i="13"/>
  <c r="F20" i="13"/>
  <c r="F36" i="13"/>
  <c r="F41" i="13"/>
  <c r="F60" i="13"/>
  <c r="F63" i="13"/>
  <c r="F68" i="13"/>
  <c r="F84" i="13"/>
  <c r="F95" i="13"/>
  <c r="F98" i="13"/>
  <c r="F109" i="13"/>
  <c r="F112" i="13"/>
  <c r="F3" i="14"/>
  <c r="F7" i="14"/>
  <c r="F34" i="14"/>
  <c r="F39" i="14"/>
  <c r="F62" i="14"/>
  <c r="F65" i="14"/>
  <c r="F70" i="14"/>
  <c r="F5" i="15"/>
  <c r="F9" i="15"/>
  <c r="F20" i="15"/>
  <c r="F36" i="15"/>
  <c r="F41" i="15"/>
  <c r="F60" i="15"/>
  <c r="F63" i="15"/>
  <c r="F68" i="15"/>
  <c r="F84" i="15"/>
  <c r="F95" i="15"/>
  <c r="F98" i="15"/>
  <c r="F109" i="15"/>
  <c r="F112" i="15"/>
  <c r="F3" i="16"/>
  <c r="F7" i="16"/>
  <c r="F34" i="16"/>
  <c r="F39" i="16"/>
  <c r="F62" i="16"/>
  <c r="F65" i="16"/>
  <c r="F70" i="16"/>
  <c r="F5" i="17"/>
  <c r="F9" i="17"/>
  <c r="F20" i="17"/>
  <c r="F36" i="17"/>
  <c r="F41" i="17"/>
  <c r="F60" i="17"/>
  <c r="F63" i="17"/>
  <c r="F68" i="17"/>
  <c r="F84" i="17"/>
  <c r="F95" i="17"/>
  <c r="F98" i="17"/>
  <c r="F109" i="17"/>
  <c r="F112" i="17"/>
  <c r="F3" i="18"/>
  <c r="F7" i="18"/>
  <c r="F34" i="18"/>
  <c r="F39" i="18"/>
  <c r="F62" i="18"/>
  <c r="F65" i="18"/>
  <c r="F70" i="18"/>
  <c r="F5" i="19"/>
  <c r="F9" i="19"/>
  <c r="F20" i="19"/>
  <c r="F36" i="19"/>
  <c r="F41" i="19"/>
  <c r="F60" i="19"/>
  <c r="F63" i="19"/>
  <c r="F68" i="19"/>
  <c r="F84" i="19"/>
  <c r="F95" i="19"/>
  <c r="F98" i="19"/>
  <c r="F109" i="19"/>
  <c r="F112" i="19"/>
  <c r="F3" i="20"/>
  <c r="F7" i="20"/>
  <c r="F34" i="20"/>
  <c r="F39" i="20"/>
  <c r="F62" i="20"/>
  <c r="F65" i="20"/>
  <c r="F70" i="20"/>
  <c r="F69" i="11"/>
  <c r="F85" i="11"/>
  <c r="F96" i="11"/>
  <c r="F104" i="11"/>
  <c r="F108" i="11"/>
  <c r="F110" i="11"/>
  <c r="F114" i="11"/>
  <c r="F8" i="12"/>
  <c r="F35" i="12"/>
  <c r="F40" i="12"/>
  <c r="F54" i="12"/>
  <c r="F59" i="12"/>
  <c r="F66" i="12"/>
  <c r="F67" i="12"/>
  <c r="F83" i="12"/>
  <c r="F94" i="12"/>
  <c r="F97" i="12"/>
  <c r="F111" i="12"/>
  <c r="F6" i="13"/>
  <c r="F10" i="13"/>
  <c r="F21" i="13"/>
  <c r="F37" i="13"/>
  <c r="F38" i="13"/>
  <c r="F51" i="13"/>
  <c r="F57" i="13"/>
  <c r="F61" i="13"/>
  <c r="F64" i="13"/>
  <c r="F69" i="13"/>
  <c r="F85" i="13"/>
  <c r="F96" i="13"/>
  <c r="F104" i="13"/>
  <c r="F108" i="13"/>
  <c r="F110" i="13"/>
  <c r="F114" i="13"/>
  <c r="F8" i="14"/>
  <c r="F35" i="14"/>
  <c r="F40" i="14"/>
  <c r="F54" i="14"/>
  <c r="F59" i="14"/>
  <c r="F66" i="14"/>
  <c r="F67" i="14"/>
  <c r="F83" i="14"/>
  <c r="F94" i="14"/>
  <c r="F97" i="14"/>
  <c r="F111" i="14"/>
  <c r="F6" i="15"/>
  <c r="F10" i="15"/>
  <c r="F21" i="15"/>
  <c r="F37" i="15"/>
  <c r="F38" i="15"/>
  <c r="F51" i="15"/>
  <c r="F57" i="15"/>
  <c r="F61" i="15"/>
  <c r="F64" i="15"/>
  <c r="F69" i="15"/>
  <c r="F85" i="15"/>
  <c r="F96" i="15"/>
  <c r="F104" i="15"/>
  <c r="F108" i="15"/>
  <c r="F110" i="15"/>
  <c r="F114" i="15"/>
  <c r="F8" i="16"/>
  <c r="F35" i="16"/>
  <c r="F40" i="16"/>
  <c r="F54" i="16"/>
  <c r="F59" i="16"/>
  <c r="F66" i="16"/>
  <c r="F67" i="16"/>
  <c r="F83" i="16"/>
  <c r="F94" i="16"/>
  <c r="F97" i="16"/>
  <c r="F111" i="16"/>
  <c r="F6" i="17"/>
  <c r="F10" i="17"/>
  <c r="F21" i="17"/>
  <c r="F37" i="17"/>
  <c r="F38" i="17"/>
  <c r="F51" i="17"/>
  <c r="F57" i="17"/>
  <c r="F61" i="17"/>
  <c r="F64" i="17"/>
  <c r="F69" i="17"/>
  <c r="F85" i="17"/>
  <c r="F96" i="17"/>
  <c r="F104" i="17"/>
  <c r="F108" i="17"/>
  <c r="F110" i="17"/>
  <c r="F114" i="17"/>
  <c r="F8" i="18"/>
  <c r="F35" i="18"/>
  <c r="F40" i="18"/>
  <c r="F54" i="18"/>
  <c r="F59" i="18"/>
  <c r="F66" i="18"/>
  <c r="F67" i="18"/>
  <c r="F83" i="18"/>
  <c r="F94" i="18"/>
  <c r="F97" i="18"/>
  <c r="F111" i="18"/>
  <c r="F6" i="19"/>
  <c r="F10" i="19"/>
  <c r="F21" i="19"/>
  <c r="F37" i="19"/>
  <c r="F38" i="19"/>
  <c r="F51" i="19"/>
  <c r="F57" i="19"/>
  <c r="F61" i="19"/>
  <c r="F64" i="19"/>
  <c r="F69" i="19"/>
  <c r="F85" i="19"/>
  <c r="F96" i="19"/>
  <c r="F104" i="19"/>
  <c r="F108" i="19"/>
  <c r="F110" i="19"/>
  <c r="F114" i="19"/>
  <c r="F8" i="20"/>
  <c r="F35" i="20"/>
  <c r="F40" i="20"/>
  <c r="F54" i="20"/>
  <c r="F59" i="20"/>
  <c r="F66" i="20"/>
  <c r="F67" i="20"/>
  <c r="F83" i="20"/>
  <c r="F94" i="20"/>
  <c r="F97" i="20"/>
  <c r="F111" i="20"/>
  <c r="F66" i="9"/>
  <c r="C32" i="5"/>
  <c r="C18" i="6"/>
  <c r="C18" i="4"/>
  <c r="C55" i="4"/>
  <c r="C105" i="4"/>
  <c r="C49" i="5"/>
  <c r="C52" i="6"/>
  <c r="C52" i="4"/>
  <c r="C18" i="5"/>
  <c r="C49" i="4"/>
  <c r="C52" i="5"/>
  <c r="C32" i="6"/>
  <c r="C32" i="4"/>
  <c r="C55" i="5"/>
  <c r="C105" i="5"/>
  <c r="C49" i="6"/>
  <c r="C55" i="6"/>
  <c r="C105" i="6"/>
  <c r="C91" i="6"/>
  <c r="C91" i="4"/>
  <c r="C91" i="5"/>
  <c r="C113" i="4"/>
  <c r="C113" i="5"/>
  <c r="C113" i="6"/>
  <c r="C55" i="20"/>
  <c r="C105" i="20"/>
  <c r="C52" i="20"/>
  <c r="C113" i="20"/>
  <c r="C49" i="20"/>
  <c r="C91" i="20"/>
  <c r="C18" i="20"/>
  <c r="C32" i="20"/>
  <c r="C52" i="19"/>
  <c r="C113" i="19"/>
  <c r="C18" i="19"/>
  <c r="C32" i="19"/>
  <c r="C49" i="19"/>
  <c r="C91" i="19"/>
  <c r="C55" i="19"/>
  <c r="C105" i="19"/>
  <c r="C49" i="18"/>
  <c r="C18" i="18"/>
  <c r="C55" i="18"/>
  <c r="C105" i="18"/>
  <c r="C32" i="18"/>
  <c r="C52" i="18"/>
  <c r="C113" i="18"/>
  <c r="C91" i="18"/>
  <c r="C91" i="17"/>
  <c r="C18" i="17"/>
  <c r="C55" i="17"/>
  <c r="C105" i="17"/>
  <c r="C32" i="17"/>
  <c r="C49" i="17"/>
  <c r="C52" i="17"/>
  <c r="C113" i="17"/>
  <c r="C52" i="16"/>
  <c r="C113" i="16"/>
  <c r="C49" i="16"/>
  <c r="C91" i="16"/>
  <c r="C18" i="16"/>
  <c r="C55" i="16"/>
  <c r="C105" i="16"/>
  <c r="C32" i="16"/>
  <c r="C52" i="15"/>
  <c r="C91" i="15"/>
  <c r="C32" i="15"/>
  <c r="C113" i="15"/>
  <c r="C49" i="15"/>
  <c r="C18" i="15"/>
  <c r="C55" i="15"/>
  <c r="C105" i="15"/>
  <c r="C52" i="14"/>
  <c r="C113" i="14"/>
  <c r="C18" i="14"/>
  <c r="C55" i="14"/>
  <c r="C105" i="14"/>
  <c r="C32" i="14"/>
  <c r="C49" i="14"/>
  <c r="C91" i="14"/>
  <c r="C91" i="13"/>
  <c r="C55" i="13"/>
  <c r="C105" i="13"/>
  <c r="C18" i="13"/>
  <c r="C32" i="13"/>
  <c r="C49" i="13"/>
  <c r="C52" i="13"/>
  <c r="C113" i="13"/>
  <c r="C55" i="11"/>
  <c r="C49" i="11"/>
  <c r="C18" i="11"/>
  <c r="C105" i="11"/>
  <c r="C32" i="11"/>
  <c r="C52" i="11"/>
  <c r="C113" i="11"/>
  <c r="C91" i="11"/>
  <c r="C18" i="9"/>
  <c r="C113" i="9"/>
  <c r="C32" i="9"/>
  <c r="C49" i="9"/>
  <c r="C91" i="9"/>
  <c r="C105" i="9"/>
  <c r="C91" i="10"/>
  <c r="C49" i="10"/>
  <c r="C18" i="10"/>
  <c r="C55" i="10"/>
  <c r="C107" i="10"/>
  <c r="G107" i="24" s="1"/>
  <c r="C32" i="10"/>
  <c r="C52" i="10"/>
  <c r="C116" i="10"/>
  <c r="G116" i="24" s="1"/>
  <c r="L116" i="24" s="1"/>
  <c r="Z116" i="24" s="1"/>
  <c r="C52" i="12"/>
  <c r="C55" i="12"/>
  <c r="C105" i="12"/>
  <c r="C113" i="12"/>
  <c r="C49" i="12"/>
  <c r="C91" i="12"/>
  <c r="C18" i="12"/>
  <c r="C32" i="12"/>
  <c r="C52" i="8"/>
  <c r="C113" i="8"/>
  <c r="C49" i="8"/>
  <c r="C91" i="8"/>
  <c r="C18" i="8"/>
  <c r="C55" i="8"/>
  <c r="C105" i="8"/>
  <c r="C32" i="8"/>
  <c r="C52" i="7"/>
  <c r="C113" i="7"/>
  <c r="C49" i="7"/>
  <c r="C91" i="7"/>
  <c r="C32" i="7"/>
  <c r="C18" i="7"/>
  <c r="C55" i="7"/>
  <c r="C105" i="7"/>
  <c r="G116" i="29" l="1"/>
  <c r="L116" i="29" s="1"/>
  <c r="Z116" i="29" s="1"/>
  <c r="AD116" i="29" s="1"/>
  <c r="AH116" i="29" s="1"/>
  <c r="G107" i="29"/>
  <c r="L107" i="24"/>
  <c r="G113" i="24"/>
  <c r="G117" i="24" s="1"/>
  <c r="C94" i="27"/>
  <c r="D94" i="27" s="1"/>
  <c r="F52" i="11"/>
  <c r="F55" i="18"/>
  <c r="F52" i="13"/>
  <c r="F55" i="20"/>
  <c r="F55" i="19"/>
  <c r="F55" i="8"/>
  <c r="F55" i="14"/>
  <c r="F55" i="16"/>
  <c r="F55" i="15"/>
  <c r="F55" i="7"/>
  <c r="F55" i="5"/>
  <c r="F52" i="2"/>
  <c r="F55" i="12"/>
  <c r="F52" i="4"/>
  <c r="F91" i="2"/>
  <c r="F32" i="2"/>
  <c r="F113" i="2"/>
  <c r="F52" i="8"/>
  <c r="F52" i="6"/>
  <c r="F52" i="17"/>
  <c r="F91" i="8"/>
  <c r="F55" i="13"/>
  <c r="F49" i="10"/>
  <c r="F105" i="4"/>
  <c r="F18" i="6"/>
  <c r="F91" i="11"/>
  <c r="F78" i="10"/>
  <c r="F49" i="2"/>
  <c r="C79" i="5"/>
  <c r="C117" i="5" s="1"/>
  <c r="C150" i="5" s="1"/>
  <c r="F105" i="16"/>
  <c r="F55" i="4"/>
  <c r="F105" i="20"/>
  <c r="F52" i="15"/>
  <c r="F49" i="18"/>
  <c r="F105" i="17"/>
  <c r="F32" i="17"/>
  <c r="F105" i="7"/>
  <c r="C79" i="9"/>
  <c r="C117" i="9" s="1"/>
  <c r="F105" i="18"/>
  <c r="F32" i="5"/>
  <c r="F91" i="16"/>
  <c r="F91" i="15"/>
  <c r="F32" i="15"/>
  <c r="F49" i="7"/>
  <c r="F32" i="6"/>
  <c r="F32" i="4"/>
  <c r="F55" i="11"/>
  <c r="F91" i="13"/>
  <c r="F105" i="19"/>
  <c r="F32" i="19"/>
  <c r="F91" i="17"/>
  <c r="F32" i="11"/>
  <c r="F32" i="9"/>
  <c r="F32" i="7"/>
  <c r="F49" i="4"/>
  <c r="F18" i="4"/>
  <c r="F52" i="10"/>
  <c r="F113" i="6"/>
  <c r="F113" i="5"/>
  <c r="F105" i="9"/>
  <c r="F91" i="4"/>
  <c r="F18" i="2"/>
  <c r="F49" i="12"/>
  <c r="F105" i="13"/>
  <c r="F49" i="9"/>
  <c r="F32" i="18"/>
  <c r="F32" i="16"/>
  <c r="F32" i="14"/>
  <c r="F52" i="19"/>
  <c r="F91" i="18"/>
  <c r="F105" i="14"/>
  <c r="F78" i="5"/>
  <c r="F105" i="15"/>
  <c r="F32" i="8"/>
  <c r="F105" i="6"/>
  <c r="F18" i="5"/>
  <c r="F52" i="20"/>
  <c r="F18" i="17"/>
  <c r="F49" i="13"/>
  <c r="F52" i="12"/>
  <c r="F18" i="7"/>
  <c r="F32" i="20"/>
  <c r="F32" i="12"/>
  <c r="F49" i="20"/>
  <c r="F49" i="16"/>
  <c r="F18" i="16"/>
  <c r="F18" i="14"/>
  <c r="F113" i="19"/>
  <c r="F91" i="19"/>
  <c r="F113" i="17"/>
  <c r="F113" i="15"/>
  <c r="F113" i="13"/>
  <c r="F113" i="11"/>
  <c r="F91" i="20"/>
  <c r="F18" i="18"/>
  <c r="F91" i="10"/>
  <c r="F91" i="5"/>
  <c r="F49" i="5"/>
  <c r="F52" i="16"/>
  <c r="F105" i="8"/>
  <c r="F52" i="14"/>
  <c r="F49" i="6"/>
  <c r="F78" i="11"/>
  <c r="F105" i="12"/>
  <c r="F49" i="8"/>
  <c r="F78" i="19"/>
  <c r="F78" i="17"/>
  <c r="F78" i="15"/>
  <c r="F78" i="13"/>
  <c r="F18" i="20"/>
  <c r="F91" i="14"/>
  <c r="F91" i="12"/>
  <c r="F18" i="12"/>
  <c r="F55" i="10"/>
  <c r="F91" i="7"/>
  <c r="F52" i="5"/>
  <c r="F52" i="18"/>
  <c r="F32" i="13"/>
  <c r="F116" i="10"/>
  <c r="F105" i="5"/>
  <c r="F18" i="19"/>
  <c r="F49" i="15"/>
  <c r="F105" i="11"/>
  <c r="F18" i="11"/>
  <c r="F107" i="10"/>
  <c r="F32" i="10"/>
  <c r="F91" i="9"/>
  <c r="F52" i="7"/>
  <c r="F55" i="6"/>
  <c r="F113" i="8"/>
  <c r="F49" i="14"/>
  <c r="F18" i="10"/>
  <c r="F18" i="9"/>
  <c r="F113" i="9"/>
  <c r="F91" i="6"/>
  <c r="F113" i="20"/>
  <c r="F113" i="18"/>
  <c r="F113" i="16"/>
  <c r="F113" i="14"/>
  <c r="F113" i="12"/>
  <c r="F113" i="7"/>
  <c r="F78" i="8"/>
  <c r="F49" i="17"/>
  <c r="F18" i="13"/>
  <c r="F78" i="20"/>
  <c r="F78" i="18"/>
  <c r="F78" i="16"/>
  <c r="F78" i="14"/>
  <c r="F78" i="12"/>
  <c r="F78" i="7"/>
  <c r="F78" i="4"/>
  <c r="F49" i="19"/>
  <c r="F18" i="15"/>
  <c r="F49" i="11"/>
  <c r="F18" i="8"/>
  <c r="F113" i="4"/>
  <c r="F78" i="6"/>
  <c r="C79" i="16"/>
  <c r="C117" i="16" s="1"/>
  <c r="C150" i="16" s="1"/>
  <c r="F55" i="2"/>
  <c r="C79" i="4"/>
  <c r="C117" i="4" s="1"/>
  <c r="C150" i="4" s="1"/>
  <c r="C79" i="6"/>
  <c r="C117" i="6" s="1"/>
  <c r="C150" i="6" s="1"/>
  <c r="F105" i="2"/>
  <c r="C79" i="8"/>
  <c r="C117" i="8" s="1"/>
  <c r="C150" i="8" s="1"/>
  <c r="F78" i="2"/>
  <c r="C79" i="12"/>
  <c r="C117" i="12" s="1"/>
  <c r="C150" i="12" s="1"/>
  <c r="C79" i="18"/>
  <c r="C117" i="18" s="1"/>
  <c r="C150" i="18" s="1"/>
  <c r="C79" i="20"/>
  <c r="C117" i="20" s="1"/>
  <c r="C150" i="20" s="1"/>
  <c r="C79" i="19"/>
  <c r="C117" i="19" s="1"/>
  <c r="C150" i="19" s="1"/>
  <c r="C79" i="17"/>
  <c r="C117" i="17" s="1"/>
  <c r="C150" i="17" s="1"/>
  <c r="C79" i="15"/>
  <c r="C117" i="15" s="1"/>
  <c r="C150" i="15" s="1"/>
  <c r="C79" i="14"/>
  <c r="C117" i="14" s="1"/>
  <c r="C150" i="14" s="1"/>
  <c r="C79" i="13"/>
  <c r="C117" i="13" s="1"/>
  <c r="C150" i="13" s="1"/>
  <c r="C79" i="11"/>
  <c r="C117" i="11" s="1"/>
  <c r="C150" i="11" s="1"/>
  <c r="C79" i="10"/>
  <c r="C120" i="10" s="1"/>
  <c r="G120" i="24" s="1"/>
  <c r="L120" i="24" s="1"/>
  <c r="Z120" i="24" s="1"/>
  <c r="C79" i="7"/>
  <c r="C117" i="7" s="1"/>
  <c r="C150" i="7" s="1"/>
  <c r="C170" i="10" l="1"/>
  <c r="Z107" i="24"/>
  <c r="L113" i="24"/>
  <c r="L117" i="24" s="1"/>
  <c r="L107" i="29"/>
  <c r="G113" i="29"/>
  <c r="G117" i="29" s="1"/>
  <c r="AD116" i="24"/>
  <c r="B89" i="27"/>
  <c r="Y149" i="24"/>
  <c r="Y150" i="24" s="1"/>
  <c r="F79" i="2"/>
  <c r="F117" i="2" s="1"/>
  <c r="F79" i="4"/>
  <c r="F117" i="4" s="1"/>
  <c r="F150" i="4" s="1"/>
  <c r="F79" i="6"/>
  <c r="F117" i="6" s="1"/>
  <c r="F150" i="6" s="1"/>
  <c r="F79" i="8"/>
  <c r="F117" i="8" s="1"/>
  <c r="F150" i="8" s="1"/>
  <c r="F79" i="20"/>
  <c r="F117" i="20" s="1"/>
  <c r="F150" i="20" s="1"/>
  <c r="F79" i="11"/>
  <c r="F117" i="11" s="1"/>
  <c r="F150" i="11" s="1"/>
  <c r="F79" i="5"/>
  <c r="F117" i="5" s="1"/>
  <c r="F150" i="5" s="1"/>
  <c r="F79" i="18"/>
  <c r="F117" i="18" s="1"/>
  <c r="F150" i="18" s="1"/>
  <c r="F79" i="16"/>
  <c r="F117" i="16" s="1"/>
  <c r="F150" i="16" s="1"/>
  <c r="F79" i="15"/>
  <c r="F117" i="15" s="1"/>
  <c r="F150" i="15" s="1"/>
  <c r="F79" i="19"/>
  <c r="F117" i="19" s="1"/>
  <c r="F150" i="19" s="1"/>
  <c r="F79" i="7"/>
  <c r="F117" i="7" s="1"/>
  <c r="F150" i="7" s="1"/>
  <c r="F79" i="17"/>
  <c r="F117" i="17" s="1"/>
  <c r="F150" i="17" s="1"/>
  <c r="F79" i="12"/>
  <c r="F117" i="12" s="1"/>
  <c r="F150" i="12" s="1"/>
  <c r="F79" i="13"/>
  <c r="F117" i="13" s="1"/>
  <c r="F150" i="13" s="1"/>
  <c r="F79" i="10"/>
  <c r="F120" i="10" s="1"/>
  <c r="F170" i="10" s="1"/>
  <c r="F79" i="14"/>
  <c r="F117" i="14" s="1"/>
  <c r="F150" i="14" s="1"/>
  <c r="AD107" i="24" l="1"/>
  <c r="Z113" i="24"/>
  <c r="Z117" i="24" s="1"/>
  <c r="B80" i="27"/>
  <c r="G120" i="29"/>
  <c r="G149" i="24"/>
  <c r="G150" i="24" s="1"/>
  <c r="Z107" i="29"/>
  <c r="L113" i="29"/>
  <c r="L117" i="29" s="1"/>
  <c r="E74" i="28"/>
  <c r="L120" i="29" l="1"/>
  <c r="Z120" i="29" s="1"/>
  <c r="G149" i="29"/>
  <c r="G150" i="29" s="1"/>
  <c r="AD107" i="29"/>
  <c r="AH107" i="29" s="1"/>
  <c r="Z113" i="29"/>
  <c r="Z117" i="29" s="1"/>
  <c r="B95" i="27"/>
  <c r="D80" i="27"/>
  <c r="B87" i="27"/>
  <c r="B90" i="27" s="1"/>
  <c r="F67" i="9"/>
  <c r="C74" i="27" l="1"/>
  <c r="D74" i="27" s="1"/>
  <c r="F74" i="28"/>
  <c r="F68" i="9"/>
  <c r="E75" i="28" l="1"/>
  <c r="F69" i="9"/>
  <c r="F70" i="9" l="1"/>
  <c r="C75" i="27" l="1"/>
  <c r="D75" i="27" s="1"/>
  <c r="F75" i="28"/>
  <c r="E76" i="28" l="1"/>
  <c r="C150" i="9"/>
  <c r="F78" i="9" l="1"/>
  <c r="F79" i="9" s="1"/>
  <c r="F117" i="9" s="1"/>
  <c r="F150" i="9" s="1"/>
  <c r="C76" i="27" l="1"/>
  <c r="D76" i="27" s="1"/>
  <c r="F76" i="28"/>
  <c r="E77" i="28" l="1"/>
  <c r="C77" i="27" l="1"/>
  <c r="D77" i="27" s="1"/>
  <c r="F77" i="28"/>
  <c r="E150" i="13" l="1"/>
  <c r="E150" i="4" l="1"/>
  <c r="E5" i="28"/>
  <c r="E10" i="28"/>
  <c r="E91" i="28"/>
  <c r="AB55" i="24"/>
  <c r="AD55" i="24" s="1"/>
  <c r="E73" i="28"/>
  <c r="E4" i="28"/>
  <c r="E11" i="28"/>
  <c r="E6" i="28"/>
  <c r="E69" i="28"/>
  <c r="E68" i="28"/>
  <c r="E67" i="28"/>
  <c r="E33" i="28"/>
  <c r="E54" i="28"/>
  <c r="E52" i="28"/>
  <c r="E50" i="28"/>
  <c r="E49" i="28"/>
  <c r="E48" i="28"/>
  <c r="E47" i="28"/>
  <c r="E46" i="28"/>
  <c r="E45" i="28"/>
  <c r="E44" i="28"/>
  <c r="E43" i="28"/>
  <c r="E53" i="28"/>
  <c r="E51" i="28"/>
  <c r="E89" i="28"/>
  <c r="E63" i="28"/>
  <c r="E62" i="28"/>
  <c r="E61" i="28"/>
  <c r="E60" i="28"/>
  <c r="F7" i="28" l="1"/>
  <c r="O113" i="22"/>
  <c r="AB52" i="24"/>
  <c r="AD52" i="24" s="1"/>
  <c r="E42" i="28"/>
  <c r="E71" i="28"/>
  <c r="E7" i="28"/>
  <c r="E9" i="28"/>
  <c r="F42" i="28"/>
  <c r="E139" i="28"/>
  <c r="F70" i="28"/>
  <c r="C70" i="27"/>
  <c r="D70" i="27" s="1"/>
  <c r="F71" i="28"/>
  <c r="C34" i="27"/>
  <c r="D34" i="27" s="1"/>
  <c r="F34" i="28"/>
  <c r="F72" i="28"/>
  <c r="E36" i="28"/>
  <c r="E38" i="28" s="1"/>
  <c r="O55" i="22"/>
  <c r="E72" i="28"/>
  <c r="F9" i="28"/>
  <c r="E88" i="28"/>
  <c r="E87" i="28" s="1"/>
  <c r="E66" i="28"/>
  <c r="F58" i="28"/>
  <c r="F47" i="28"/>
  <c r="F49" i="28"/>
  <c r="E34" i="28"/>
  <c r="E35" i="28" s="1"/>
  <c r="E70" i="28"/>
  <c r="E8" i="28"/>
  <c r="F43" i="28"/>
  <c r="M55" i="21"/>
  <c r="E20" i="28"/>
  <c r="E21" i="28" s="1"/>
  <c r="O52" i="22"/>
  <c r="P55" i="22"/>
  <c r="E58" i="28"/>
  <c r="E64" i="28" s="1"/>
  <c r="E40" i="28"/>
  <c r="F52" i="28"/>
  <c r="AB113" i="24"/>
  <c r="AD113" i="24" s="1"/>
  <c r="E3" i="28"/>
  <c r="O65" i="22" l="1"/>
  <c r="P65" i="22" s="1"/>
  <c r="AB65" i="24"/>
  <c r="AD65" i="24" s="1"/>
  <c r="AB65" i="34"/>
  <c r="AD65" i="34" s="1"/>
  <c r="P55" i="21"/>
  <c r="F48" i="28"/>
  <c r="F46" i="28"/>
  <c r="F5" i="28"/>
  <c r="C93" i="27"/>
  <c r="D93" i="27" s="1"/>
  <c r="F54" i="28"/>
  <c r="C49" i="27"/>
  <c r="D49" i="27" s="1"/>
  <c r="F10" i="28"/>
  <c r="F73" i="28"/>
  <c r="F50" i="28"/>
  <c r="F4" i="28"/>
  <c r="C47" i="27"/>
  <c r="D47" i="27" s="1"/>
  <c r="C43" i="27"/>
  <c r="D43" i="27" s="1"/>
  <c r="C73" i="27"/>
  <c r="D73" i="27" s="1"/>
  <c r="C50" i="27"/>
  <c r="D50" i="27" s="1"/>
  <c r="C46" i="27"/>
  <c r="D46" i="27" s="1"/>
  <c r="F45" i="28"/>
  <c r="C54" i="27"/>
  <c r="D54" i="27" s="1"/>
  <c r="E55" i="28"/>
  <c r="C44" i="27"/>
  <c r="D44" i="27" s="1"/>
  <c r="F44" i="28"/>
  <c r="C68" i="27"/>
  <c r="D68" i="27" s="1"/>
  <c r="F68" i="28"/>
  <c r="P113" i="22"/>
  <c r="F69" i="28"/>
  <c r="C69" i="27"/>
  <c r="D69" i="27" s="1"/>
  <c r="F62" i="28"/>
  <c r="C67" i="27"/>
  <c r="D67" i="27" s="1"/>
  <c r="F67" i="28"/>
  <c r="C51" i="27"/>
  <c r="D51" i="27" s="1"/>
  <c r="F51" i="28"/>
  <c r="F60" i="28"/>
  <c r="C60" i="27"/>
  <c r="D60" i="27" s="1"/>
  <c r="F53" i="28"/>
  <c r="C53" i="27"/>
  <c r="D53" i="27" s="1"/>
  <c r="C63" i="27"/>
  <c r="D63" i="27" s="1"/>
  <c r="F63" i="28"/>
  <c r="F40" i="28"/>
  <c r="C40" i="27"/>
  <c r="E78" i="28"/>
  <c r="C89" i="27"/>
  <c r="D89" i="27" s="1"/>
  <c r="F89" i="28"/>
  <c r="F3" i="28"/>
  <c r="F6" i="28"/>
  <c r="E12" i="28"/>
  <c r="P52" i="22"/>
  <c r="F61" i="28"/>
  <c r="C61" i="27"/>
  <c r="D61" i="27" s="1"/>
  <c r="AB55" i="26"/>
  <c r="F36" i="28"/>
  <c r="F38" i="28" s="1"/>
  <c r="C36" i="27"/>
  <c r="N55" i="21"/>
  <c r="F8" i="28"/>
  <c r="C11" i="27"/>
  <c r="D11" i="27" s="1"/>
  <c r="F11" i="28"/>
  <c r="O62" i="22" l="1"/>
  <c r="P62" i="22" s="1"/>
  <c r="AB62" i="24"/>
  <c r="AD62" i="24" s="1"/>
  <c r="AB62" i="34"/>
  <c r="AD62" i="34" s="1"/>
  <c r="O132" i="22"/>
  <c r="P132" i="22" s="1"/>
  <c r="AB132" i="24"/>
  <c r="AD132" i="24" s="1"/>
  <c r="M65" i="21"/>
  <c r="N65" i="21" s="1"/>
  <c r="AB55" i="29"/>
  <c r="AD55" i="29" s="1"/>
  <c r="AH55" i="29" s="1"/>
  <c r="C96" i="27"/>
  <c r="D96" i="27" s="1"/>
  <c r="C97" i="27"/>
  <c r="D97" i="27" s="1"/>
  <c r="C92" i="27"/>
  <c r="D92" i="27" s="1"/>
  <c r="E56" i="28"/>
  <c r="E90" i="28" s="1"/>
  <c r="E140" i="28" s="1"/>
  <c r="F64" i="28"/>
  <c r="M113" i="21"/>
  <c r="D40" i="27"/>
  <c r="C38" i="27"/>
  <c r="D36" i="27"/>
  <c r="D38" i="27" s="1"/>
  <c r="F12" i="28"/>
  <c r="F55" i="28"/>
  <c r="M52" i="21"/>
  <c r="M132" i="21" l="1"/>
  <c r="N132" i="21" s="1"/>
  <c r="O81" i="22"/>
  <c r="AB81" i="24"/>
  <c r="AB81" i="34"/>
  <c r="AB65" i="26"/>
  <c r="P65" i="21"/>
  <c r="AB65" i="29"/>
  <c r="AD65" i="29" s="1"/>
  <c r="AH65" i="29" s="1"/>
  <c r="C48" i="27"/>
  <c r="D48" i="27" s="1"/>
  <c r="M62" i="21"/>
  <c r="N62" i="21" s="1"/>
  <c r="P52" i="21"/>
  <c r="P113" i="21"/>
  <c r="F88" i="28"/>
  <c r="F87" i="28" s="1"/>
  <c r="C88" i="27"/>
  <c r="AB113" i="26"/>
  <c r="N113" i="21"/>
  <c r="F91" i="28"/>
  <c r="F139" i="28" s="1"/>
  <c r="C91" i="27"/>
  <c r="F20" i="28"/>
  <c r="F21" i="28" s="1"/>
  <c r="C20" i="27"/>
  <c r="C66" i="27"/>
  <c r="F66" i="28"/>
  <c r="F78" i="28" s="1"/>
  <c r="F33" i="28"/>
  <c r="F35" i="28" s="1"/>
  <c r="C33" i="27"/>
  <c r="AB52" i="26"/>
  <c r="N52" i="21"/>
  <c r="AB62" i="26" l="1"/>
  <c r="P62" i="21"/>
  <c r="AB62" i="29"/>
  <c r="AD62" i="29" s="1"/>
  <c r="AH62" i="29" s="1"/>
  <c r="C45" i="27"/>
  <c r="D45" i="27" s="1"/>
  <c r="AD81" i="34"/>
  <c r="P81" i="22"/>
  <c r="AD81" i="24"/>
  <c r="P132" i="21"/>
  <c r="AB132" i="29"/>
  <c r="AD132" i="29" s="1"/>
  <c r="AH132" i="29" s="1"/>
  <c r="AB132" i="26"/>
  <c r="AB113" i="29"/>
  <c r="AD113" i="29" s="1"/>
  <c r="AH113" i="29" s="1"/>
  <c r="AB52" i="29"/>
  <c r="AD52" i="29" s="1"/>
  <c r="AH52" i="29" s="1"/>
  <c r="F56" i="28"/>
  <c r="F90" i="28" s="1"/>
  <c r="F140" i="28" s="1"/>
  <c r="D33" i="27"/>
  <c r="D35" i="27" s="1"/>
  <c r="C35" i="27"/>
  <c r="D66" i="27"/>
  <c r="C139" i="27"/>
  <c r="C87" i="27"/>
  <c r="D88" i="27"/>
  <c r="D87" i="27" s="1"/>
  <c r="D20" i="27"/>
  <c r="M81" i="21" l="1"/>
  <c r="F149" i="2"/>
  <c r="F150" i="2" s="1"/>
  <c r="N81" i="21" l="1"/>
  <c r="O101" i="22"/>
  <c r="P101" i="22" s="1"/>
  <c r="AB101" i="24"/>
  <c r="AD101" i="24" s="1"/>
  <c r="M101" i="21" l="1"/>
  <c r="N101" i="21" s="1"/>
  <c r="P81" i="21"/>
  <c r="AB81" i="26"/>
  <c r="AB81" i="29"/>
  <c r="C58" i="27"/>
  <c r="B149" i="24"/>
  <c r="D58" i="27" l="1"/>
  <c r="AD81" i="29"/>
  <c r="AH81" i="29" s="1"/>
  <c r="P101" i="21"/>
  <c r="AB101" i="29"/>
  <c r="AD101" i="29" s="1"/>
  <c r="AH101" i="29" s="1"/>
  <c r="AB101" i="26"/>
  <c r="B150" i="24"/>
  <c r="L149" i="24"/>
  <c r="L150" i="24" s="1"/>
  <c r="B149" i="29" l="1"/>
  <c r="B150" i="29" s="1"/>
  <c r="L149" i="29"/>
  <c r="L150" i="29" s="1"/>
  <c r="B91" i="28"/>
  <c r="B91" i="27"/>
  <c r="Z149" i="24"/>
  <c r="G91" i="28" l="1"/>
  <c r="G139" i="28" s="1"/>
  <c r="G140" i="28" s="1"/>
  <c r="B139" i="28"/>
  <c r="B140" i="28" s="1"/>
  <c r="D91" i="28"/>
  <c r="D139" i="28" s="1"/>
  <c r="D140" i="28" s="1"/>
  <c r="D91" i="27"/>
  <c r="D139" i="27" s="1"/>
  <c r="B139" i="27"/>
  <c r="B140" i="27" s="1"/>
  <c r="Z149" i="29"/>
  <c r="Z150" i="24"/>
  <c r="Z150" i="29" l="1"/>
  <c r="AB120" i="34" l="1"/>
  <c r="AB59" i="34"/>
  <c r="AD59" i="34" s="1"/>
  <c r="AB4" i="24"/>
  <c r="AD4" i="24" s="1"/>
  <c r="AB120" i="24"/>
  <c r="AD120" i="24"/>
  <c r="AB125" i="24"/>
  <c r="AD125" i="24" s="1"/>
  <c r="AB59" i="24"/>
  <c r="AD59" i="24" s="1"/>
  <c r="AB22" i="24"/>
  <c r="AB32" i="24" s="1"/>
  <c r="AD32" i="24" s="1"/>
  <c r="AB85" i="34"/>
  <c r="AB91" i="34" s="1"/>
  <c r="AD91" i="34" s="1"/>
  <c r="AB98" i="24"/>
  <c r="AB22" i="34"/>
  <c r="AB32" i="34" s="1"/>
  <c r="AD32" i="34" s="1"/>
  <c r="AB3" i="34"/>
  <c r="AB3" i="24"/>
  <c r="AD3" i="24" s="1"/>
  <c r="AB98" i="34"/>
  <c r="AD98" i="34" s="1"/>
  <c r="AB39" i="24"/>
  <c r="AD39" i="24" s="1"/>
  <c r="AB39" i="34"/>
  <c r="AD39" i="34" s="1"/>
  <c r="AB5" i="34"/>
  <c r="AD5" i="34" s="1"/>
  <c r="AB138" i="24"/>
  <c r="AD138" i="24" s="1"/>
  <c r="O11" i="22"/>
  <c r="P11" i="22" s="1"/>
  <c r="M11" i="21" s="1"/>
  <c r="N11" i="21" s="1"/>
  <c r="AB11" i="24"/>
  <c r="AD11" i="24" s="1"/>
  <c r="AB85" i="24"/>
  <c r="AD85" i="24" s="1"/>
  <c r="AB99" i="24"/>
  <c r="AD99" i="24" s="1"/>
  <c r="AB99" i="34"/>
  <c r="AD99" i="34" s="1"/>
  <c r="AB136" i="24"/>
  <c r="AD136" i="24" s="1"/>
  <c r="O4" i="22"/>
  <c r="P4" i="22" s="1"/>
  <c r="M4" i="21" s="1"/>
  <c r="N4" i="21" s="1"/>
  <c r="AB4" i="34"/>
  <c r="AD4" i="34" s="1"/>
  <c r="AB69" i="34"/>
  <c r="AD69" i="34" s="1"/>
  <c r="AB69" i="24"/>
  <c r="AD69" i="24" s="1"/>
  <c r="AB8" i="34"/>
  <c r="AD8" i="34" s="1"/>
  <c r="O8" i="22"/>
  <c r="P8" i="22" s="1"/>
  <c r="M8" i="21" s="1"/>
  <c r="N8" i="21" s="1"/>
  <c r="AB8" i="24"/>
  <c r="AD8" i="24" s="1"/>
  <c r="AB6" i="34"/>
  <c r="AD6" i="34" s="1"/>
  <c r="O6" i="22"/>
  <c r="P6" i="22" s="1"/>
  <c r="M6" i="21" s="1"/>
  <c r="N6" i="21" s="1"/>
  <c r="AB6" i="24"/>
  <c r="AD6" i="24" s="1"/>
  <c r="AB125" i="34"/>
  <c r="AD125" i="34" s="1"/>
  <c r="O5" i="22"/>
  <c r="P5" i="22" s="1"/>
  <c r="M5" i="21" s="1"/>
  <c r="N5" i="21" s="1"/>
  <c r="AB5" i="24"/>
  <c r="AD5" i="24" s="1"/>
  <c r="AB10" i="34"/>
  <c r="AD10" i="34" s="1"/>
  <c r="O10" i="22"/>
  <c r="P10" i="22" s="1"/>
  <c r="M10" i="21" s="1"/>
  <c r="N10" i="21" s="1"/>
  <c r="AB10" i="24"/>
  <c r="AD10" i="24" s="1"/>
  <c r="AB7" i="24"/>
  <c r="AD7" i="24" s="1"/>
  <c r="O7" i="22"/>
  <c r="P7" i="22" s="1"/>
  <c r="M7" i="21" s="1"/>
  <c r="N7" i="21" s="1"/>
  <c r="AB7" i="34"/>
  <c r="AD7" i="34" s="1"/>
  <c r="AB9" i="34"/>
  <c r="AD9" i="34" s="1"/>
  <c r="O9" i="22"/>
  <c r="P9" i="22" s="1"/>
  <c r="M9" i="21" s="1"/>
  <c r="N9" i="21" s="1"/>
  <c r="AB9" i="24"/>
  <c r="AD9" i="24" s="1"/>
  <c r="O136" i="22"/>
  <c r="P136" i="22" s="1"/>
  <c r="M136" i="21" s="1"/>
  <c r="N136" i="21" s="1"/>
  <c r="O120" i="22"/>
  <c r="O138" i="22"/>
  <c r="P138" i="22" s="1"/>
  <c r="M138" i="21" s="1"/>
  <c r="N138" i="21" s="1"/>
  <c r="O98" i="22"/>
  <c r="P98" i="22"/>
  <c r="M98" i="21" s="1"/>
  <c r="O125" i="22"/>
  <c r="P125" i="22" s="1"/>
  <c r="M125" i="21" s="1"/>
  <c r="N125" i="21" s="1"/>
  <c r="O22" i="22"/>
  <c r="O32" i="22" s="1"/>
  <c r="O39" i="22"/>
  <c r="O49" i="22" s="1"/>
  <c r="O59" i="22"/>
  <c r="O69" i="22"/>
  <c r="P69" i="22" s="1"/>
  <c r="M69" i="21" s="1"/>
  <c r="N69" i="21" s="1"/>
  <c r="O85" i="22"/>
  <c r="O91" i="22" s="1"/>
  <c r="O3" i="22"/>
  <c r="P3" i="22"/>
  <c r="M3" i="21" s="1"/>
  <c r="O99" i="22"/>
  <c r="P99" i="22" s="1"/>
  <c r="M99" i="21" s="1"/>
  <c r="N99" i="21" s="1"/>
  <c r="P99" i="21" s="1"/>
  <c r="P39" i="22" l="1"/>
  <c r="M39" i="21" s="1"/>
  <c r="AB91" i="24"/>
  <c r="AD91" i="24" s="1"/>
  <c r="AD22" i="24"/>
  <c r="AB49" i="24"/>
  <c r="AD49" i="24" s="1"/>
  <c r="AD85" i="34"/>
  <c r="AB149" i="24"/>
  <c r="AD149" i="24" s="1"/>
  <c r="O78" i="22"/>
  <c r="AB138" i="29"/>
  <c r="AD138" i="29" s="1"/>
  <c r="AH138" i="29" s="1"/>
  <c r="AB138" i="26"/>
  <c r="P138" i="21"/>
  <c r="AB136" i="26"/>
  <c r="P136" i="21"/>
  <c r="AB136" i="29"/>
  <c r="AD136" i="29" s="1"/>
  <c r="AH136" i="29" s="1"/>
  <c r="AB10" i="29"/>
  <c r="AD10" i="29" s="1"/>
  <c r="AH10" i="29" s="1"/>
  <c r="P10" i="21"/>
  <c r="C10" i="27"/>
  <c r="D10" i="27" s="1"/>
  <c r="AB10" i="26"/>
  <c r="P7" i="21"/>
  <c r="C7" i="27"/>
  <c r="D7" i="27" s="1"/>
  <c r="AB7" i="26"/>
  <c r="AB7" i="29"/>
  <c r="AD7" i="29" s="1"/>
  <c r="AH7" i="29" s="1"/>
  <c r="P8" i="21"/>
  <c r="AB8" i="29"/>
  <c r="AD8" i="29" s="1"/>
  <c r="AH8" i="29" s="1"/>
  <c r="AB8" i="26"/>
  <c r="C8" i="27"/>
  <c r="D8" i="27" s="1"/>
  <c r="P69" i="21"/>
  <c r="AD69" i="29"/>
  <c r="AH69" i="29" s="1"/>
  <c r="AB69" i="26"/>
  <c r="C52" i="27"/>
  <c r="D52" i="27" s="1"/>
  <c r="AB6" i="29"/>
  <c r="AD6" i="29" s="1"/>
  <c r="AH6" i="29" s="1"/>
  <c r="P6" i="21"/>
  <c r="C6" i="27"/>
  <c r="D6" i="27" s="1"/>
  <c r="AB6" i="26"/>
  <c r="AB4" i="26"/>
  <c r="C4" i="27"/>
  <c r="D4" i="27" s="1"/>
  <c r="P4" i="21"/>
  <c r="AB4" i="29"/>
  <c r="AD4" i="29" s="1"/>
  <c r="AH4" i="29" s="1"/>
  <c r="AB9" i="29"/>
  <c r="AD9" i="29" s="1"/>
  <c r="AH9" i="29" s="1"/>
  <c r="C9" i="27"/>
  <c r="D9" i="27" s="1"/>
  <c r="P9" i="21"/>
  <c r="AB9" i="26"/>
  <c r="AB125" i="26"/>
  <c r="AB125" i="29"/>
  <c r="AD125" i="29" s="1"/>
  <c r="AH125" i="29" s="1"/>
  <c r="C126" i="27"/>
  <c r="D126" i="27" s="1"/>
  <c r="P125" i="21"/>
  <c r="C5" i="27"/>
  <c r="D5" i="27" s="1"/>
  <c r="AB5" i="26"/>
  <c r="P5" i="21"/>
  <c r="AB5" i="29"/>
  <c r="AD5" i="29" s="1"/>
  <c r="AH5" i="29" s="1"/>
  <c r="M49" i="21"/>
  <c r="N39" i="21"/>
  <c r="N98" i="21"/>
  <c r="M105" i="21"/>
  <c r="AB49" i="34"/>
  <c r="AD49" i="34" s="1"/>
  <c r="AB18" i="34"/>
  <c r="AB99" i="26"/>
  <c r="AB99" i="29"/>
  <c r="AD99" i="29" s="1"/>
  <c r="AH99" i="29" s="1"/>
  <c r="N3" i="21"/>
  <c r="M18" i="21"/>
  <c r="O149" i="22"/>
  <c r="P18" i="22"/>
  <c r="P85" i="22"/>
  <c r="P59" i="22"/>
  <c r="O105" i="22"/>
  <c r="AB105" i="34"/>
  <c r="AD105" i="34" s="1"/>
  <c r="AD22" i="34"/>
  <c r="AB105" i="24"/>
  <c r="AD105" i="24" s="1"/>
  <c r="AB149" i="34"/>
  <c r="AD149" i="34" s="1"/>
  <c r="P11" i="21"/>
  <c r="AB11" i="29"/>
  <c r="AD11" i="29" s="1"/>
  <c r="AH11" i="29" s="1"/>
  <c r="AB11" i="26"/>
  <c r="O18" i="22"/>
  <c r="O79" i="22" s="1"/>
  <c r="O117" i="22" s="1"/>
  <c r="O150" i="22" s="1"/>
  <c r="P49" i="22"/>
  <c r="P22" i="22"/>
  <c r="P105" i="22"/>
  <c r="P120" i="22"/>
  <c r="AB18" i="24"/>
  <c r="C72" i="27"/>
  <c r="D72" i="27" s="1"/>
  <c r="AB78" i="24"/>
  <c r="AD78" i="24" s="1"/>
  <c r="AB78" i="34"/>
  <c r="AD78" i="34" s="1"/>
  <c r="AD3" i="34"/>
  <c r="AD98" i="24"/>
  <c r="AD120" i="34"/>
  <c r="M22" i="21" l="1"/>
  <c r="P32" i="22"/>
  <c r="M59" i="21"/>
  <c r="P78" i="22"/>
  <c r="AB79" i="34"/>
  <c r="AD18" i="34"/>
  <c r="AB39" i="26"/>
  <c r="AB49" i="26" s="1"/>
  <c r="N49" i="21"/>
  <c r="AB39" i="29"/>
  <c r="C28" i="27"/>
  <c r="P39" i="21"/>
  <c r="P49" i="21" s="1"/>
  <c r="M85" i="21"/>
  <c r="P91" i="22"/>
  <c r="AB3" i="26"/>
  <c r="AB18" i="26" s="1"/>
  <c r="P3" i="21"/>
  <c r="P18" i="21" s="1"/>
  <c r="N18" i="21"/>
  <c r="C3" i="27"/>
  <c r="AB3" i="29"/>
  <c r="AB79" i="24"/>
  <c r="AD18" i="24"/>
  <c r="M120" i="21"/>
  <c r="P149" i="22"/>
  <c r="AB98" i="29"/>
  <c r="P98" i="21"/>
  <c r="P105" i="21" s="1"/>
  <c r="AB98" i="26"/>
  <c r="AB105" i="26" s="1"/>
  <c r="N105" i="21"/>
  <c r="C71" i="27"/>
  <c r="P79" i="22" l="1"/>
  <c r="P117" i="22" s="1"/>
  <c r="P150" i="22" s="1"/>
  <c r="C78" i="27"/>
  <c r="D71" i="27"/>
  <c r="D78" i="27" s="1"/>
  <c r="AD79" i="24"/>
  <c r="AB117" i="24"/>
  <c r="AB18" i="29"/>
  <c r="AD3" i="29"/>
  <c r="AH3" i="29" s="1"/>
  <c r="C32" i="27"/>
  <c r="D28" i="27"/>
  <c r="D32" i="27" s="1"/>
  <c r="N59" i="21"/>
  <c r="M78" i="21"/>
  <c r="AB49" i="29"/>
  <c r="AD49" i="29" s="1"/>
  <c r="AH49" i="29" s="1"/>
  <c r="AD39" i="29"/>
  <c r="AH39" i="29" s="1"/>
  <c r="AB117" i="34"/>
  <c r="AD79" i="34"/>
  <c r="M149" i="21"/>
  <c r="N120" i="21"/>
  <c r="C12" i="27"/>
  <c r="D3" i="27"/>
  <c r="D12" i="27" s="1"/>
  <c r="AD98" i="29"/>
  <c r="AH98" i="29" s="1"/>
  <c r="AB105" i="29"/>
  <c r="AD105" i="29" s="1"/>
  <c r="AH105" i="29" s="1"/>
  <c r="N85" i="21"/>
  <c r="M91" i="21"/>
  <c r="M32" i="21"/>
  <c r="N22" i="21"/>
  <c r="M79" i="21" l="1"/>
  <c r="M117" i="21" s="1"/>
  <c r="M150" i="21" s="1"/>
  <c r="AB85" i="29"/>
  <c r="C62" i="27"/>
  <c r="P85" i="21"/>
  <c r="P91" i="21" s="1"/>
  <c r="AB85" i="26"/>
  <c r="AB91" i="26" s="1"/>
  <c r="N91" i="21"/>
  <c r="AD117" i="24"/>
  <c r="AB150" i="24"/>
  <c r="AD150" i="24" s="1"/>
  <c r="C16" i="27"/>
  <c r="AB22" i="29"/>
  <c r="P22" i="21"/>
  <c r="P32" i="21" s="1"/>
  <c r="AB22" i="26"/>
  <c r="AB32" i="26" s="1"/>
  <c r="N32" i="21"/>
  <c r="AB150" i="34"/>
  <c r="AD150" i="34" s="1"/>
  <c r="AD117" i="34"/>
  <c r="C42" i="27"/>
  <c r="N78" i="21"/>
  <c r="AB59" i="29"/>
  <c r="AB59" i="26"/>
  <c r="AB78" i="26" s="1"/>
  <c r="P59" i="21"/>
  <c r="P78" i="21" s="1"/>
  <c r="AB120" i="29"/>
  <c r="P120" i="21"/>
  <c r="P149" i="21" s="1"/>
  <c r="AB120" i="26"/>
  <c r="AB149" i="26" s="1"/>
  <c r="C95" i="27"/>
  <c r="D95" i="27" s="1"/>
  <c r="N149" i="21"/>
  <c r="AD18" i="29"/>
  <c r="AH18" i="29" s="1"/>
  <c r="AB79" i="26" l="1"/>
  <c r="AB117" i="26" s="1"/>
  <c r="AB150" i="26" s="1"/>
  <c r="AD59" i="29"/>
  <c r="AH59" i="29" s="1"/>
  <c r="AB78" i="29"/>
  <c r="AD78" i="29" s="1"/>
  <c r="AH78" i="29" s="1"/>
  <c r="P79" i="21"/>
  <c r="P117" i="21" s="1"/>
  <c r="P150" i="21" s="1"/>
  <c r="AB149" i="29"/>
  <c r="AD149" i="29" s="1"/>
  <c r="AD120" i="29"/>
  <c r="AH120" i="29" s="1"/>
  <c r="AB32" i="29"/>
  <c r="AD22" i="29"/>
  <c r="AH22" i="29" s="1"/>
  <c r="D62" i="27"/>
  <c r="D64" i="27" s="1"/>
  <c r="C64" i="27"/>
  <c r="C55" i="27"/>
  <c r="D42" i="27"/>
  <c r="D55" i="27" s="1"/>
  <c r="N79" i="21"/>
  <c r="N117" i="21" s="1"/>
  <c r="N150" i="21" s="1"/>
  <c r="D16" i="27"/>
  <c r="D21" i="27" s="1"/>
  <c r="C21" i="27"/>
  <c r="AB91" i="29"/>
  <c r="AD91" i="29" s="1"/>
  <c r="AH91" i="29" s="1"/>
  <c r="AD85" i="29"/>
  <c r="AH85" i="29" s="1"/>
  <c r="AD32" i="29" l="1"/>
  <c r="AH32" i="29" s="1"/>
  <c r="AB79" i="29"/>
  <c r="C56" i="27"/>
  <c r="C90" i="27" s="1"/>
  <c r="C140" i="27" s="1"/>
  <c r="D56" i="27"/>
  <c r="D90" i="27" s="1"/>
  <c r="D140" i="27" s="1"/>
  <c r="AB117" i="29" l="1"/>
  <c r="AD79" i="29"/>
  <c r="AH79" i="29" s="1"/>
  <c r="AB150" i="29" l="1"/>
  <c r="AD150" i="29" s="1"/>
  <c r="AD117" i="29"/>
  <c r="AH117" i="2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Humberto Topete</author>
  </authors>
  <commentList>
    <comment ref="D103" authorId="0" shapeId="0" xr:uid="{8A6971F4-49C9-4B84-9A18-2BE9E2609909}">
      <text>
        <r>
          <rPr>
            <b/>
            <sz val="9"/>
            <color indexed="81"/>
            <rFont val="Tahoma"/>
            <family val="2"/>
          </rPr>
          <t>Humberto Topete:</t>
        </r>
        <r>
          <rPr>
            <sz val="9"/>
            <color indexed="81"/>
            <rFont val="Tahoma"/>
            <family val="2"/>
          </rPr>
          <t xml:space="preserve">
5 DE GUAYABA
3 DE FRESA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PROBOOK</author>
  </authors>
  <commentList>
    <comment ref="D103" authorId="0" shapeId="0" xr:uid="{FA545327-8C66-450C-8F5E-46ADF9F47D16}">
      <text>
        <r>
          <rPr>
            <b/>
            <sz val="9"/>
            <color indexed="81"/>
            <rFont val="Tahoma"/>
            <family val="2"/>
          </rPr>
          <t>PROBOOK:</t>
        </r>
        <r>
          <rPr>
            <sz val="9"/>
            <color indexed="81"/>
            <rFont val="Tahoma"/>
            <family val="2"/>
          </rPr>
          <t xml:space="preserve">
3 de guayaba
1 de fresa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PROBOOK</author>
  </authors>
  <commentList>
    <comment ref="D103" authorId="0" shapeId="0" xr:uid="{DC8CF686-4DF6-4FF4-AB1D-7241E9FAC448}">
      <text>
        <r>
          <rPr>
            <b/>
            <sz val="9"/>
            <color indexed="81"/>
            <rFont val="Tahoma"/>
            <family val="2"/>
          </rPr>
          <t>PROBOOK:</t>
        </r>
        <r>
          <rPr>
            <sz val="9"/>
            <color indexed="81"/>
            <rFont val="Tahoma"/>
            <family val="2"/>
          </rPr>
          <t xml:space="preserve">
1 de guayaba
1 de fresa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Yhana Pérez</author>
  </authors>
  <commentList>
    <comment ref="D103" authorId="0" shapeId="0" xr:uid="{CC0156A9-A03E-4F89-9CFA-B01DA76ABD4F}">
      <text>
        <r>
          <rPr>
            <b/>
            <sz val="9"/>
            <color indexed="81"/>
            <rFont val="Tahoma"/>
            <family val="2"/>
          </rPr>
          <t>Yhana Pérez:</t>
        </r>
        <r>
          <rPr>
            <sz val="9"/>
            <color indexed="81"/>
            <rFont val="Tahoma"/>
            <family val="2"/>
          </rPr>
          <t xml:space="preserve">
1 fresa
3 guayaba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PROBOOK</author>
  </authors>
  <commentList>
    <comment ref="D103" authorId="0" shapeId="0" xr:uid="{BB6039DE-376B-4931-9289-38161CA02AD5}">
      <text>
        <r>
          <rPr>
            <b/>
            <sz val="9"/>
            <color indexed="81"/>
            <rFont val="Tahoma"/>
            <family val="2"/>
          </rPr>
          <t>PROBOOK:</t>
        </r>
        <r>
          <rPr>
            <sz val="9"/>
            <color indexed="81"/>
            <rFont val="Tahoma"/>
            <family val="2"/>
          </rPr>
          <t xml:space="preserve">
1 fresa
1 guayaba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PROBOOK</author>
  </authors>
  <commentList>
    <comment ref="D103" authorId="0" shapeId="0" xr:uid="{B86AE741-DBFB-41BA-A45A-7A2E0CD56070}">
      <text>
        <r>
          <rPr>
            <b/>
            <sz val="9"/>
            <color indexed="81"/>
            <rFont val="Tahoma"/>
            <family val="2"/>
          </rPr>
          <t>PROBOOK:</t>
        </r>
        <r>
          <rPr>
            <sz val="9"/>
            <color indexed="81"/>
            <rFont val="Tahoma"/>
            <family val="2"/>
          </rPr>
          <t xml:space="preserve">
2 tartaletas de guayaba
1 de fresa</t>
        </r>
      </text>
    </comment>
  </commentList>
</comments>
</file>

<file path=xl/sharedStrings.xml><?xml version="1.0" encoding="utf-8"?>
<sst xmlns="http://schemas.openxmlformats.org/spreadsheetml/2006/main" count="7740" uniqueCount="1162">
  <si>
    <t xml:space="preserve">PRODUCTO </t>
  </si>
  <si>
    <t>PIÑA GDE</t>
  </si>
  <si>
    <t>DURAZNO GDE</t>
  </si>
  <si>
    <t>3 LECHES GDE</t>
  </si>
  <si>
    <t>FRUTAS GDE</t>
  </si>
  <si>
    <t>DUO DURAZNO GDE</t>
  </si>
  <si>
    <t>MOKA GDE</t>
  </si>
  <si>
    <t>NUTELA GDE</t>
  </si>
  <si>
    <t>CHOCOLATE GDE</t>
  </si>
  <si>
    <t>M &amp; M GDE</t>
  </si>
  <si>
    <t xml:space="preserve">3 LECHES GRANDES </t>
  </si>
  <si>
    <t>FRUTAS MED</t>
  </si>
  <si>
    <t>CHOCOLATE MED</t>
  </si>
  <si>
    <t xml:space="preserve">3 LECHES MEDIANOS </t>
  </si>
  <si>
    <t>PIÑA CH</t>
  </si>
  <si>
    <t>DURAZNO CH</t>
  </si>
  <si>
    <t>FRESA CH</t>
  </si>
  <si>
    <t>3 LECHES CH</t>
  </si>
  <si>
    <t>FRUTAS CH</t>
  </si>
  <si>
    <t>DUO DURAZNO CH</t>
  </si>
  <si>
    <t>CIRUELA CH</t>
  </si>
  <si>
    <t>ROMPOPE CH</t>
  </si>
  <si>
    <t>MOKA CH</t>
  </si>
  <si>
    <t>NUTELA CH</t>
  </si>
  <si>
    <t>CHOCOLATE CH</t>
  </si>
  <si>
    <t>M &amp; M CH</t>
  </si>
  <si>
    <t>OREO CHICO</t>
  </si>
  <si>
    <t>SNIKER CH</t>
  </si>
  <si>
    <t>CHOKIS CH</t>
  </si>
  <si>
    <t xml:space="preserve">3 LECHES CHICOS </t>
  </si>
  <si>
    <t>MINI MEDIANO PIÑERO</t>
  </si>
  <si>
    <t>MINI MEDIANO CHOCOLATE</t>
  </si>
  <si>
    <t>MINI MEDIANOS 3 LECHES</t>
  </si>
  <si>
    <t>MINI PASTELITO PIÑERO</t>
  </si>
  <si>
    <t>MINI PASTELITO CHOCOLATE</t>
  </si>
  <si>
    <t xml:space="preserve">MINI MINI 3 LECHES </t>
  </si>
  <si>
    <t>3 LECHES QUESO GDE</t>
  </si>
  <si>
    <t>3 LECHES QUESO CH</t>
  </si>
  <si>
    <t>SELVA NEGRA</t>
  </si>
  <si>
    <t>SELVA NEGRA CH</t>
  </si>
  <si>
    <t>CHOCOQUESO</t>
  </si>
  <si>
    <t>CHOCOQUESO CH</t>
  </si>
  <si>
    <t>RED VELVET CHEESE CAKE GDE</t>
  </si>
  <si>
    <t>RED VELVET CHEESE CAKE MINI MEDIANO</t>
  </si>
  <si>
    <t>CHESSECAKE GDE</t>
  </si>
  <si>
    <t>CHESSECAKE MINIMED</t>
  </si>
  <si>
    <t>CHESSECAKE PETIT</t>
  </si>
  <si>
    <t>CHOCOFLAN MINI MEDIANO</t>
  </si>
  <si>
    <t>ZANAHORIA GDE</t>
  </si>
  <si>
    <t>ZANAHORIA CH</t>
  </si>
  <si>
    <t>ZANAHORIA PETIT</t>
  </si>
  <si>
    <t>ROSCA C/CAJETA</t>
  </si>
  <si>
    <t>ROSCA 3 LECHES CH</t>
  </si>
  <si>
    <t>CAJITA DE TRES LECHES</t>
  </si>
  <si>
    <t>ESPECIALIDAD</t>
  </si>
  <si>
    <t>Total Area</t>
  </si>
  <si>
    <t>VAINILLAS</t>
  </si>
  <si>
    <t>VAINILLA MARMOLEADO</t>
  </si>
  <si>
    <t>VAINILLA NARANJA</t>
  </si>
  <si>
    <t>PLANCHA 1/4</t>
  </si>
  <si>
    <t>PLANCHA DE VAINILLA</t>
  </si>
  <si>
    <t>VAINILLA NATURAL</t>
  </si>
  <si>
    <t>ROSCA MARMOLEADA</t>
  </si>
  <si>
    <t>PETIT DECORADO</t>
  </si>
  <si>
    <t xml:space="preserve">GELATINAS </t>
  </si>
  <si>
    <t>GELATINA FRESA GDE</t>
  </si>
  <si>
    <t>GELATINA MOSAICO GDE</t>
  </si>
  <si>
    <t>GELATINA FRESA CH</t>
  </si>
  <si>
    <t>GELATINA MOSAICO CH</t>
  </si>
  <si>
    <t>GELATINA IND FRESA</t>
  </si>
  <si>
    <t>GELATINA IND MOSAICO</t>
  </si>
  <si>
    <t>VASO GELATINA IND</t>
  </si>
  <si>
    <t>Gelatina de promocion semana santa</t>
  </si>
  <si>
    <t>PAY DE FRESA GDE</t>
  </si>
  <si>
    <t>PAY DE GUAYABA GDE</t>
  </si>
  <si>
    <t>tartaleta</t>
  </si>
  <si>
    <t xml:space="preserve">GALLETAS </t>
  </si>
  <si>
    <t>BOCADITO PEPE 15 PIEZAS</t>
  </si>
  <si>
    <t>PAY QUESO IND</t>
  </si>
  <si>
    <t>bolsa de galleta de 60 grs</t>
  </si>
  <si>
    <t>1/4 Kg de GALLETA</t>
  </si>
  <si>
    <t>1/2 kg DE GALLETA</t>
  </si>
  <si>
    <t xml:space="preserve">PALETA GALLETA </t>
  </si>
  <si>
    <t>TRUFAS CON 9</t>
  </si>
  <si>
    <t>VASO DE ARROZ</t>
  </si>
  <si>
    <t>FLAN EN VASO</t>
  </si>
  <si>
    <t>SUMAS</t>
  </si>
  <si>
    <t>FECHA</t>
  </si>
  <si>
    <t>Etiquetas de fila</t>
  </si>
  <si>
    <t>San Cayetano</t>
  </si>
  <si>
    <t>Suc. Acaponeta</t>
  </si>
  <si>
    <t>Suc. Allende</t>
  </si>
  <si>
    <t>Suc. Boulevard</t>
  </si>
  <si>
    <t>Suc. Compostela</t>
  </si>
  <si>
    <t>Suc. Dos de Agosto</t>
  </si>
  <si>
    <t>Suc. La Nueva Canasta</t>
  </si>
  <si>
    <t>Suc. Mololoa</t>
  </si>
  <si>
    <t>Suc. Plaza</t>
  </si>
  <si>
    <t>Suc. Ruiz</t>
  </si>
  <si>
    <t>Suc. Sanblas</t>
  </si>
  <si>
    <t>Suc. Santiago</t>
  </si>
  <si>
    <t>Suc. Santiago 2</t>
  </si>
  <si>
    <t>Suc. Tecuala</t>
  </si>
  <si>
    <t>Suc. Tuxpan</t>
  </si>
  <si>
    <t>Suc. Vistas</t>
  </si>
  <si>
    <t>Suc. Xalisco</t>
  </si>
  <si>
    <t>Total general</t>
  </si>
  <si>
    <t xml:space="preserve"> DUO DURAZNO GDE DE CORAZON</t>
  </si>
  <si>
    <t xml:space="preserve"> PETIT</t>
  </si>
  <si>
    <t>1 1/2 KG CHOCOLATE</t>
  </si>
  <si>
    <t>1 1/2 KG FANTASIA</t>
  </si>
  <si>
    <t>1 1/2 KG PIÑERO</t>
  </si>
  <si>
    <t>1 KG CHOCOLATE SUPER FAMILIAR</t>
  </si>
  <si>
    <t>1 KG DE GALLETA</t>
  </si>
  <si>
    <t>1 KG PIÑERO SUPER FAMILIAR</t>
  </si>
  <si>
    <t>1 KG VAINILLA SUPER FAMILIAR</t>
  </si>
  <si>
    <t>1/2 KG CHOCOLATE</t>
  </si>
  <si>
    <t>1/2 KG CHOCOLATE CASERO</t>
  </si>
  <si>
    <t>1/2 KG DE GALLETA</t>
  </si>
  <si>
    <t>1/2 KG PIÑERO</t>
  </si>
  <si>
    <t>1/2 KG VAINILLA</t>
  </si>
  <si>
    <t>1/2KG 3 LECHES PIÑERO</t>
  </si>
  <si>
    <t>1/2KG CHOCOLATE 3 LECHES</t>
  </si>
  <si>
    <t>1/2KG COMBINADO 3 LECHES</t>
  </si>
  <si>
    <t>1/2KG VAINILLA CASERO</t>
  </si>
  <si>
    <t>1/2KG VAINILLA CON CHOCOLATE CASERO</t>
  </si>
  <si>
    <t>1/4 KG DE GALLETA</t>
  </si>
  <si>
    <t>11/2KG 3 LECHES PIÑERO</t>
  </si>
  <si>
    <t>11/2KG CHOCOLATE 3 LECHES</t>
  </si>
  <si>
    <t>11/2KG CHOCOLATE CASERO</t>
  </si>
  <si>
    <t>11/2KG COMBINADO 3 LECHES</t>
  </si>
  <si>
    <t>11/2KG COMBINADO CASERO</t>
  </si>
  <si>
    <t>11/2KG VAINILLA CASERO</t>
  </si>
  <si>
    <t>16 CM MMD CHOC</t>
  </si>
  <si>
    <t>16 CM MMD PIÑERO</t>
  </si>
  <si>
    <t>16 CM MMD VAINILLA</t>
  </si>
  <si>
    <t>1KG 3 LECHES PIÑERO</t>
  </si>
  <si>
    <t>1KG CHOCOLATE 3 LECHES</t>
  </si>
  <si>
    <t>1KG CHOCOLATE CASERO</t>
  </si>
  <si>
    <t>1KG COMBINADO 3 LECHES</t>
  </si>
  <si>
    <t>1KG COMBINADO CASERO</t>
  </si>
  <si>
    <t>1KG VAINILLA CASERO</t>
  </si>
  <si>
    <t>2 DE 3/4 CHOCOLATE JUMBO - FAMILIAR</t>
  </si>
  <si>
    <t>2 DE 3/4 PIÑERO JUMBO-FAMILIAR</t>
  </si>
  <si>
    <t>2 DE 3/4 VAINILLA JUMBO-FAMILIAR</t>
  </si>
  <si>
    <t>2 KG CHOCOLATE 3 LECHES</t>
  </si>
  <si>
    <t>2 PIEZAS PAN POR $6</t>
  </si>
  <si>
    <t>20 CM CHOCOLATE</t>
  </si>
  <si>
    <t>20 CM PIÑERO</t>
  </si>
  <si>
    <t>20 CM VAINILLA</t>
  </si>
  <si>
    <t>2KG CHOCOLATE CASERO</t>
  </si>
  <si>
    <t>2KG COMBINADO 3 LECHES</t>
  </si>
  <si>
    <t>2KG COMBINADO CASERO</t>
  </si>
  <si>
    <t>2KG PIÑERO 3 LECHES</t>
  </si>
  <si>
    <t>2KG VAINILLA CASERO</t>
  </si>
  <si>
    <t>3 DE 3/4 KG CHOCOLATE MEGA-FAMILIAR</t>
  </si>
  <si>
    <t>3 DE 3/4 KG PIÑERO MEGA-FAMILIAR</t>
  </si>
  <si>
    <t>3 DE 3/4 KG VAINILLA MEGA-FAMILIAR</t>
  </si>
  <si>
    <t>3/4 KG CHOCOLATE FAMILIAR</t>
  </si>
  <si>
    <t>3/4 KG PIÑERO FAMILIAR</t>
  </si>
  <si>
    <t>3/4 KG VAINILLA FAMILIAR</t>
  </si>
  <si>
    <t>3/4KG 3 LECHES PIÑERO</t>
  </si>
  <si>
    <t xml:space="preserve">3/4KG CHOCOLATE 3 LECHES </t>
  </si>
  <si>
    <t>3/4KG CHOCOLATE CASERO</t>
  </si>
  <si>
    <t>3/4KG COMBINADO 3 LECHES</t>
  </si>
  <si>
    <t>ACETATO BANDERINES MEXICANOS</t>
  </si>
  <si>
    <t>ALAS DE ANGEL</t>
  </si>
  <si>
    <t>ALGODON DE AZUCAR 3 LECHES CH</t>
  </si>
  <si>
    <t>ALMENDRA TIN MARIN</t>
  </si>
  <si>
    <t>AMOR MIO GDE</t>
  </si>
  <si>
    <t>ARREGLO $100</t>
  </si>
  <si>
    <t>ARREGLO $120</t>
  </si>
  <si>
    <t>ARREGLO $150</t>
  </si>
  <si>
    <t>ARREGLO $200</t>
  </si>
  <si>
    <t>ARREGLO $250</t>
  </si>
  <si>
    <t>ARREGLO $350</t>
  </si>
  <si>
    <t>ARREGLO $50</t>
  </si>
  <si>
    <t>ARREGLO $80</t>
  </si>
  <si>
    <t>ARREGLO DE $500</t>
  </si>
  <si>
    <t>BARRA DE POSTRES 50 PERSONAS</t>
  </si>
  <si>
    <t>BASE BOLLOS</t>
  </si>
  <si>
    <t>BDS001</t>
  </si>
  <si>
    <t>BDS002</t>
  </si>
  <si>
    <t>BDS003</t>
  </si>
  <si>
    <t>BDS004</t>
  </si>
  <si>
    <t>BDS006</t>
  </si>
  <si>
    <t>BDS007</t>
  </si>
  <si>
    <t>BDS008</t>
  </si>
  <si>
    <t>BDS009</t>
  </si>
  <si>
    <t>BENGALA CH</t>
  </si>
  <si>
    <t>BENGALA GRANDE</t>
  </si>
  <si>
    <t>BENGALA MINI</t>
  </si>
  <si>
    <t>BESO DE CHOCOLATE</t>
  </si>
  <si>
    <t>BESO DE CHOCOLATE BLANCO</t>
  </si>
  <si>
    <t>BISQUET 2 PIEZAS</t>
  </si>
  <si>
    <t>BISQUET INDIVIDUAL</t>
  </si>
  <si>
    <t>BOCA PEPE SAN VALENTÍN 15 PIEZAS</t>
  </si>
  <si>
    <t>BOLLITO DE CALABAZA</t>
  </si>
  <si>
    <t>BOLLO BAJO EN AZUCAR</t>
  </si>
  <si>
    <t>BOLLO CON 6 BETUN 14</t>
  </si>
  <si>
    <t>BOLLO GIGANTE 14 DE FEBRERO</t>
  </si>
  <si>
    <t>BOLLO INDIVIDUAL VAINILLA O CHOCOLATE</t>
  </si>
  <si>
    <t>BOLLO MEDIANO DIA DEL AMOR</t>
  </si>
  <si>
    <t>BOLLO PLANO</t>
  </si>
  <si>
    <t>BOLLOS C/4</t>
  </si>
  <si>
    <t>BOLLOS C/6</t>
  </si>
  <si>
    <t>BOLSA C/10 BUEÑOS</t>
  </si>
  <si>
    <t>BOLSA DE DULCES $10 PESOS</t>
  </si>
  <si>
    <t>BOLSA DE DULCES DE $15 PESOS</t>
  </si>
  <si>
    <t xml:space="preserve">BOLSA DE GALLETA BAJA EN AZUCAR </t>
  </si>
  <si>
    <t>BOLSA DE GALLETA DE 60 GRS</t>
  </si>
  <si>
    <t>BOLSA ECOLÓGICA</t>
  </si>
  <si>
    <t>BOTE CON GALLETA GDE</t>
  </si>
  <si>
    <t>BOTE GALLETA CHICA</t>
  </si>
  <si>
    <t xml:space="preserve">BTZ001 </t>
  </si>
  <si>
    <t xml:space="preserve">BTZ002 </t>
  </si>
  <si>
    <t xml:space="preserve">BTZ003 </t>
  </si>
  <si>
    <t xml:space="preserve">BTZ004 </t>
  </si>
  <si>
    <t>BTZ005 3 LECHES</t>
  </si>
  <si>
    <t>BTZ005 VAINILLA</t>
  </si>
  <si>
    <t>BTZ006 3 LECHES</t>
  </si>
  <si>
    <t>BTZ006 VAINILLA</t>
  </si>
  <si>
    <t xml:space="preserve">BTZ007 </t>
  </si>
  <si>
    <t xml:space="preserve">BTZ008 </t>
  </si>
  <si>
    <t xml:space="preserve">BTZ009 </t>
  </si>
  <si>
    <t>BTZ010</t>
  </si>
  <si>
    <t>BTZ011 3 LECHES</t>
  </si>
  <si>
    <t>BTZ011 VAINILLA</t>
  </si>
  <si>
    <t>BTZ012 3 LECHES</t>
  </si>
  <si>
    <t>BTZ012 VAINILLA</t>
  </si>
  <si>
    <t>BUBULUBU</t>
  </si>
  <si>
    <t>CAJA BOLLO C/6 DIA DEL NIÑO</t>
  </si>
  <si>
    <t>CAJA BROWNIE CON 6 PIEZAS</t>
  </si>
  <si>
    <t>CAJA CHICA</t>
  </si>
  <si>
    <t>CAJA CHOCO DIAMANTADO SORPRESA</t>
  </si>
  <si>
    <t>CAJA CON 2 DONAS</t>
  </si>
  <si>
    <t>CAJA CON 20 CUERNITOS</t>
  </si>
  <si>
    <t>CAJA CON 5 DONAS DÍA DEL NIÑO</t>
  </si>
  <si>
    <t>CAJA CON 6 DONAS CORAZON</t>
  </si>
  <si>
    <t>CAJA CON 9 GALLETAS DE CORAZON</t>
  </si>
  <si>
    <t>CAJA DE BROWNIES CON 4 PIEZAS</t>
  </si>
  <si>
    <t>CAJA DE BROWNIES CON 9 PIEZAS</t>
  </si>
  <si>
    <t>CAJA DE OSITOS</t>
  </si>
  <si>
    <t>CAJA DE PALETAS</t>
  </si>
  <si>
    <t>CAJA GALLETA CORAZON CH</t>
  </si>
  <si>
    <t>CAJA GALLETA CORAZON GDE</t>
  </si>
  <si>
    <t>CAJA GALLETA LOVE YOU</t>
  </si>
  <si>
    <t>CAJA UNICORNIO DIAMANTADO SORPRESA</t>
  </si>
  <si>
    <t>CAJETA GDE</t>
  </si>
  <si>
    <t>CAJITA 3 LECHES CALABAZA</t>
  </si>
  <si>
    <t>CAJITA DE GALLETAS IMPRESAS 5 PZ</t>
  </si>
  <si>
    <t>CAJITA GALLETA BAJA EN AZUCAR</t>
  </si>
  <si>
    <t>CAJITA PIÑATERA</t>
  </si>
  <si>
    <t>CALAVERA CHOCOLATE</t>
  </si>
  <si>
    <t>CAMISA FUTBOL</t>
  </si>
  <si>
    <t>CANASTA NAVIDEÑA</t>
  </si>
  <si>
    <t>CANELITAS CH</t>
  </si>
  <si>
    <t>CANELITAS MEDIANO</t>
  </si>
  <si>
    <t>CAPIROTADA DE LECHE GRANDE</t>
  </si>
  <si>
    <t>CAPIROTADA TRADICIONAL CH</t>
  </si>
  <si>
    <t>CAPIROTADA TRADICIONAL GDE</t>
  </si>
  <si>
    <t>CARLOS V QUINTO GDE</t>
  </si>
  <si>
    <t>CASA DE JENGIBRE</t>
  </si>
  <si>
    <t>CASTILLO CHICO</t>
  </si>
  <si>
    <t>CENA NAVIDEÑA PAQ 7 (12 PERSONAS)</t>
  </si>
  <si>
    <t>CENA NAVIDEÑA PAQ 7 (6 PERSONAS)</t>
  </si>
  <si>
    <t>CENA NAVIDEÑA PAQ 8 (12 PERSONAS)</t>
  </si>
  <si>
    <t>CENA NAVIDEÑA PAQ 8 (6 PERSONAS)</t>
  </si>
  <si>
    <t>CENA NAVIDEÑA PAQ 9 (12 PERSONAS)</t>
  </si>
  <si>
    <t>CENA NAVIDEÑA PAQUETE 9 (6 PERSONAS)</t>
  </si>
  <si>
    <t>CENA NAVIDEÑA POR KILO</t>
  </si>
  <si>
    <t>CHAROLA C/24 BOLLOS</t>
  </si>
  <si>
    <t>CHAROLA CON 50 BOCADILLOS</t>
  </si>
  <si>
    <t>CHAROLA PAN CALABAZA 3 LECHES</t>
  </si>
  <si>
    <t>CHAROLA PAN MUERTO C/4</t>
  </si>
  <si>
    <t>CHEESE CORAZON MMD</t>
  </si>
  <si>
    <t>CHEESE GALLETA OREO</t>
  </si>
  <si>
    <t>CHEESE OREO CORAZON CHICO</t>
  </si>
  <si>
    <t>CHEESE OREO CORAZON MMD</t>
  </si>
  <si>
    <t>CHEESE ZANAHORIA MMD</t>
  </si>
  <si>
    <t>CHEESECAKE BAJO EN AZUCAR MINI MED</t>
  </si>
  <si>
    <t>CHEESECAKE CORAZON CHICO</t>
  </si>
  <si>
    <t>CHEESECAKE CORAZON GDE</t>
  </si>
  <si>
    <t>CHEESECAKE MMD CORAZON</t>
  </si>
  <si>
    <t>CHEESECAKE ZANAHORIA</t>
  </si>
  <si>
    <t>CHEESECAKE ZANAHORIA CHICO</t>
  </si>
  <si>
    <t>CHEESECAKE ZARZAMORA GDE</t>
  </si>
  <si>
    <t>CHESSE FERRERO CHICO</t>
  </si>
  <si>
    <t>CHESSECAKE CH</t>
  </si>
  <si>
    <t>CHESSECAKE FERRERO GRANDE</t>
  </si>
  <si>
    <t>CHESSECAKE FERRERO MMD</t>
  </si>
  <si>
    <t>CHOCO LOVE</t>
  </si>
  <si>
    <t>CHOCOFLAN</t>
  </si>
  <si>
    <t>CHOCOFLAN CHICO</t>
  </si>
  <si>
    <t>CHOCOFLAN MINI</t>
  </si>
  <si>
    <t>CHOCOFRESA CH</t>
  </si>
  <si>
    <t>CHOCOFRESA GDE</t>
  </si>
  <si>
    <t>CHOCOLATE 26 CM</t>
  </si>
  <si>
    <t>CHOCOLATE 3 LECHE CH CORAZON</t>
  </si>
  <si>
    <t>CHOCOLATE GDE 3 LECHES CORAZON</t>
  </si>
  <si>
    <t>CHOCOLATE TRES LECHES 3/4</t>
  </si>
  <si>
    <t>CHOCO-VAINILLA QUESO</t>
  </si>
  <si>
    <t>CHOUX</t>
  </si>
  <si>
    <t>CHUNCHES</t>
  </si>
  <si>
    <t>CHURRO MEDIANO</t>
  </si>
  <si>
    <t>CO-001</t>
  </si>
  <si>
    <t>CO-002</t>
  </si>
  <si>
    <t>CO-003</t>
  </si>
  <si>
    <t>CO-004</t>
  </si>
  <si>
    <t>CO-005</t>
  </si>
  <si>
    <t>CO-006</t>
  </si>
  <si>
    <t>CO-007</t>
  </si>
  <si>
    <t>CO-008 3 LECHES</t>
  </si>
  <si>
    <t>CO-008 VAINILLA</t>
  </si>
  <si>
    <t>CO-009</t>
  </si>
  <si>
    <t>CO-010</t>
  </si>
  <si>
    <t>CO-011 3 LECHES</t>
  </si>
  <si>
    <t>CO-011 VAINILLA</t>
  </si>
  <si>
    <t>CO-012</t>
  </si>
  <si>
    <t>CO-013</t>
  </si>
  <si>
    <t>CO-014 3 LECHES</t>
  </si>
  <si>
    <t>CO-014 VAINILLA</t>
  </si>
  <si>
    <t>COCO CH</t>
  </si>
  <si>
    <t>COCO GDE</t>
  </si>
  <si>
    <t>COCO MEDIANO</t>
  </si>
  <si>
    <t>COMBINADO CH</t>
  </si>
  <si>
    <t>COPA GOL</t>
  </si>
  <si>
    <t>CORAZON CON 18 MINI BOLLOS</t>
  </si>
  <si>
    <t>CORONA PAN DE MUERTO CH</t>
  </si>
  <si>
    <t>CORONA PAN DE MUERTO GDE</t>
  </si>
  <si>
    <t>CREMOSO CAJETA CH</t>
  </si>
  <si>
    <t>CREMOSO CHOCOLATE CH</t>
  </si>
  <si>
    <t>CUERNITOS C/12</t>
  </si>
  <si>
    <t>DÍA DEL PADRE PASTEL CAMISA EQUIPO AMERICA-CHIVAS-PUMAS</t>
  </si>
  <si>
    <t>DÍA DEL PADRE PASTEL FERRERO</t>
  </si>
  <si>
    <t>DÍA DEL PADRE PASTEL MESA DE BILLAR</t>
  </si>
  <si>
    <t>DÍA DEL PADRE PASTEL PALOMITAS Y REFRESCO</t>
  </si>
  <si>
    <t>DÍA DEL PADRE PASTEL TARRO DE CERVEZA</t>
  </si>
  <si>
    <t>DÍA DEL PADRE VAINILLA DECORADO CON TARRO Y CERVEZA</t>
  </si>
  <si>
    <t>DÍA DEL PADRE Y ABUELO PASTEL TAZA DE CAFÉ</t>
  </si>
  <si>
    <t xml:space="preserve">DOMO DE $50 </t>
  </si>
  <si>
    <t xml:space="preserve">DONA </t>
  </si>
  <si>
    <t>DULCE DE LIMON CON LECHERA</t>
  </si>
  <si>
    <t>DULCE TENTACION DE CHOCOLATE</t>
  </si>
  <si>
    <t>DUO DURAZNO MEDIANO</t>
  </si>
  <si>
    <t>DUVALIN</t>
  </si>
  <si>
    <t>EMPANADAS</t>
  </si>
  <si>
    <t>ENAMORADO CHOCOLATA GDE</t>
  </si>
  <si>
    <t>ENAMORADO TRES LECHES GDE</t>
  </si>
  <si>
    <t>FANSTASIA DECORADO MINI MEDIANO</t>
  </si>
  <si>
    <t>FANTASIA CORAZON CH</t>
  </si>
  <si>
    <t>FANTASIA MINI MEDIANO</t>
  </si>
  <si>
    <t>FANTASIA MINI MEDIANO CHOCOLATE</t>
  </si>
  <si>
    <t>FANTASIA MINI MEDIANO RED VELVET</t>
  </si>
  <si>
    <t>FERRERO CH</t>
  </si>
  <si>
    <t>FERRERO GDE</t>
  </si>
  <si>
    <t>FLAN 20CM</t>
  </si>
  <si>
    <t>FLAN INDIVIDUAL</t>
  </si>
  <si>
    <t>FLAN MINI MED</t>
  </si>
  <si>
    <t>FLAUNI CHICO</t>
  </si>
  <si>
    <t>FLAUNI MINI MEDIANO</t>
  </si>
  <si>
    <t>FRESA DECORADO PRUEBA CH</t>
  </si>
  <si>
    <t>FRESA GDE</t>
  </si>
  <si>
    <t>FRUIT CAKE</t>
  </si>
  <si>
    <t>GALLETA DE CORAZÓN</t>
  </si>
  <si>
    <t>GALLETA EN PLATO DE CARTON</t>
  </si>
  <si>
    <t>GDE PIÑERO 3 LECHES</t>
  </si>
  <si>
    <t>GELATINA APIO INDIVIDUAL</t>
  </si>
  <si>
    <t>GELATINA APIO MINIMEDIANA</t>
  </si>
  <si>
    <t>GELATINA ARCOIRIS</t>
  </si>
  <si>
    <t>GELATINA BICOLOR CH</t>
  </si>
  <si>
    <t>GELATINA BICOLOR GDE</t>
  </si>
  <si>
    <t>GELATINA CORAZON PIÑA MINI MEDIANO</t>
  </si>
  <si>
    <t>GELATINA DE CAJETA GRANDE</t>
  </si>
  <si>
    <t>GELATINA DE LECHE CON PIÑA GDE</t>
  </si>
  <si>
    <t>GELATINA DE PIÑA CHICA</t>
  </si>
  <si>
    <t>GELATINA DE PIÑA GDE</t>
  </si>
  <si>
    <t>GELATINA DE PIÑA IND</t>
  </si>
  <si>
    <t>GELATINA DE PROMOCION SEMANA SANTA</t>
  </si>
  <si>
    <t>GELATINA DURAZNO CH</t>
  </si>
  <si>
    <t>GELATINA DURAZNO GDE</t>
  </si>
  <si>
    <t>GELATINA IND YOGURTH</t>
  </si>
  <si>
    <t>GELATINA MOKACHINO</t>
  </si>
  <si>
    <t>GELATINA MOSAICO CORAZON CH</t>
  </si>
  <si>
    <t>GELATINA MOSAICO CORAZON GDE</t>
  </si>
  <si>
    <t>GELATINA PERSONALIZADA</t>
  </si>
  <si>
    <t>GELATINA PROMO ABRIL</t>
  </si>
  <si>
    <t>GELATINA TRICOLOR CH</t>
  </si>
  <si>
    <t>GELATINA TRICOLOR GDE</t>
  </si>
  <si>
    <t>GELATINA YOGURTH CH</t>
  </si>
  <si>
    <t>GELATINA YOGURTH GDE</t>
  </si>
  <si>
    <t>GELATINOSO</t>
  </si>
  <si>
    <t>HMB001 3 LECHES</t>
  </si>
  <si>
    <t>HMB001 VAINILLA</t>
  </si>
  <si>
    <t>HMB002 3 LECHES</t>
  </si>
  <si>
    <t>HMB002 VAINILLA</t>
  </si>
  <si>
    <t>HMB003 3 LECHES</t>
  </si>
  <si>
    <t>HMB003 VAINILLA</t>
  </si>
  <si>
    <t>HMB004 3 LECHES</t>
  </si>
  <si>
    <t>HMB004 VAINILLA</t>
  </si>
  <si>
    <t>HMB005</t>
  </si>
  <si>
    <t>HMB006</t>
  </si>
  <si>
    <t>HMB007 3 LECHES</t>
  </si>
  <si>
    <t>HMB007 VAINILLA</t>
  </si>
  <si>
    <t>HMB008</t>
  </si>
  <si>
    <t>HMB009</t>
  </si>
  <si>
    <t>HMB010</t>
  </si>
  <si>
    <t>HMB011 3 LECHES</t>
  </si>
  <si>
    <t>HMB011 VAINILLA</t>
  </si>
  <si>
    <t>HMB012</t>
  </si>
  <si>
    <t>HMB013 3 LECHES</t>
  </si>
  <si>
    <t>HMB013 VAINILLA</t>
  </si>
  <si>
    <t>HMB014 3 LECHES</t>
  </si>
  <si>
    <t>HMB014 VAINILLA</t>
  </si>
  <si>
    <t>HMB015 3 LECHES</t>
  </si>
  <si>
    <t>HMB015 VAINILLA</t>
  </si>
  <si>
    <t>HMB016 3 LECHES</t>
  </si>
  <si>
    <t>HMB016 VAINILLA</t>
  </si>
  <si>
    <t>HMB017 3 LECHES</t>
  </si>
  <si>
    <t>HMB017 VAINILLA</t>
  </si>
  <si>
    <t>HMB018</t>
  </si>
  <si>
    <t>HUESITOS PAN DE MUERTO</t>
  </si>
  <si>
    <t>KISSME MMD REDONDO</t>
  </si>
  <si>
    <t>KIT DE PLATOS</t>
  </si>
  <si>
    <t>KIT DECORACIÓN INFANTIL</t>
  </si>
  <si>
    <t>KIT DECORACIÓN PAN DE MUERTO</t>
  </si>
  <si>
    <t>KIT DIA DEL MAESTRO</t>
  </si>
  <si>
    <t>L12BODA XV AÑOS</t>
  </si>
  <si>
    <t>LALITOS</t>
  </si>
  <si>
    <t>LETRERO DE MADERA MEDIANO</t>
  </si>
  <si>
    <t>LETRERO DE MADERA MINI</t>
  </si>
  <si>
    <t>LLUVIA DE ESTRELLAS</t>
  </si>
  <si>
    <t>M &amp; M MEDIANO</t>
  </si>
  <si>
    <t>MARMOLEADO CH</t>
  </si>
  <si>
    <t>MAZAPAN CH</t>
  </si>
  <si>
    <t>MINI CHUNCHES ACETATO</t>
  </si>
  <si>
    <t>MINI MEDIANO CORAZON CHOCOLATE</t>
  </si>
  <si>
    <t>MINI MEDIANO CORAZON VAINILLA</t>
  </si>
  <si>
    <t>MINI MEDIANO DÍA DEL NIÑO VAINILLA</t>
  </si>
  <si>
    <t>MINI PASTELITO CASERO ALTO</t>
  </si>
  <si>
    <t>MINI PASTELITO VAINILLA</t>
  </si>
  <si>
    <t>MINI ROSCA CON QUESO</t>
  </si>
  <si>
    <t>MJR001</t>
  </si>
  <si>
    <t>MJR002 3 LECHES</t>
  </si>
  <si>
    <t>MJR002 VAINILLA</t>
  </si>
  <si>
    <t>MJR003 3 LECHES</t>
  </si>
  <si>
    <t>MJR003 VAINILLA</t>
  </si>
  <si>
    <t>MJR004 3 LECHES</t>
  </si>
  <si>
    <t>MJR004 VAINILLA</t>
  </si>
  <si>
    <t>MJR005</t>
  </si>
  <si>
    <t>MJR006 3 LECHES</t>
  </si>
  <si>
    <t>MJR006 VAINILLA</t>
  </si>
  <si>
    <t>MJR007</t>
  </si>
  <si>
    <t>MJR008 3 LECHES</t>
  </si>
  <si>
    <t>MJR008 VAINILLA</t>
  </si>
  <si>
    <t>MJR009 3 LECHES</t>
  </si>
  <si>
    <t>MJR009 VAINILLA</t>
  </si>
  <si>
    <t>MJR010</t>
  </si>
  <si>
    <t>MJR011</t>
  </si>
  <si>
    <t>MJR012 3 LECHES</t>
  </si>
  <si>
    <t>MJR012 VAINILLA</t>
  </si>
  <si>
    <t>MJR013</t>
  </si>
  <si>
    <t>MJR014</t>
  </si>
  <si>
    <t>MJR015 3 LECHES</t>
  </si>
  <si>
    <t>MJR015 VAINILLA</t>
  </si>
  <si>
    <t>MJR016 3 LECHES</t>
  </si>
  <si>
    <t>MJR016 VAINILLA</t>
  </si>
  <si>
    <t>MOKA CH CORAZON</t>
  </si>
  <si>
    <t>MOKA MEDIANO</t>
  </si>
  <si>
    <t>MOSTACHON CHICO</t>
  </si>
  <si>
    <t>MOSTACHON GRANDE</t>
  </si>
  <si>
    <t>MOSTACHON PETIT</t>
  </si>
  <si>
    <t>NÑA001</t>
  </si>
  <si>
    <t>NÑA002 3 LECHES</t>
  </si>
  <si>
    <t>NÑA002 VAINILLA</t>
  </si>
  <si>
    <t>NÑA003</t>
  </si>
  <si>
    <t>NÑA004</t>
  </si>
  <si>
    <t>NÑA005</t>
  </si>
  <si>
    <t>NÑA006 3 LECHES</t>
  </si>
  <si>
    <t>NÑA006 VAINILLA</t>
  </si>
  <si>
    <t>NÑA007</t>
  </si>
  <si>
    <t>NÑA008 3 LECHES</t>
  </si>
  <si>
    <t>NÑA008 VAINILLA</t>
  </si>
  <si>
    <t>NÑA009 3 LECHES</t>
  </si>
  <si>
    <t>NÑA009 VAINILLA</t>
  </si>
  <si>
    <t>NÑA010 3 LECHES</t>
  </si>
  <si>
    <t>NÑA010 VAINILLA</t>
  </si>
  <si>
    <t>NÑA011</t>
  </si>
  <si>
    <t>NÑA012 3 LECHES</t>
  </si>
  <si>
    <t>NÑA012 VAINILLA</t>
  </si>
  <si>
    <t>NÑA013 3 LECHES</t>
  </si>
  <si>
    <t>NÑA013 VAINILLA</t>
  </si>
  <si>
    <t>NÑA014 3 LECHES</t>
  </si>
  <si>
    <t>NÑA014 VAINILLA</t>
  </si>
  <si>
    <t>NÑA015</t>
  </si>
  <si>
    <t>NÑA016</t>
  </si>
  <si>
    <t>NÑA017 3 LECHES</t>
  </si>
  <si>
    <t>NÑA017 VAINILLA</t>
  </si>
  <si>
    <t>NÑA018 3 LECHES</t>
  </si>
  <si>
    <t>NÑA018 VAINILLA</t>
  </si>
  <si>
    <t>NÑA019 3 LECHES</t>
  </si>
  <si>
    <t>NÑA019 VAINILLA</t>
  </si>
  <si>
    <t>NÑA020 3 LECHES</t>
  </si>
  <si>
    <t>NÑA020 VAINILLA</t>
  </si>
  <si>
    <t>NÑA021</t>
  </si>
  <si>
    <t>NÑA022</t>
  </si>
  <si>
    <t>NÑO001 3 LECHES</t>
  </si>
  <si>
    <t>NÑO001 VAINILLA</t>
  </si>
  <si>
    <t>NÑO002 3 LECHES</t>
  </si>
  <si>
    <t>NÑO002 VAINILLA</t>
  </si>
  <si>
    <t>NÑO003 3 LECHES</t>
  </si>
  <si>
    <t>NÑO003 VAINILLA</t>
  </si>
  <si>
    <t>NÑO004 3 LECHES</t>
  </si>
  <si>
    <t>NÑO004 VAINILLA</t>
  </si>
  <si>
    <t>NÑO005 3 LECHES</t>
  </si>
  <si>
    <t>NÑO005 VAINILLA</t>
  </si>
  <si>
    <t>NÑO006 3 LECHES</t>
  </si>
  <si>
    <t>NÑO006 VAINILLA</t>
  </si>
  <si>
    <t>NÑO007</t>
  </si>
  <si>
    <t>NÑO008 3 LECHES</t>
  </si>
  <si>
    <t>NÑO008 VAINILLA</t>
  </si>
  <si>
    <t>NÑO009 3 LECHES</t>
  </si>
  <si>
    <t>NÑO009 VAINILLA</t>
  </si>
  <si>
    <t>NÑO010 3 LECHES</t>
  </si>
  <si>
    <t>NÑO010 VAINILLA</t>
  </si>
  <si>
    <t>NÑO011</t>
  </si>
  <si>
    <t>NÑO012 3 LECHES</t>
  </si>
  <si>
    <t>NÑO012 VAINILLA</t>
  </si>
  <si>
    <t>NÑO013 3 LECHES</t>
  </si>
  <si>
    <t>NÑO013 VAINILLA</t>
  </si>
  <si>
    <t>NÑO014 3 LECHES</t>
  </si>
  <si>
    <t>NÑO014 VAINILLA</t>
  </si>
  <si>
    <t>NÑO015</t>
  </si>
  <si>
    <t>NÑO016 3 LECHES</t>
  </si>
  <si>
    <t>NÑO016 VAINILLA</t>
  </si>
  <si>
    <t>NÑO017 3 LECHES</t>
  </si>
  <si>
    <t>NÑO017 VAINILLA</t>
  </si>
  <si>
    <t>NÑO018</t>
  </si>
  <si>
    <t>NÑO019 3 LECHES</t>
  </si>
  <si>
    <t>NÑO019 VAINILLA</t>
  </si>
  <si>
    <t>NÑO020</t>
  </si>
  <si>
    <t>NÑO021 3 LECHES</t>
  </si>
  <si>
    <t>NÑO021 VAINILLA</t>
  </si>
  <si>
    <t>NÑO022</t>
  </si>
  <si>
    <t>NUBE DE PISTACHES Y ALMENDRAS</t>
  </si>
  <si>
    <t>NUEZ TRES LECHES CH</t>
  </si>
  <si>
    <t>NUEZ TRES LECHES GRANDE</t>
  </si>
  <si>
    <t>NUEZ TRES LECHES MED</t>
  </si>
  <si>
    <t>NUMERO PIEDRA</t>
  </si>
  <si>
    <t>NUTELLA TIN MARIN</t>
  </si>
  <si>
    <t>OREO GDE</t>
  </si>
  <si>
    <t>OTROS VARIOS</t>
  </si>
  <si>
    <t>PALETA SANDWICH GDE</t>
  </si>
  <si>
    <t>PALITO MUSICAL</t>
  </si>
  <si>
    <t>PAN CONCHA MUERTO 250GR</t>
  </si>
  <si>
    <t>PAN CONCHA MUERTO IND 100GR</t>
  </si>
  <si>
    <t>PAN DE MUERTO CHICO CUBIERTO DONA 150GR</t>
  </si>
  <si>
    <t>PAN DE MUERTO IND RELLENO CAJETA 100GR</t>
  </si>
  <si>
    <t>PAN DE MUERTO MEDIANO RELLENO 200GR</t>
  </si>
  <si>
    <t>PAN DE MUERTO RELLENO CAJETA GDE 250GR</t>
  </si>
  <si>
    <t>PAN DE MUERTO RELLENO CREMA PASTELERA 250GR</t>
  </si>
  <si>
    <t>PAN HELADO DE CAJETA CH</t>
  </si>
  <si>
    <t>PAN HELADO DE CAJETA GDE</t>
  </si>
  <si>
    <t>PAN HELADO DE CAJETA MMD</t>
  </si>
  <si>
    <t>PAN MJERTO MEDIANO 200GR</t>
  </si>
  <si>
    <t>PAN MUERTO AZUCAR GDE 250GR</t>
  </si>
  <si>
    <t>PAN MUERTO GDE 300GR CUBIERTO DONA</t>
  </si>
  <si>
    <t>PAN MUERTO IND AZUCAR 100GR</t>
  </si>
  <si>
    <t>PAN MUERTO IND AZUCAR 50GR</t>
  </si>
  <si>
    <t>PAN MUERTO IND CUBIERTA DONA 40GR</t>
  </si>
  <si>
    <t>PAN MUERTO IND RELLENO CREMA PASTELERA 100GR</t>
  </si>
  <si>
    <t>PAN MUERTO IND RELLENO NUTELLA 100GR</t>
  </si>
  <si>
    <t>PAN MUERTO MEDIANO CUBIERTA DONA 200GR</t>
  </si>
  <si>
    <t>PAN MUERTO RELLENO NUTELLA GDE 250GR</t>
  </si>
  <si>
    <t>PANDITA</t>
  </si>
  <si>
    <t>PANQUE ARANDANO NAVIDEÑO</t>
  </si>
  <si>
    <t>PANQUE CALABAZA MINI</t>
  </si>
  <si>
    <t>PANQUE DE CALABAZA</t>
  </si>
  <si>
    <t>PANQUE DE ELOTE</t>
  </si>
  <si>
    <t>PANQUE DE ELOTE INDIVIDUAL</t>
  </si>
  <si>
    <t>PANQUE NAVIDEÑO GDE</t>
  </si>
  <si>
    <t>PAQ 2 GALLETA INTEGRAL</t>
  </si>
  <si>
    <t>PAQ GALLETA NIÑO</t>
  </si>
  <si>
    <t>PAQUETE 1 PASTEL DE CARNE (12 PERSONAS)</t>
  </si>
  <si>
    <t>PAQUETE 1 PASTEL DE CARNE (6 PERSONAS)</t>
  </si>
  <si>
    <t>PAQUETE 2 LOMO DE CERDO MECHADO (12 PERSONAS)</t>
  </si>
  <si>
    <t>PAQUETE 2 LOMO DE CERDO MECHADO (6 PERSONAS)</t>
  </si>
  <si>
    <t>PAQUETE GALLETA NAVIDEÑA 35</t>
  </si>
  <si>
    <t>PAQUETE GALLETA NAVIDEÑA 45</t>
  </si>
  <si>
    <t>PAQUETE PIÑATERO</t>
  </si>
  <si>
    <t>PASTEL AMOR Y AMISTAD GDE</t>
  </si>
  <si>
    <t>PASTEL BAILEYS GDE</t>
  </si>
  <si>
    <t>PASTEL BAILIS MED</t>
  </si>
  <si>
    <t>PASTEL BAILYS CH</t>
  </si>
  <si>
    <t>PASTEL BANDERA GDE</t>
  </si>
  <si>
    <t>PASTEL BORRACHO INDIVIDUAL</t>
  </si>
  <si>
    <t>PASTEL CHICO ARROZ CON LECHE</t>
  </si>
  <si>
    <t>PASTEL CHURRO CHICO</t>
  </si>
  <si>
    <t>PASTEL DE CARAJILLO CH</t>
  </si>
  <si>
    <t>PASTEL DE CARAJILLO GDE</t>
  </si>
  <si>
    <t>PASTEL DE CARAJILLO MEDIANO</t>
  </si>
  <si>
    <t>PASTEL DE PISTACHE</t>
  </si>
  <si>
    <t>PASTEL DE TRES LECHES 1KG</t>
  </si>
  <si>
    <t>PASTEL FRUTO ROJO GDE</t>
  </si>
  <si>
    <t>PASTEL IMPERIAL</t>
  </si>
  <si>
    <t>PASTEL NAKED</t>
  </si>
  <si>
    <t>PASTEL PIZZA DULCE</t>
  </si>
  <si>
    <t>PASTEL RAFAELO CH</t>
  </si>
  <si>
    <t>PASTEL SNIK</t>
  </si>
  <si>
    <t>PASTEL TRES CHOCOLATES CHICO</t>
  </si>
  <si>
    <t>PASTEL TRES CHOCOLATES GDE</t>
  </si>
  <si>
    <t>PASTELFRUTO ROJO CHICO</t>
  </si>
  <si>
    <t>PASTELITO IMPRESO EN BETUN</t>
  </si>
  <si>
    <t>PASTELITO IMPRESO EN FONDANT</t>
  </si>
  <si>
    <t>PAY DE CALABAZA GDE</t>
  </si>
  <si>
    <t>PAY DE CALABAZA MINI</t>
  </si>
  <si>
    <t>PAY DE FRESA MINI</t>
  </si>
  <si>
    <t>PAY DE GUAYABA MINI</t>
  </si>
  <si>
    <t>PAY DE LIMON CH</t>
  </si>
  <si>
    <t>PAY DE LIMON CON GALLETA MARIA</t>
  </si>
  <si>
    <t>PAY DE NUEZ IND</t>
  </si>
  <si>
    <t>PAY DE QUESO</t>
  </si>
  <si>
    <t>PAY DE QUESO ZARZAMORA</t>
  </si>
  <si>
    <t>PAY PATRIO</t>
  </si>
  <si>
    <t>PAY QUESO ZARZAMORA CH</t>
  </si>
  <si>
    <t>PEPEROL 3 LECHES CH</t>
  </si>
  <si>
    <t>PEPITO CH</t>
  </si>
  <si>
    <t>PEPITO GDE</t>
  </si>
  <si>
    <t>PEPITO RECTANGULAR</t>
  </si>
  <si>
    <t>PETIT CHOCOLATE CASERO</t>
  </si>
  <si>
    <t>PETIT ESPCIAL</t>
  </si>
  <si>
    <t>PINGÜINO</t>
  </si>
  <si>
    <t>PIÑERO 3 LECHES 26 CM</t>
  </si>
  <si>
    <t xml:space="preserve">PLANCHA CHOCOLATE </t>
  </si>
  <si>
    <t>PLANCHA MINI</t>
  </si>
  <si>
    <t>PLANCHA PIÑERO</t>
  </si>
  <si>
    <t>PLATO CON GALLETA GDE</t>
  </si>
  <si>
    <t>PPINGUIN CH</t>
  </si>
  <si>
    <t>PPINGUIN MINI MEDIANO</t>
  </si>
  <si>
    <t>REBANADA EN DOMO</t>
  </si>
  <si>
    <t>RED VELVET CHEESECAKE CH</t>
  </si>
  <si>
    <t>RED VELVET CORAZON CH</t>
  </si>
  <si>
    <t>RED VELVET MINI MEDIANO</t>
  </si>
  <si>
    <t>RED VELVET TIN MARIN</t>
  </si>
  <si>
    <t>ROSCA BAJA EN AZUCAR</t>
  </si>
  <si>
    <t>ROSCA BEILEYS 3 LECHES CH</t>
  </si>
  <si>
    <t>ROSCA BRIOCHE</t>
  </si>
  <si>
    <t>ROSCA CAJETA DE FRUTOS SECOS</t>
  </si>
  <si>
    <t>ROSCA DE CONCHAS</t>
  </si>
  <si>
    <t>ROSCA DE CREMA PASTELERA</t>
  </si>
  <si>
    <t>ROSCA DE NARANJA</t>
  </si>
  <si>
    <t>ROSCA DE REYES MINI</t>
  </si>
  <si>
    <t>ROSCA EN NOGADA</t>
  </si>
  <si>
    <t>ROSCA MILENIUM</t>
  </si>
  <si>
    <t xml:space="preserve">ROSCA NATILLA DE FRUTOS SECOS </t>
  </si>
  <si>
    <t>ROSCA RELLLENA FRUTO SECO</t>
  </si>
  <si>
    <t>ROSCA REYES MINI MEDIANA</t>
  </si>
  <si>
    <t>ROSCA TRADICIONAL GRANDE</t>
  </si>
  <si>
    <t>ROSCA TRADICIONAL JUMBO</t>
  </si>
  <si>
    <t>ROSCA TRADICIONAL MEDIANA</t>
  </si>
  <si>
    <t>ROSCA TRADICIONAL RELLENA CAJETA</t>
  </si>
  <si>
    <t>ROSCA VOLTEADO DE PIÑA CHICA</t>
  </si>
  <si>
    <t>ROSCA VOLTEADO DE PIÑA GRANDE</t>
  </si>
  <si>
    <t>ROSCA VOLTEADO DE PIÑA MINI MEDIANA</t>
  </si>
  <si>
    <t>ROSQUITA PAN DE ELOTE</t>
  </si>
  <si>
    <t>ROSQUITA PAN DE PLATANO</t>
  </si>
  <si>
    <t>S1BODA XV AÑOS</t>
  </si>
  <si>
    <t>S6BODA X AÑOS</t>
  </si>
  <si>
    <t>SANDWICH</t>
  </si>
  <si>
    <t>SERPENTINA CHICA</t>
  </si>
  <si>
    <t>SERPENTINA GRANDE</t>
  </si>
  <si>
    <t>SERVICIO A DOMICILIO</t>
  </si>
  <si>
    <t>SPAGUET</t>
  </si>
  <si>
    <t>TARTA DE CALABAZA</t>
  </si>
  <si>
    <t>TARTALETA</t>
  </si>
  <si>
    <t>TRADICIONAL 3 LECHES</t>
  </si>
  <si>
    <t>TRES LECHES MEDIANO</t>
  </si>
  <si>
    <t>TRONCO NAVIDEÑO</t>
  </si>
  <si>
    <t>TRUFAS C/4</t>
  </si>
  <si>
    <t>VAINILLA BETUN CHOCOLATE</t>
  </si>
  <si>
    <t>VAINILLA CAJETA</t>
  </si>
  <si>
    <t>VAINILLA DE 26 CM</t>
  </si>
  <si>
    <t>VAINILLA FRESAS C/CREMA CH</t>
  </si>
  <si>
    <t>VAINILLA FRESAS C/CREMA MMD</t>
  </si>
  <si>
    <t>VAINILLA FRESAS CON CREMA GDE</t>
  </si>
  <si>
    <t>VAINILLA MMD MAMÁ</t>
  </si>
  <si>
    <t>VELA HAPPY</t>
  </si>
  <si>
    <t>VELA MAGICA</t>
  </si>
  <si>
    <t>VELA MUSICAL FLOR</t>
  </si>
  <si>
    <t>X</t>
  </si>
  <si>
    <t>XV001</t>
  </si>
  <si>
    <t>XV002</t>
  </si>
  <si>
    <t>XV003</t>
  </si>
  <si>
    <t>XV004</t>
  </si>
  <si>
    <t>XV005</t>
  </si>
  <si>
    <t>XV006</t>
  </si>
  <si>
    <t>XV007</t>
  </si>
  <si>
    <t>XV008</t>
  </si>
  <si>
    <t>ZANAHORIA MINI MEDIANO</t>
  </si>
  <si>
    <t>ZARZAMORA CH</t>
  </si>
  <si>
    <t>ZARZAMORA GDE</t>
  </si>
  <si>
    <t>MATRIZ</t>
  </si>
  <si>
    <t>SUCURSAL</t>
  </si>
  <si>
    <t>EXISTENCIA EN SUCURSAL</t>
  </si>
  <si>
    <t>STOCK DETERMINADO</t>
  </si>
  <si>
    <t>PRODUCTO A COMPLETAR</t>
  </si>
  <si>
    <t>PLANTA LEON</t>
  </si>
  <si>
    <t>SAN CAYETANO</t>
  </si>
  <si>
    <t>BOULEVARD</t>
  </si>
  <si>
    <t>DOS DE AGOSTO</t>
  </si>
  <si>
    <t>LA CANASTA</t>
  </si>
  <si>
    <t>MOLOLOA</t>
  </si>
  <si>
    <t>PLAZA</t>
  </si>
  <si>
    <t>VISTAS</t>
  </si>
  <si>
    <t>XALISCO</t>
  </si>
  <si>
    <t>TOTAL</t>
  </si>
  <si>
    <t>REAL ENVIADO</t>
  </si>
  <si>
    <t>ACAPONETA</t>
  </si>
  <si>
    <t>COMPOSTELA</t>
  </si>
  <si>
    <t>RUIZ</t>
  </si>
  <si>
    <t>SAN BLAS</t>
  </si>
  <si>
    <t>SANTIAGO</t>
  </si>
  <si>
    <t>SANTIAGO 2</t>
  </si>
  <si>
    <t>TECUALA</t>
  </si>
  <si>
    <t>TUXPAN</t>
  </si>
  <si>
    <t>A SURTIR TICKET</t>
  </si>
  <si>
    <t>PROMEDIO DE DISTRIBUCIÓN</t>
  </si>
  <si>
    <t>[ PLANTA León - Cantidad ]</t>
  </si>
  <si>
    <t>[ San Cayetano - Cantidad ]</t>
  </si>
  <si>
    <t>TODOS</t>
  </si>
  <si>
    <t>LUNES</t>
  </si>
  <si>
    <t>MARTES</t>
  </si>
  <si>
    <t>MIÉRCOLES</t>
  </si>
  <si>
    <t>JUEVES</t>
  </si>
  <si>
    <t>VIERNES</t>
  </si>
  <si>
    <t>SÁBADO</t>
  </si>
  <si>
    <t>DOMINGO</t>
  </si>
  <si>
    <t>[ Suc. Boulevard - Cantidad ]</t>
  </si>
  <si>
    <t>[ Suc. Dos de Agosto - Cantidad ]</t>
  </si>
  <si>
    <t>[ Suc. La Nueva Canasta - Cantidad ]</t>
  </si>
  <si>
    <t>[ Suc. Mololoa - Cantidad ]</t>
  </si>
  <si>
    <t>[ Suc. Plaza - Cantidad ]</t>
  </si>
  <si>
    <t>[ Suc. Vistas - Cantidad ]</t>
  </si>
  <si>
    <t>[ Suc. Xalisco - Cantidad ]</t>
  </si>
  <si>
    <t>[ Suc. Acaponeta - Cantidad ]</t>
  </si>
  <si>
    <t>[ Suc. Compostela - Cantidad ]</t>
  </si>
  <si>
    <t>[ Suc. Ruiz - Cantidad ]</t>
  </si>
  <si>
    <t>[ Suc. Sanblas - Cantidad ]</t>
  </si>
  <si>
    <t>[ Suc. Santiago - Cantidad ]</t>
  </si>
  <si>
    <t>[ Suc. Santiago 2 - Cantidad ]</t>
  </si>
  <si>
    <t>[ Suc. Tecuala - Cantidad ]</t>
  </si>
  <si>
    <t>[ Suc. Tuxpan - Cantidad ]</t>
  </si>
  <si>
    <t>existencia cuarto frio</t>
  </si>
  <si>
    <t>restante</t>
  </si>
  <si>
    <t>Cuarto frio</t>
  </si>
  <si>
    <t>CODIGO</t>
  </si>
  <si>
    <t>02</t>
  </si>
  <si>
    <t>06</t>
  </si>
  <si>
    <t>03</t>
  </si>
  <si>
    <t>13</t>
  </si>
  <si>
    <t>01</t>
  </si>
  <si>
    <t>09</t>
  </si>
  <si>
    <t>07</t>
  </si>
  <si>
    <t>36</t>
  </si>
  <si>
    <t>04M</t>
  </si>
  <si>
    <t>06M</t>
  </si>
  <si>
    <t>24N</t>
  </si>
  <si>
    <t>07M</t>
  </si>
  <si>
    <t>01M</t>
  </si>
  <si>
    <t>16</t>
  </si>
  <si>
    <t>17</t>
  </si>
  <si>
    <t>18</t>
  </si>
  <si>
    <t>19</t>
  </si>
  <si>
    <t>20</t>
  </si>
  <si>
    <t>23</t>
  </si>
  <si>
    <t>28</t>
  </si>
  <si>
    <t>25</t>
  </si>
  <si>
    <t>87</t>
  </si>
  <si>
    <t>58</t>
  </si>
  <si>
    <t>60</t>
  </si>
  <si>
    <t>59</t>
  </si>
  <si>
    <t>61</t>
  </si>
  <si>
    <t>30</t>
  </si>
  <si>
    <t>30CH</t>
  </si>
  <si>
    <t>31CH</t>
  </si>
  <si>
    <t>32</t>
  </si>
  <si>
    <t>32CH</t>
  </si>
  <si>
    <t>N01</t>
  </si>
  <si>
    <t>N02</t>
  </si>
  <si>
    <t>37</t>
  </si>
  <si>
    <t>62</t>
  </si>
  <si>
    <t>63</t>
  </si>
  <si>
    <t>15</t>
  </si>
  <si>
    <t>29</t>
  </si>
  <si>
    <t>67</t>
  </si>
  <si>
    <t>78</t>
  </si>
  <si>
    <t>C3L</t>
  </si>
  <si>
    <t>91</t>
  </si>
  <si>
    <t>21N</t>
  </si>
  <si>
    <t>70</t>
  </si>
  <si>
    <t>74</t>
  </si>
  <si>
    <t>69</t>
  </si>
  <si>
    <t>40</t>
  </si>
  <si>
    <t>44</t>
  </si>
  <si>
    <t>41</t>
  </si>
  <si>
    <t>45</t>
  </si>
  <si>
    <t>48</t>
  </si>
  <si>
    <t>49</t>
  </si>
  <si>
    <t>10B</t>
  </si>
  <si>
    <t>54</t>
  </si>
  <si>
    <t>55</t>
  </si>
  <si>
    <t>001T</t>
  </si>
  <si>
    <t>015B</t>
  </si>
  <si>
    <t>185</t>
  </si>
  <si>
    <t>160</t>
  </si>
  <si>
    <t>197</t>
  </si>
  <si>
    <t>197A</t>
  </si>
  <si>
    <t>F100</t>
  </si>
  <si>
    <t>99</t>
  </si>
  <si>
    <t>F011</t>
  </si>
  <si>
    <t>75</t>
  </si>
  <si>
    <t>MINI ROSCA RED VELVET</t>
  </si>
  <si>
    <t>AMOR MIO CORAZON CH</t>
  </si>
  <si>
    <t>FERRERO CORAZON CH</t>
  </si>
  <si>
    <t>MINI ROSCA CHOCOLATE</t>
  </si>
  <si>
    <t>MINI ROSCA DE CAJETA</t>
  </si>
  <si>
    <t xml:space="preserve">RAMO DE CONCHAS </t>
  </si>
  <si>
    <t>23N</t>
  </si>
  <si>
    <t>CORAZON CASERO CHOCOLATE</t>
  </si>
  <si>
    <t>CORAZON DE BROWNIE</t>
  </si>
  <si>
    <t>BOLSA DULCES 25 PESOS</t>
  </si>
  <si>
    <t xml:space="preserve">TAZA $25 </t>
  </si>
  <si>
    <t>PIÑA MED</t>
  </si>
  <si>
    <t>08M</t>
  </si>
  <si>
    <t>211</t>
  </si>
  <si>
    <t>GELATINA FRESA $150</t>
  </si>
  <si>
    <t>01GE</t>
  </si>
  <si>
    <t>EXISTENCIA LOCALES</t>
  </si>
  <si>
    <t>TOTAL LOCALES</t>
  </si>
  <si>
    <t>EXISTENCIA FORANEAS</t>
  </si>
  <si>
    <t>TOTAL FORANEAS</t>
  </si>
  <si>
    <t>TOTAL GRAL.</t>
  </si>
  <si>
    <t>BROWNIE IND</t>
  </si>
  <si>
    <t>CAJA DE BOLLOS 4 PZAS DIA DEL NIÑO</t>
  </si>
  <si>
    <t>CAJA DE BOLLOS 6 PZAS DIA DEL NIÑ</t>
  </si>
  <si>
    <t>CAJITA 3 LECHES DUVALIN</t>
  </si>
  <si>
    <t>CHAROLA PIÑATERA</t>
  </si>
  <si>
    <t>GELATINA DUVALIN</t>
  </si>
  <si>
    <t>PALETA PAYASO CH</t>
  </si>
  <si>
    <t>PALETA PAYASO MMD</t>
  </si>
  <si>
    <t>PALETA PINTA PEQUE</t>
  </si>
  <si>
    <t>PASTEL DUVALIN CH</t>
  </si>
  <si>
    <t xml:space="preserve">PASTEL DUVALIN MMD </t>
  </si>
  <si>
    <t>PASTEL GANSITO</t>
  </si>
  <si>
    <t xml:space="preserve">PASTEL PEPEROLL CH </t>
  </si>
  <si>
    <t>PASTEL PEPEROLL MINI</t>
  </si>
  <si>
    <t>PASTEL PEPEROLL MMD</t>
  </si>
  <si>
    <t>GELATINA PROMO $90</t>
  </si>
  <si>
    <t>Suc. Varas</t>
  </si>
  <si>
    <t>[ Suc. Varas - Cantidad ]</t>
  </si>
  <si>
    <t>VARAS</t>
  </si>
  <si>
    <t>DISTRIBUCION LOCALES</t>
  </si>
  <si>
    <t>DISTRIBUCION FORANEAS</t>
  </si>
  <si>
    <t>RESTANTE CUARTO FRIO</t>
  </si>
  <si>
    <t>TOTAL EXISTENCIA EN SUCURSALES</t>
  </si>
  <si>
    <t>04</t>
  </si>
  <si>
    <t>31</t>
  </si>
  <si>
    <t>92</t>
  </si>
  <si>
    <t>PASTEL DAMA BLANCA CH</t>
  </si>
  <si>
    <t>PASTEL DAMA BLANCA MEDIANO</t>
  </si>
  <si>
    <t>PASTEL DE GUAYABA MEDIANO</t>
  </si>
  <si>
    <t>PASTEL DE GUAYABA CH</t>
  </si>
  <si>
    <t>CUARTO FRIO</t>
  </si>
  <si>
    <t>64</t>
  </si>
  <si>
    <t>SUCURSALES</t>
  </si>
  <si>
    <t>EXISTENCIA EN GENERAL</t>
  </si>
  <si>
    <t>PRODUCTO A DISTRIBUIR</t>
  </si>
  <si>
    <t>TOTAL A TENER</t>
  </si>
  <si>
    <t>EXISTENCIA CUARTO FRIO</t>
  </si>
  <si>
    <t>QUESO TIRAMISU CH</t>
  </si>
  <si>
    <t>JERICALLA IND $30</t>
  </si>
  <si>
    <t>JERICALLA UN CUARTO $45</t>
  </si>
  <si>
    <t>03j</t>
  </si>
  <si>
    <t>LO QUE HABIA</t>
  </si>
  <si>
    <t>LO QUE QUEDA</t>
  </si>
  <si>
    <t>EXISTENCIA A TENER LOCALES</t>
  </si>
  <si>
    <t>EXISTENCIA A TENER FORANEAS</t>
  </si>
  <si>
    <t>PASTEL SORPRESA CASERO $90</t>
  </si>
  <si>
    <t>QUESO TIRAMISU MMD</t>
  </si>
  <si>
    <t>STOCK LOCALES</t>
  </si>
  <si>
    <t>STOCK FORANEAS</t>
  </si>
  <si>
    <t>IMPERIAL CHOCOLATE CH</t>
  </si>
  <si>
    <t>IMPERIAL CHOCOLATE GDE</t>
  </si>
  <si>
    <t>IMPERIAL CHOCOLATE MED</t>
  </si>
  <si>
    <t>PASTEL CASERO DE CHOCOLATE</t>
  </si>
  <si>
    <t>PLANCHA 1/4 3 LECHES CHOCOLATE</t>
  </si>
  <si>
    <t>PLANCHA 1/4 3 LECHES VAINILLA</t>
  </si>
  <si>
    <t>P14V</t>
  </si>
  <si>
    <t>P15C</t>
  </si>
  <si>
    <t>P19</t>
  </si>
  <si>
    <t>Suc. Amado Nervo</t>
  </si>
  <si>
    <t>Suc. León</t>
  </si>
  <si>
    <t>PASTEL 3 LECHES CLASICO CH</t>
  </si>
  <si>
    <t>PASTEL 3 LECHES CLASICO GDE</t>
  </si>
  <si>
    <t>PASTEL 3 LECHES CLASICO MED</t>
  </si>
  <si>
    <t>GELATINA PIÑA COLADA</t>
  </si>
  <si>
    <t>01p</t>
  </si>
  <si>
    <t>n10</t>
  </si>
  <si>
    <t>ZANAHORIA PETIT SPLENDA</t>
  </si>
  <si>
    <t>ROSCA CARLOTA LIMON</t>
  </si>
  <si>
    <t>CHUNCHE DIA DEL ABUELO $10</t>
  </si>
  <si>
    <t>MAZAPAN MEDIANO</t>
  </si>
  <si>
    <t>PAN MUERTO IND RELLENO NUTELLA 100gr</t>
  </si>
  <si>
    <t>PASTEL DE CALABAZA CHICO</t>
  </si>
  <si>
    <t>CHAROLA C/8 PAN DE MUERTO</t>
  </si>
  <si>
    <t>DEDOS DE BRUJA</t>
  </si>
  <si>
    <t>PAN DE MUERTO IND CHOCOLATE</t>
  </si>
  <si>
    <t>PAN DE MUERTO CHOCOLATE GDE</t>
  </si>
  <si>
    <t>LO QUE VA A QUEDAR EN CUARTO FRIO</t>
  </si>
  <si>
    <t>SUMA SUC. Y C.F.</t>
  </si>
  <si>
    <t>P16</t>
  </si>
  <si>
    <t>P17</t>
  </si>
  <si>
    <t>P18</t>
  </si>
  <si>
    <t>ENSALADA NAVIDEÑA COMPLEMENTO</t>
  </si>
  <si>
    <t>GRAVY COMPLEMENTO</t>
  </si>
  <si>
    <t>PAN DE MESA CHICO PARA 6 PERSONAS</t>
  </si>
  <si>
    <t>PAN DE MESA GDE PARA 12 PERSONAS</t>
  </si>
  <si>
    <t>PURE DE PAPA COMPLEMENTO</t>
  </si>
  <si>
    <t>ROSCA NAVIDEÑA CHICA 6 PERSONAS</t>
  </si>
  <si>
    <t>ROSCA NAVIDEÑA GDE 12 PERSONAS</t>
  </si>
  <si>
    <t>SALSA ROJA BBQ COMPLEMENTO</t>
  </si>
  <si>
    <t>SPAGUETTI VERDE COMPLEMENTO</t>
  </si>
  <si>
    <t>PASTEL ALEMAN BARRA</t>
  </si>
  <si>
    <t>PASTEL FRUTOS ROJO BARRA</t>
  </si>
  <si>
    <t>PASTEL MATCH BARRA</t>
  </si>
  <si>
    <t>CHESSECAKE LOTUS GDE</t>
  </si>
  <si>
    <t>CHESSECAKE LOTUS MMD</t>
  </si>
  <si>
    <t>CAJA CON 4 GALLETAS CRUMBLE</t>
  </si>
  <si>
    <t>GALLETA CRUMBLE INDIVIDUAL CON BETÚN</t>
  </si>
  <si>
    <t>GALLETA CRUMBLE INDIVIDUAL SIN BETÚN</t>
  </si>
  <si>
    <t>Suc. Santa María del Oro</t>
  </si>
  <si>
    <t>[ Suc. Santa María del Oro - Cantidad ]</t>
  </si>
  <si>
    <t>SAMAO</t>
  </si>
  <si>
    <t>PASTEL BOCA PEPE</t>
  </si>
  <si>
    <t>ROSCA CREMA DIPLOMATICA</t>
  </si>
  <si>
    <t>ROSCA NEVADA</t>
  </si>
  <si>
    <t>84</t>
  </si>
  <si>
    <t>solo de guayaba con hilos de cajeta</t>
  </si>
  <si>
    <t>1 de hombre y 1 de mujer</t>
  </si>
  <si>
    <t>01t</t>
  </si>
  <si>
    <t>195m</t>
  </si>
  <si>
    <t>STOCK DETERMINADO FIN SEMANA</t>
  </si>
  <si>
    <t>Puede variar de 3 a 4 pzas</t>
  </si>
  <si>
    <t>Puede variar de 1 a 2 pzas</t>
  </si>
  <si>
    <t>Preguntarle a la sucursal antes de hacer envio de pasteles caseros</t>
  </si>
  <si>
    <t>solo de guayaba</t>
  </si>
  <si>
    <t>1 de fresa y 2 de guayaba</t>
  </si>
  <si>
    <t>CHEESECAKE CHOCOLATE MINI MEDIANO</t>
  </si>
  <si>
    <t>LETRERO DE ACETATO GDE</t>
  </si>
  <si>
    <t>PASTEL PRINCESA CORAZON CH</t>
  </si>
  <si>
    <t>PASTEL VAINILLA FLORETIN</t>
  </si>
  <si>
    <t>ROSCA CHEESEFILING</t>
  </si>
  <si>
    <t>no repetir sabores / si pueden preguntar a la sucursal mejor</t>
  </si>
  <si>
    <t>1 de fresa y 2 de guayaba / todas de guayaba</t>
  </si>
  <si>
    <t>VAINILLA CALENDARIO D AMOR</t>
  </si>
  <si>
    <t>PASTEL 10CM</t>
  </si>
  <si>
    <t>CHOCOLATE LOVE</t>
  </si>
  <si>
    <t>BESO BROWNIE</t>
  </si>
  <si>
    <t>RED VELVET COQUETTE PASIÓN</t>
  </si>
  <si>
    <t>VAINILLA COQUETTE ROSA</t>
  </si>
  <si>
    <t>GELATINA SAN VALENTÍN 2025 IND</t>
  </si>
  <si>
    <t>CHESSE DUO DE AMOR CH</t>
  </si>
  <si>
    <t>CAPIROTADA DE LECHE IND</t>
  </si>
  <si>
    <t>CAPIROTADA TRADICIONAL CON PILONCILLO</t>
  </si>
  <si>
    <t>PETIT 3 LECHES CHOCOLATE</t>
  </si>
  <si>
    <t>PETIT 3 LECHES PIÑERO</t>
  </si>
  <si>
    <t>pl01</t>
  </si>
  <si>
    <t>pl02</t>
  </si>
  <si>
    <t>PRODUCCION</t>
  </si>
  <si>
    <t>CUARTO FRIO + PRODUCCION</t>
  </si>
  <si>
    <t>CAJITA FELIZ</t>
  </si>
  <si>
    <t>PAQUETE NIÑO FELIZ</t>
  </si>
  <si>
    <t>PASTEL BUBULUBU MEDIANO</t>
  </si>
  <si>
    <t>PASTEL CASERO 12CM 3CAPAS PARA NIÑA</t>
  </si>
  <si>
    <t>PASTEL CASERO 12CM 3CAPAS PARA NIÑO</t>
  </si>
  <si>
    <t>PASTEL PALETA PAYASO MEDIANO</t>
  </si>
  <si>
    <t>PASTEL TURIN MEDIANO</t>
  </si>
  <si>
    <t>PASTEL TURIN MINI MEDIANO</t>
  </si>
  <si>
    <t>ROSCA CASERA</t>
  </si>
  <si>
    <t>BROWNIE SALUDABLE</t>
  </si>
  <si>
    <t>Villa Hidalgo</t>
  </si>
  <si>
    <t>CHEESECAKE FRUTAL GDE</t>
  </si>
  <si>
    <t>FANTASIA DIA DE LAS MADRES GDE</t>
  </si>
  <si>
    <t>GELATINA FRESA SIN AZUCAR CHICA</t>
  </si>
  <si>
    <t>MINI PASTEL SORPRESA $80</t>
  </si>
  <si>
    <t>MOUSSE DE MANGO MEDIANO</t>
  </si>
  <si>
    <t>MOUSSE DE MANGO MINI MEDIANO</t>
  </si>
  <si>
    <t>MOUSSE DE MANGO PETIT</t>
  </si>
  <si>
    <t>ZANAHORIA TRES LECHE MINI MEDIANO</t>
  </si>
  <si>
    <t>ZANAHORIA TRES LECHES MEDIANO</t>
  </si>
  <si>
    <t>VILLA HIDALGO</t>
  </si>
  <si>
    <t>SUCURSALES + C.F.</t>
  </si>
  <si>
    <t>GELATINA DE CAFE CH</t>
  </si>
  <si>
    <t>PASTEL CHOCONUGGS MEDIANO</t>
  </si>
  <si>
    <t>ROSCA DE CHOCOLATE CREMA QUESO CHICA</t>
  </si>
  <si>
    <t>ROSCA DE CHOCOLATE CREMA QUESO MINI</t>
  </si>
  <si>
    <t>DOMO DE GALLETAS EMPANADAS</t>
  </si>
  <si>
    <t>DOMO DE GALLETAS OREJITAS</t>
  </si>
  <si>
    <t>DOMO GALLETA DORADITA DE CAJETA</t>
  </si>
  <si>
    <t>ROL DE CANELA</t>
  </si>
  <si>
    <t>01PG</t>
  </si>
  <si>
    <t>02PG</t>
  </si>
  <si>
    <t>03PG</t>
  </si>
  <si>
    <t>04PG</t>
  </si>
  <si>
    <t xml:space="preserve">GALLETA POLVORON BOLSA </t>
  </si>
  <si>
    <t>GALLETA CORAZON CHOCO BOLSA</t>
  </si>
  <si>
    <t>GALLETA ALFAJOR BOLSA</t>
  </si>
  <si>
    <t>GALLETA ATE BOLSA</t>
  </si>
  <si>
    <t>PASTEL 3 LECHES ROL MINI</t>
  </si>
  <si>
    <t>PASTEL ROL 3 LECHES CH</t>
  </si>
  <si>
    <t xml:space="preserve">PASTEL ROL 3 LECHES MINI MEDIANO </t>
  </si>
  <si>
    <t>CAJA COMBO BREAK</t>
  </si>
  <si>
    <t>ROSCA DE CHOCOLATE ABUELITA</t>
  </si>
  <si>
    <t>GELATINA DE FRUTA CON YOGUR CH</t>
  </si>
  <si>
    <t>STOCK</t>
  </si>
  <si>
    <t>PASTEL DE LIMON 3 LECHES CH</t>
  </si>
  <si>
    <t>MINI MEDIANO ZANAHORIA SPLENDA</t>
  </si>
  <si>
    <t>$15 PAN DULCE 25 PIEZAS</t>
  </si>
  <si>
    <t>CHESSECAKE PATRIO</t>
  </si>
  <si>
    <t>DOMO ROLES DE CANELA MINI</t>
  </si>
  <si>
    <t>PAN DE MUERTO GLASEADO</t>
  </si>
  <si>
    <t>GELATINA IND FRESA SIN AZUCAR</t>
  </si>
  <si>
    <t xml:space="preserve">	Suc. Peñita</t>
  </si>
  <si>
    <t>LA PEÑITA</t>
  </si>
  <si>
    <t>BOLSA DE GALLETAS NAVIDEÑAS 10PZAS</t>
  </si>
  <si>
    <t>CHESSECAKE DE MANZANA GDE</t>
  </si>
  <si>
    <t>CHESSECAKE DE MANZANA PETIT</t>
  </si>
  <si>
    <t>CHESSECAKE DE OREO GDE</t>
  </si>
  <si>
    <t>CHESSECAKE DE OREO MIN MED</t>
  </si>
  <si>
    <t>CHESSECAKE DE OREO PETIT</t>
  </si>
  <si>
    <t>CHESSECAKE MANZANA MMD</t>
  </si>
  <si>
    <t>GELATINA NAVIDEÑA CARAMELO CH</t>
  </si>
  <si>
    <t>OTROS VARIOS KIOSKO</t>
  </si>
  <si>
    <t>PAQUETE 1 PECHUGA DE POLLO RELLENA (12 PERSONAS)</t>
  </si>
  <si>
    <t>PAQUETE 1 PECHUGA DE POLLO RELLENA (6 PERSONAS)</t>
  </si>
  <si>
    <t>PAQUETE 3 PAVO DE 5KG (12 A 15 PERSONAS)</t>
  </si>
  <si>
    <t>PAQUETE 4 PIERNA CERDO MECHADA (6 PERSONAS)</t>
  </si>
  <si>
    <t>PAQUETE 4 PIERNA DE CERDO MECHADA (12 PERSONAS)</t>
  </si>
  <si>
    <t>PAQUETE 5 LASAÑA (12 PERSONAS)</t>
  </si>
  <si>
    <t>PAQUETE 5 LASAÑA (6 PERSONAS)</t>
  </si>
  <si>
    <t>PASTEL DE FRUTOS ROJOS 3 LECH MED</t>
  </si>
  <si>
    <t>PASTEL DE FRUTOS ROJOS 3 LECH MINI MED</t>
  </si>
  <si>
    <t>PASTEL DE FRUTOS ROJOS 3 LECH PETIT</t>
  </si>
  <si>
    <t>PASTEL DE LOTUS 3 LECH MIN MED</t>
  </si>
  <si>
    <t>PASTEL DE LOTUS 3 LECH PETIT</t>
  </si>
  <si>
    <t>PASTEL DE LOTUS 3 LECHES MED</t>
  </si>
  <si>
    <t>PASTEL MILKY PP GDE</t>
  </si>
  <si>
    <t>PASTEL MILKY PP MIN MED</t>
  </si>
  <si>
    <t>PASTEL MILKY PP MINI PASTELITO</t>
  </si>
  <si>
    <t>PASTEL VAINILLA-FLAN GRANDE</t>
  </si>
  <si>
    <t>PASTEL VAINILLA-FLAN MINI MED</t>
  </si>
  <si>
    <t>ROSCA DE CHOUX CH</t>
  </si>
  <si>
    <t>TARTAS PATRIAS</t>
  </si>
  <si>
    <t>VISAGRA DE PAN Y GALLETA</t>
  </si>
  <si>
    <t>Suc. Peñita</t>
  </si>
  <si>
    <t>CAJITA GALLETA NAVIDEÑA $60</t>
  </si>
  <si>
    <t>ROSCA NAVIDEÑA DE COCO CH</t>
  </si>
  <si>
    <t>ROSCA NAVIDEÑA DE COCO GDE</t>
  </si>
  <si>
    <t>ROSCA TRADICIONAL NUTELA JUMBO</t>
  </si>
  <si>
    <t>ROSCA TRADICIONAL NUTELA MEDIANA</t>
  </si>
  <si>
    <t>MINI MEDIANO UVA</t>
  </si>
  <si>
    <t>TARTALETA UVA</t>
  </si>
  <si>
    <t>ROSCA FERRERO</t>
  </si>
  <si>
    <t>ROSCA TRAD PARA NIÑA GDE</t>
  </si>
  <si>
    <t>ROSCA TRAD PARA NIÑO GDE</t>
  </si>
  <si>
    <t>$20 PAN DULCE 25 PIEZAS</t>
  </si>
  <si>
    <t>PALETA GALLETA $20</t>
  </si>
  <si>
    <t>PALETA GALLETA $35</t>
  </si>
  <si>
    <t>CORAZON FUTYLLYN</t>
  </si>
  <si>
    <t>GALLETA 1/2 KG SAN VALENTIN</t>
  </si>
  <si>
    <t>GALLETA 1/4 KG SAN VALENTIN</t>
  </si>
  <si>
    <t>BOLSA DE GALLETA SAN VALENTIN $30</t>
  </si>
  <si>
    <t>GELATINA ROSCA CORAZON CH</t>
  </si>
  <si>
    <t>PETIT CASERO FIGURITA</t>
  </si>
  <si>
    <t>RAMO FLORAL DE 16 CM</t>
  </si>
  <si>
    <t>SANDWICH COREANO</t>
  </si>
  <si>
    <t>FLAN PETIT</t>
  </si>
  <si>
    <t>ROL CH CORAZON</t>
  </si>
  <si>
    <t>KINDER BUENO MEDIANO</t>
  </si>
  <si>
    <t>MINI DELICIA KINDER</t>
  </si>
  <si>
    <t>02MD</t>
  </si>
  <si>
    <t>323</t>
  </si>
  <si>
    <t xml:space="preserve">GELATINA DE GANSITO INDIVIDUAL </t>
  </si>
  <si>
    <t>321</t>
  </si>
  <si>
    <t>216</t>
  </si>
  <si>
    <t>215</t>
  </si>
  <si>
    <t>01ga</t>
  </si>
  <si>
    <t>BOCA PEPE FRUTALES 15 PIEZAS</t>
  </si>
  <si>
    <t>BRAZO DE REINA DE FRESA</t>
  </si>
  <si>
    <t>BRAZO REINA DE DURAZNO</t>
  </si>
  <si>
    <t>GELATINA MANGO YOGURT GDE</t>
  </si>
  <si>
    <t>GELATINA MANGO YOGURT IND</t>
  </si>
  <si>
    <t>PASTEL CHOCOLATE DUBAI GDE</t>
  </si>
  <si>
    <t>PASTEL CHOCOLATE DUBAI MINI MEDIANO</t>
  </si>
  <si>
    <t>TARTA DE QUESO VASCA MEDIANA</t>
  </si>
  <si>
    <t>TARTA DE QUESO VASCA MINI MEDIANO</t>
  </si>
  <si>
    <t>72</t>
  </si>
  <si>
    <t>CHESSECAKE MINI</t>
  </si>
  <si>
    <t>TARTA DE QUESO PETIT VAILEYS</t>
  </si>
  <si>
    <t>CAJITA CH DIA DE LA MADRE</t>
  </si>
  <si>
    <t>CAJITA DE BOLLO DIA DE LA MADRE</t>
  </si>
  <si>
    <t>CAJITA GDE DIA DE LA MADRE</t>
  </si>
  <si>
    <t>CASERO DE PAPÁ</t>
  </si>
  <si>
    <t>BROWNIE DUBAI</t>
  </si>
  <si>
    <t>ALFAJOR INDIVIDUAL JUMBO</t>
  </si>
  <si>
    <t>CAJA DE ALFAJOR MUNDIALISTA</t>
  </si>
  <si>
    <t>TARTA VASCA BAILIS</t>
  </si>
  <si>
    <t>BOCA PEPES INTERNACIONALES</t>
  </si>
  <si>
    <t>CAJA 3 LECHES CHOCOLATE ABUELITA</t>
  </si>
  <si>
    <t>CAJA 3 LECHES PIÑA COLADA</t>
  </si>
  <si>
    <t>PANQUE NATURAL CON NUEZ</t>
  </si>
  <si>
    <t>006F</t>
  </si>
  <si>
    <t>PANQUE DE NUEZ</t>
  </si>
  <si>
    <t>BOCAPEPE BANDERA</t>
  </si>
  <si>
    <t>BOCAPEPE MEXICANO</t>
  </si>
  <si>
    <t>GALLETA 1/4KG MINI EMPANADITAS</t>
  </si>
  <si>
    <t>GALLETA DE 1/4KG COCADA</t>
  </si>
  <si>
    <t>340</t>
  </si>
  <si>
    <t>339</t>
  </si>
  <si>
    <t>Planta León</t>
  </si>
  <si>
    <t>PASTEL CHOCOLATE</t>
  </si>
  <si>
    <t>11c</t>
  </si>
  <si>
    <t>PASTEL DE MUERTO 3 LECHES CH</t>
  </si>
  <si>
    <t>90</t>
  </si>
  <si>
    <t>C3LC</t>
  </si>
  <si>
    <t>H05</t>
  </si>
  <si>
    <t>11B</t>
  </si>
  <si>
    <t>11D</t>
  </si>
  <si>
    <t>17A</t>
  </si>
  <si>
    <t>F104</t>
  </si>
  <si>
    <t>11F</t>
  </si>
  <si>
    <t>01PM</t>
  </si>
  <si>
    <t>15B</t>
  </si>
  <si>
    <t>11G</t>
  </si>
  <si>
    <t>PAS NIEVE COOKIES &amp; CREAM  MEDIANO</t>
  </si>
  <si>
    <t>PAS NIEVE COOKIES &amp; CREAM MINIMED</t>
  </si>
  <si>
    <t>PAS NIEVE GANSITO MEDIANO</t>
  </si>
  <si>
    <t>PAS NIEVE YOGUR ZARZAMORA MEDIANO</t>
  </si>
  <si>
    <t>PAS NIEVE YOGUR ZARZAMORA MINIMED</t>
  </si>
  <si>
    <t>PASTEL NIEVE FERRERO MEDIANO</t>
  </si>
  <si>
    <t>PASTEL NIEVE FERRERO MINI MED</t>
  </si>
  <si>
    <t>PASTEL NIEVE FRESA CREMA MINIMED</t>
  </si>
  <si>
    <t>PASTEL NIEVE FRESAS CREMA MEDIANO</t>
  </si>
  <si>
    <t>PASTEL NIEVE GANSITO MINIMED</t>
  </si>
  <si>
    <t>PASTEL NIEVE MOKA MEDIANO</t>
  </si>
  <si>
    <t>PASTEL NIEVE MOKA MINI MED</t>
  </si>
  <si>
    <t>RESTANTE</t>
  </si>
  <si>
    <t>DISTRIBUIDOS</t>
  </si>
  <si>
    <t>EXISTENCIA EN CF</t>
  </si>
  <si>
    <t>335</t>
  </si>
  <si>
    <t>NO PIÑA</t>
  </si>
  <si>
    <t>RESUMEN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</si>
</sst>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7" x14ac:knownFonts="1">
    <font>
      <sz val="11"/>
      <color theme="1"/>
      <name val="Calibri"/>
      <family val="2"/>
      <scheme val="minor"/>
    </font>
    <font>
      <b/>
      <sz val="13"/>
      <color rgb="FF000000"/>
      <name val="Calibri"/>
      <family val="2"/>
    </font>
    <font>
      <sz val="13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3"/>
      <color theme="1"/>
      <name val="Calibri"/>
      <family val="2"/>
    </font>
    <font>
      <b/>
      <sz val="13"/>
      <color indexed="8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000000"/>
      <name val="Calibri"/>
      <family val="2"/>
    </font>
    <font>
      <sz val="14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9"/>
      <color rgb="FF000000"/>
      <name val="Calibri"/>
      <family val="2"/>
    </font>
    <font>
      <b/>
      <sz val="14"/>
      <color theme="1"/>
      <name val="Cambria"/>
      <family val="1"/>
    </font>
    <font>
      <b/>
      <sz val="11"/>
      <color rgb="FFFF0000"/>
      <name val="Cambria"/>
      <family val="1"/>
    </font>
    <font>
      <b/>
      <sz val="11"/>
      <color rgb="FF002060"/>
      <name val="Cambria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E2EFD9"/>
      </patternFill>
    </fill>
    <fill>
      <patternFill patternType="solid">
        <fgColor theme="5" tint="0.79998168889431442"/>
        <bgColor rgb="FFFBE4D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rgb="FFDEEAF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14999847407452621"/>
        <bgColor rgb="FFDADADA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E2EFD9"/>
      </patternFill>
    </fill>
    <fill>
      <patternFill patternType="solid">
        <fgColor rgb="FFFFC000"/>
        <bgColor rgb="FFE2EFD9"/>
      </patternFill>
    </fill>
    <fill>
      <patternFill patternType="solid">
        <fgColor rgb="FFFFFF00"/>
        <bgColor rgb="FFE2EFD9"/>
      </patternFill>
    </fill>
    <fill>
      <patternFill patternType="solid">
        <fgColor theme="7" tint="0.59999389629810485"/>
        <bgColor rgb="FFE2EFD9"/>
      </patternFill>
    </fill>
    <fill>
      <patternFill patternType="solid">
        <fgColor rgb="FF00B0F0"/>
        <bgColor rgb="FFE2EFD9"/>
      </patternFill>
    </fill>
    <fill>
      <patternFill patternType="solid">
        <fgColor theme="2"/>
        <bgColor indexed="64"/>
      </patternFill>
    </fill>
    <fill>
      <patternFill patternType="solid">
        <fgColor rgb="FF00FFCC"/>
        <bgColor rgb="FFE2EFD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rgb="FFE2EFD9"/>
      </patternFill>
    </fill>
    <fill>
      <patternFill patternType="solid">
        <fgColor theme="5" tint="0.59999389629810485"/>
        <bgColor rgb="FFE2EFD9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rgb="FFE2EFD9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rgb="FFE2EFD9"/>
      </patternFill>
    </fill>
    <fill>
      <patternFill patternType="solid">
        <fgColor rgb="FF00B050"/>
        <bgColor rgb="FFE2EFD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rgb="FFE2EFD9"/>
      </patternFill>
    </fill>
  </fills>
  <borders count="62">
    <border>
      <left/>
      <right/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medium">
        <color indexed="64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dotted">
        <color rgb="FF000000"/>
      </right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tted">
        <color rgb="FF000000"/>
      </left>
      <right style="dotted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indexed="64"/>
      </bottom>
      <diagonal/>
    </border>
    <border>
      <left style="medium">
        <color indexed="64"/>
      </left>
      <right style="hair">
        <color rgb="FF000000"/>
      </right>
      <top style="medium">
        <color indexed="64"/>
      </top>
      <bottom style="medium">
        <color indexed="64"/>
      </bottom>
      <diagonal/>
    </border>
    <border>
      <left style="hair">
        <color rgb="FF000000"/>
      </left>
      <right style="hair">
        <color rgb="FF000000"/>
      </right>
      <top style="medium">
        <color indexed="64"/>
      </top>
      <bottom style="medium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medium">
        <color indexed="64"/>
      </left>
      <right style="dotted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tted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hair">
        <color rgb="FF000000"/>
      </right>
      <top style="medium">
        <color indexed="64"/>
      </top>
      <bottom style="medium">
        <color indexed="64"/>
      </bottom>
      <diagonal/>
    </border>
    <border>
      <left/>
      <right style="dotted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/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indexed="64"/>
      </right>
      <top style="dotted">
        <color rgb="FF000000"/>
      </top>
      <bottom style="dotted">
        <color rgb="FF000000"/>
      </bottom>
      <diagonal/>
    </border>
    <border>
      <left/>
      <right style="dotted">
        <color indexed="64"/>
      </right>
      <top style="dotted">
        <color rgb="FF000000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rgb="FF000000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dotted">
        <color rgb="FF000000"/>
      </top>
      <bottom style="dotted">
        <color rgb="FF000000"/>
      </bottom>
      <diagonal/>
    </border>
  </borders>
  <cellStyleXfs count="4">
    <xf numFmtId="0" fontId="0" fillId="0" borderId="0"/>
    <xf numFmtId="0" fontId="9" fillId="0" borderId="0" applyBorder="0"/>
    <xf numFmtId="0" fontId="25" fillId="0" borderId="0"/>
    <xf numFmtId="0" fontId="25" fillId="0" borderId="0"/>
  </cellStyleXfs>
  <cellXfs count="261">
    <xf numFmtId="0" fontId="0" fillId="0" borderId="0" xfId="0"/>
    <xf numFmtId="14" fontId="1" fillId="0" borderId="0" xfId="0" applyNumberFormat="1" applyFont="1" applyAlignment="1" applyProtection="1">
      <alignment horizontal="left"/>
      <protection locked="0"/>
    </xf>
    <xf numFmtId="0" fontId="2" fillId="0" borderId="0" xfId="0" applyFont="1" applyAlignment="1">
      <alignment horizontal="center"/>
    </xf>
    <xf numFmtId="0" fontId="2" fillId="0" borderId="3" xfId="0" applyFont="1" applyBorder="1" applyAlignment="1" applyProtection="1">
      <alignment horizontal="left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 applyProtection="1">
      <alignment horizontal="left"/>
      <protection locked="0"/>
    </xf>
    <xf numFmtId="0" fontId="2" fillId="0" borderId="6" xfId="0" applyFont="1" applyBorder="1" applyAlignment="1" applyProtection="1">
      <alignment horizontal="center"/>
      <protection locked="0"/>
    </xf>
    <xf numFmtId="0" fontId="2" fillId="0" borderId="7" xfId="0" applyFont="1" applyBorder="1" applyAlignment="1" applyProtection="1">
      <alignment horizontal="left"/>
      <protection locked="0"/>
    </xf>
    <xf numFmtId="0" fontId="2" fillId="0" borderId="8" xfId="0" applyFont="1" applyBorder="1" applyAlignment="1" applyProtection="1">
      <alignment horizontal="center"/>
      <protection locked="0"/>
    </xf>
    <xf numFmtId="0" fontId="1" fillId="3" borderId="9" xfId="0" applyFont="1" applyFill="1" applyBorder="1" applyAlignment="1">
      <alignment horizontal="left" shrinkToFit="1"/>
    </xf>
    <xf numFmtId="0" fontId="2" fillId="0" borderId="12" xfId="0" applyFont="1" applyBorder="1" applyAlignment="1">
      <alignment horizontal="left" shrinkToFit="1"/>
    </xf>
    <xf numFmtId="0" fontId="2" fillId="0" borderId="13" xfId="0" applyFont="1" applyBorder="1" applyAlignment="1" applyProtection="1">
      <alignment horizontal="center"/>
      <protection locked="0"/>
    </xf>
    <xf numFmtId="0" fontId="2" fillId="0" borderId="14" xfId="0" applyFont="1" applyBorder="1" applyAlignment="1" applyProtection="1">
      <alignment horizontal="left"/>
      <protection locked="0"/>
    </xf>
    <xf numFmtId="0" fontId="2" fillId="0" borderId="15" xfId="0" applyFont="1" applyBorder="1" applyAlignment="1" applyProtection="1">
      <alignment horizontal="center"/>
      <protection locked="0"/>
    </xf>
    <xf numFmtId="0" fontId="2" fillId="0" borderId="16" xfId="0" applyFont="1" applyBorder="1" applyAlignment="1" applyProtection="1">
      <alignment horizontal="left"/>
      <protection locked="0"/>
    </xf>
    <xf numFmtId="0" fontId="2" fillId="0" borderId="17" xfId="0" applyFont="1" applyBorder="1" applyAlignment="1" applyProtection="1">
      <alignment horizontal="center"/>
      <protection locked="0"/>
    </xf>
    <xf numFmtId="0" fontId="1" fillId="2" borderId="9" xfId="0" applyFont="1" applyFill="1" applyBorder="1" applyAlignment="1">
      <alignment horizontal="left" shrinkToFit="1"/>
    </xf>
    <xf numFmtId="0" fontId="2" fillId="0" borderId="18" xfId="0" applyFont="1" applyBorder="1" applyAlignment="1" applyProtection="1">
      <alignment horizontal="center"/>
      <protection locked="0"/>
    </xf>
    <xf numFmtId="0" fontId="1" fillId="4" borderId="19" xfId="0" applyFont="1" applyFill="1" applyBorder="1" applyAlignment="1">
      <alignment horizontal="left" shrinkToFit="1"/>
    </xf>
    <xf numFmtId="0" fontId="2" fillId="0" borderId="21" xfId="0" applyFont="1" applyBorder="1" applyAlignment="1" applyProtection="1">
      <alignment horizontal="center"/>
      <protection locked="0"/>
    </xf>
    <xf numFmtId="0" fontId="1" fillId="3" borderId="22" xfId="0" applyFont="1" applyFill="1" applyBorder="1" applyAlignment="1" applyProtection="1">
      <alignment horizontal="left"/>
      <protection locked="0"/>
    </xf>
    <xf numFmtId="0" fontId="5" fillId="0" borderId="3" xfId="0" applyFont="1" applyBorder="1" applyAlignment="1" applyProtection="1">
      <alignment horizontal="left"/>
      <protection locked="0"/>
    </xf>
    <xf numFmtId="0" fontId="5" fillId="0" borderId="5" xfId="0" applyFont="1" applyBorder="1" applyAlignment="1" applyProtection="1">
      <alignment horizontal="left"/>
      <protection locked="0"/>
    </xf>
    <xf numFmtId="0" fontId="6" fillId="4" borderId="9" xfId="0" applyFont="1" applyFill="1" applyBorder="1" applyAlignment="1">
      <alignment horizontal="left" shrinkToFit="1"/>
    </xf>
    <xf numFmtId="0" fontId="2" fillId="5" borderId="23" xfId="0" applyFont="1" applyFill="1" applyBorder="1" applyAlignment="1">
      <alignment horizontal="left" shrinkToFit="1"/>
    </xf>
    <xf numFmtId="0" fontId="2" fillId="5" borderId="4" xfId="0" applyFont="1" applyFill="1" applyBorder="1" applyAlignment="1" applyProtection="1">
      <alignment horizontal="center"/>
      <protection locked="0"/>
    </xf>
    <xf numFmtId="0" fontId="2" fillId="6" borderId="4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left" shrinkToFit="1"/>
    </xf>
    <xf numFmtId="0" fontId="2" fillId="7" borderId="24" xfId="0" applyFont="1" applyFill="1" applyBorder="1" applyAlignment="1">
      <alignment horizontal="left" shrinkToFit="1"/>
    </xf>
    <xf numFmtId="0" fontId="2" fillId="7" borderId="4" xfId="0" applyFont="1" applyFill="1" applyBorder="1" applyAlignment="1" applyProtection="1">
      <alignment horizontal="center"/>
      <protection locked="0"/>
    </xf>
    <xf numFmtId="0" fontId="2" fillId="8" borderId="4" xfId="0" applyFont="1" applyFill="1" applyBorder="1" applyAlignment="1">
      <alignment horizontal="center"/>
    </xf>
    <xf numFmtId="0" fontId="6" fillId="7" borderId="9" xfId="0" applyFont="1" applyFill="1" applyBorder="1" applyAlignment="1">
      <alignment horizontal="left" shrinkToFit="1"/>
    </xf>
    <xf numFmtId="0" fontId="1" fillId="9" borderId="24" xfId="0" applyFont="1" applyFill="1" applyBorder="1" applyAlignment="1">
      <alignment horizontal="left" shrinkToFit="1"/>
    </xf>
    <xf numFmtId="0" fontId="2" fillId="9" borderId="4" xfId="0" applyFont="1" applyFill="1" applyBorder="1" applyAlignment="1" applyProtection="1">
      <alignment horizontal="center"/>
      <protection locked="0"/>
    </xf>
    <xf numFmtId="0" fontId="2" fillId="10" borderId="4" xfId="0" applyFont="1" applyFill="1" applyBorder="1" applyAlignment="1">
      <alignment horizontal="center"/>
    </xf>
    <xf numFmtId="0" fontId="7" fillId="9" borderId="9" xfId="0" applyFont="1" applyFill="1" applyBorder="1" applyAlignment="1">
      <alignment horizontal="left"/>
    </xf>
    <xf numFmtId="0" fontId="7" fillId="11" borderId="1" xfId="0" applyFont="1" applyFill="1" applyBorder="1" applyAlignment="1">
      <alignment horizontal="left" shrinkToFit="1"/>
    </xf>
    <xf numFmtId="164" fontId="0" fillId="0" borderId="0" xfId="0" applyNumberFormat="1"/>
    <xf numFmtId="0" fontId="3" fillId="12" borderId="2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1" fillId="3" borderId="10" xfId="0" applyFont="1" applyFill="1" applyBorder="1" applyAlignment="1" applyProtection="1">
      <alignment horizontal="center"/>
      <protection locked="0"/>
    </xf>
    <xf numFmtId="0" fontId="8" fillId="3" borderId="10" xfId="0" applyFont="1" applyFill="1" applyBorder="1" applyAlignment="1" applyProtection="1">
      <alignment horizontal="center"/>
      <protection locked="0"/>
    </xf>
    <xf numFmtId="0" fontId="1" fillId="2" borderId="10" xfId="0" applyFont="1" applyFill="1" applyBorder="1" applyAlignment="1" applyProtection="1">
      <alignment horizontal="center"/>
      <protection locked="0"/>
    </xf>
    <xf numFmtId="0" fontId="8" fillId="2" borderId="10" xfId="0" applyFont="1" applyFill="1" applyBorder="1" applyAlignment="1" applyProtection="1">
      <alignment horizontal="center"/>
      <protection locked="0"/>
    </xf>
    <xf numFmtId="0" fontId="1" fillId="4" borderId="20" xfId="0" applyFont="1" applyFill="1" applyBorder="1" applyAlignment="1" applyProtection="1">
      <alignment horizontal="center"/>
      <protection locked="0"/>
    </xf>
    <xf numFmtId="0" fontId="8" fillId="4" borderId="20" xfId="0" applyFont="1" applyFill="1" applyBorder="1" applyAlignment="1" applyProtection="1">
      <alignment horizontal="center"/>
      <protection locked="0"/>
    </xf>
    <xf numFmtId="0" fontId="1" fillId="3" borderId="11" xfId="0" applyFont="1" applyFill="1" applyBorder="1" applyAlignment="1" applyProtection="1">
      <alignment horizontal="center"/>
      <protection locked="0"/>
    </xf>
    <xf numFmtId="0" fontId="8" fillId="3" borderId="11" xfId="0" applyFont="1" applyFill="1" applyBorder="1" applyAlignment="1" applyProtection="1">
      <alignment horizontal="center"/>
      <protection locked="0"/>
    </xf>
    <xf numFmtId="0" fontId="1" fillId="4" borderId="10" xfId="0" applyFont="1" applyFill="1" applyBorder="1" applyAlignment="1" applyProtection="1">
      <alignment horizontal="center"/>
      <protection locked="0"/>
    </xf>
    <xf numFmtId="0" fontId="8" fillId="4" borderId="10" xfId="0" applyFont="1" applyFill="1" applyBorder="1" applyAlignment="1" applyProtection="1">
      <alignment horizontal="center"/>
      <protection locked="0"/>
    </xf>
    <xf numFmtId="0" fontId="1" fillId="5" borderId="10" xfId="0" applyFont="1" applyFill="1" applyBorder="1" applyAlignment="1" applyProtection="1">
      <alignment horizontal="center"/>
      <protection locked="0"/>
    </xf>
    <xf numFmtId="0" fontId="8" fillId="5" borderId="10" xfId="0" applyFont="1" applyFill="1" applyBorder="1" applyAlignment="1" applyProtection="1">
      <alignment horizontal="center"/>
      <protection locked="0"/>
    </xf>
    <xf numFmtId="0" fontId="1" fillId="7" borderId="10" xfId="0" applyFont="1" applyFill="1" applyBorder="1" applyAlignment="1" applyProtection="1">
      <alignment horizontal="center"/>
      <protection locked="0"/>
    </xf>
    <xf numFmtId="0" fontId="8" fillId="7" borderId="10" xfId="0" applyFont="1" applyFill="1" applyBorder="1" applyAlignment="1" applyProtection="1">
      <alignment horizontal="center"/>
      <protection locked="0"/>
    </xf>
    <xf numFmtId="0" fontId="1" fillId="9" borderId="10" xfId="0" applyFont="1" applyFill="1" applyBorder="1" applyAlignment="1" applyProtection="1">
      <alignment horizontal="center"/>
      <protection locked="0"/>
    </xf>
    <xf numFmtId="0" fontId="8" fillId="9" borderId="10" xfId="0" applyFont="1" applyFill="1" applyBorder="1" applyAlignment="1" applyProtection="1">
      <alignment horizontal="center"/>
      <protection locked="0"/>
    </xf>
    <xf numFmtId="3" fontId="1" fillId="11" borderId="11" xfId="0" applyNumberFormat="1" applyFont="1" applyFill="1" applyBorder="1" applyAlignment="1" applyProtection="1">
      <alignment horizontal="center"/>
      <protection locked="0"/>
    </xf>
    <xf numFmtId="3" fontId="8" fillId="11" borderId="11" xfId="0" applyNumberFormat="1" applyFont="1" applyFill="1" applyBorder="1" applyAlignment="1" applyProtection="1">
      <alignment horizontal="center"/>
      <protection locked="0"/>
    </xf>
    <xf numFmtId="0" fontId="3" fillId="15" borderId="2" xfId="0" applyFont="1" applyFill="1" applyBorder="1" applyAlignment="1">
      <alignment horizontal="center" vertical="center" wrapText="1"/>
    </xf>
    <xf numFmtId="0" fontId="3" fillId="16" borderId="2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1" fillId="9" borderId="10" xfId="0" applyFont="1" applyFill="1" applyBorder="1" applyAlignment="1">
      <alignment horizontal="center"/>
    </xf>
    <xf numFmtId="3" fontId="1" fillId="11" borderId="11" xfId="0" applyNumberFormat="1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8" fillId="4" borderId="20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0" fontId="8" fillId="5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8" fillId="9" borderId="10" xfId="0" applyFont="1" applyFill="1" applyBorder="1" applyAlignment="1">
      <alignment horizontal="center"/>
    </xf>
    <xf numFmtId="3" fontId="8" fillId="11" borderId="1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1"/>
    <xf numFmtId="0" fontId="9" fillId="0" borderId="0" xfId="1" applyAlignment="1">
      <alignment horizontal="left"/>
    </xf>
    <xf numFmtId="0" fontId="10" fillId="17" borderId="26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center" vertical="center" wrapText="1"/>
    </xf>
    <xf numFmtId="0" fontId="12" fillId="16" borderId="2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left" vertical="center"/>
    </xf>
    <xf numFmtId="49" fontId="13" fillId="0" borderId="0" xfId="0" applyNumberFormat="1" applyFont="1" applyAlignment="1">
      <alignment horizontal="center"/>
    </xf>
    <xf numFmtId="49" fontId="14" fillId="19" borderId="26" xfId="0" applyNumberFormat="1" applyFont="1" applyFill="1" applyBorder="1" applyAlignment="1">
      <alignment horizontal="center" vertical="center"/>
    </xf>
    <xf numFmtId="0" fontId="2" fillId="0" borderId="28" xfId="0" applyFont="1" applyBorder="1" applyAlignment="1" applyProtection="1">
      <alignment horizontal="left"/>
      <protection locked="0"/>
    </xf>
    <xf numFmtId="0" fontId="2" fillId="0" borderId="29" xfId="0" applyFont="1" applyBorder="1" applyAlignment="1" applyProtection="1">
      <alignment horizontal="left"/>
      <protection locked="0"/>
    </xf>
    <xf numFmtId="0" fontId="2" fillId="0" borderId="30" xfId="0" applyFont="1" applyBorder="1" applyAlignment="1" applyProtection="1">
      <alignment horizontal="left"/>
      <protection locked="0"/>
    </xf>
    <xf numFmtId="0" fontId="1" fillId="3" borderId="10" xfId="0" applyFont="1" applyFill="1" applyBorder="1" applyAlignment="1">
      <alignment horizontal="left" shrinkToFit="1"/>
    </xf>
    <xf numFmtId="0" fontId="2" fillId="0" borderId="31" xfId="0" applyFont="1" applyBorder="1" applyAlignment="1">
      <alignment horizontal="left" shrinkToFit="1"/>
    </xf>
    <xf numFmtId="0" fontId="1" fillId="2" borderId="10" xfId="0" applyFont="1" applyFill="1" applyBorder="1" applyAlignment="1">
      <alignment horizontal="left" shrinkToFit="1"/>
    </xf>
    <xf numFmtId="0" fontId="1" fillId="4" borderId="32" xfId="0" applyFont="1" applyFill="1" applyBorder="1" applyAlignment="1">
      <alignment horizontal="left" shrinkToFit="1"/>
    </xf>
    <xf numFmtId="0" fontId="1" fillId="3" borderId="33" xfId="0" applyFont="1" applyFill="1" applyBorder="1" applyAlignment="1" applyProtection="1">
      <alignment horizontal="left"/>
      <protection locked="0"/>
    </xf>
    <xf numFmtId="0" fontId="5" fillId="0" borderId="28" xfId="0" applyFont="1" applyBorder="1" applyAlignment="1" applyProtection="1">
      <alignment horizontal="left"/>
      <protection locked="0"/>
    </xf>
    <xf numFmtId="0" fontId="5" fillId="0" borderId="29" xfId="0" applyFont="1" applyBorder="1" applyAlignment="1" applyProtection="1">
      <alignment horizontal="left"/>
      <protection locked="0"/>
    </xf>
    <xf numFmtId="0" fontId="6" fillId="4" borderId="10" xfId="0" applyFont="1" applyFill="1" applyBorder="1" applyAlignment="1">
      <alignment horizontal="left" shrinkToFit="1"/>
    </xf>
    <xf numFmtId="0" fontId="2" fillId="5" borderId="0" xfId="0" applyFont="1" applyFill="1" applyAlignment="1">
      <alignment horizontal="left" shrinkToFit="1"/>
    </xf>
    <xf numFmtId="0" fontId="6" fillId="5" borderId="10" xfId="0" applyFont="1" applyFill="1" applyBorder="1" applyAlignment="1">
      <alignment horizontal="left" shrinkToFit="1"/>
    </xf>
    <xf numFmtId="0" fontId="2" fillId="7" borderId="34" xfId="0" applyFont="1" applyFill="1" applyBorder="1" applyAlignment="1">
      <alignment horizontal="left" shrinkToFit="1"/>
    </xf>
    <xf numFmtId="0" fontId="6" fillId="7" borderId="10" xfId="0" applyFont="1" applyFill="1" applyBorder="1" applyAlignment="1">
      <alignment horizontal="left" shrinkToFit="1"/>
    </xf>
    <xf numFmtId="0" fontId="1" fillId="9" borderId="34" xfId="0" applyFont="1" applyFill="1" applyBorder="1" applyAlignment="1">
      <alignment horizontal="left" shrinkToFit="1"/>
    </xf>
    <xf numFmtId="0" fontId="7" fillId="9" borderId="10" xfId="0" applyFont="1" applyFill="1" applyBorder="1" applyAlignment="1">
      <alignment horizontal="left"/>
    </xf>
    <xf numFmtId="0" fontId="7" fillId="11" borderId="27" xfId="0" applyFont="1" applyFill="1" applyBorder="1" applyAlignment="1">
      <alignment horizontal="left" shrinkToFit="1"/>
    </xf>
    <xf numFmtId="49" fontId="13" fillId="0" borderId="26" xfId="0" applyNumberFormat="1" applyFont="1" applyBorder="1" applyAlignment="1">
      <alignment horizontal="center"/>
    </xf>
    <xf numFmtId="49" fontId="15" fillId="20" borderId="26" xfId="0" applyNumberFormat="1" applyFont="1" applyFill="1" applyBorder="1" applyAlignment="1">
      <alignment horizontal="center"/>
    </xf>
    <xf numFmtId="49" fontId="16" fillId="20" borderId="26" xfId="0" applyNumberFormat="1" applyFont="1" applyFill="1" applyBorder="1" applyAlignment="1">
      <alignment horizontal="center"/>
    </xf>
    <xf numFmtId="3" fontId="1" fillId="9" borderId="10" xfId="0" applyNumberFormat="1" applyFont="1" applyFill="1" applyBorder="1" applyAlignment="1" applyProtection="1">
      <alignment horizontal="center"/>
      <protection locked="0"/>
    </xf>
    <xf numFmtId="0" fontId="3" fillId="21" borderId="2" xfId="0" applyFont="1" applyFill="1" applyBorder="1" applyAlignment="1">
      <alignment horizontal="center" vertical="center" wrapText="1"/>
    </xf>
    <xf numFmtId="3" fontId="0" fillId="0" borderId="0" xfId="0" applyNumberFormat="1"/>
    <xf numFmtId="3" fontId="3" fillId="21" borderId="2" xfId="0" applyNumberFormat="1" applyFont="1" applyFill="1" applyBorder="1" applyAlignment="1">
      <alignment horizontal="center" vertical="center" wrapText="1"/>
    </xf>
    <xf numFmtId="3" fontId="3" fillId="22" borderId="2" xfId="0" applyNumberFormat="1" applyFont="1" applyFill="1" applyBorder="1" applyAlignment="1">
      <alignment horizontal="center" vertical="center" wrapText="1"/>
    </xf>
    <xf numFmtId="3" fontId="3" fillId="15" borderId="2" xfId="0" applyNumberFormat="1" applyFont="1" applyFill="1" applyBorder="1" applyAlignment="1">
      <alignment horizontal="center" vertical="center" wrapText="1"/>
    </xf>
    <xf numFmtId="3" fontId="2" fillId="0" borderId="4" xfId="0" applyNumberFormat="1" applyFont="1" applyBorder="1" applyAlignment="1">
      <alignment horizontal="center"/>
    </xf>
    <xf numFmtId="3" fontId="1" fillId="3" borderId="10" xfId="0" applyNumberFormat="1" applyFont="1" applyFill="1" applyBorder="1" applyAlignment="1" applyProtection="1">
      <alignment horizontal="center"/>
      <protection locked="0"/>
    </xf>
    <xf numFmtId="3" fontId="1" fillId="2" borderId="10" xfId="0" applyNumberFormat="1" applyFont="1" applyFill="1" applyBorder="1" applyAlignment="1" applyProtection="1">
      <alignment horizontal="center"/>
      <protection locked="0"/>
    </xf>
    <xf numFmtId="3" fontId="1" fillId="4" borderId="20" xfId="0" applyNumberFormat="1" applyFont="1" applyFill="1" applyBorder="1" applyAlignment="1" applyProtection="1">
      <alignment horizontal="center"/>
      <protection locked="0"/>
    </xf>
    <xf numFmtId="3" fontId="1" fillId="3" borderId="11" xfId="0" applyNumberFormat="1" applyFont="1" applyFill="1" applyBorder="1" applyAlignment="1" applyProtection="1">
      <alignment horizontal="center"/>
      <protection locked="0"/>
    </xf>
    <xf numFmtId="3" fontId="1" fillId="4" borderId="10" xfId="0" applyNumberFormat="1" applyFont="1" applyFill="1" applyBorder="1" applyAlignment="1" applyProtection="1">
      <alignment horizontal="center"/>
      <protection locked="0"/>
    </xf>
    <xf numFmtId="3" fontId="2" fillId="6" borderId="4" xfId="0" applyNumberFormat="1" applyFont="1" applyFill="1" applyBorder="1" applyAlignment="1">
      <alignment horizontal="center"/>
    </xf>
    <xf numFmtId="3" fontId="1" fillId="5" borderId="10" xfId="0" applyNumberFormat="1" applyFont="1" applyFill="1" applyBorder="1" applyAlignment="1" applyProtection="1">
      <alignment horizontal="center"/>
      <protection locked="0"/>
    </xf>
    <xf numFmtId="3" fontId="2" fillId="8" borderId="4" xfId="0" applyNumberFormat="1" applyFont="1" applyFill="1" applyBorder="1" applyAlignment="1">
      <alignment horizontal="center"/>
    </xf>
    <xf numFmtId="3" fontId="1" fillId="7" borderId="10" xfId="0" applyNumberFormat="1" applyFont="1" applyFill="1" applyBorder="1" applyAlignment="1" applyProtection="1">
      <alignment horizontal="center"/>
      <protection locked="0"/>
    </xf>
    <xf numFmtId="3" fontId="2" fillId="10" borderId="4" xfId="0" applyNumberFormat="1" applyFont="1" applyFill="1" applyBorder="1" applyAlignment="1">
      <alignment horizontal="center"/>
    </xf>
    <xf numFmtId="3" fontId="2" fillId="0" borderId="4" xfId="0" applyNumberFormat="1" applyFont="1" applyBorder="1" applyAlignment="1" applyProtection="1">
      <alignment horizontal="center"/>
      <protection locked="0"/>
    </xf>
    <xf numFmtId="3" fontId="2" fillId="5" borderId="4" xfId="0" applyNumberFormat="1" applyFont="1" applyFill="1" applyBorder="1" applyAlignment="1" applyProtection="1">
      <alignment horizontal="center"/>
      <protection locked="0"/>
    </xf>
    <xf numFmtId="3" fontId="2" fillId="7" borderId="4" xfId="0" applyNumberFormat="1" applyFont="1" applyFill="1" applyBorder="1" applyAlignment="1" applyProtection="1">
      <alignment horizontal="center"/>
      <protection locked="0"/>
    </xf>
    <xf numFmtId="3" fontId="2" fillId="9" borderId="4" xfId="0" applyNumberFormat="1" applyFont="1" applyFill="1" applyBorder="1" applyAlignment="1" applyProtection="1">
      <alignment horizontal="center"/>
      <protection locked="0"/>
    </xf>
    <xf numFmtId="3" fontId="0" fillId="0" borderId="0" xfId="0" applyNumberFormat="1" applyAlignment="1">
      <alignment horizontal="center"/>
    </xf>
    <xf numFmtId="3" fontId="3" fillId="21" borderId="36" xfId="0" applyNumberFormat="1" applyFont="1" applyFill="1" applyBorder="1" applyAlignment="1">
      <alignment horizontal="center" vertical="center" wrapText="1"/>
    </xf>
    <xf numFmtId="3" fontId="3" fillId="22" borderId="36" xfId="0" applyNumberFormat="1" applyFont="1" applyFill="1" applyBorder="1" applyAlignment="1">
      <alignment horizontal="center" vertical="center" wrapText="1"/>
    </xf>
    <xf numFmtId="3" fontId="2" fillId="25" borderId="4" xfId="0" applyNumberFormat="1" applyFont="1" applyFill="1" applyBorder="1" applyAlignment="1">
      <alignment horizontal="center"/>
    </xf>
    <xf numFmtId="3" fontId="3" fillId="24" borderId="39" xfId="0" applyNumberFormat="1" applyFont="1" applyFill="1" applyBorder="1" applyAlignment="1">
      <alignment horizontal="center" vertical="center" wrapText="1"/>
    </xf>
    <xf numFmtId="3" fontId="3" fillId="15" borderId="27" xfId="0" applyNumberFormat="1" applyFont="1" applyFill="1" applyBorder="1" applyAlignment="1">
      <alignment horizontal="center" vertical="center" wrapText="1"/>
    </xf>
    <xf numFmtId="3" fontId="3" fillId="27" borderId="37" xfId="0" applyNumberFormat="1" applyFont="1" applyFill="1" applyBorder="1" applyAlignment="1">
      <alignment horizontal="center" vertical="center" wrapText="1"/>
    </xf>
    <xf numFmtId="3" fontId="3" fillId="26" borderId="41" xfId="0" applyNumberFormat="1" applyFont="1" applyFill="1" applyBorder="1" applyAlignment="1">
      <alignment horizontal="center" vertical="center" wrapText="1"/>
    </xf>
    <xf numFmtId="3" fontId="19" fillId="28" borderId="37" xfId="0" applyNumberFormat="1" applyFont="1" applyFill="1" applyBorder="1" applyAlignment="1">
      <alignment horizontal="center" vertical="center"/>
    </xf>
    <xf numFmtId="3" fontId="20" fillId="29" borderId="37" xfId="0" applyNumberFormat="1" applyFont="1" applyFill="1" applyBorder="1" applyAlignment="1">
      <alignment horizontal="center" vertical="center"/>
    </xf>
    <xf numFmtId="0" fontId="23" fillId="16" borderId="2" xfId="0" applyFont="1" applyFill="1" applyBorder="1" applyAlignment="1">
      <alignment horizontal="center" vertical="center" wrapText="1"/>
    </xf>
    <xf numFmtId="0" fontId="2" fillId="0" borderId="43" xfId="0" applyFont="1" applyBorder="1" applyAlignment="1" applyProtection="1">
      <alignment horizontal="center"/>
      <protection locked="0"/>
    </xf>
    <xf numFmtId="0" fontId="2" fillId="0" borderId="28" xfId="0" applyFont="1" applyBorder="1" applyAlignment="1">
      <alignment horizontal="center"/>
    </xf>
    <xf numFmtId="0" fontId="2" fillId="0" borderId="44" xfId="0" applyFont="1" applyBorder="1" applyAlignment="1" applyProtection="1">
      <alignment horizontal="center"/>
      <protection locked="0"/>
    </xf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1" applyAlignment="1">
      <alignment horizontal="center" vertical="center"/>
    </xf>
    <xf numFmtId="0" fontId="2" fillId="0" borderId="43" xfId="0" applyFont="1" applyBorder="1" applyAlignment="1" applyProtection="1">
      <alignment horizontal="center" vertical="center"/>
      <protection locked="0"/>
    </xf>
    <xf numFmtId="0" fontId="2" fillId="0" borderId="28" xfId="0" applyFont="1" applyBorder="1" applyAlignment="1">
      <alignment horizontal="center" vertical="center"/>
    </xf>
    <xf numFmtId="0" fontId="24" fillId="0" borderId="37" xfId="0" applyFont="1" applyBorder="1" applyAlignment="1" applyProtection="1">
      <alignment horizontal="center" vertical="center" wrapText="1"/>
      <protection locked="0"/>
    </xf>
    <xf numFmtId="0" fontId="2" fillId="0" borderId="46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0" borderId="8" xfId="0" applyFont="1" applyBorder="1" applyAlignment="1" applyProtection="1">
      <alignment horizontal="center" vertical="center"/>
      <protection locked="0"/>
    </xf>
    <xf numFmtId="0" fontId="2" fillId="0" borderId="21" xfId="0" applyFont="1" applyBorder="1" applyAlignment="1" applyProtection="1">
      <alignment horizontal="center" vertical="center"/>
      <protection locked="0"/>
    </xf>
    <xf numFmtId="0" fontId="2" fillId="0" borderId="42" xfId="0" applyFont="1" applyBorder="1" applyAlignment="1" applyProtection="1">
      <alignment horizontal="center" vertical="center"/>
      <protection locked="0"/>
    </xf>
    <xf numFmtId="0" fontId="2" fillId="0" borderId="42" xfId="0" applyFont="1" applyBorder="1" applyAlignment="1" applyProtection="1">
      <alignment horizontal="center"/>
      <protection locked="0"/>
    </xf>
    <xf numFmtId="0" fontId="2" fillId="0" borderId="46" xfId="0" applyFont="1" applyBorder="1" applyAlignment="1" applyProtection="1">
      <alignment horizontal="center"/>
      <protection locked="0"/>
    </xf>
    <xf numFmtId="0" fontId="1" fillId="0" borderId="25" xfId="0" applyFont="1" applyBorder="1"/>
    <xf numFmtId="0" fontId="17" fillId="16" borderId="2" xfId="0" applyFont="1" applyFill="1" applyBorder="1" applyAlignment="1">
      <alignment horizontal="center" vertical="center" wrapText="1"/>
    </xf>
    <xf numFmtId="0" fontId="4" fillId="16" borderId="2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/>
    </xf>
    <xf numFmtId="0" fontId="2" fillId="30" borderId="4" xfId="0" applyFont="1" applyFill="1" applyBorder="1" applyAlignment="1" applyProtection="1">
      <alignment horizontal="center"/>
      <protection locked="0"/>
    </xf>
    <xf numFmtId="0" fontId="2" fillId="30" borderId="6" xfId="0" applyFont="1" applyFill="1" applyBorder="1" applyAlignment="1" applyProtection="1">
      <alignment horizontal="center"/>
      <protection locked="0"/>
    </xf>
    <xf numFmtId="0" fontId="2" fillId="30" borderId="21" xfId="0" applyFont="1" applyFill="1" applyBorder="1" applyAlignment="1" applyProtection="1">
      <alignment horizontal="center"/>
      <protection locked="0"/>
    </xf>
    <xf numFmtId="0" fontId="9" fillId="31" borderId="0" xfId="1" applyFill="1"/>
    <xf numFmtId="0" fontId="2" fillId="30" borderId="13" xfId="0" applyFont="1" applyFill="1" applyBorder="1" applyAlignment="1" applyProtection="1">
      <alignment horizontal="center"/>
      <protection locked="0"/>
    </xf>
    <xf numFmtId="0" fontId="9" fillId="32" borderId="48" xfId="1" applyFill="1" applyBorder="1" applyAlignment="1">
      <alignment horizontal="left"/>
    </xf>
    <xf numFmtId="0" fontId="2" fillId="33" borderId="21" xfId="0" applyFont="1" applyFill="1" applyBorder="1" applyAlignment="1" applyProtection="1">
      <alignment horizontal="center" wrapText="1"/>
      <protection locked="0"/>
    </xf>
    <xf numFmtId="0" fontId="2" fillId="33" borderId="6" xfId="0" applyFont="1" applyFill="1" applyBorder="1" applyAlignment="1" applyProtection="1">
      <alignment horizontal="center"/>
      <protection locked="0"/>
    </xf>
    <xf numFmtId="0" fontId="2" fillId="34" borderId="6" xfId="0" applyFont="1" applyFill="1" applyBorder="1" applyAlignment="1" applyProtection="1">
      <alignment horizontal="center"/>
      <protection locked="0"/>
    </xf>
    <xf numFmtId="0" fontId="2" fillId="30" borderId="46" xfId="0" applyFont="1" applyFill="1" applyBorder="1" applyAlignment="1" applyProtection="1">
      <alignment horizontal="center" vertical="center"/>
      <protection locked="0"/>
    </xf>
    <xf numFmtId="0" fontId="2" fillId="30" borderId="8" xfId="0" applyFont="1" applyFill="1" applyBorder="1" applyAlignment="1" applyProtection="1">
      <alignment horizontal="center"/>
      <protection locked="0"/>
    </xf>
    <xf numFmtId="0" fontId="2" fillId="30" borderId="15" xfId="0" applyFont="1" applyFill="1" applyBorder="1" applyAlignment="1" applyProtection="1">
      <alignment horizontal="center"/>
      <protection locked="0"/>
    </xf>
    <xf numFmtId="0" fontId="2" fillId="30" borderId="18" xfId="0" applyFont="1" applyFill="1" applyBorder="1" applyAlignment="1" applyProtection="1">
      <alignment horizontal="center"/>
      <protection locked="0"/>
    </xf>
    <xf numFmtId="0" fontId="2" fillId="0" borderId="44" xfId="0" applyFont="1" applyBorder="1" applyAlignment="1">
      <alignment horizontal="center"/>
    </xf>
    <xf numFmtId="0" fontId="8" fillId="9" borderId="25" xfId="0" applyFont="1" applyFill="1" applyBorder="1" applyAlignment="1">
      <alignment horizontal="center"/>
    </xf>
    <xf numFmtId="0" fontId="1" fillId="9" borderId="25" xfId="0" applyFont="1" applyFill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2" fillId="0" borderId="49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49" fontId="15" fillId="20" borderId="47" xfId="0" applyNumberFormat="1" applyFont="1" applyFill="1" applyBorder="1" applyAlignment="1">
      <alignment horizontal="center"/>
    </xf>
    <xf numFmtId="49" fontId="15" fillId="20" borderId="41" xfId="0" applyNumberFormat="1" applyFont="1" applyFill="1" applyBorder="1" applyAlignment="1">
      <alignment horizontal="center"/>
    </xf>
    <xf numFmtId="49" fontId="15" fillId="20" borderId="37" xfId="0" applyNumberFormat="1" applyFont="1" applyFill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2" fillId="23" borderId="6" xfId="0" applyFont="1" applyFill="1" applyBorder="1" applyAlignment="1" applyProtection="1">
      <alignment horizontal="center"/>
      <protection locked="0"/>
    </xf>
    <xf numFmtId="0" fontId="2" fillId="23" borderId="4" xfId="0" applyFont="1" applyFill="1" applyBorder="1" applyAlignment="1" applyProtection="1">
      <alignment horizontal="center"/>
      <protection locked="0"/>
    </xf>
    <xf numFmtId="0" fontId="9" fillId="0" borderId="0" xfId="1" applyNumberFormat="1" applyFill="1" applyAlignment="1" applyProtection="1"/>
    <xf numFmtId="0" fontId="9" fillId="0" borderId="0" xfId="1" pivotButton="1" applyNumberFormat="1" applyFill="1" applyAlignment="1" applyProtection="1"/>
    <xf numFmtId="0" fontId="9" fillId="0" borderId="0" xfId="1" applyNumberFormat="1" applyFill="1" applyAlignment="1" applyProtection="1">
      <alignment horizontal="left"/>
    </xf>
    <xf numFmtId="0" fontId="2" fillId="35" borderId="4" xfId="0" applyFont="1" applyFill="1" applyBorder="1" applyAlignment="1">
      <alignment horizontal="center"/>
    </xf>
    <xf numFmtId="0" fontId="2" fillId="35" borderId="4" xfId="0" applyFont="1" applyFill="1" applyBorder="1" applyAlignment="1" applyProtection="1">
      <alignment horizontal="center"/>
      <protection locked="0"/>
    </xf>
    <xf numFmtId="0" fontId="23" fillId="0" borderId="2" xfId="0" applyFont="1" applyFill="1" applyBorder="1" applyAlignment="1">
      <alignment horizontal="center" vertical="center" wrapText="1"/>
    </xf>
    <xf numFmtId="14" fontId="1" fillId="0" borderId="0" xfId="0" applyNumberFormat="1" applyFont="1" applyAlignment="1" applyProtection="1">
      <alignment horizontal="right"/>
      <protection locked="0"/>
    </xf>
    <xf numFmtId="15" fontId="0" fillId="0" borderId="0" xfId="0" applyNumberFormat="1"/>
    <xf numFmtId="0" fontId="2" fillId="0" borderId="51" xfId="0" applyFont="1" applyBorder="1" applyAlignment="1" applyProtection="1">
      <alignment horizontal="center" vertical="center"/>
      <protection locked="0"/>
    </xf>
    <xf numFmtId="0" fontId="0" fillId="36" borderId="54" xfId="0" applyFill="1" applyBorder="1" applyAlignment="1">
      <alignment horizontal="center" vertical="center"/>
    </xf>
    <xf numFmtId="3" fontId="15" fillId="29" borderId="52" xfId="0" applyNumberFormat="1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left" vertical="center" wrapText="1"/>
    </xf>
    <xf numFmtId="49" fontId="14" fillId="19" borderId="2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9" fillId="0" borderId="0" xfId="1" applyAlignment="1">
      <alignment horizontal="left" wrapText="1"/>
    </xf>
    <xf numFmtId="0" fontId="9" fillId="0" borderId="0" xfId="1" applyAlignment="1">
      <alignment wrapText="1"/>
    </xf>
    <xf numFmtId="49" fontId="15" fillId="20" borderId="55" xfId="0" applyNumberFormat="1" applyFont="1" applyFill="1" applyBorder="1" applyAlignment="1">
      <alignment horizontal="center"/>
    </xf>
    <xf numFmtId="49" fontId="15" fillId="20" borderId="9" xfId="0" applyNumberFormat="1" applyFont="1" applyFill="1" applyBorder="1" applyAlignment="1">
      <alignment horizontal="center"/>
    </xf>
    <xf numFmtId="49" fontId="15" fillId="20" borderId="56" xfId="0" applyNumberFormat="1" applyFont="1" applyFill="1" applyBorder="1" applyAlignment="1">
      <alignment horizontal="center"/>
    </xf>
    <xf numFmtId="49" fontId="15" fillId="20" borderId="23" xfId="0" applyNumberFormat="1" applyFont="1" applyFill="1" applyBorder="1" applyAlignment="1">
      <alignment horizontal="center"/>
    </xf>
    <xf numFmtId="0" fontId="3" fillId="12" borderId="57" xfId="0" applyFont="1" applyFill="1" applyBorder="1" applyAlignment="1">
      <alignment horizontal="center" vertical="center" wrapText="1"/>
    </xf>
    <xf numFmtId="0" fontId="3" fillId="14" borderId="57" xfId="0" applyFont="1" applyFill="1" applyBorder="1" applyAlignment="1">
      <alignment horizontal="center" vertical="center" wrapText="1"/>
    </xf>
    <xf numFmtId="0" fontId="26" fillId="37" borderId="57" xfId="0" applyFont="1" applyFill="1" applyBorder="1" applyAlignment="1">
      <alignment horizontal="center" vertical="center" wrapText="1"/>
    </xf>
    <xf numFmtId="0" fontId="2" fillId="0" borderId="26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1" fillId="3" borderId="10" xfId="0" applyFont="1" applyFill="1" applyBorder="1" applyAlignment="1">
      <alignment horizontal="center" shrinkToFit="1"/>
    </xf>
    <xf numFmtId="0" fontId="1" fillId="4" borderId="32" xfId="0" applyFont="1" applyFill="1" applyBorder="1" applyAlignment="1">
      <alignment horizontal="center" shrinkToFit="1"/>
    </xf>
    <xf numFmtId="0" fontId="6" fillId="4" borderId="10" xfId="0" applyFont="1" applyFill="1" applyBorder="1" applyAlignment="1">
      <alignment horizontal="center" shrinkToFit="1"/>
    </xf>
    <xf numFmtId="0" fontId="2" fillId="5" borderId="0" xfId="0" applyFont="1" applyFill="1" applyAlignment="1">
      <alignment horizontal="center" shrinkToFit="1"/>
    </xf>
    <xf numFmtId="0" fontId="6" fillId="5" borderId="10" xfId="0" applyFont="1" applyFill="1" applyBorder="1" applyAlignment="1">
      <alignment horizontal="center" shrinkToFit="1"/>
    </xf>
    <xf numFmtId="0" fontId="2" fillId="7" borderId="34" xfId="0" applyFont="1" applyFill="1" applyBorder="1" applyAlignment="1">
      <alignment horizontal="center" shrinkToFit="1"/>
    </xf>
    <xf numFmtId="0" fontId="6" fillId="7" borderId="10" xfId="0" applyFont="1" applyFill="1" applyBorder="1" applyAlignment="1">
      <alignment horizontal="center" shrinkToFit="1"/>
    </xf>
    <xf numFmtId="0" fontId="1" fillId="9" borderId="34" xfId="0" applyFont="1" applyFill="1" applyBorder="1" applyAlignment="1">
      <alignment horizontal="center" shrinkToFit="1"/>
    </xf>
    <xf numFmtId="0" fontId="7" fillId="9" borderId="10" xfId="0" applyFont="1" applyFill="1" applyBorder="1" applyAlignment="1">
      <alignment horizontal="center"/>
    </xf>
    <xf numFmtId="0" fontId="7" fillId="11" borderId="27" xfId="0" applyFont="1" applyFill="1" applyBorder="1" applyAlignment="1">
      <alignment horizontal="center" shrinkToFit="1"/>
    </xf>
    <xf numFmtId="0" fontId="9" fillId="32" borderId="48" xfId="1" applyFill="1" applyBorder="1" applyAlignment="1">
      <alignment horizontal="center"/>
    </xf>
    <xf numFmtId="0" fontId="0" fillId="3" borderId="52" xfId="0" applyFill="1" applyBorder="1" applyAlignment="1">
      <alignment horizontal="center" vertical="center"/>
    </xf>
    <xf numFmtId="0" fontId="10" fillId="3" borderId="35" xfId="0" applyFont="1" applyFill="1" applyBorder="1" applyAlignment="1">
      <alignment horizontal="center" vertical="center"/>
    </xf>
    <xf numFmtId="0" fontId="2" fillId="4" borderId="53" xfId="0" applyFont="1" applyFill="1" applyBorder="1" applyAlignment="1" applyProtection="1">
      <alignment horizontal="center"/>
      <protection locked="0"/>
    </xf>
    <xf numFmtId="3" fontId="6" fillId="4" borderId="10" xfId="0" applyNumberFormat="1" applyFont="1" applyFill="1" applyBorder="1" applyAlignment="1">
      <alignment horizontal="center" vertical="center" shrinkToFit="1"/>
    </xf>
    <xf numFmtId="0" fontId="0" fillId="6" borderId="40" xfId="0" applyFill="1" applyBorder="1" applyAlignment="1">
      <alignment horizontal="center" vertical="center"/>
    </xf>
    <xf numFmtId="0" fontId="0" fillId="8" borderId="40" xfId="0" applyFill="1" applyBorder="1" applyAlignment="1">
      <alignment horizontal="center" vertical="center"/>
    </xf>
    <xf numFmtId="0" fontId="0" fillId="32" borderId="40" xfId="0" applyFill="1" applyBorder="1" applyAlignment="1">
      <alignment horizontal="center" vertical="center"/>
    </xf>
    <xf numFmtId="0" fontId="0" fillId="36" borderId="40" xfId="0" applyFill="1" applyBorder="1" applyAlignment="1">
      <alignment horizontal="center" vertical="center"/>
    </xf>
    <xf numFmtId="0" fontId="9" fillId="0" borderId="0" xfId="1" applyNumberFormat="1" applyFill="1" applyAlignment="1" applyProtection="1">
      <alignment horizontal="left"/>
    </xf>
    <xf numFmtId="0" fontId="3" fillId="2" borderId="58" xfId="0" applyFont="1" applyFill="1" applyBorder="1" applyAlignment="1">
      <alignment horizontal="center" vertical="center" wrapText="1"/>
    </xf>
    <xf numFmtId="0" fontId="2" fillId="0" borderId="59" xfId="0" applyFont="1" applyBorder="1" applyAlignment="1" applyProtection="1">
      <alignment horizontal="center"/>
      <protection locked="0"/>
    </xf>
    <xf numFmtId="0" fontId="2" fillId="5" borderId="42" xfId="0" applyFont="1" applyFill="1" applyBorder="1" applyAlignment="1" applyProtection="1">
      <alignment horizontal="center"/>
      <protection locked="0"/>
    </xf>
    <xf numFmtId="0" fontId="2" fillId="9" borderId="60" xfId="0" applyFont="1" applyFill="1" applyBorder="1" applyAlignment="1" applyProtection="1">
      <alignment horizontal="center"/>
      <protection locked="0"/>
    </xf>
    <xf numFmtId="0" fontId="1" fillId="2" borderId="10" xfId="0" applyFont="1" applyFill="1" applyBorder="1" applyAlignment="1">
      <alignment horizontal="center" vertical="center"/>
    </xf>
    <xf numFmtId="0" fontId="2" fillId="0" borderId="61" xfId="0" applyFont="1" applyBorder="1" applyAlignment="1" applyProtection="1">
      <alignment horizontal="center" vertical="center"/>
      <protection locked="0"/>
    </xf>
    <xf numFmtId="0" fontId="2" fillId="5" borderId="0" xfId="0" applyFont="1" applyFill="1" applyAlignment="1">
      <alignment horizontal="center" vertical="center" shrinkToFit="1"/>
    </xf>
    <xf numFmtId="0" fontId="1" fillId="9" borderId="10" xfId="0" applyFont="1" applyFill="1" applyBorder="1" applyAlignment="1">
      <alignment horizontal="center" vertical="center" shrinkToFit="1"/>
    </xf>
    <xf numFmtId="0" fontId="9" fillId="0" borderId="0" xfId="1" applyNumberFormat="1" applyFill="1" applyAlignment="1" applyProtection="1"/>
    <xf numFmtId="0" fontId="9" fillId="0" borderId="0" xfId="1" applyNumberFormat="1" applyFill="1" applyAlignment="1" applyProtection="1">
      <alignment horizontal="left"/>
    </xf>
    <xf numFmtId="0" fontId="24" fillId="0" borderId="45" xfId="0" applyFont="1" applyBorder="1" applyAlignment="1" applyProtection="1">
      <alignment horizontal="center" vertical="center" wrapText="1"/>
      <protection locked="0"/>
    </xf>
    <xf numFmtId="0" fontId="24" fillId="0" borderId="41" xfId="0" applyFont="1" applyBorder="1" applyAlignment="1" applyProtection="1">
      <alignment horizontal="center" vertical="center" wrapText="1"/>
      <protection locked="0"/>
    </xf>
    <xf numFmtId="0" fontId="24" fillId="0" borderId="47" xfId="0" applyFont="1" applyBorder="1" applyAlignment="1" applyProtection="1">
      <alignment horizontal="center" vertical="center" wrapText="1"/>
      <protection locked="0"/>
    </xf>
    <xf numFmtId="0" fontId="1" fillId="0" borderId="25" xfId="0" applyFont="1" applyBorder="1" applyAlignment="1">
      <alignment horizontal="center"/>
    </xf>
    <xf numFmtId="3" fontId="18" fillId="23" borderId="38" xfId="0" applyNumberFormat="1" applyFont="1" applyFill="1" applyBorder="1" applyAlignment="1">
      <alignment horizontal="center"/>
    </xf>
    <xf numFmtId="3" fontId="18" fillId="23" borderId="35" xfId="0" applyNumberFormat="1" applyFont="1" applyFill="1" applyBorder="1" applyAlignment="1">
      <alignment horizontal="center"/>
    </xf>
    <xf numFmtId="3" fontId="18" fillId="23" borderId="40" xfId="0" applyNumberFormat="1" applyFont="1" applyFill="1" applyBorder="1" applyAlignment="1">
      <alignment horizontal="center"/>
    </xf>
  </cellXfs>
  <cellStyles count="4">
    <cellStyle name="Normal" xfId="0" builtinId="0"/>
    <cellStyle name="Normal 2" xfId="1" xr:uid="{CA181AA0-5AF0-4162-B45A-54A71165D4B4}"/>
    <cellStyle name="Normal 3" xfId="2" xr:uid="{1E29EE10-A760-4246-80D1-CB6C307ECAC3}"/>
    <cellStyle name="Normal 4" xfId="3" xr:uid="{B7B5D847-A36F-4D98-A61A-7D985F4B688D}"/>
  </cellStyles>
  <dxfs count="27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F0000"/>
          <bgColor rgb="FFE2EFD9"/>
        </patternFill>
      </fill>
    </dxf>
  </dxfs>
  <tableStyles count="0" defaultTableStyle="TableStyleMedium2" defaultPivotStyle="PivotStyleLight16"/>
  <colors>
    <mruColors>
      <color rgb="FF003300"/>
      <color rgb="FFCC66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D84E0-E99F-4803-A236-2F8775C26AB4}">
  <sheetPr codeName="Hoja1"/>
  <dimension ref="A1:Y900"/>
  <sheetViews>
    <sheetView workbookViewId="0">
      <pane xSplit="1" ySplit="2" topLeftCell="B3" activePane="bottomRight" state="frozen"/>
      <selection activeCell="A3" sqref="A3"/>
      <selection pane="topRight" activeCell="A3" sqref="A3"/>
      <selection pane="bottomLeft" activeCell="A3" sqref="A3"/>
      <selection pane="bottomRight" activeCell="A3" sqref="A3"/>
    </sheetView>
  </sheetViews>
  <sheetFormatPr baseColWidth="10" defaultRowHeight="14.4" x14ac:dyDescent="0.3"/>
  <cols>
    <col min="1" max="1" width="59.6640625" bestFit="1" customWidth="1"/>
    <col min="2" max="2" width="33.33203125" bestFit="1" customWidth="1"/>
    <col min="3" max="3" width="13.109375" customWidth="1"/>
  </cols>
  <sheetData>
    <row r="1" spans="1:25" x14ac:dyDescent="0.3">
      <c r="A1" t="s">
        <v>87</v>
      </c>
      <c r="B1" s="38">
        <v>46301</v>
      </c>
    </row>
    <row r="2" spans="1:25" x14ac:dyDescent="0.3">
      <c r="A2" s="171" t="s">
        <v>88</v>
      </c>
      <c r="B2" s="171" t="s">
        <v>89</v>
      </c>
      <c r="C2" s="171" t="s">
        <v>90</v>
      </c>
      <c r="D2" s="171" t="s">
        <v>91</v>
      </c>
      <c r="E2" s="171" t="s">
        <v>900</v>
      </c>
      <c r="F2" s="171" t="s">
        <v>92</v>
      </c>
      <c r="G2" s="171" t="s">
        <v>93</v>
      </c>
      <c r="H2" s="171" t="s">
        <v>94</v>
      </c>
      <c r="I2" s="171" t="s">
        <v>95</v>
      </c>
      <c r="J2" s="171" t="s">
        <v>901</v>
      </c>
      <c r="K2" s="171" t="s">
        <v>96</v>
      </c>
      <c r="L2" s="171" t="s">
        <v>1064</v>
      </c>
      <c r="M2" s="171" t="s">
        <v>97</v>
      </c>
      <c r="N2" s="171" t="s">
        <v>98</v>
      </c>
      <c r="O2" s="171" t="s">
        <v>99</v>
      </c>
      <c r="P2" s="171" t="s">
        <v>940</v>
      </c>
      <c r="Q2" s="171" t="s">
        <v>100</v>
      </c>
      <c r="R2" s="171" t="s">
        <v>101</v>
      </c>
      <c r="S2" s="171" t="s">
        <v>102</v>
      </c>
      <c r="T2" s="171" t="s">
        <v>103</v>
      </c>
      <c r="U2" s="171" t="s">
        <v>858</v>
      </c>
      <c r="V2" s="171" t="s">
        <v>104</v>
      </c>
      <c r="W2" s="171" t="s">
        <v>105</v>
      </c>
      <c r="X2" s="171" t="s">
        <v>990</v>
      </c>
      <c r="Y2" s="171" t="s">
        <v>106</v>
      </c>
    </row>
    <row r="3" spans="1:25" x14ac:dyDescent="0.3">
      <c r="A3" s="253" t="s">
        <v>107</v>
      </c>
      <c r="B3" s="252">
        <v>0</v>
      </c>
      <c r="C3" s="252">
        <v>0</v>
      </c>
      <c r="D3" s="252">
        <v>0</v>
      </c>
      <c r="E3" s="252">
        <v>0</v>
      </c>
      <c r="F3" s="252">
        <v>0</v>
      </c>
      <c r="G3" s="252">
        <v>0</v>
      </c>
      <c r="H3" s="252">
        <v>0</v>
      </c>
      <c r="I3" s="252"/>
      <c r="J3" s="252"/>
      <c r="K3" s="252">
        <v>0</v>
      </c>
      <c r="L3" s="252"/>
      <c r="M3" s="252">
        <v>0</v>
      </c>
      <c r="N3" s="252">
        <v>0</v>
      </c>
      <c r="O3" s="252">
        <v>0</v>
      </c>
      <c r="P3" s="252"/>
      <c r="Q3" s="252">
        <v>0</v>
      </c>
      <c r="R3" s="252"/>
      <c r="S3" s="252">
        <v>0</v>
      </c>
      <c r="T3" s="252">
        <v>0</v>
      </c>
      <c r="U3" s="252"/>
      <c r="V3" s="252">
        <v>0</v>
      </c>
      <c r="W3" s="252">
        <v>0</v>
      </c>
      <c r="X3" s="252"/>
      <c r="Y3" s="252">
        <v>0</v>
      </c>
    </row>
    <row r="4" spans="1:25" x14ac:dyDescent="0.3">
      <c r="A4" s="253" t="s">
        <v>108</v>
      </c>
      <c r="B4" s="252">
        <v>0</v>
      </c>
      <c r="C4" s="252">
        <v>0</v>
      </c>
      <c r="D4" s="252">
        <v>0</v>
      </c>
      <c r="E4" s="252"/>
      <c r="F4" s="252">
        <v>0</v>
      </c>
      <c r="G4" s="252">
        <v>0</v>
      </c>
      <c r="H4" s="252">
        <v>0</v>
      </c>
      <c r="I4" s="252"/>
      <c r="J4" s="252"/>
      <c r="K4" s="252">
        <v>0</v>
      </c>
      <c r="L4" s="252"/>
      <c r="M4" s="252">
        <v>0</v>
      </c>
      <c r="N4" s="252">
        <v>0</v>
      </c>
      <c r="O4" s="252">
        <v>0</v>
      </c>
      <c r="P4" s="252"/>
      <c r="Q4" s="252">
        <v>0</v>
      </c>
      <c r="R4" s="252"/>
      <c r="S4" s="252"/>
      <c r="T4" s="252">
        <v>0</v>
      </c>
      <c r="U4" s="252"/>
      <c r="V4" s="252">
        <v>0</v>
      </c>
      <c r="W4" s="252">
        <v>0</v>
      </c>
      <c r="X4" s="252"/>
      <c r="Y4" s="252">
        <v>0</v>
      </c>
    </row>
    <row r="5" spans="1:25" x14ac:dyDescent="0.3">
      <c r="A5" s="253" t="s">
        <v>1027</v>
      </c>
      <c r="B5" s="252">
        <v>0</v>
      </c>
      <c r="C5" s="252">
        <v>0</v>
      </c>
      <c r="D5" s="252">
        <v>0</v>
      </c>
      <c r="E5" s="252">
        <v>0</v>
      </c>
      <c r="F5" s="252">
        <v>0</v>
      </c>
      <c r="G5" s="252">
        <v>0</v>
      </c>
      <c r="H5" s="252">
        <v>0</v>
      </c>
      <c r="I5" s="252"/>
      <c r="J5" s="252">
        <v>0</v>
      </c>
      <c r="K5" s="252">
        <v>0</v>
      </c>
      <c r="L5" s="252">
        <v>0</v>
      </c>
      <c r="M5" s="252">
        <v>0</v>
      </c>
      <c r="N5" s="252">
        <v>0</v>
      </c>
      <c r="O5" s="252">
        <v>0</v>
      </c>
      <c r="P5" s="252">
        <v>0</v>
      </c>
      <c r="Q5" s="252">
        <v>0</v>
      </c>
      <c r="R5" s="252">
        <v>0</v>
      </c>
      <c r="S5" s="252">
        <v>0</v>
      </c>
      <c r="T5" s="252">
        <v>0</v>
      </c>
      <c r="U5" s="252">
        <v>0</v>
      </c>
      <c r="V5" s="252">
        <v>0</v>
      </c>
      <c r="W5" s="252">
        <v>0</v>
      </c>
      <c r="X5" s="252">
        <v>0</v>
      </c>
      <c r="Y5" s="252">
        <v>0</v>
      </c>
    </row>
    <row r="6" spans="1:25" x14ac:dyDescent="0.3">
      <c r="A6" s="253" t="s">
        <v>1075</v>
      </c>
      <c r="B6" s="252">
        <v>0</v>
      </c>
      <c r="C6" s="252">
        <v>0</v>
      </c>
      <c r="D6" s="252">
        <v>0</v>
      </c>
      <c r="E6" s="252">
        <v>0</v>
      </c>
      <c r="F6" s="252">
        <v>0</v>
      </c>
      <c r="G6" s="252">
        <v>0</v>
      </c>
      <c r="H6" s="252">
        <v>0</v>
      </c>
      <c r="I6" s="252">
        <v>0</v>
      </c>
      <c r="J6" s="252">
        <v>0</v>
      </c>
      <c r="K6" s="252">
        <v>0</v>
      </c>
      <c r="L6" s="252">
        <v>0</v>
      </c>
      <c r="M6" s="252">
        <v>0</v>
      </c>
      <c r="N6" s="252">
        <v>0</v>
      </c>
      <c r="O6" s="252">
        <v>0</v>
      </c>
      <c r="P6" s="252">
        <v>0</v>
      </c>
      <c r="Q6" s="252">
        <v>0</v>
      </c>
      <c r="R6" s="252">
        <v>0</v>
      </c>
      <c r="S6" s="252">
        <v>0</v>
      </c>
      <c r="T6" s="252">
        <v>0</v>
      </c>
      <c r="U6" s="252">
        <v>0</v>
      </c>
      <c r="V6" s="252">
        <v>0</v>
      </c>
      <c r="W6" s="252">
        <v>0</v>
      </c>
      <c r="X6" s="252">
        <v>0</v>
      </c>
      <c r="Y6" s="252">
        <v>0</v>
      </c>
    </row>
    <row r="7" spans="1:25" x14ac:dyDescent="0.3">
      <c r="A7" s="253" t="s">
        <v>109</v>
      </c>
      <c r="B7" s="252">
        <v>0</v>
      </c>
      <c r="C7" s="252"/>
      <c r="D7" s="252">
        <v>0</v>
      </c>
      <c r="E7" s="252">
        <v>0</v>
      </c>
      <c r="F7" s="252">
        <v>0</v>
      </c>
      <c r="G7" s="252">
        <v>0</v>
      </c>
      <c r="H7" s="252">
        <v>0</v>
      </c>
      <c r="I7" s="252"/>
      <c r="J7" s="252"/>
      <c r="K7" s="252"/>
      <c r="L7" s="252"/>
      <c r="M7" s="252">
        <v>0</v>
      </c>
      <c r="N7" s="252">
        <v>0</v>
      </c>
      <c r="O7" s="252">
        <v>0</v>
      </c>
      <c r="P7" s="252"/>
      <c r="Q7" s="252">
        <v>0</v>
      </c>
      <c r="R7" s="252"/>
      <c r="S7" s="252"/>
      <c r="T7" s="252">
        <v>0</v>
      </c>
      <c r="U7" s="252"/>
      <c r="V7" s="252">
        <v>0</v>
      </c>
      <c r="W7" s="252">
        <v>0</v>
      </c>
      <c r="X7" s="252"/>
      <c r="Y7" s="252">
        <v>0</v>
      </c>
    </row>
    <row r="8" spans="1:25" x14ac:dyDescent="0.3">
      <c r="A8" s="253" t="s">
        <v>110</v>
      </c>
      <c r="B8" s="252">
        <v>0</v>
      </c>
      <c r="C8" s="252"/>
      <c r="D8" s="252">
        <v>0</v>
      </c>
      <c r="E8" s="252">
        <v>0</v>
      </c>
      <c r="F8" s="252">
        <v>0</v>
      </c>
      <c r="G8" s="252">
        <v>0</v>
      </c>
      <c r="H8" s="252">
        <v>0</v>
      </c>
      <c r="I8" s="252"/>
      <c r="J8" s="252"/>
      <c r="K8" s="252">
        <v>0</v>
      </c>
      <c r="L8" s="252"/>
      <c r="M8" s="252">
        <v>0</v>
      </c>
      <c r="N8" s="252">
        <v>0</v>
      </c>
      <c r="O8" s="252">
        <v>0</v>
      </c>
      <c r="P8" s="252"/>
      <c r="Q8" s="252">
        <v>0</v>
      </c>
      <c r="R8" s="252"/>
      <c r="S8" s="252"/>
      <c r="T8" s="252">
        <v>0</v>
      </c>
      <c r="U8" s="252"/>
      <c r="V8" s="252">
        <v>0</v>
      </c>
      <c r="W8" s="252">
        <v>0</v>
      </c>
      <c r="X8" s="252"/>
      <c r="Y8" s="252">
        <v>0</v>
      </c>
    </row>
    <row r="9" spans="1:25" x14ac:dyDescent="0.3">
      <c r="A9" s="253" t="s">
        <v>111</v>
      </c>
      <c r="B9" s="252">
        <v>0</v>
      </c>
      <c r="C9" s="252"/>
      <c r="D9" s="252">
        <v>0</v>
      </c>
      <c r="E9" s="252">
        <v>0</v>
      </c>
      <c r="F9" s="252">
        <v>0</v>
      </c>
      <c r="G9" s="252">
        <v>0</v>
      </c>
      <c r="H9" s="252">
        <v>0</v>
      </c>
      <c r="I9" s="252"/>
      <c r="J9" s="252"/>
      <c r="K9" s="252"/>
      <c r="L9" s="252"/>
      <c r="M9" s="252">
        <v>0</v>
      </c>
      <c r="N9" s="252">
        <v>0</v>
      </c>
      <c r="O9" s="252">
        <v>0</v>
      </c>
      <c r="P9" s="252"/>
      <c r="Q9" s="252">
        <v>0</v>
      </c>
      <c r="R9" s="252"/>
      <c r="S9" s="252"/>
      <c r="T9" s="252">
        <v>0</v>
      </c>
      <c r="U9" s="252"/>
      <c r="V9" s="252">
        <v>0</v>
      </c>
      <c r="W9" s="252">
        <v>0</v>
      </c>
      <c r="X9" s="252"/>
      <c r="Y9" s="252">
        <v>0</v>
      </c>
    </row>
    <row r="10" spans="1:25" x14ac:dyDescent="0.3">
      <c r="A10" s="253" t="s">
        <v>112</v>
      </c>
      <c r="B10" s="252">
        <v>0</v>
      </c>
      <c r="C10" s="252">
        <v>0</v>
      </c>
      <c r="D10" s="252">
        <v>0</v>
      </c>
      <c r="E10" s="252">
        <v>0</v>
      </c>
      <c r="F10" s="252">
        <v>0</v>
      </c>
      <c r="G10" s="252">
        <v>0</v>
      </c>
      <c r="H10" s="252">
        <v>0</v>
      </c>
      <c r="I10" s="252"/>
      <c r="J10" s="252">
        <v>0</v>
      </c>
      <c r="K10" s="252">
        <v>0</v>
      </c>
      <c r="L10" s="252"/>
      <c r="M10" s="252">
        <v>0</v>
      </c>
      <c r="N10" s="252">
        <v>0</v>
      </c>
      <c r="O10" s="252">
        <v>0</v>
      </c>
      <c r="P10" s="252">
        <v>0</v>
      </c>
      <c r="Q10" s="252">
        <v>0</v>
      </c>
      <c r="R10" s="252">
        <v>0</v>
      </c>
      <c r="S10" s="252"/>
      <c r="T10" s="252">
        <v>0</v>
      </c>
      <c r="U10" s="252"/>
      <c r="V10" s="252">
        <v>0</v>
      </c>
      <c r="W10" s="252">
        <v>0</v>
      </c>
      <c r="X10" s="252"/>
      <c r="Y10" s="252">
        <v>0</v>
      </c>
    </row>
    <row r="11" spans="1:25" x14ac:dyDescent="0.3">
      <c r="A11" s="253" t="s">
        <v>113</v>
      </c>
      <c r="B11" s="252">
        <v>0</v>
      </c>
      <c r="C11" s="252"/>
      <c r="D11" s="252">
        <v>0</v>
      </c>
      <c r="E11" s="252">
        <v>0</v>
      </c>
      <c r="F11" s="252">
        <v>0</v>
      </c>
      <c r="G11" s="252">
        <v>0</v>
      </c>
      <c r="H11" s="252">
        <v>0</v>
      </c>
      <c r="I11" s="252"/>
      <c r="J11" s="252"/>
      <c r="K11" s="252">
        <v>0</v>
      </c>
      <c r="L11" s="252"/>
      <c r="M11" s="252">
        <v>0</v>
      </c>
      <c r="N11" s="252">
        <v>0</v>
      </c>
      <c r="O11" s="252">
        <v>0</v>
      </c>
      <c r="P11" s="252"/>
      <c r="Q11" s="252">
        <v>0</v>
      </c>
      <c r="R11" s="252"/>
      <c r="S11" s="252"/>
      <c r="T11" s="252">
        <v>0</v>
      </c>
      <c r="U11" s="252"/>
      <c r="V11" s="252">
        <v>0</v>
      </c>
      <c r="W11" s="252">
        <v>0</v>
      </c>
      <c r="X11" s="252"/>
      <c r="Y11" s="252">
        <v>0</v>
      </c>
    </row>
    <row r="12" spans="1:25" x14ac:dyDescent="0.3">
      <c r="A12" s="253" t="s">
        <v>114</v>
      </c>
      <c r="B12" s="252">
        <v>0</v>
      </c>
      <c r="C12" s="252">
        <v>0</v>
      </c>
      <c r="D12" s="252">
        <v>0</v>
      </c>
      <c r="E12" s="252">
        <v>0</v>
      </c>
      <c r="F12" s="252">
        <v>0</v>
      </c>
      <c r="G12" s="252">
        <v>0</v>
      </c>
      <c r="H12" s="252">
        <v>0</v>
      </c>
      <c r="I12" s="252">
        <v>0</v>
      </c>
      <c r="J12" s="252">
        <v>0</v>
      </c>
      <c r="K12" s="252">
        <v>0</v>
      </c>
      <c r="L12" s="252"/>
      <c r="M12" s="252">
        <v>0</v>
      </c>
      <c r="N12" s="252">
        <v>0</v>
      </c>
      <c r="O12" s="252">
        <v>0</v>
      </c>
      <c r="P12" s="252">
        <v>0</v>
      </c>
      <c r="Q12" s="252">
        <v>0</v>
      </c>
      <c r="R12" s="252">
        <v>0</v>
      </c>
      <c r="S12" s="252"/>
      <c r="T12" s="252">
        <v>0</v>
      </c>
      <c r="U12" s="252">
        <v>0</v>
      </c>
      <c r="V12" s="252">
        <v>0</v>
      </c>
      <c r="W12" s="252">
        <v>0</v>
      </c>
      <c r="X12" s="252"/>
      <c r="Y12" s="252">
        <v>0</v>
      </c>
    </row>
    <row r="13" spans="1:25" x14ac:dyDescent="0.3">
      <c r="A13" s="253" t="s">
        <v>115</v>
      </c>
      <c r="B13" s="252">
        <v>0</v>
      </c>
      <c r="C13" s="252">
        <v>0</v>
      </c>
      <c r="D13" s="252">
        <v>0</v>
      </c>
      <c r="E13" s="252">
        <v>0</v>
      </c>
      <c r="F13" s="252">
        <v>0</v>
      </c>
      <c r="G13" s="252">
        <v>0</v>
      </c>
      <c r="H13" s="252">
        <v>0</v>
      </c>
      <c r="I13" s="252">
        <v>0</v>
      </c>
      <c r="J13" s="252">
        <v>0</v>
      </c>
      <c r="K13" s="252">
        <v>0</v>
      </c>
      <c r="L13" s="252"/>
      <c r="M13" s="252">
        <v>0</v>
      </c>
      <c r="N13" s="252">
        <v>0</v>
      </c>
      <c r="O13" s="252">
        <v>0</v>
      </c>
      <c r="P13" s="252">
        <v>0</v>
      </c>
      <c r="Q13" s="252">
        <v>0</v>
      </c>
      <c r="R13" s="252">
        <v>0</v>
      </c>
      <c r="S13" s="252">
        <v>0</v>
      </c>
      <c r="T13" s="252">
        <v>0</v>
      </c>
      <c r="U13" s="252"/>
      <c r="V13" s="252">
        <v>0</v>
      </c>
      <c r="W13" s="252">
        <v>0</v>
      </c>
      <c r="X13" s="252">
        <v>0</v>
      </c>
      <c r="Y13" s="252">
        <v>0</v>
      </c>
    </row>
    <row r="14" spans="1:25" x14ac:dyDescent="0.3">
      <c r="A14" s="253" t="s">
        <v>116</v>
      </c>
      <c r="B14" s="252">
        <v>0</v>
      </c>
      <c r="C14" s="252">
        <v>0</v>
      </c>
      <c r="D14" s="252">
        <v>0</v>
      </c>
      <c r="E14" s="252">
        <v>0</v>
      </c>
      <c r="F14" s="252">
        <v>0</v>
      </c>
      <c r="G14" s="252">
        <v>0</v>
      </c>
      <c r="H14" s="252">
        <v>0</v>
      </c>
      <c r="I14" s="252"/>
      <c r="J14" s="252"/>
      <c r="K14" s="252">
        <v>0</v>
      </c>
      <c r="L14" s="252"/>
      <c r="M14" s="252">
        <v>0</v>
      </c>
      <c r="N14" s="252">
        <v>0</v>
      </c>
      <c r="O14" s="252">
        <v>0</v>
      </c>
      <c r="P14" s="252"/>
      <c r="Q14" s="252">
        <v>0</v>
      </c>
      <c r="R14" s="252"/>
      <c r="S14" s="252"/>
      <c r="T14" s="252">
        <v>0</v>
      </c>
      <c r="U14" s="252"/>
      <c r="V14" s="252">
        <v>0</v>
      </c>
      <c r="W14" s="252">
        <v>0</v>
      </c>
      <c r="X14" s="252"/>
      <c r="Y14" s="252">
        <v>0</v>
      </c>
    </row>
    <row r="15" spans="1:25" x14ac:dyDescent="0.3">
      <c r="A15" s="253" t="s">
        <v>117</v>
      </c>
      <c r="B15" s="252">
        <v>0</v>
      </c>
      <c r="C15" s="252"/>
      <c r="D15" s="252">
        <v>0</v>
      </c>
      <c r="E15" s="252"/>
      <c r="F15" s="252">
        <v>0</v>
      </c>
      <c r="G15" s="252"/>
      <c r="H15" s="252">
        <v>0</v>
      </c>
      <c r="I15" s="252"/>
      <c r="J15" s="252"/>
      <c r="K15" s="252"/>
      <c r="L15" s="252"/>
      <c r="M15" s="252">
        <v>0</v>
      </c>
      <c r="N15" s="252"/>
      <c r="O15" s="252"/>
      <c r="P15" s="252"/>
      <c r="Q15" s="252">
        <v>0</v>
      </c>
      <c r="R15" s="252"/>
      <c r="S15" s="252"/>
      <c r="T15" s="252"/>
      <c r="U15" s="252"/>
      <c r="V15" s="252"/>
      <c r="W15" s="252">
        <v>0</v>
      </c>
      <c r="X15" s="252"/>
      <c r="Y15" s="252">
        <v>0</v>
      </c>
    </row>
    <row r="16" spans="1:25" x14ac:dyDescent="0.3">
      <c r="A16" s="253" t="s">
        <v>118</v>
      </c>
      <c r="B16" s="252">
        <v>10</v>
      </c>
      <c r="C16" s="252">
        <v>11</v>
      </c>
      <c r="D16" s="252">
        <v>0</v>
      </c>
      <c r="E16" s="252">
        <v>40</v>
      </c>
      <c r="F16" s="252">
        <v>1</v>
      </c>
      <c r="G16" s="252">
        <v>5</v>
      </c>
      <c r="H16" s="252">
        <v>3</v>
      </c>
      <c r="I16" s="252">
        <v>0</v>
      </c>
      <c r="J16" s="252">
        <v>50</v>
      </c>
      <c r="K16" s="252">
        <v>10</v>
      </c>
      <c r="L16" s="252">
        <v>5</v>
      </c>
      <c r="M16" s="252">
        <v>10</v>
      </c>
      <c r="N16" s="252">
        <v>9</v>
      </c>
      <c r="O16" s="252">
        <v>2</v>
      </c>
      <c r="P16" s="252">
        <v>10</v>
      </c>
      <c r="Q16" s="252">
        <v>5</v>
      </c>
      <c r="R16" s="252">
        <v>3</v>
      </c>
      <c r="S16" s="252">
        <v>3</v>
      </c>
      <c r="T16" s="252">
        <v>5</v>
      </c>
      <c r="U16" s="252">
        <v>5</v>
      </c>
      <c r="V16" s="252">
        <v>12</v>
      </c>
      <c r="W16" s="252">
        <v>3</v>
      </c>
      <c r="X16" s="252">
        <v>6</v>
      </c>
      <c r="Y16" s="252">
        <v>208</v>
      </c>
    </row>
    <row r="17" spans="1:25" x14ac:dyDescent="0.3">
      <c r="A17" s="253" t="s">
        <v>119</v>
      </c>
      <c r="B17" s="252">
        <v>0</v>
      </c>
      <c r="C17" s="252">
        <v>0</v>
      </c>
      <c r="D17" s="252">
        <v>0</v>
      </c>
      <c r="E17" s="252">
        <v>0</v>
      </c>
      <c r="F17" s="252">
        <v>0</v>
      </c>
      <c r="G17" s="252">
        <v>0</v>
      </c>
      <c r="H17" s="252">
        <v>0</v>
      </c>
      <c r="I17" s="252"/>
      <c r="J17" s="252"/>
      <c r="K17" s="252">
        <v>0</v>
      </c>
      <c r="L17" s="252"/>
      <c r="M17" s="252">
        <v>0</v>
      </c>
      <c r="N17" s="252">
        <v>0</v>
      </c>
      <c r="O17" s="252">
        <v>0</v>
      </c>
      <c r="P17" s="252"/>
      <c r="Q17" s="252">
        <v>0</v>
      </c>
      <c r="R17" s="252"/>
      <c r="S17" s="252"/>
      <c r="T17" s="252">
        <v>0</v>
      </c>
      <c r="U17" s="252"/>
      <c r="V17" s="252">
        <v>0</v>
      </c>
      <c r="W17" s="252">
        <v>0</v>
      </c>
      <c r="X17" s="252"/>
      <c r="Y17" s="252">
        <v>0</v>
      </c>
    </row>
    <row r="18" spans="1:25" x14ac:dyDescent="0.3">
      <c r="A18" s="253" t="s">
        <v>120</v>
      </c>
      <c r="B18" s="252">
        <v>0</v>
      </c>
      <c r="C18" s="252">
        <v>0</v>
      </c>
      <c r="D18" s="252">
        <v>0</v>
      </c>
      <c r="E18" s="252">
        <v>0</v>
      </c>
      <c r="F18" s="252">
        <v>0</v>
      </c>
      <c r="G18" s="252">
        <v>0</v>
      </c>
      <c r="H18" s="252">
        <v>0</v>
      </c>
      <c r="I18" s="252"/>
      <c r="J18" s="252"/>
      <c r="K18" s="252">
        <v>0</v>
      </c>
      <c r="L18" s="252"/>
      <c r="M18" s="252">
        <v>0</v>
      </c>
      <c r="N18" s="252">
        <v>0</v>
      </c>
      <c r="O18" s="252">
        <v>0</v>
      </c>
      <c r="P18" s="252"/>
      <c r="Q18" s="252">
        <v>0</v>
      </c>
      <c r="R18" s="252"/>
      <c r="S18" s="252"/>
      <c r="T18" s="252">
        <v>0</v>
      </c>
      <c r="U18" s="252"/>
      <c r="V18" s="252">
        <v>0</v>
      </c>
      <c r="W18" s="252">
        <v>0</v>
      </c>
      <c r="X18" s="252"/>
      <c r="Y18" s="252">
        <v>0</v>
      </c>
    </row>
    <row r="19" spans="1:25" x14ac:dyDescent="0.3">
      <c r="A19" s="253" t="s">
        <v>121</v>
      </c>
      <c r="B19" s="252">
        <v>0</v>
      </c>
      <c r="C19" s="252"/>
      <c r="D19" s="252">
        <v>0</v>
      </c>
      <c r="E19" s="252">
        <v>0</v>
      </c>
      <c r="F19" s="252">
        <v>0</v>
      </c>
      <c r="G19" s="252"/>
      <c r="H19" s="252">
        <v>0</v>
      </c>
      <c r="I19" s="252"/>
      <c r="J19" s="252"/>
      <c r="K19" s="252"/>
      <c r="L19" s="252"/>
      <c r="M19" s="252">
        <v>0</v>
      </c>
      <c r="N19" s="252"/>
      <c r="O19" s="252"/>
      <c r="P19" s="252"/>
      <c r="Q19" s="252">
        <v>0</v>
      </c>
      <c r="R19" s="252"/>
      <c r="S19" s="252"/>
      <c r="T19" s="252"/>
      <c r="U19" s="252"/>
      <c r="V19" s="252"/>
      <c r="W19" s="252">
        <v>0</v>
      </c>
      <c r="X19" s="252"/>
      <c r="Y19" s="252">
        <v>0</v>
      </c>
    </row>
    <row r="20" spans="1:25" x14ac:dyDescent="0.3">
      <c r="A20" s="253" t="s">
        <v>122</v>
      </c>
      <c r="B20" s="252">
        <v>0</v>
      </c>
      <c r="C20" s="252"/>
      <c r="D20" s="252">
        <v>0</v>
      </c>
      <c r="E20" s="252"/>
      <c r="F20" s="252">
        <v>0</v>
      </c>
      <c r="G20" s="252"/>
      <c r="H20" s="252">
        <v>0</v>
      </c>
      <c r="I20" s="252"/>
      <c r="J20" s="252"/>
      <c r="K20" s="252"/>
      <c r="L20" s="252"/>
      <c r="M20" s="252">
        <v>0</v>
      </c>
      <c r="N20" s="252"/>
      <c r="O20" s="252"/>
      <c r="P20" s="252"/>
      <c r="Q20" s="252">
        <v>0</v>
      </c>
      <c r="R20" s="252"/>
      <c r="S20" s="252"/>
      <c r="T20" s="252"/>
      <c r="U20" s="252"/>
      <c r="V20" s="252"/>
      <c r="W20" s="252">
        <v>0</v>
      </c>
      <c r="X20" s="252"/>
      <c r="Y20" s="252">
        <v>0</v>
      </c>
    </row>
    <row r="21" spans="1:25" x14ac:dyDescent="0.3">
      <c r="A21" s="253" t="s">
        <v>123</v>
      </c>
      <c r="B21" s="252">
        <v>0</v>
      </c>
      <c r="C21" s="252"/>
      <c r="D21" s="252">
        <v>0</v>
      </c>
      <c r="E21" s="252"/>
      <c r="F21" s="252">
        <v>0</v>
      </c>
      <c r="G21" s="252"/>
      <c r="H21" s="252">
        <v>0</v>
      </c>
      <c r="I21" s="252"/>
      <c r="J21" s="252"/>
      <c r="K21" s="252"/>
      <c r="L21" s="252"/>
      <c r="M21" s="252">
        <v>0</v>
      </c>
      <c r="N21" s="252"/>
      <c r="O21" s="252"/>
      <c r="P21" s="252"/>
      <c r="Q21" s="252">
        <v>0</v>
      </c>
      <c r="R21" s="252"/>
      <c r="S21" s="252"/>
      <c r="T21" s="252"/>
      <c r="U21" s="252"/>
      <c r="V21" s="252"/>
      <c r="W21" s="252">
        <v>0</v>
      </c>
      <c r="X21" s="252"/>
      <c r="Y21" s="252">
        <v>0</v>
      </c>
    </row>
    <row r="22" spans="1:25" x14ac:dyDescent="0.3">
      <c r="A22" s="253" t="s">
        <v>124</v>
      </c>
      <c r="B22" s="252">
        <v>0</v>
      </c>
      <c r="C22" s="252"/>
      <c r="D22" s="252">
        <v>0</v>
      </c>
      <c r="E22" s="252"/>
      <c r="F22" s="252">
        <v>0</v>
      </c>
      <c r="G22" s="252"/>
      <c r="H22" s="252">
        <v>0</v>
      </c>
      <c r="I22" s="252"/>
      <c r="J22" s="252"/>
      <c r="K22" s="252"/>
      <c r="L22" s="252"/>
      <c r="M22" s="252">
        <v>0</v>
      </c>
      <c r="N22" s="252"/>
      <c r="O22" s="252"/>
      <c r="P22" s="252"/>
      <c r="Q22" s="252">
        <v>0</v>
      </c>
      <c r="R22" s="252"/>
      <c r="S22" s="252"/>
      <c r="T22" s="252"/>
      <c r="U22" s="252"/>
      <c r="V22" s="252"/>
      <c r="W22" s="252">
        <v>0</v>
      </c>
      <c r="X22" s="252"/>
      <c r="Y22" s="252">
        <v>0</v>
      </c>
    </row>
    <row r="23" spans="1:25" x14ac:dyDescent="0.3">
      <c r="A23" s="253" t="s">
        <v>125</v>
      </c>
      <c r="B23" s="252">
        <v>0</v>
      </c>
      <c r="C23" s="252"/>
      <c r="D23" s="252">
        <v>0</v>
      </c>
      <c r="E23" s="252"/>
      <c r="F23" s="252">
        <v>0</v>
      </c>
      <c r="G23" s="252"/>
      <c r="H23" s="252">
        <v>0</v>
      </c>
      <c r="I23" s="252"/>
      <c r="J23" s="252"/>
      <c r="K23" s="252"/>
      <c r="L23" s="252"/>
      <c r="M23" s="252">
        <v>0</v>
      </c>
      <c r="N23" s="252"/>
      <c r="O23" s="252"/>
      <c r="P23" s="252"/>
      <c r="Q23" s="252">
        <v>0</v>
      </c>
      <c r="R23" s="252"/>
      <c r="S23" s="252"/>
      <c r="T23" s="252"/>
      <c r="U23" s="252"/>
      <c r="V23" s="252"/>
      <c r="W23" s="252">
        <v>0</v>
      </c>
      <c r="X23" s="252"/>
      <c r="Y23" s="252">
        <v>0</v>
      </c>
    </row>
    <row r="24" spans="1:25" x14ac:dyDescent="0.3">
      <c r="A24" s="253" t="s">
        <v>126</v>
      </c>
      <c r="B24" s="252">
        <v>10</v>
      </c>
      <c r="C24" s="252">
        <v>10</v>
      </c>
      <c r="D24" s="252">
        <v>0</v>
      </c>
      <c r="E24" s="252">
        <v>40</v>
      </c>
      <c r="F24" s="252">
        <v>1</v>
      </c>
      <c r="G24" s="252">
        <v>4</v>
      </c>
      <c r="H24" s="252">
        <v>5</v>
      </c>
      <c r="I24" s="252">
        <v>0</v>
      </c>
      <c r="J24" s="252">
        <v>48</v>
      </c>
      <c r="K24" s="252">
        <v>10</v>
      </c>
      <c r="L24" s="252">
        <v>0</v>
      </c>
      <c r="M24" s="252">
        <v>8</v>
      </c>
      <c r="N24" s="252">
        <v>10</v>
      </c>
      <c r="O24" s="252">
        <v>3</v>
      </c>
      <c r="P24" s="252">
        <v>8</v>
      </c>
      <c r="Q24" s="252">
        <v>6</v>
      </c>
      <c r="R24" s="252">
        <v>4</v>
      </c>
      <c r="S24" s="252">
        <v>3</v>
      </c>
      <c r="T24" s="252">
        <v>5</v>
      </c>
      <c r="U24" s="252">
        <v>14</v>
      </c>
      <c r="V24" s="252">
        <v>10</v>
      </c>
      <c r="W24" s="252">
        <v>3</v>
      </c>
      <c r="X24" s="252">
        <v>8</v>
      </c>
      <c r="Y24" s="252">
        <v>210</v>
      </c>
    </row>
    <row r="25" spans="1:25" x14ac:dyDescent="0.3">
      <c r="A25" s="253" t="s">
        <v>127</v>
      </c>
      <c r="B25" s="252">
        <v>0</v>
      </c>
      <c r="C25" s="252"/>
      <c r="D25" s="252">
        <v>0</v>
      </c>
      <c r="E25" s="252"/>
      <c r="F25" s="252">
        <v>0</v>
      </c>
      <c r="G25" s="252"/>
      <c r="H25" s="252">
        <v>0</v>
      </c>
      <c r="I25" s="252"/>
      <c r="J25" s="252"/>
      <c r="K25" s="252"/>
      <c r="L25" s="252"/>
      <c r="M25" s="252">
        <v>0</v>
      </c>
      <c r="N25" s="252"/>
      <c r="O25" s="252"/>
      <c r="P25" s="252"/>
      <c r="Q25" s="252">
        <v>0</v>
      </c>
      <c r="R25" s="252"/>
      <c r="S25" s="252"/>
      <c r="T25" s="252"/>
      <c r="U25" s="252"/>
      <c r="V25" s="252"/>
      <c r="W25" s="252">
        <v>0</v>
      </c>
      <c r="X25" s="252"/>
      <c r="Y25" s="252">
        <v>0</v>
      </c>
    </row>
    <row r="26" spans="1:25" x14ac:dyDescent="0.3">
      <c r="A26" s="253" t="s">
        <v>128</v>
      </c>
      <c r="B26" s="252">
        <v>0</v>
      </c>
      <c r="C26" s="252"/>
      <c r="D26" s="252">
        <v>0</v>
      </c>
      <c r="E26" s="252"/>
      <c r="F26" s="252">
        <v>0</v>
      </c>
      <c r="G26" s="252"/>
      <c r="H26" s="252">
        <v>0</v>
      </c>
      <c r="I26" s="252"/>
      <c r="J26" s="252"/>
      <c r="K26" s="252"/>
      <c r="L26" s="252"/>
      <c r="M26" s="252">
        <v>0</v>
      </c>
      <c r="N26" s="252"/>
      <c r="O26" s="252"/>
      <c r="P26" s="252"/>
      <c r="Q26" s="252">
        <v>0</v>
      </c>
      <c r="R26" s="252"/>
      <c r="S26" s="252"/>
      <c r="T26" s="252"/>
      <c r="U26" s="252"/>
      <c r="V26" s="252"/>
      <c r="W26" s="252">
        <v>0</v>
      </c>
      <c r="X26" s="252"/>
      <c r="Y26" s="252">
        <v>0</v>
      </c>
    </row>
    <row r="27" spans="1:25" x14ac:dyDescent="0.3">
      <c r="A27" s="253" t="s">
        <v>129</v>
      </c>
      <c r="B27" s="252">
        <v>0</v>
      </c>
      <c r="C27" s="252"/>
      <c r="D27" s="252">
        <v>0</v>
      </c>
      <c r="E27" s="252"/>
      <c r="F27" s="252">
        <v>0</v>
      </c>
      <c r="G27" s="252"/>
      <c r="H27" s="252">
        <v>0</v>
      </c>
      <c r="I27" s="252"/>
      <c r="J27" s="252"/>
      <c r="K27" s="252"/>
      <c r="L27" s="252"/>
      <c r="M27" s="252">
        <v>0</v>
      </c>
      <c r="N27" s="252"/>
      <c r="O27" s="252"/>
      <c r="P27" s="252"/>
      <c r="Q27" s="252">
        <v>0</v>
      </c>
      <c r="R27" s="252"/>
      <c r="S27" s="252"/>
      <c r="T27" s="252"/>
      <c r="U27" s="252"/>
      <c r="V27" s="252"/>
      <c r="W27" s="252">
        <v>0</v>
      </c>
      <c r="X27" s="252"/>
      <c r="Y27" s="252">
        <v>0</v>
      </c>
    </row>
    <row r="28" spans="1:25" x14ac:dyDescent="0.3">
      <c r="A28" s="253" t="s">
        <v>130</v>
      </c>
      <c r="B28" s="252">
        <v>0</v>
      </c>
      <c r="C28" s="252"/>
      <c r="D28" s="252">
        <v>0</v>
      </c>
      <c r="E28" s="252"/>
      <c r="F28" s="252">
        <v>0</v>
      </c>
      <c r="G28" s="252"/>
      <c r="H28" s="252">
        <v>0</v>
      </c>
      <c r="I28" s="252"/>
      <c r="J28" s="252"/>
      <c r="K28" s="252"/>
      <c r="L28" s="252"/>
      <c r="M28" s="252">
        <v>0</v>
      </c>
      <c r="N28" s="252"/>
      <c r="O28" s="252"/>
      <c r="P28" s="252"/>
      <c r="Q28" s="252">
        <v>0</v>
      </c>
      <c r="R28" s="252"/>
      <c r="S28" s="252"/>
      <c r="T28" s="252"/>
      <c r="U28" s="252"/>
      <c r="V28" s="252"/>
      <c r="W28" s="252">
        <v>0</v>
      </c>
      <c r="X28" s="252"/>
      <c r="Y28" s="252">
        <v>0</v>
      </c>
    </row>
    <row r="29" spans="1:25" x14ac:dyDescent="0.3">
      <c r="A29" s="253" t="s">
        <v>131</v>
      </c>
      <c r="B29" s="252">
        <v>0</v>
      </c>
      <c r="C29" s="252"/>
      <c r="D29" s="252">
        <v>0</v>
      </c>
      <c r="E29" s="252"/>
      <c r="F29" s="252">
        <v>0</v>
      </c>
      <c r="G29" s="252"/>
      <c r="H29" s="252">
        <v>0</v>
      </c>
      <c r="I29" s="252"/>
      <c r="J29" s="252"/>
      <c r="K29" s="252"/>
      <c r="L29" s="252"/>
      <c r="M29" s="252">
        <v>0</v>
      </c>
      <c r="N29" s="252"/>
      <c r="O29" s="252"/>
      <c r="P29" s="252"/>
      <c r="Q29" s="252">
        <v>0</v>
      </c>
      <c r="R29" s="252"/>
      <c r="S29" s="252"/>
      <c r="T29" s="252"/>
      <c r="U29" s="252"/>
      <c r="V29" s="252"/>
      <c r="W29" s="252">
        <v>0</v>
      </c>
      <c r="X29" s="252"/>
      <c r="Y29" s="252">
        <v>0</v>
      </c>
    </row>
    <row r="30" spans="1:25" x14ac:dyDescent="0.3">
      <c r="A30" s="253" t="s">
        <v>132</v>
      </c>
      <c r="B30" s="252">
        <v>0</v>
      </c>
      <c r="C30" s="252"/>
      <c r="D30" s="252">
        <v>0</v>
      </c>
      <c r="E30" s="252"/>
      <c r="F30" s="252">
        <v>0</v>
      </c>
      <c r="G30" s="252"/>
      <c r="H30" s="252">
        <v>0</v>
      </c>
      <c r="I30" s="252"/>
      <c r="J30" s="252"/>
      <c r="K30" s="252"/>
      <c r="L30" s="252"/>
      <c r="M30" s="252">
        <v>0</v>
      </c>
      <c r="N30" s="252"/>
      <c r="O30" s="252"/>
      <c r="P30" s="252"/>
      <c r="Q30" s="252">
        <v>0</v>
      </c>
      <c r="R30" s="252"/>
      <c r="S30" s="252"/>
      <c r="T30" s="252"/>
      <c r="U30" s="252"/>
      <c r="V30" s="252"/>
      <c r="W30" s="252">
        <v>0</v>
      </c>
      <c r="X30" s="252"/>
      <c r="Y30" s="252">
        <v>0</v>
      </c>
    </row>
    <row r="31" spans="1:25" x14ac:dyDescent="0.3">
      <c r="A31" s="253" t="s">
        <v>133</v>
      </c>
      <c r="B31" s="252">
        <v>0</v>
      </c>
      <c r="C31" s="252"/>
      <c r="D31" s="252">
        <v>0</v>
      </c>
      <c r="E31" s="252">
        <v>0</v>
      </c>
      <c r="F31" s="252">
        <v>0</v>
      </c>
      <c r="G31" s="252">
        <v>0</v>
      </c>
      <c r="H31" s="252">
        <v>0</v>
      </c>
      <c r="I31" s="252">
        <v>0</v>
      </c>
      <c r="J31" s="252"/>
      <c r="K31" s="252">
        <v>0</v>
      </c>
      <c r="L31" s="252"/>
      <c r="M31" s="252">
        <v>0</v>
      </c>
      <c r="N31" s="252">
        <v>0</v>
      </c>
      <c r="O31" s="252">
        <v>0</v>
      </c>
      <c r="P31" s="252"/>
      <c r="Q31" s="252">
        <v>0</v>
      </c>
      <c r="R31" s="252"/>
      <c r="S31" s="252"/>
      <c r="T31" s="252">
        <v>0</v>
      </c>
      <c r="U31" s="252"/>
      <c r="V31" s="252">
        <v>0</v>
      </c>
      <c r="W31" s="252">
        <v>0</v>
      </c>
      <c r="X31" s="252"/>
      <c r="Y31" s="252">
        <v>0</v>
      </c>
    </row>
    <row r="32" spans="1:25" x14ac:dyDescent="0.3">
      <c r="A32" s="253" t="s">
        <v>134</v>
      </c>
      <c r="B32" s="252">
        <v>0</v>
      </c>
      <c r="C32" s="252"/>
      <c r="D32" s="252">
        <v>0</v>
      </c>
      <c r="E32" s="252">
        <v>0</v>
      </c>
      <c r="F32" s="252">
        <v>0</v>
      </c>
      <c r="G32" s="252">
        <v>0</v>
      </c>
      <c r="H32" s="252">
        <v>0</v>
      </c>
      <c r="I32" s="252">
        <v>0</v>
      </c>
      <c r="J32" s="252"/>
      <c r="K32" s="252">
        <v>0</v>
      </c>
      <c r="L32" s="252"/>
      <c r="M32" s="252">
        <v>0</v>
      </c>
      <c r="N32" s="252">
        <v>0</v>
      </c>
      <c r="O32" s="252">
        <v>0</v>
      </c>
      <c r="P32" s="252"/>
      <c r="Q32" s="252">
        <v>0</v>
      </c>
      <c r="R32" s="252"/>
      <c r="S32" s="252"/>
      <c r="T32" s="252">
        <v>0</v>
      </c>
      <c r="U32" s="252"/>
      <c r="V32" s="252">
        <v>0</v>
      </c>
      <c r="W32" s="252">
        <v>0</v>
      </c>
      <c r="X32" s="252"/>
      <c r="Y32" s="252">
        <v>0</v>
      </c>
    </row>
    <row r="33" spans="1:25" x14ac:dyDescent="0.3">
      <c r="A33" s="253" t="s">
        <v>135</v>
      </c>
      <c r="B33" s="252">
        <v>0</v>
      </c>
      <c r="C33" s="252"/>
      <c r="D33" s="252">
        <v>0</v>
      </c>
      <c r="E33" s="252">
        <v>0</v>
      </c>
      <c r="F33" s="252">
        <v>0</v>
      </c>
      <c r="G33" s="252">
        <v>0</v>
      </c>
      <c r="H33" s="252">
        <v>0</v>
      </c>
      <c r="I33" s="252"/>
      <c r="J33" s="252">
        <v>0</v>
      </c>
      <c r="K33" s="252">
        <v>0</v>
      </c>
      <c r="L33" s="252"/>
      <c r="M33" s="252">
        <v>0</v>
      </c>
      <c r="N33" s="252">
        <v>0</v>
      </c>
      <c r="O33" s="252">
        <v>0</v>
      </c>
      <c r="P33" s="252"/>
      <c r="Q33" s="252">
        <v>0</v>
      </c>
      <c r="R33" s="252"/>
      <c r="S33" s="252"/>
      <c r="T33" s="252">
        <v>0</v>
      </c>
      <c r="U33" s="252"/>
      <c r="V33" s="252">
        <v>0</v>
      </c>
      <c r="W33" s="252">
        <v>0</v>
      </c>
      <c r="X33" s="252"/>
      <c r="Y33" s="252">
        <v>0</v>
      </c>
    </row>
    <row r="34" spans="1:25" x14ac:dyDescent="0.3">
      <c r="A34" s="253" t="s">
        <v>136</v>
      </c>
      <c r="B34" s="252">
        <v>0</v>
      </c>
      <c r="C34" s="252"/>
      <c r="D34" s="252">
        <v>0</v>
      </c>
      <c r="E34" s="252">
        <v>0</v>
      </c>
      <c r="F34" s="252">
        <v>0</v>
      </c>
      <c r="G34" s="252"/>
      <c r="H34" s="252">
        <v>0</v>
      </c>
      <c r="I34" s="252"/>
      <c r="J34" s="252"/>
      <c r="K34" s="252"/>
      <c r="L34" s="252"/>
      <c r="M34" s="252">
        <v>0</v>
      </c>
      <c r="N34" s="252"/>
      <c r="O34" s="252"/>
      <c r="P34" s="252"/>
      <c r="Q34" s="252">
        <v>0</v>
      </c>
      <c r="R34" s="252"/>
      <c r="S34" s="252"/>
      <c r="T34" s="252"/>
      <c r="U34" s="252"/>
      <c r="V34" s="252"/>
      <c r="W34" s="252">
        <v>0</v>
      </c>
      <c r="X34" s="252"/>
      <c r="Y34" s="252">
        <v>0</v>
      </c>
    </row>
    <row r="35" spans="1:25" x14ac:dyDescent="0.3">
      <c r="A35" s="253" t="s">
        <v>137</v>
      </c>
      <c r="B35" s="252">
        <v>0</v>
      </c>
      <c r="C35" s="252"/>
      <c r="D35" s="252">
        <v>0</v>
      </c>
      <c r="E35" s="252">
        <v>0</v>
      </c>
      <c r="F35" s="252">
        <v>0</v>
      </c>
      <c r="G35" s="252"/>
      <c r="H35" s="252">
        <v>0</v>
      </c>
      <c r="I35" s="252"/>
      <c r="J35" s="252"/>
      <c r="K35" s="252"/>
      <c r="L35" s="252"/>
      <c r="M35" s="252">
        <v>0</v>
      </c>
      <c r="N35" s="252"/>
      <c r="O35" s="252">
        <v>0</v>
      </c>
      <c r="P35" s="252"/>
      <c r="Q35" s="252">
        <v>0</v>
      </c>
      <c r="R35" s="252"/>
      <c r="S35" s="252"/>
      <c r="T35" s="252"/>
      <c r="U35" s="252"/>
      <c r="V35" s="252"/>
      <c r="W35" s="252">
        <v>0</v>
      </c>
      <c r="X35" s="252"/>
      <c r="Y35" s="252">
        <v>0</v>
      </c>
    </row>
    <row r="36" spans="1:25" x14ac:dyDescent="0.3">
      <c r="A36" s="253" t="s">
        <v>138</v>
      </c>
      <c r="B36" s="252">
        <v>0</v>
      </c>
      <c r="C36" s="252"/>
      <c r="D36" s="252">
        <v>0</v>
      </c>
      <c r="E36" s="252"/>
      <c r="F36" s="252">
        <v>0</v>
      </c>
      <c r="G36" s="252"/>
      <c r="H36" s="252">
        <v>0</v>
      </c>
      <c r="I36" s="252"/>
      <c r="J36" s="252"/>
      <c r="K36" s="252"/>
      <c r="L36" s="252"/>
      <c r="M36" s="252">
        <v>0</v>
      </c>
      <c r="N36" s="252"/>
      <c r="O36" s="252"/>
      <c r="P36" s="252"/>
      <c r="Q36" s="252">
        <v>0</v>
      </c>
      <c r="R36" s="252"/>
      <c r="S36" s="252"/>
      <c r="T36" s="252"/>
      <c r="U36" s="252"/>
      <c r="V36" s="252"/>
      <c r="W36" s="252">
        <v>0</v>
      </c>
      <c r="X36" s="252"/>
      <c r="Y36" s="252">
        <v>0</v>
      </c>
    </row>
    <row r="37" spans="1:25" x14ac:dyDescent="0.3">
      <c r="A37" s="253" t="s">
        <v>139</v>
      </c>
      <c r="B37" s="252">
        <v>0</v>
      </c>
      <c r="C37" s="252"/>
      <c r="D37" s="252">
        <v>0</v>
      </c>
      <c r="E37" s="252"/>
      <c r="F37" s="252">
        <v>0</v>
      </c>
      <c r="G37" s="252"/>
      <c r="H37" s="252">
        <v>0</v>
      </c>
      <c r="I37" s="252"/>
      <c r="J37" s="252"/>
      <c r="K37" s="252"/>
      <c r="L37" s="252"/>
      <c r="M37" s="252">
        <v>0</v>
      </c>
      <c r="N37" s="252"/>
      <c r="O37" s="252"/>
      <c r="P37" s="252"/>
      <c r="Q37" s="252">
        <v>0</v>
      </c>
      <c r="R37" s="252"/>
      <c r="S37" s="252"/>
      <c r="T37" s="252"/>
      <c r="U37" s="252"/>
      <c r="V37" s="252"/>
      <c r="W37" s="252">
        <v>0</v>
      </c>
      <c r="X37" s="252"/>
      <c r="Y37" s="252">
        <v>0</v>
      </c>
    </row>
    <row r="38" spans="1:25" x14ac:dyDescent="0.3">
      <c r="A38" s="253" t="s">
        <v>140</v>
      </c>
      <c r="B38" s="252">
        <v>0</v>
      </c>
      <c r="C38" s="252"/>
      <c r="D38" s="252">
        <v>0</v>
      </c>
      <c r="E38" s="252"/>
      <c r="F38" s="252">
        <v>0</v>
      </c>
      <c r="G38" s="252"/>
      <c r="H38" s="252">
        <v>0</v>
      </c>
      <c r="I38" s="252"/>
      <c r="J38" s="252"/>
      <c r="K38" s="252"/>
      <c r="L38" s="252"/>
      <c r="M38" s="252">
        <v>0</v>
      </c>
      <c r="N38" s="252"/>
      <c r="O38" s="252"/>
      <c r="P38" s="252"/>
      <c r="Q38" s="252">
        <v>0</v>
      </c>
      <c r="R38" s="252"/>
      <c r="S38" s="252"/>
      <c r="T38" s="252"/>
      <c r="U38" s="252"/>
      <c r="V38" s="252"/>
      <c r="W38" s="252">
        <v>0</v>
      </c>
      <c r="X38" s="252"/>
      <c r="Y38" s="252">
        <v>0</v>
      </c>
    </row>
    <row r="39" spans="1:25" x14ac:dyDescent="0.3">
      <c r="A39" s="253" t="s">
        <v>141</v>
      </c>
      <c r="B39" s="252">
        <v>0</v>
      </c>
      <c r="C39" s="252"/>
      <c r="D39" s="252">
        <v>0</v>
      </c>
      <c r="E39" s="252">
        <v>0</v>
      </c>
      <c r="F39" s="252">
        <v>0</v>
      </c>
      <c r="G39" s="252"/>
      <c r="H39" s="252">
        <v>0</v>
      </c>
      <c r="I39" s="252"/>
      <c r="J39" s="252"/>
      <c r="K39" s="252"/>
      <c r="L39" s="252"/>
      <c r="M39" s="252">
        <v>0</v>
      </c>
      <c r="N39" s="252"/>
      <c r="O39" s="252">
        <v>0</v>
      </c>
      <c r="P39" s="252"/>
      <c r="Q39" s="252">
        <v>0</v>
      </c>
      <c r="R39" s="252"/>
      <c r="S39" s="252"/>
      <c r="T39" s="252"/>
      <c r="U39" s="252"/>
      <c r="V39" s="252"/>
      <c r="W39" s="252">
        <v>0</v>
      </c>
      <c r="X39" s="252"/>
      <c r="Y39" s="252">
        <v>0</v>
      </c>
    </row>
    <row r="40" spans="1:25" x14ac:dyDescent="0.3">
      <c r="A40" s="253" t="s">
        <v>142</v>
      </c>
      <c r="B40" s="252">
        <v>0</v>
      </c>
      <c r="C40" s="252">
        <v>0</v>
      </c>
      <c r="D40" s="252">
        <v>0</v>
      </c>
      <c r="E40" s="252">
        <v>0</v>
      </c>
      <c r="F40" s="252">
        <v>0</v>
      </c>
      <c r="G40" s="252">
        <v>0</v>
      </c>
      <c r="H40" s="252">
        <v>0</v>
      </c>
      <c r="I40" s="252"/>
      <c r="J40" s="252">
        <v>0</v>
      </c>
      <c r="K40" s="252">
        <v>0</v>
      </c>
      <c r="L40" s="252"/>
      <c r="M40" s="252">
        <v>0</v>
      </c>
      <c r="N40" s="252">
        <v>0</v>
      </c>
      <c r="O40" s="252">
        <v>0</v>
      </c>
      <c r="P40" s="252"/>
      <c r="Q40" s="252">
        <v>0</v>
      </c>
      <c r="R40" s="252">
        <v>0</v>
      </c>
      <c r="S40" s="252"/>
      <c r="T40" s="252">
        <v>0</v>
      </c>
      <c r="U40" s="252"/>
      <c r="V40" s="252">
        <v>0</v>
      </c>
      <c r="W40" s="252">
        <v>0</v>
      </c>
      <c r="X40" s="252"/>
      <c r="Y40" s="252">
        <v>0</v>
      </c>
    </row>
    <row r="41" spans="1:25" x14ac:dyDescent="0.3">
      <c r="A41" s="253" t="s">
        <v>143</v>
      </c>
      <c r="B41" s="252">
        <v>0</v>
      </c>
      <c r="C41" s="252">
        <v>0</v>
      </c>
      <c r="D41" s="252">
        <v>0</v>
      </c>
      <c r="E41" s="252">
        <v>0</v>
      </c>
      <c r="F41" s="252">
        <v>0</v>
      </c>
      <c r="G41" s="252">
        <v>0</v>
      </c>
      <c r="H41" s="252">
        <v>0</v>
      </c>
      <c r="I41" s="252"/>
      <c r="J41" s="252">
        <v>0</v>
      </c>
      <c r="K41" s="252">
        <v>0</v>
      </c>
      <c r="L41" s="252"/>
      <c r="M41" s="252">
        <v>0</v>
      </c>
      <c r="N41" s="252">
        <v>0</v>
      </c>
      <c r="O41" s="252">
        <v>0</v>
      </c>
      <c r="P41" s="252"/>
      <c r="Q41" s="252">
        <v>0</v>
      </c>
      <c r="R41" s="252">
        <v>0</v>
      </c>
      <c r="S41" s="252"/>
      <c r="T41" s="252">
        <v>0</v>
      </c>
      <c r="U41" s="252"/>
      <c r="V41" s="252">
        <v>0</v>
      </c>
      <c r="W41" s="252">
        <v>0</v>
      </c>
      <c r="X41" s="252"/>
      <c r="Y41" s="252">
        <v>0</v>
      </c>
    </row>
    <row r="42" spans="1:25" x14ac:dyDescent="0.3">
      <c r="A42" s="253" t="s">
        <v>144</v>
      </c>
      <c r="B42" s="252">
        <v>0</v>
      </c>
      <c r="C42" s="252">
        <v>0</v>
      </c>
      <c r="D42" s="252">
        <v>0</v>
      </c>
      <c r="E42" s="252">
        <v>0</v>
      </c>
      <c r="F42" s="252">
        <v>0</v>
      </c>
      <c r="G42" s="252">
        <v>0</v>
      </c>
      <c r="H42" s="252">
        <v>0</v>
      </c>
      <c r="I42" s="252">
        <v>0</v>
      </c>
      <c r="J42" s="252">
        <v>0</v>
      </c>
      <c r="K42" s="252">
        <v>0</v>
      </c>
      <c r="L42" s="252"/>
      <c r="M42" s="252">
        <v>0</v>
      </c>
      <c r="N42" s="252">
        <v>0</v>
      </c>
      <c r="O42" s="252">
        <v>0</v>
      </c>
      <c r="P42" s="252"/>
      <c r="Q42" s="252">
        <v>0</v>
      </c>
      <c r="R42" s="252"/>
      <c r="S42" s="252"/>
      <c r="T42" s="252">
        <v>0</v>
      </c>
      <c r="U42" s="252"/>
      <c r="V42" s="252">
        <v>0</v>
      </c>
      <c r="W42" s="252">
        <v>0</v>
      </c>
      <c r="X42" s="252"/>
      <c r="Y42" s="252">
        <v>0</v>
      </c>
    </row>
    <row r="43" spans="1:25" x14ac:dyDescent="0.3">
      <c r="A43" s="253" t="s">
        <v>145</v>
      </c>
      <c r="B43" s="252">
        <v>0</v>
      </c>
      <c r="C43" s="252"/>
      <c r="D43" s="252">
        <v>0</v>
      </c>
      <c r="E43" s="252"/>
      <c r="F43" s="252">
        <v>0</v>
      </c>
      <c r="G43" s="252"/>
      <c r="H43" s="252">
        <v>0</v>
      </c>
      <c r="I43" s="252"/>
      <c r="J43" s="252"/>
      <c r="K43" s="252"/>
      <c r="L43" s="252"/>
      <c r="M43" s="252">
        <v>0</v>
      </c>
      <c r="N43" s="252"/>
      <c r="O43" s="252"/>
      <c r="P43" s="252"/>
      <c r="Q43" s="252">
        <v>0</v>
      </c>
      <c r="R43" s="252"/>
      <c r="S43" s="252"/>
      <c r="T43" s="252"/>
      <c r="U43" s="252"/>
      <c r="V43" s="252"/>
      <c r="W43" s="252">
        <v>0</v>
      </c>
      <c r="X43" s="252"/>
      <c r="Y43" s="252">
        <v>0</v>
      </c>
    </row>
    <row r="44" spans="1:25" x14ac:dyDescent="0.3">
      <c r="A44" s="253" t="s">
        <v>146</v>
      </c>
      <c r="B44" s="252">
        <v>0</v>
      </c>
      <c r="C44" s="252">
        <v>0</v>
      </c>
      <c r="D44" s="252">
        <v>0</v>
      </c>
      <c r="E44" s="252">
        <v>0</v>
      </c>
      <c r="F44" s="252">
        <v>0</v>
      </c>
      <c r="G44" s="252">
        <v>0</v>
      </c>
      <c r="H44" s="252">
        <v>0</v>
      </c>
      <c r="I44" s="252"/>
      <c r="J44" s="252"/>
      <c r="K44" s="252">
        <v>0</v>
      </c>
      <c r="L44" s="252"/>
      <c r="M44" s="252">
        <v>0</v>
      </c>
      <c r="N44" s="252">
        <v>0</v>
      </c>
      <c r="O44" s="252">
        <v>0</v>
      </c>
      <c r="P44" s="252"/>
      <c r="Q44" s="252">
        <v>0</v>
      </c>
      <c r="R44" s="252"/>
      <c r="S44" s="252"/>
      <c r="T44" s="252">
        <v>0</v>
      </c>
      <c r="U44" s="252"/>
      <c r="V44" s="252">
        <v>0</v>
      </c>
      <c r="W44" s="252">
        <v>0</v>
      </c>
      <c r="X44" s="252"/>
      <c r="Y44" s="252">
        <v>0</v>
      </c>
    </row>
    <row r="45" spans="1:25" x14ac:dyDescent="0.3">
      <c r="A45" s="253" t="s">
        <v>147</v>
      </c>
      <c r="B45" s="252">
        <v>0</v>
      </c>
      <c r="C45" s="252">
        <v>0</v>
      </c>
      <c r="D45" s="252">
        <v>0</v>
      </c>
      <c r="E45" s="252">
        <v>0</v>
      </c>
      <c r="F45" s="252">
        <v>0</v>
      </c>
      <c r="G45" s="252">
        <v>0</v>
      </c>
      <c r="H45" s="252">
        <v>0</v>
      </c>
      <c r="I45" s="252">
        <v>0</v>
      </c>
      <c r="J45" s="252">
        <v>0</v>
      </c>
      <c r="K45" s="252">
        <v>0</v>
      </c>
      <c r="L45" s="252"/>
      <c r="M45" s="252">
        <v>0</v>
      </c>
      <c r="N45" s="252">
        <v>0</v>
      </c>
      <c r="O45" s="252">
        <v>0</v>
      </c>
      <c r="P45" s="252"/>
      <c r="Q45" s="252">
        <v>0</v>
      </c>
      <c r="R45" s="252"/>
      <c r="S45" s="252"/>
      <c r="T45" s="252">
        <v>0</v>
      </c>
      <c r="U45" s="252"/>
      <c r="V45" s="252">
        <v>0</v>
      </c>
      <c r="W45" s="252">
        <v>0</v>
      </c>
      <c r="X45" s="252"/>
      <c r="Y45" s="252">
        <v>0</v>
      </c>
    </row>
    <row r="46" spans="1:25" x14ac:dyDescent="0.3">
      <c r="A46" s="253" t="s">
        <v>148</v>
      </c>
      <c r="B46" s="252">
        <v>0</v>
      </c>
      <c r="C46" s="252">
        <v>0</v>
      </c>
      <c r="D46" s="252">
        <v>1</v>
      </c>
      <c r="E46" s="252">
        <v>0</v>
      </c>
      <c r="F46" s="252">
        <v>0</v>
      </c>
      <c r="G46" s="252">
        <v>0</v>
      </c>
      <c r="H46" s="252">
        <v>0</v>
      </c>
      <c r="I46" s="252"/>
      <c r="J46" s="252">
        <v>0</v>
      </c>
      <c r="K46" s="252">
        <v>0</v>
      </c>
      <c r="L46" s="252"/>
      <c r="M46" s="252">
        <v>0</v>
      </c>
      <c r="N46" s="252">
        <v>0</v>
      </c>
      <c r="O46" s="252">
        <v>0</v>
      </c>
      <c r="P46" s="252"/>
      <c r="Q46" s="252">
        <v>0</v>
      </c>
      <c r="R46" s="252"/>
      <c r="S46" s="252"/>
      <c r="T46" s="252">
        <v>0</v>
      </c>
      <c r="U46" s="252"/>
      <c r="V46" s="252">
        <v>0</v>
      </c>
      <c r="W46" s="252">
        <v>0</v>
      </c>
      <c r="X46" s="252"/>
      <c r="Y46" s="252">
        <v>1</v>
      </c>
    </row>
    <row r="47" spans="1:25" x14ac:dyDescent="0.3">
      <c r="A47" s="253" t="s">
        <v>149</v>
      </c>
      <c r="B47" s="252">
        <v>0</v>
      </c>
      <c r="C47" s="252">
        <v>0</v>
      </c>
      <c r="D47" s="252">
        <v>0</v>
      </c>
      <c r="E47" s="252">
        <v>0</v>
      </c>
      <c r="F47" s="252">
        <v>0</v>
      </c>
      <c r="G47" s="252">
        <v>0</v>
      </c>
      <c r="H47" s="252">
        <v>0</v>
      </c>
      <c r="I47" s="252">
        <v>0</v>
      </c>
      <c r="J47" s="252">
        <v>0</v>
      </c>
      <c r="K47" s="252">
        <v>0</v>
      </c>
      <c r="L47" s="252"/>
      <c r="M47" s="252">
        <v>0</v>
      </c>
      <c r="N47" s="252">
        <v>0</v>
      </c>
      <c r="O47" s="252">
        <v>0</v>
      </c>
      <c r="P47" s="252"/>
      <c r="Q47" s="252">
        <v>0</v>
      </c>
      <c r="R47" s="252"/>
      <c r="S47" s="252"/>
      <c r="T47" s="252">
        <v>0</v>
      </c>
      <c r="U47" s="252"/>
      <c r="V47" s="252">
        <v>0</v>
      </c>
      <c r="W47" s="252">
        <v>0</v>
      </c>
      <c r="X47" s="252"/>
      <c r="Y47" s="252">
        <v>0</v>
      </c>
    </row>
    <row r="48" spans="1:25" x14ac:dyDescent="0.3">
      <c r="A48" s="253" t="s">
        <v>150</v>
      </c>
      <c r="B48" s="252">
        <v>0</v>
      </c>
      <c r="C48" s="252"/>
      <c r="D48" s="252">
        <v>0</v>
      </c>
      <c r="E48" s="252"/>
      <c r="F48" s="252">
        <v>0</v>
      </c>
      <c r="G48" s="252"/>
      <c r="H48" s="252">
        <v>0</v>
      </c>
      <c r="I48" s="252"/>
      <c r="J48" s="252"/>
      <c r="K48" s="252"/>
      <c r="L48" s="252"/>
      <c r="M48" s="252">
        <v>0</v>
      </c>
      <c r="N48" s="252"/>
      <c r="O48" s="252"/>
      <c r="P48" s="252"/>
      <c r="Q48" s="252">
        <v>0</v>
      </c>
      <c r="R48" s="252"/>
      <c r="S48" s="252"/>
      <c r="T48" s="252"/>
      <c r="U48" s="252"/>
      <c r="V48" s="252"/>
      <c r="W48" s="252">
        <v>0</v>
      </c>
      <c r="X48" s="252"/>
      <c r="Y48" s="252">
        <v>0</v>
      </c>
    </row>
    <row r="49" spans="1:25" x14ac:dyDescent="0.3">
      <c r="A49" s="253" t="s">
        <v>151</v>
      </c>
      <c r="B49" s="252">
        <v>0</v>
      </c>
      <c r="C49" s="252"/>
      <c r="D49" s="252">
        <v>0</v>
      </c>
      <c r="E49" s="252"/>
      <c r="F49" s="252">
        <v>0</v>
      </c>
      <c r="G49" s="252"/>
      <c r="H49" s="252">
        <v>0</v>
      </c>
      <c r="I49" s="252"/>
      <c r="J49" s="252"/>
      <c r="K49" s="252"/>
      <c r="L49" s="252"/>
      <c r="M49" s="252">
        <v>0</v>
      </c>
      <c r="N49" s="252"/>
      <c r="O49" s="252"/>
      <c r="P49" s="252"/>
      <c r="Q49" s="252">
        <v>0</v>
      </c>
      <c r="R49" s="252"/>
      <c r="S49" s="252"/>
      <c r="T49" s="252"/>
      <c r="U49" s="252"/>
      <c r="V49" s="252"/>
      <c r="W49" s="252">
        <v>0</v>
      </c>
      <c r="X49" s="252"/>
      <c r="Y49" s="252">
        <v>0</v>
      </c>
    </row>
    <row r="50" spans="1:25" x14ac:dyDescent="0.3">
      <c r="A50" s="253" t="s">
        <v>152</v>
      </c>
      <c r="B50" s="252">
        <v>0</v>
      </c>
      <c r="C50" s="252"/>
      <c r="D50" s="252">
        <v>0</v>
      </c>
      <c r="E50" s="252"/>
      <c r="F50" s="252">
        <v>0</v>
      </c>
      <c r="G50" s="252"/>
      <c r="H50" s="252">
        <v>0</v>
      </c>
      <c r="I50" s="252"/>
      <c r="J50" s="252"/>
      <c r="K50" s="252"/>
      <c r="L50" s="252"/>
      <c r="M50" s="252">
        <v>0</v>
      </c>
      <c r="N50" s="252"/>
      <c r="O50" s="252"/>
      <c r="P50" s="252"/>
      <c r="Q50" s="252">
        <v>0</v>
      </c>
      <c r="R50" s="252"/>
      <c r="S50" s="252"/>
      <c r="T50" s="252"/>
      <c r="U50" s="252"/>
      <c r="V50" s="252">
        <v>0</v>
      </c>
      <c r="W50" s="252">
        <v>0</v>
      </c>
      <c r="X50" s="252"/>
      <c r="Y50" s="252">
        <v>0</v>
      </c>
    </row>
    <row r="51" spans="1:25" x14ac:dyDescent="0.3">
      <c r="A51" s="253" t="s">
        <v>153</v>
      </c>
      <c r="B51" s="252">
        <v>0</v>
      </c>
      <c r="C51" s="252"/>
      <c r="D51" s="252">
        <v>0</v>
      </c>
      <c r="E51" s="252"/>
      <c r="F51" s="252">
        <v>0</v>
      </c>
      <c r="G51" s="252"/>
      <c r="H51" s="252">
        <v>0</v>
      </c>
      <c r="I51" s="252"/>
      <c r="J51" s="252"/>
      <c r="K51" s="252"/>
      <c r="L51" s="252"/>
      <c r="M51" s="252">
        <v>0</v>
      </c>
      <c r="N51" s="252"/>
      <c r="O51" s="252"/>
      <c r="P51" s="252"/>
      <c r="Q51" s="252">
        <v>0</v>
      </c>
      <c r="R51" s="252"/>
      <c r="S51" s="252"/>
      <c r="T51" s="252"/>
      <c r="U51" s="252"/>
      <c r="V51" s="252"/>
      <c r="W51" s="252">
        <v>0</v>
      </c>
      <c r="X51" s="252"/>
      <c r="Y51" s="252">
        <v>0</v>
      </c>
    </row>
    <row r="52" spans="1:25" x14ac:dyDescent="0.3">
      <c r="A52" s="253" t="s">
        <v>154</v>
      </c>
      <c r="B52" s="252">
        <v>0</v>
      </c>
      <c r="C52" s="252"/>
      <c r="D52" s="252">
        <v>0</v>
      </c>
      <c r="E52" s="252">
        <v>0</v>
      </c>
      <c r="F52" s="252">
        <v>0</v>
      </c>
      <c r="G52" s="252"/>
      <c r="H52" s="252">
        <v>0</v>
      </c>
      <c r="I52" s="252"/>
      <c r="J52" s="252"/>
      <c r="K52" s="252"/>
      <c r="L52" s="252"/>
      <c r="M52" s="252">
        <v>0</v>
      </c>
      <c r="N52" s="252"/>
      <c r="O52" s="252"/>
      <c r="P52" s="252"/>
      <c r="Q52" s="252">
        <v>0</v>
      </c>
      <c r="R52" s="252"/>
      <c r="S52" s="252"/>
      <c r="T52" s="252"/>
      <c r="U52" s="252"/>
      <c r="V52" s="252"/>
      <c r="W52" s="252">
        <v>0</v>
      </c>
      <c r="X52" s="252"/>
      <c r="Y52" s="252">
        <v>0</v>
      </c>
    </row>
    <row r="53" spans="1:25" x14ac:dyDescent="0.3">
      <c r="A53" s="253" t="s">
        <v>155</v>
      </c>
      <c r="B53" s="252">
        <v>0</v>
      </c>
      <c r="C53" s="252">
        <v>0</v>
      </c>
      <c r="D53" s="252">
        <v>0</v>
      </c>
      <c r="E53" s="252">
        <v>0</v>
      </c>
      <c r="F53" s="252">
        <v>0</v>
      </c>
      <c r="G53" s="252">
        <v>0</v>
      </c>
      <c r="H53" s="252">
        <v>0</v>
      </c>
      <c r="I53" s="252"/>
      <c r="J53" s="252"/>
      <c r="K53" s="252">
        <v>0</v>
      </c>
      <c r="L53" s="252"/>
      <c r="M53" s="252">
        <v>0</v>
      </c>
      <c r="N53" s="252">
        <v>0</v>
      </c>
      <c r="O53" s="252">
        <v>0</v>
      </c>
      <c r="P53" s="252"/>
      <c r="Q53" s="252">
        <v>0</v>
      </c>
      <c r="R53" s="252"/>
      <c r="S53" s="252"/>
      <c r="T53" s="252">
        <v>0</v>
      </c>
      <c r="U53" s="252"/>
      <c r="V53" s="252">
        <v>0</v>
      </c>
      <c r="W53" s="252">
        <v>0</v>
      </c>
      <c r="X53" s="252"/>
      <c r="Y53" s="252">
        <v>0</v>
      </c>
    </row>
    <row r="54" spans="1:25" x14ac:dyDescent="0.3">
      <c r="A54" s="253" t="s">
        <v>156</v>
      </c>
      <c r="B54" s="252">
        <v>0</v>
      </c>
      <c r="C54" s="252">
        <v>0</v>
      </c>
      <c r="D54" s="252">
        <v>0</v>
      </c>
      <c r="E54" s="252">
        <v>0</v>
      </c>
      <c r="F54" s="252">
        <v>0</v>
      </c>
      <c r="G54" s="252">
        <v>0</v>
      </c>
      <c r="H54" s="252">
        <v>0</v>
      </c>
      <c r="I54" s="252"/>
      <c r="J54" s="252">
        <v>0</v>
      </c>
      <c r="K54" s="252">
        <v>0</v>
      </c>
      <c r="L54" s="252"/>
      <c r="M54" s="252">
        <v>0</v>
      </c>
      <c r="N54" s="252">
        <v>0</v>
      </c>
      <c r="O54" s="252">
        <v>0</v>
      </c>
      <c r="P54" s="252"/>
      <c r="Q54" s="252">
        <v>0</v>
      </c>
      <c r="R54" s="252"/>
      <c r="S54" s="252"/>
      <c r="T54" s="252">
        <v>0</v>
      </c>
      <c r="U54" s="252"/>
      <c r="V54" s="252">
        <v>0</v>
      </c>
      <c r="W54" s="252">
        <v>0</v>
      </c>
      <c r="X54" s="252"/>
      <c r="Y54" s="252">
        <v>0</v>
      </c>
    </row>
    <row r="55" spans="1:25" x14ac:dyDescent="0.3">
      <c r="A55" s="253" t="s">
        <v>157</v>
      </c>
      <c r="B55" s="252">
        <v>0</v>
      </c>
      <c r="C55" s="252">
        <v>0</v>
      </c>
      <c r="D55" s="252">
        <v>0</v>
      </c>
      <c r="E55" s="252">
        <v>0</v>
      </c>
      <c r="F55" s="252">
        <v>0</v>
      </c>
      <c r="G55" s="252">
        <v>0</v>
      </c>
      <c r="H55" s="252">
        <v>0</v>
      </c>
      <c r="I55" s="252"/>
      <c r="J55" s="252">
        <v>0</v>
      </c>
      <c r="K55" s="252">
        <v>0</v>
      </c>
      <c r="L55" s="252"/>
      <c r="M55" s="252">
        <v>0</v>
      </c>
      <c r="N55" s="252">
        <v>0</v>
      </c>
      <c r="O55" s="252">
        <v>0</v>
      </c>
      <c r="P55" s="252"/>
      <c r="Q55" s="252">
        <v>0</v>
      </c>
      <c r="R55" s="252"/>
      <c r="S55" s="252"/>
      <c r="T55" s="252">
        <v>0</v>
      </c>
      <c r="U55" s="252"/>
      <c r="V55" s="252">
        <v>0</v>
      </c>
      <c r="W55" s="252">
        <v>0</v>
      </c>
      <c r="X55" s="252"/>
      <c r="Y55" s="252">
        <v>0</v>
      </c>
    </row>
    <row r="56" spans="1:25" x14ac:dyDescent="0.3">
      <c r="A56" s="253" t="s">
        <v>17</v>
      </c>
      <c r="B56" s="252">
        <v>1</v>
      </c>
      <c r="C56" s="252">
        <v>3</v>
      </c>
      <c r="D56" s="252">
        <v>0</v>
      </c>
      <c r="E56" s="252">
        <v>3</v>
      </c>
      <c r="F56" s="252">
        <v>0</v>
      </c>
      <c r="G56" s="252">
        <v>1</v>
      </c>
      <c r="H56" s="252">
        <v>0</v>
      </c>
      <c r="I56" s="252">
        <v>0</v>
      </c>
      <c r="J56" s="252">
        <v>2</v>
      </c>
      <c r="K56" s="252">
        <v>1</v>
      </c>
      <c r="L56" s="252">
        <v>1</v>
      </c>
      <c r="M56" s="252">
        <v>1</v>
      </c>
      <c r="N56" s="252">
        <v>4</v>
      </c>
      <c r="O56" s="252">
        <v>1</v>
      </c>
      <c r="P56" s="252">
        <v>0</v>
      </c>
      <c r="Q56" s="252">
        <v>4</v>
      </c>
      <c r="R56" s="252">
        <v>3</v>
      </c>
      <c r="S56" s="252">
        <v>0</v>
      </c>
      <c r="T56" s="252">
        <v>0</v>
      </c>
      <c r="U56" s="252">
        <v>1</v>
      </c>
      <c r="V56" s="252">
        <v>1</v>
      </c>
      <c r="W56" s="252">
        <v>2</v>
      </c>
      <c r="X56" s="252">
        <v>2</v>
      </c>
      <c r="Y56" s="252">
        <v>31</v>
      </c>
    </row>
    <row r="57" spans="1:25" x14ac:dyDescent="0.3">
      <c r="A57" s="253" t="s">
        <v>3</v>
      </c>
      <c r="B57" s="252">
        <v>1</v>
      </c>
      <c r="C57" s="252">
        <v>4</v>
      </c>
      <c r="D57" s="252">
        <v>0</v>
      </c>
      <c r="E57" s="252">
        <v>2</v>
      </c>
      <c r="F57" s="252">
        <v>1</v>
      </c>
      <c r="G57" s="252">
        <v>1</v>
      </c>
      <c r="H57" s="252">
        <v>1</v>
      </c>
      <c r="I57" s="252">
        <v>0</v>
      </c>
      <c r="J57" s="252">
        <v>2</v>
      </c>
      <c r="K57" s="252">
        <v>1</v>
      </c>
      <c r="L57" s="252">
        <v>0</v>
      </c>
      <c r="M57" s="252">
        <v>1</v>
      </c>
      <c r="N57" s="252">
        <v>0</v>
      </c>
      <c r="O57" s="252">
        <v>1</v>
      </c>
      <c r="P57" s="252">
        <v>1</v>
      </c>
      <c r="Q57" s="252">
        <v>3</v>
      </c>
      <c r="R57" s="252">
        <v>3</v>
      </c>
      <c r="S57" s="252">
        <v>2</v>
      </c>
      <c r="T57" s="252">
        <v>0</v>
      </c>
      <c r="U57" s="252">
        <v>0</v>
      </c>
      <c r="V57" s="252">
        <v>2</v>
      </c>
      <c r="W57" s="252">
        <v>2</v>
      </c>
      <c r="X57" s="252">
        <v>1</v>
      </c>
      <c r="Y57" s="252">
        <v>29</v>
      </c>
    </row>
    <row r="58" spans="1:25" x14ac:dyDescent="0.3">
      <c r="A58" s="253" t="s">
        <v>37</v>
      </c>
      <c r="B58" s="252">
        <v>1</v>
      </c>
      <c r="C58" s="252">
        <v>2</v>
      </c>
      <c r="D58" s="252">
        <v>0</v>
      </c>
      <c r="E58" s="252">
        <v>2</v>
      </c>
      <c r="F58" s="252">
        <v>2</v>
      </c>
      <c r="G58" s="252">
        <v>1</v>
      </c>
      <c r="H58" s="252">
        <v>1</v>
      </c>
      <c r="I58" s="252">
        <v>0</v>
      </c>
      <c r="J58" s="252">
        <v>2</v>
      </c>
      <c r="K58" s="252">
        <v>1</v>
      </c>
      <c r="L58" s="252">
        <v>0</v>
      </c>
      <c r="M58" s="252">
        <v>2</v>
      </c>
      <c r="N58" s="252">
        <v>0</v>
      </c>
      <c r="O58" s="252">
        <v>1</v>
      </c>
      <c r="P58" s="252">
        <v>1</v>
      </c>
      <c r="Q58" s="252">
        <v>1</v>
      </c>
      <c r="R58" s="252">
        <v>2</v>
      </c>
      <c r="S58" s="252">
        <v>4</v>
      </c>
      <c r="T58" s="252">
        <v>0</v>
      </c>
      <c r="U58" s="252">
        <v>1</v>
      </c>
      <c r="V58" s="252">
        <v>2</v>
      </c>
      <c r="W58" s="252">
        <v>0</v>
      </c>
      <c r="X58" s="252">
        <v>1</v>
      </c>
      <c r="Y58" s="252">
        <v>27</v>
      </c>
    </row>
    <row r="59" spans="1:25" x14ac:dyDescent="0.3">
      <c r="A59" s="253" t="s">
        <v>36</v>
      </c>
      <c r="B59" s="252">
        <v>1</v>
      </c>
      <c r="C59" s="252">
        <v>3</v>
      </c>
      <c r="D59" s="252">
        <v>0</v>
      </c>
      <c r="E59" s="252">
        <v>2</v>
      </c>
      <c r="F59" s="252">
        <v>1</v>
      </c>
      <c r="G59" s="252">
        <v>1</v>
      </c>
      <c r="H59" s="252">
        <v>1</v>
      </c>
      <c r="I59" s="252">
        <v>0</v>
      </c>
      <c r="J59" s="252">
        <v>1</v>
      </c>
      <c r="K59" s="252">
        <v>1</v>
      </c>
      <c r="L59" s="252">
        <v>1</v>
      </c>
      <c r="M59" s="252">
        <v>1</v>
      </c>
      <c r="N59" s="252">
        <v>0</v>
      </c>
      <c r="O59" s="252">
        <v>1</v>
      </c>
      <c r="P59" s="252">
        <v>0</v>
      </c>
      <c r="Q59" s="252">
        <v>1</v>
      </c>
      <c r="R59" s="252">
        <v>2</v>
      </c>
      <c r="S59" s="252">
        <v>1</v>
      </c>
      <c r="T59" s="252">
        <v>0</v>
      </c>
      <c r="U59" s="252">
        <v>1</v>
      </c>
      <c r="V59" s="252">
        <v>2</v>
      </c>
      <c r="W59" s="252">
        <v>1</v>
      </c>
      <c r="X59" s="252">
        <v>1</v>
      </c>
      <c r="Y59" s="252">
        <v>23</v>
      </c>
    </row>
    <row r="60" spans="1:25" x14ac:dyDescent="0.3">
      <c r="A60" s="253" t="s">
        <v>158</v>
      </c>
      <c r="B60" s="252">
        <v>0</v>
      </c>
      <c r="C60" s="252">
        <v>0</v>
      </c>
      <c r="D60" s="252">
        <v>0</v>
      </c>
      <c r="E60" s="252">
        <v>0</v>
      </c>
      <c r="F60" s="252">
        <v>0</v>
      </c>
      <c r="G60" s="252">
        <v>0</v>
      </c>
      <c r="H60" s="252">
        <v>0</v>
      </c>
      <c r="I60" s="252"/>
      <c r="J60" s="252">
        <v>0</v>
      </c>
      <c r="K60" s="252">
        <v>0</v>
      </c>
      <c r="L60" s="252"/>
      <c r="M60" s="252">
        <v>0</v>
      </c>
      <c r="N60" s="252">
        <v>0</v>
      </c>
      <c r="O60" s="252">
        <v>0</v>
      </c>
      <c r="P60" s="252"/>
      <c r="Q60" s="252">
        <v>0</v>
      </c>
      <c r="R60" s="252">
        <v>0</v>
      </c>
      <c r="S60" s="252"/>
      <c r="T60" s="252">
        <v>0</v>
      </c>
      <c r="U60" s="252"/>
      <c r="V60" s="252">
        <v>0</v>
      </c>
      <c r="W60" s="252">
        <v>0</v>
      </c>
      <c r="X60" s="252">
        <v>0</v>
      </c>
      <c r="Y60" s="252">
        <v>0</v>
      </c>
    </row>
    <row r="61" spans="1:25" x14ac:dyDescent="0.3">
      <c r="A61" s="253" t="s">
        <v>159</v>
      </c>
      <c r="B61" s="252">
        <v>0</v>
      </c>
      <c r="C61" s="252">
        <v>0</v>
      </c>
      <c r="D61" s="252">
        <v>0</v>
      </c>
      <c r="E61" s="252">
        <v>0</v>
      </c>
      <c r="F61" s="252">
        <v>1</v>
      </c>
      <c r="G61" s="252">
        <v>0</v>
      </c>
      <c r="H61" s="252">
        <v>0</v>
      </c>
      <c r="I61" s="252"/>
      <c r="J61" s="252">
        <v>1</v>
      </c>
      <c r="K61" s="252">
        <v>0</v>
      </c>
      <c r="L61" s="252"/>
      <c r="M61" s="252">
        <v>0</v>
      </c>
      <c r="N61" s="252">
        <v>0</v>
      </c>
      <c r="O61" s="252">
        <v>0</v>
      </c>
      <c r="P61" s="252">
        <v>0</v>
      </c>
      <c r="Q61" s="252">
        <v>0</v>
      </c>
      <c r="R61" s="252">
        <v>0</v>
      </c>
      <c r="S61" s="252">
        <v>0</v>
      </c>
      <c r="T61" s="252">
        <v>0</v>
      </c>
      <c r="U61" s="252"/>
      <c r="V61" s="252">
        <v>0</v>
      </c>
      <c r="W61" s="252">
        <v>0</v>
      </c>
      <c r="X61" s="252">
        <v>0</v>
      </c>
      <c r="Y61" s="252">
        <v>2</v>
      </c>
    </row>
    <row r="62" spans="1:25" x14ac:dyDescent="0.3">
      <c r="A62" s="253" t="s">
        <v>160</v>
      </c>
      <c r="B62" s="252">
        <v>0</v>
      </c>
      <c r="C62" s="252">
        <v>0</v>
      </c>
      <c r="D62" s="252">
        <v>0</v>
      </c>
      <c r="E62" s="252">
        <v>0</v>
      </c>
      <c r="F62" s="252">
        <v>0</v>
      </c>
      <c r="G62" s="252">
        <v>0</v>
      </c>
      <c r="H62" s="252">
        <v>0</v>
      </c>
      <c r="I62" s="252">
        <v>0</v>
      </c>
      <c r="J62" s="252">
        <v>0</v>
      </c>
      <c r="K62" s="252">
        <v>0</v>
      </c>
      <c r="L62" s="252"/>
      <c r="M62" s="252">
        <v>0</v>
      </c>
      <c r="N62" s="252">
        <v>0</v>
      </c>
      <c r="O62" s="252">
        <v>0</v>
      </c>
      <c r="P62" s="252">
        <v>0</v>
      </c>
      <c r="Q62" s="252">
        <v>0</v>
      </c>
      <c r="R62" s="252">
        <v>0</v>
      </c>
      <c r="S62" s="252"/>
      <c r="T62" s="252">
        <v>0</v>
      </c>
      <c r="U62" s="252"/>
      <c r="V62" s="252">
        <v>0</v>
      </c>
      <c r="W62" s="252">
        <v>0</v>
      </c>
      <c r="X62" s="252">
        <v>0</v>
      </c>
      <c r="Y62" s="252">
        <v>0</v>
      </c>
    </row>
    <row r="63" spans="1:25" x14ac:dyDescent="0.3">
      <c r="A63" s="253" t="s">
        <v>161</v>
      </c>
      <c r="B63" s="252">
        <v>0</v>
      </c>
      <c r="C63" s="252"/>
      <c r="D63" s="252">
        <v>0</v>
      </c>
      <c r="E63" s="252">
        <v>0</v>
      </c>
      <c r="F63" s="252">
        <v>0</v>
      </c>
      <c r="G63" s="252"/>
      <c r="H63" s="252">
        <v>0</v>
      </c>
      <c r="I63" s="252"/>
      <c r="J63" s="252"/>
      <c r="K63" s="252"/>
      <c r="L63" s="252"/>
      <c r="M63" s="252">
        <v>0</v>
      </c>
      <c r="N63" s="252"/>
      <c r="O63" s="252"/>
      <c r="P63" s="252"/>
      <c r="Q63" s="252">
        <v>0</v>
      </c>
      <c r="R63" s="252"/>
      <c r="S63" s="252"/>
      <c r="T63" s="252"/>
      <c r="U63" s="252"/>
      <c r="V63" s="252"/>
      <c r="W63" s="252">
        <v>0</v>
      </c>
      <c r="X63" s="252"/>
      <c r="Y63" s="252">
        <v>0</v>
      </c>
    </row>
    <row r="64" spans="1:25" x14ac:dyDescent="0.3">
      <c r="A64" s="253" t="s">
        <v>162</v>
      </c>
      <c r="B64" s="252">
        <v>0</v>
      </c>
      <c r="C64" s="252"/>
      <c r="D64" s="252">
        <v>0</v>
      </c>
      <c r="E64" s="252">
        <v>0</v>
      </c>
      <c r="F64" s="252">
        <v>0</v>
      </c>
      <c r="G64" s="252"/>
      <c r="H64" s="252">
        <v>0</v>
      </c>
      <c r="I64" s="252"/>
      <c r="J64" s="252"/>
      <c r="K64" s="252"/>
      <c r="L64" s="252"/>
      <c r="M64" s="252">
        <v>0</v>
      </c>
      <c r="N64" s="252"/>
      <c r="O64" s="252"/>
      <c r="P64" s="252"/>
      <c r="Q64" s="252">
        <v>0</v>
      </c>
      <c r="R64" s="252"/>
      <c r="S64" s="252"/>
      <c r="T64" s="252"/>
      <c r="U64" s="252"/>
      <c r="V64" s="252"/>
      <c r="W64" s="252">
        <v>0</v>
      </c>
      <c r="X64" s="252"/>
      <c r="Y64" s="252">
        <v>0</v>
      </c>
    </row>
    <row r="65" spans="1:25" x14ac:dyDescent="0.3">
      <c r="A65" s="253" t="s">
        <v>163</v>
      </c>
      <c r="B65" s="252">
        <v>0</v>
      </c>
      <c r="C65" s="252"/>
      <c r="D65" s="252">
        <v>0</v>
      </c>
      <c r="E65" s="252"/>
      <c r="F65" s="252">
        <v>0</v>
      </c>
      <c r="G65" s="252"/>
      <c r="H65" s="252">
        <v>0</v>
      </c>
      <c r="I65" s="252"/>
      <c r="J65" s="252"/>
      <c r="K65" s="252"/>
      <c r="L65" s="252"/>
      <c r="M65" s="252">
        <v>0</v>
      </c>
      <c r="N65" s="252"/>
      <c r="O65" s="252"/>
      <c r="P65" s="252"/>
      <c r="Q65" s="252">
        <v>0</v>
      </c>
      <c r="R65" s="252"/>
      <c r="S65" s="252"/>
      <c r="T65" s="252"/>
      <c r="U65" s="252"/>
      <c r="V65" s="252"/>
      <c r="W65" s="252">
        <v>0</v>
      </c>
      <c r="X65" s="252"/>
      <c r="Y65" s="252">
        <v>0</v>
      </c>
    </row>
    <row r="66" spans="1:25" x14ac:dyDescent="0.3">
      <c r="A66" s="253" t="s">
        <v>164</v>
      </c>
      <c r="B66" s="252">
        <v>0</v>
      </c>
      <c r="C66" s="252"/>
      <c r="D66" s="252">
        <v>0</v>
      </c>
      <c r="E66" s="252"/>
      <c r="F66" s="252">
        <v>0</v>
      </c>
      <c r="G66" s="252"/>
      <c r="H66" s="252">
        <v>0</v>
      </c>
      <c r="I66" s="252"/>
      <c r="J66" s="252"/>
      <c r="K66" s="252"/>
      <c r="L66" s="252"/>
      <c r="M66" s="252">
        <v>0</v>
      </c>
      <c r="N66" s="252"/>
      <c r="O66" s="252"/>
      <c r="P66" s="252"/>
      <c r="Q66" s="252">
        <v>0</v>
      </c>
      <c r="R66" s="252"/>
      <c r="S66" s="252"/>
      <c r="T66" s="252"/>
      <c r="U66" s="252"/>
      <c r="V66" s="252"/>
      <c r="W66" s="252">
        <v>0</v>
      </c>
      <c r="X66" s="252"/>
      <c r="Y66" s="252">
        <v>0</v>
      </c>
    </row>
    <row r="67" spans="1:25" x14ac:dyDescent="0.3">
      <c r="A67" s="253" t="s">
        <v>165</v>
      </c>
      <c r="B67" s="252">
        <v>0</v>
      </c>
      <c r="C67" s="252">
        <v>0</v>
      </c>
      <c r="D67" s="252">
        <v>0</v>
      </c>
      <c r="E67" s="252">
        <v>0</v>
      </c>
      <c r="F67" s="252">
        <v>0</v>
      </c>
      <c r="G67" s="252">
        <v>0</v>
      </c>
      <c r="H67" s="252">
        <v>0</v>
      </c>
      <c r="I67" s="252"/>
      <c r="J67" s="252"/>
      <c r="K67" s="252">
        <v>0</v>
      </c>
      <c r="L67" s="252"/>
      <c r="M67" s="252">
        <v>0</v>
      </c>
      <c r="N67" s="252">
        <v>0</v>
      </c>
      <c r="O67" s="252">
        <v>0</v>
      </c>
      <c r="P67" s="252"/>
      <c r="Q67" s="252">
        <v>0</v>
      </c>
      <c r="R67" s="252"/>
      <c r="S67" s="252">
        <v>0</v>
      </c>
      <c r="T67" s="252">
        <v>0</v>
      </c>
      <c r="U67" s="252"/>
      <c r="V67" s="252">
        <v>0</v>
      </c>
      <c r="W67" s="252">
        <v>0</v>
      </c>
      <c r="X67" s="252"/>
      <c r="Y67" s="252">
        <v>0</v>
      </c>
    </row>
    <row r="68" spans="1:25" x14ac:dyDescent="0.3">
      <c r="A68" s="253" t="s">
        <v>166</v>
      </c>
      <c r="B68" s="252">
        <v>0</v>
      </c>
      <c r="C68" s="252">
        <v>0</v>
      </c>
      <c r="D68" s="252">
        <v>0</v>
      </c>
      <c r="E68" s="252">
        <v>0</v>
      </c>
      <c r="F68" s="252">
        <v>0</v>
      </c>
      <c r="G68" s="252">
        <v>0</v>
      </c>
      <c r="H68" s="252">
        <v>0</v>
      </c>
      <c r="I68" s="252"/>
      <c r="J68" s="252">
        <v>0</v>
      </c>
      <c r="K68" s="252">
        <v>0</v>
      </c>
      <c r="L68" s="252"/>
      <c r="M68" s="252">
        <v>0</v>
      </c>
      <c r="N68" s="252">
        <v>0</v>
      </c>
      <c r="O68" s="252">
        <v>0</v>
      </c>
      <c r="P68" s="252">
        <v>0</v>
      </c>
      <c r="Q68" s="252">
        <v>0</v>
      </c>
      <c r="R68" s="252"/>
      <c r="S68" s="252">
        <v>0</v>
      </c>
      <c r="T68" s="252">
        <v>0</v>
      </c>
      <c r="U68" s="252"/>
      <c r="V68" s="252">
        <v>0</v>
      </c>
      <c r="W68" s="252">
        <v>0</v>
      </c>
      <c r="X68" s="252"/>
      <c r="Y68" s="252">
        <v>0</v>
      </c>
    </row>
    <row r="69" spans="1:25" x14ac:dyDescent="0.3">
      <c r="A69" s="253" t="s">
        <v>1114</v>
      </c>
      <c r="B69" s="252">
        <v>0</v>
      </c>
      <c r="C69" s="252">
        <v>0</v>
      </c>
      <c r="D69" s="252">
        <v>0</v>
      </c>
      <c r="E69" s="252">
        <v>0</v>
      </c>
      <c r="F69" s="252">
        <v>0</v>
      </c>
      <c r="G69" s="252">
        <v>0</v>
      </c>
      <c r="H69" s="252">
        <v>0</v>
      </c>
      <c r="I69" s="252">
        <v>0</v>
      </c>
      <c r="J69" s="252">
        <v>0</v>
      </c>
      <c r="K69" s="252">
        <v>0</v>
      </c>
      <c r="L69" s="252">
        <v>0</v>
      </c>
      <c r="M69" s="252">
        <v>0</v>
      </c>
      <c r="N69" s="252">
        <v>0</v>
      </c>
      <c r="O69" s="252">
        <v>0</v>
      </c>
      <c r="P69" s="252">
        <v>0</v>
      </c>
      <c r="Q69" s="252">
        <v>0</v>
      </c>
      <c r="R69" s="252">
        <v>0</v>
      </c>
      <c r="S69" s="252">
        <v>0</v>
      </c>
      <c r="T69" s="252">
        <v>0</v>
      </c>
      <c r="U69" s="252">
        <v>0</v>
      </c>
      <c r="V69" s="252">
        <v>0</v>
      </c>
      <c r="W69" s="252">
        <v>0</v>
      </c>
      <c r="X69" s="252">
        <v>0</v>
      </c>
      <c r="Y69" s="252">
        <v>0</v>
      </c>
    </row>
    <row r="70" spans="1:25" x14ac:dyDescent="0.3">
      <c r="A70" s="253" t="s">
        <v>167</v>
      </c>
      <c r="B70" s="252">
        <v>0</v>
      </c>
      <c r="C70" s="252">
        <v>0</v>
      </c>
      <c r="D70" s="252">
        <v>0</v>
      </c>
      <c r="E70" s="252">
        <v>0</v>
      </c>
      <c r="F70" s="252">
        <v>0</v>
      </c>
      <c r="G70" s="252">
        <v>0</v>
      </c>
      <c r="H70" s="252">
        <v>0</v>
      </c>
      <c r="I70" s="252">
        <v>0</v>
      </c>
      <c r="J70" s="252">
        <v>0</v>
      </c>
      <c r="K70" s="252">
        <v>0</v>
      </c>
      <c r="L70" s="252"/>
      <c r="M70" s="252">
        <v>0</v>
      </c>
      <c r="N70" s="252">
        <v>0</v>
      </c>
      <c r="O70" s="252">
        <v>0</v>
      </c>
      <c r="P70" s="252"/>
      <c r="Q70" s="252">
        <v>0</v>
      </c>
      <c r="R70" s="252"/>
      <c r="S70" s="252">
        <v>0</v>
      </c>
      <c r="T70" s="252">
        <v>0</v>
      </c>
      <c r="U70" s="252"/>
      <c r="V70" s="252">
        <v>0</v>
      </c>
      <c r="W70" s="252">
        <v>0</v>
      </c>
      <c r="X70" s="252"/>
      <c r="Y70" s="252">
        <v>0</v>
      </c>
    </row>
    <row r="71" spans="1:25" x14ac:dyDescent="0.3">
      <c r="A71" s="253" t="s">
        <v>168</v>
      </c>
      <c r="B71" s="252">
        <v>0</v>
      </c>
      <c r="C71" s="252">
        <v>0</v>
      </c>
      <c r="D71" s="252">
        <v>0</v>
      </c>
      <c r="E71" s="252"/>
      <c r="F71" s="252">
        <v>0</v>
      </c>
      <c r="G71" s="252">
        <v>0</v>
      </c>
      <c r="H71" s="252">
        <v>0</v>
      </c>
      <c r="I71" s="252">
        <v>0</v>
      </c>
      <c r="J71" s="252">
        <v>0</v>
      </c>
      <c r="K71" s="252">
        <v>0</v>
      </c>
      <c r="L71" s="252"/>
      <c r="M71" s="252">
        <v>0</v>
      </c>
      <c r="N71" s="252">
        <v>0</v>
      </c>
      <c r="O71" s="252">
        <v>0</v>
      </c>
      <c r="P71" s="252"/>
      <c r="Q71" s="252">
        <v>0</v>
      </c>
      <c r="R71" s="252"/>
      <c r="S71" s="252">
        <v>0</v>
      </c>
      <c r="T71" s="252">
        <v>0</v>
      </c>
      <c r="U71" s="252"/>
      <c r="V71" s="252">
        <v>0</v>
      </c>
      <c r="W71" s="252">
        <v>0</v>
      </c>
      <c r="X71" s="252"/>
      <c r="Y71" s="252">
        <v>0</v>
      </c>
    </row>
    <row r="72" spans="1:25" x14ac:dyDescent="0.3">
      <c r="A72" s="253" t="s">
        <v>822</v>
      </c>
      <c r="B72" s="252">
        <v>0</v>
      </c>
      <c r="C72" s="252">
        <v>0</v>
      </c>
      <c r="D72" s="252">
        <v>0</v>
      </c>
      <c r="E72" s="252">
        <v>0</v>
      </c>
      <c r="F72" s="252">
        <v>0</v>
      </c>
      <c r="G72" s="252">
        <v>0</v>
      </c>
      <c r="H72" s="252">
        <v>0</v>
      </c>
      <c r="I72" s="252">
        <v>0</v>
      </c>
      <c r="J72" s="252">
        <v>0</v>
      </c>
      <c r="K72" s="252">
        <v>0</v>
      </c>
      <c r="L72" s="252"/>
      <c r="M72" s="252">
        <v>0</v>
      </c>
      <c r="N72" s="252">
        <v>0</v>
      </c>
      <c r="O72" s="252">
        <v>0</v>
      </c>
      <c r="P72" s="252">
        <v>0</v>
      </c>
      <c r="Q72" s="252">
        <v>0</v>
      </c>
      <c r="R72" s="252">
        <v>0</v>
      </c>
      <c r="S72" s="252">
        <v>0</v>
      </c>
      <c r="T72" s="252">
        <v>0</v>
      </c>
      <c r="U72" s="252">
        <v>0</v>
      </c>
      <c r="V72" s="252">
        <v>0</v>
      </c>
      <c r="W72" s="252">
        <v>0</v>
      </c>
      <c r="X72" s="252"/>
      <c r="Y72" s="252">
        <v>0</v>
      </c>
    </row>
    <row r="73" spans="1:25" x14ac:dyDescent="0.3">
      <c r="A73" s="253" t="s">
        <v>169</v>
      </c>
      <c r="B73" s="252">
        <v>0</v>
      </c>
      <c r="C73" s="252">
        <v>0</v>
      </c>
      <c r="D73" s="252">
        <v>0</v>
      </c>
      <c r="E73" s="252">
        <v>0</v>
      </c>
      <c r="F73" s="252">
        <v>0</v>
      </c>
      <c r="G73" s="252">
        <v>0</v>
      </c>
      <c r="H73" s="252">
        <v>0</v>
      </c>
      <c r="I73" s="252"/>
      <c r="J73" s="252"/>
      <c r="K73" s="252">
        <v>0</v>
      </c>
      <c r="L73" s="252"/>
      <c r="M73" s="252">
        <v>0</v>
      </c>
      <c r="N73" s="252">
        <v>0</v>
      </c>
      <c r="O73" s="252">
        <v>0</v>
      </c>
      <c r="P73" s="252"/>
      <c r="Q73" s="252">
        <v>0</v>
      </c>
      <c r="R73" s="252"/>
      <c r="S73" s="252">
        <v>0</v>
      </c>
      <c r="T73" s="252">
        <v>0</v>
      </c>
      <c r="U73" s="252"/>
      <c r="V73" s="252">
        <v>0</v>
      </c>
      <c r="W73" s="252">
        <v>0</v>
      </c>
      <c r="X73" s="252"/>
      <c r="Y73" s="252">
        <v>0</v>
      </c>
    </row>
    <row r="74" spans="1:25" x14ac:dyDescent="0.3">
      <c r="A74" s="253" t="s">
        <v>170</v>
      </c>
      <c r="B74" s="252">
        <v>0</v>
      </c>
      <c r="C74" s="252">
        <v>0</v>
      </c>
      <c r="D74" s="252">
        <v>0</v>
      </c>
      <c r="E74" s="252">
        <v>0</v>
      </c>
      <c r="F74" s="252">
        <v>0</v>
      </c>
      <c r="G74" s="252">
        <v>0</v>
      </c>
      <c r="H74" s="252">
        <v>0</v>
      </c>
      <c r="I74" s="252"/>
      <c r="J74" s="252">
        <v>0</v>
      </c>
      <c r="K74" s="252">
        <v>0</v>
      </c>
      <c r="L74" s="252"/>
      <c r="M74" s="252">
        <v>0</v>
      </c>
      <c r="N74" s="252">
        <v>0</v>
      </c>
      <c r="O74" s="252">
        <v>0</v>
      </c>
      <c r="P74" s="252"/>
      <c r="Q74" s="252">
        <v>0</v>
      </c>
      <c r="R74" s="252"/>
      <c r="S74" s="252"/>
      <c r="T74" s="252">
        <v>0</v>
      </c>
      <c r="U74" s="252"/>
      <c r="V74" s="252">
        <v>0</v>
      </c>
      <c r="W74" s="252">
        <v>0</v>
      </c>
      <c r="X74" s="252"/>
      <c r="Y74" s="252">
        <v>0</v>
      </c>
    </row>
    <row r="75" spans="1:25" x14ac:dyDescent="0.3">
      <c r="A75" s="253" t="s">
        <v>171</v>
      </c>
      <c r="B75" s="252">
        <v>0</v>
      </c>
      <c r="C75" s="252">
        <v>0</v>
      </c>
      <c r="D75" s="252">
        <v>0</v>
      </c>
      <c r="E75" s="252">
        <v>0</v>
      </c>
      <c r="F75" s="252">
        <v>0</v>
      </c>
      <c r="G75" s="252">
        <v>0</v>
      </c>
      <c r="H75" s="252">
        <v>0</v>
      </c>
      <c r="I75" s="252"/>
      <c r="J75" s="252">
        <v>8</v>
      </c>
      <c r="K75" s="252">
        <v>0</v>
      </c>
      <c r="L75" s="252"/>
      <c r="M75" s="252">
        <v>0</v>
      </c>
      <c r="N75" s="252">
        <v>0</v>
      </c>
      <c r="O75" s="252">
        <v>0</v>
      </c>
      <c r="P75" s="252"/>
      <c r="Q75" s="252">
        <v>0</v>
      </c>
      <c r="R75" s="252"/>
      <c r="S75" s="252"/>
      <c r="T75" s="252">
        <v>0</v>
      </c>
      <c r="U75" s="252"/>
      <c r="V75" s="252">
        <v>0</v>
      </c>
      <c r="W75" s="252">
        <v>0</v>
      </c>
      <c r="X75" s="252"/>
      <c r="Y75" s="252">
        <v>8</v>
      </c>
    </row>
    <row r="76" spans="1:25" x14ac:dyDescent="0.3">
      <c r="A76" s="253" t="s">
        <v>172</v>
      </c>
      <c r="B76" s="252">
        <v>0</v>
      </c>
      <c r="C76" s="252"/>
      <c r="D76" s="252">
        <v>0</v>
      </c>
      <c r="E76" s="252">
        <v>0</v>
      </c>
      <c r="F76" s="252">
        <v>0</v>
      </c>
      <c r="G76" s="252">
        <v>0</v>
      </c>
      <c r="H76" s="252">
        <v>0</v>
      </c>
      <c r="I76" s="252"/>
      <c r="J76" s="252">
        <v>7</v>
      </c>
      <c r="K76" s="252">
        <v>0</v>
      </c>
      <c r="L76" s="252"/>
      <c r="M76" s="252">
        <v>0</v>
      </c>
      <c r="N76" s="252">
        <v>0</v>
      </c>
      <c r="O76" s="252">
        <v>0</v>
      </c>
      <c r="P76" s="252"/>
      <c r="Q76" s="252">
        <v>0</v>
      </c>
      <c r="R76" s="252"/>
      <c r="S76" s="252"/>
      <c r="T76" s="252">
        <v>0</v>
      </c>
      <c r="U76" s="252"/>
      <c r="V76" s="252">
        <v>0</v>
      </c>
      <c r="W76" s="252">
        <v>0</v>
      </c>
      <c r="X76" s="252"/>
      <c r="Y76" s="252">
        <v>7</v>
      </c>
    </row>
    <row r="77" spans="1:25" x14ac:dyDescent="0.3">
      <c r="A77" s="253" t="s">
        <v>173</v>
      </c>
      <c r="B77" s="252">
        <v>0</v>
      </c>
      <c r="C77" s="252">
        <v>0</v>
      </c>
      <c r="D77" s="252">
        <v>0</v>
      </c>
      <c r="E77" s="252">
        <v>0</v>
      </c>
      <c r="F77" s="252">
        <v>0</v>
      </c>
      <c r="G77" s="252">
        <v>0</v>
      </c>
      <c r="H77" s="252">
        <v>0</v>
      </c>
      <c r="I77" s="252"/>
      <c r="J77" s="252">
        <v>1</v>
      </c>
      <c r="K77" s="252">
        <v>0</v>
      </c>
      <c r="L77" s="252"/>
      <c r="M77" s="252">
        <v>0</v>
      </c>
      <c r="N77" s="252">
        <v>0</v>
      </c>
      <c r="O77" s="252">
        <v>0</v>
      </c>
      <c r="P77" s="252"/>
      <c r="Q77" s="252">
        <v>0</v>
      </c>
      <c r="R77" s="252"/>
      <c r="S77" s="252"/>
      <c r="T77" s="252">
        <v>0</v>
      </c>
      <c r="U77" s="252"/>
      <c r="V77" s="252">
        <v>0</v>
      </c>
      <c r="W77" s="252">
        <v>0</v>
      </c>
      <c r="X77" s="252"/>
      <c r="Y77" s="252">
        <v>1</v>
      </c>
    </row>
    <row r="78" spans="1:25" x14ac:dyDescent="0.3">
      <c r="A78" s="253" t="s">
        <v>174</v>
      </c>
      <c r="B78" s="252">
        <v>0</v>
      </c>
      <c r="C78" s="252">
        <v>0</v>
      </c>
      <c r="D78" s="252">
        <v>0</v>
      </c>
      <c r="E78" s="252">
        <v>0</v>
      </c>
      <c r="F78" s="252">
        <v>0</v>
      </c>
      <c r="G78" s="252">
        <v>0</v>
      </c>
      <c r="H78" s="252">
        <v>0</v>
      </c>
      <c r="I78" s="252">
        <v>0</v>
      </c>
      <c r="J78" s="252">
        <v>0</v>
      </c>
      <c r="K78" s="252">
        <v>0</v>
      </c>
      <c r="L78" s="252"/>
      <c r="M78" s="252">
        <v>0</v>
      </c>
      <c r="N78" s="252">
        <v>0</v>
      </c>
      <c r="O78" s="252">
        <v>0</v>
      </c>
      <c r="P78" s="252"/>
      <c r="Q78" s="252">
        <v>0</v>
      </c>
      <c r="R78" s="252">
        <v>0</v>
      </c>
      <c r="S78" s="252">
        <v>0</v>
      </c>
      <c r="T78" s="252">
        <v>0</v>
      </c>
      <c r="U78" s="252">
        <v>0</v>
      </c>
      <c r="V78" s="252">
        <v>0</v>
      </c>
      <c r="W78" s="252">
        <v>0</v>
      </c>
      <c r="X78" s="252"/>
      <c r="Y78" s="252">
        <v>0</v>
      </c>
    </row>
    <row r="79" spans="1:25" x14ac:dyDescent="0.3">
      <c r="A79" s="253" t="s">
        <v>175</v>
      </c>
      <c r="B79" s="252">
        <v>0</v>
      </c>
      <c r="C79" s="252"/>
      <c r="D79" s="252">
        <v>0</v>
      </c>
      <c r="E79" s="252">
        <v>0</v>
      </c>
      <c r="F79" s="252">
        <v>0</v>
      </c>
      <c r="G79" s="252">
        <v>0</v>
      </c>
      <c r="H79" s="252">
        <v>0</v>
      </c>
      <c r="I79" s="252"/>
      <c r="J79" s="252">
        <v>0</v>
      </c>
      <c r="K79" s="252">
        <v>0</v>
      </c>
      <c r="L79" s="252"/>
      <c r="M79" s="252">
        <v>0</v>
      </c>
      <c r="N79" s="252">
        <v>0</v>
      </c>
      <c r="O79" s="252">
        <v>0</v>
      </c>
      <c r="P79" s="252"/>
      <c r="Q79" s="252">
        <v>0</v>
      </c>
      <c r="R79" s="252"/>
      <c r="S79" s="252"/>
      <c r="T79" s="252">
        <v>0</v>
      </c>
      <c r="U79" s="252"/>
      <c r="V79" s="252">
        <v>0</v>
      </c>
      <c r="W79" s="252">
        <v>0</v>
      </c>
      <c r="X79" s="252"/>
      <c r="Y79" s="252">
        <v>0</v>
      </c>
    </row>
    <row r="80" spans="1:25" x14ac:dyDescent="0.3">
      <c r="A80" s="253" t="s">
        <v>176</v>
      </c>
      <c r="B80" s="252">
        <v>0</v>
      </c>
      <c r="C80" s="252">
        <v>0</v>
      </c>
      <c r="D80" s="252">
        <v>0</v>
      </c>
      <c r="E80" s="252">
        <v>0</v>
      </c>
      <c r="F80" s="252">
        <v>0</v>
      </c>
      <c r="G80" s="252">
        <v>0</v>
      </c>
      <c r="H80" s="252">
        <v>0</v>
      </c>
      <c r="I80" s="252"/>
      <c r="J80" s="252">
        <v>0</v>
      </c>
      <c r="K80" s="252">
        <v>0</v>
      </c>
      <c r="L80" s="252"/>
      <c r="M80" s="252">
        <v>0</v>
      </c>
      <c r="N80" s="252">
        <v>0</v>
      </c>
      <c r="O80" s="252">
        <v>0</v>
      </c>
      <c r="P80" s="252"/>
      <c r="Q80" s="252">
        <v>0</v>
      </c>
      <c r="R80" s="252">
        <v>0</v>
      </c>
      <c r="S80" s="252"/>
      <c r="T80" s="252">
        <v>0</v>
      </c>
      <c r="U80" s="252"/>
      <c r="V80" s="252">
        <v>0</v>
      </c>
      <c r="W80" s="252">
        <v>0</v>
      </c>
      <c r="X80" s="252"/>
      <c r="Y80" s="252">
        <v>0</v>
      </c>
    </row>
    <row r="81" spans="1:25" x14ac:dyDescent="0.3">
      <c r="A81" s="253" t="s">
        <v>177</v>
      </c>
      <c r="B81" s="252">
        <v>0</v>
      </c>
      <c r="C81" s="252"/>
      <c r="D81" s="252">
        <v>0</v>
      </c>
      <c r="E81" s="252">
        <v>0</v>
      </c>
      <c r="F81" s="252">
        <v>0</v>
      </c>
      <c r="G81" s="252">
        <v>0</v>
      </c>
      <c r="H81" s="252">
        <v>0</v>
      </c>
      <c r="I81" s="252"/>
      <c r="J81" s="252">
        <v>6</v>
      </c>
      <c r="K81" s="252">
        <v>0</v>
      </c>
      <c r="L81" s="252"/>
      <c r="M81" s="252">
        <v>0</v>
      </c>
      <c r="N81" s="252">
        <v>0</v>
      </c>
      <c r="O81" s="252">
        <v>0</v>
      </c>
      <c r="P81" s="252"/>
      <c r="Q81" s="252">
        <v>0</v>
      </c>
      <c r="R81" s="252"/>
      <c r="S81" s="252"/>
      <c r="T81" s="252">
        <v>0</v>
      </c>
      <c r="U81" s="252"/>
      <c r="V81" s="252">
        <v>0</v>
      </c>
      <c r="W81" s="252">
        <v>0</v>
      </c>
      <c r="X81" s="252"/>
      <c r="Y81" s="252">
        <v>6</v>
      </c>
    </row>
    <row r="82" spans="1:25" x14ac:dyDescent="0.3">
      <c r="A82" s="253" t="s">
        <v>178</v>
      </c>
      <c r="B82" s="252">
        <v>0</v>
      </c>
      <c r="C82" s="252"/>
      <c r="D82" s="252">
        <v>0</v>
      </c>
      <c r="E82" s="252"/>
      <c r="F82" s="252">
        <v>0</v>
      </c>
      <c r="G82" s="252">
        <v>0</v>
      </c>
      <c r="H82" s="252">
        <v>0</v>
      </c>
      <c r="I82" s="252"/>
      <c r="J82" s="252"/>
      <c r="K82" s="252">
        <v>0</v>
      </c>
      <c r="L82" s="252"/>
      <c r="M82" s="252">
        <v>0</v>
      </c>
      <c r="N82" s="252">
        <v>0</v>
      </c>
      <c r="O82" s="252">
        <v>0</v>
      </c>
      <c r="P82" s="252"/>
      <c r="Q82" s="252">
        <v>0</v>
      </c>
      <c r="R82" s="252"/>
      <c r="S82" s="252"/>
      <c r="T82" s="252">
        <v>0</v>
      </c>
      <c r="U82" s="252"/>
      <c r="V82" s="252">
        <v>0</v>
      </c>
      <c r="W82" s="252">
        <v>0</v>
      </c>
      <c r="X82" s="252"/>
      <c r="Y82" s="252">
        <v>0</v>
      </c>
    </row>
    <row r="83" spans="1:25" x14ac:dyDescent="0.3">
      <c r="A83" s="253" t="s">
        <v>179</v>
      </c>
      <c r="B83" s="252">
        <v>0</v>
      </c>
      <c r="C83" s="252"/>
      <c r="D83" s="252">
        <v>0</v>
      </c>
      <c r="E83" s="252"/>
      <c r="F83" s="252">
        <v>0</v>
      </c>
      <c r="G83" s="252">
        <v>0</v>
      </c>
      <c r="H83" s="252">
        <v>0</v>
      </c>
      <c r="I83" s="252"/>
      <c r="J83" s="252"/>
      <c r="K83" s="252"/>
      <c r="L83" s="252"/>
      <c r="M83" s="252">
        <v>0</v>
      </c>
      <c r="N83" s="252">
        <v>0</v>
      </c>
      <c r="O83" s="252">
        <v>0</v>
      </c>
      <c r="P83" s="252"/>
      <c r="Q83" s="252">
        <v>0</v>
      </c>
      <c r="R83" s="252"/>
      <c r="S83" s="252"/>
      <c r="T83" s="252">
        <v>0</v>
      </c>
      <c r="U83" s="252"/>
      <c r="V83" s="252">
        <v>0</v>
      </c>
      <c r="W83" s="252">
        <v>0</v>
      </c>
      <c r="X83" s="252"/>
      <c r="Y83" s="252">
        <v>0</v>
      </c>
    </row>
    <row r="84" spans="1:25" x14ac:dyDescent="0.3">
      <c r="A84" s="253" t="s">
        <v>180</v>
      </c>
      <c r="B84" s="252">
        <v>0</v>
      </c>
      <c r="C84" s="252"/>
      <c r="D84" s="252">
        <v>0</v>
      </c>
      <c r="E84" s="252"/>
      <c r="F84" s="252">
        <v>0</v>
      </c>
      <c r="G84" s="252">
        <v>0</v>
      </c>
      <c r="H84" s="252">
        <v>0</v>
      </c>
      <c r="I84" s="252"/>
      <c r="J84" s="252"/>
      <c r="K84" s="252">
        <v>0</v>
      </c>
      <c r="L84" s="252"/>
      <c r="M84" s="252">
        <v>0</v>
      </c>
      <c r="N84" s="252">
        <v>0</v>
      </c>
      <c r="O84" s="252">
        <v>0</v>
      </c>
      <c r="P84" s="252"/>
      <c r="Q84" s="252">
        <v>0</v>
      </c>
      <c r="R84" s="252"/>
      <c r="S84" s="252"/>
      <c r="T84" s="252">
        <v>0</v>
      </c>
      <c r="U84" s="252"/>
      <c r="V84" s="252">
        <v>0</v>
      </c>
      <c r="W84" s="252">
        <v>0</v>
      </c>
      <c r="X84" s="252"/>
      <c r="Y84" s="252">
        <v>0</v>
      </c>
    </row>
    <row r="85" spans="1:25" x14ac:dyDescent="0.3">
      <c r="A85" s="253" t="s">
        <v>181</v>
      </c>
      <c r="B85" s="252">
        <v>0</v>
      </c>
      <c r="C85" s="252">
        <v>0</v>
      </c>
      <c r="D85" s="252">
        <v>0</v>
      </c>
      <c r="E85" s="252"/>
      <c r="F85" s="252">
        <v>0</v>
      </c>
      <c r="G85" s="252">
        <v>0</v>
      </c>
      <c r="H85" s="252">
        <v>0</v>
      </c>
      <c r="I85" s="252"/>
      <c r="J85" s="252"/>
      <c r="K85" s="252">
        <v>0</v>
      </c>
      <c r="L85" s="252"/>
      <c r="M85" s="252">
        <v>0</v>
      </c>
      <c r="N85" s="252">
        <v>0</v>
      </c>
      <c r="O85" s="252">
        <v>0</v>
      </c>
      <c r="P85" s="252"/>
      <c r="Q85" s="252">
        <v>0</v>
      </c>
      <c r="R85" s="252"/>
      <c r="S85" s="252"/>
      <c r="T85" s="252">
        <v>0</v>
      </c>
      <c r="U85" s="252"/>
      <c r="V85" s="252">
        <v>0</v>
      </c>
      <c r="W85" s="252">
        <v>0</v>
      </c>
      <c r="X85" s="252"/>
      <c r="Y85" s="252">
        <v>0</v>
      </c>
    </row>
    <row r="86" spans="1:25" x14ac:dyDescent="0.3">
      <c r="A86" s="253" t="s">
        <v>182</v>
      </c>
      <c r="B86" s="252">
        <v>0</v>
      </c>
      <c r="C86" s="252">
        <v>0</v>
      </c>
      <c r="D86" s="252">
        <v>0</v>
      </c>
      <c r="E86" s="252"/>
      <c r="F86" s="252">
        <v>0</v>
      </c>
      <c r="G86" s="252">
        <v>0</v>
      </c>
      <c r="H86" s="252">
        <v>0</v>
      </c>
      <c r="I86" s="252"/>
      <c r="J86" s="252"/>
      <c r="K86" s="252">
        <v>0</v>
      </c>
      <c r="L86" s="252"/>
      <c r="M86" s="252">
        <v>0</v>
      </c>
      <c r="N86" s="252">
        <v>0</v>
      </c>
      <c r="O86" s="252">
        <v>0</v>
      </c>
      <c r="P86" s="252"/>
      <c r="Q86" s="252">
        <v>0</v>
      </c>
      <c r="R86" s="252"/>
      <c r="S86" s="252"/>
      <c r="T86" s="252">
        <v>0</v>
      </c>
      <c r="U86" s="252"/>
      <c r="V86" s="252">
        <v>0</v>
      </c>
      <c r="W86" s="252">
        <v>0</v>
      </c>
      <c r="X86" s="252"/>
      <c r="Y86" s="252">
        <v>0</v>
      </c>
    </row>
    <row r="87" spans="1:25" x14ac:dyDescent="0.3">
      <c r="A87" s="253" t="s">
        <v>183</v>
      </c>
      <c r="B87" s="252">
        <v>0</v>
      </c>
      <c r="C87" s="252">
        <v>0</v>
      </c>
      <c r="D87" s="252">
        <v>0</v>
      </c>
      <c r="E87" s="252"/>
      <c r="F87" s="252">
        <v>0</v>
      </c>
      <c r="G87" s="252">
        <v>0</v>
      </c>
      <c r="H87" s="252">
        <v>0</v>
      </c>
      <c r="I87" s="252"/>
      <c r="J87" s="252"/>
      <c r="K87" s="252">
        <v>0</v>
      </c>
      <c r="L87" s="252"/>
      <c r="M87" s="252">
        <v>0</v>
      </c>
      <c r="N87" s="252">
        <v>0</v>
      </c>
      <c r="O87" s="252">
        <v>0</v>
      </c>
      <c r="P87" s="252"/>
      <c r="Q87" s="252">
        <v>0</v>
      </c>
      <c r="R87" s="252"/>
      <c r="S87" s="252"/>
      <c r="T87" s="252">
        <v>0</v>
      </c>
      <c r="U87" s="252"/>
      <c r="V87" s="252">
        <v>0</v>
      </c>
      <c r="W87" s="252">
        <v>0</v>
      </c>
      <c r="X87" s="252"/>
      <c r="Y87" s="252">
        <v>0</v>
      </c>
    </row>
    <row r="88" spans="1:25" x14ac:dyDescent="0.3">
      <c r="A88" s="253" t="s">
        <v>184</v>
      </c>
      <c r="B88" s="252">
        <v>0</v>
      </c>
      <c r="C88" s="252">
        <v>0</v>
      </c>
      <c r="D88" s="252">
        <v>0</v>
      </c>
      <c r="E88" s="252"/>
      <c r="F88" s="252">
        <v>0</v>
      </c>
      <c r="G88" s="252">
        <v>0</v>
      </c>
      <c r="H88" s="252">
        <v>0</v>
      </c>
      <c r="I88" s="252"/>
      <c r="J88" s="252"/>
      <c r="K88" s="252">
        <v>0</v>
      </c>
      <c r="L88" s="252"/>
      <c r="M88" s="252">
        <v>0</v>
      </c>
      <c r="N88" s="252">
        <v>0</v>
      </c>
      <c r="O88" s="252">
        <v>0</v>
      </c>
      <c r="P88" s="252"/>
      <c r="Q88" s="252">
        <v>0</v>
      </c>
      <c r="R88" s="252"/>
      <c r="S88" s="252"/>
      <c r="T88" s="252">
        <v>0</v>
      </c>
      <c r="U88" s="252"/>
      <c r="V88" s="252">
        <v>0</v>
      </c>
      <c r="W88" s="252">
        <v>0</v>
      </c>
      <c r="X88" s="252"/>
      <c r="Y88" s="252">
        <v>0</v>
      </c>
    </row>
    <row r="89" spans="1:25" x14ac:dyDescent="0.3">
      <c r="A89" s="253" t="s">
        <v>185</v>
      </c>
      <c r="B89" s="252">
        <v>0</v>
      </c>
      <c r="C89" s="252">
        <v>0</v>
      </c>
      <c r="D89" s="252">
        <v>0</v>
      </c>
      <c r="E89" s="252"/>
      <c r="F89" s="252">
        <v>0</v>
      </c>
      <c r="G89" s="252">
        <v>0</v>
      </c>
      <c r="H89" s="252">
        <v>0</v>
      </c>
      <c r="I89" s="252"/>
      <c r="J89" s="252"/>
      <c r="K89" s="252">
        <v>0</v>
      </c>
      <c r="L89" s="252"/>
      <c r="M89" s="252">
        <v>0</v>
      </c>
      <c r="N89" s="252">
        <v>0</v>
      </c>
      <c r="O89" s="252">
        <v>0</v>
      </c>
      <c r="P89" s="252"/>
      <c r="Q89" s="252">
        <v>0</v>
      </c>
      <c r="R89" s="252"/>
      <c r="S89" s="252"/>
      <c r="T89" s="252">
        <v>0</v>
      </c>
      <c r="U89" s="252"/>
      <c r="V89" s="252">
        <v>0</v>
      </c>
      <c r="W89" s="252">
        <v>0</v>
      </c>
      <c r="X89" s="252"/>
      <c r="Y89" s="252">
        <v>0</v>
      </c>
    </row>
    <row r="90" spans="1:25" x14ac:dyDescent="0.3">
      <c r="A90" s="253" t="s">
        <v>186</v>
      </c>
      <c r="B90" s="252">
        <v>0</v>
      </c>
      <c r="C90" s="252">
        <v>0</v>
      </c>
      <c r="D90" s="252">
        <v>0</v>
      </c>
      <c r="E90" s="252"/>
      <c r="F90" s="252">
        <v>0</v>
      </c>
      <c r="G90" s="252">
        <v>0</v>
      </c>
      <c r="H90" s="252">
        <v>0</v>
      </c>
      <c r="I90" s="252"/>
      <c r="J90" s="252"/>
      <c r="K90" s="252">
        <v>0</v>
      </c>
      <c r="L90" s="252"/>
      <c r="M90" s="252">
        <v>0</v>
      </c>
      <c r="N90" s="252">
        <v>0</v>
      </c>
      <c r="O90" s="252">
        <v>0</v>
      </c>
      <c r="P90" s="252"/>
      <c r="Q90" s="252">
        <v>0</v>
      </c>
      <c r="R90" s="252"/>
      <c r="S90" s="252"/>
      <c r="T90" s="252">
        <v>0</v>
      </c>
      <c r="U90" s="252"/>
      <c r="V90" s="252">
        <v>0</v>
      </c>
      <c r="W90" s="252">
        <v>0</v>
      </c>
      <c r="X90" s="252"/>
      <c r="Y90" s="252">
        <v>0</v>
      </c>
    </row>
    <row r="91" spans="1:25" x14ac:dyDescent="0.3">
      <c r="A91" s="253" t="s">
        <v>187</v>
      </c>
      <c r="B91" s="252">
        <v>0</v>
      </c>
      <c r="C91" s="252">
        <v>0</v>
      </c>
      <c r="D91" s="252">
        <v>0</v>
      </c>
      <c r="E91" s="252"/>
      <c r="F91" s="252">
        <v>0</v>
      </c>
      <c r="G91" s="252">
        <v>0</v>
      </c>
      <c r="H91" s="252">
        <v>0</v>
      </c>
      <c r="I91" s="252"/>
      <c r="J91" s="252"/>
      <c r="K91" s="252">
        <v>0</v>
      </c>
      <c r="L91" s="252"/>
      <c r="M91" s="252">
        <v>0</v>
      </c>
      <c r="N91" s="252">
        <v>0</v>
      </c>
      <c r="O91" s="252">
        <v>0</v>
      </c>
      <c r="P91" s="252"/>
      <c r="Q91" s="252">
        <v>0</v>
      </c>
      <c r="R91" s="252"/>
      <c r="S91" s="252"/>
      <c r="T91" s="252">
        <v>0</v>
      </c>
      <c r="U91" s="252"/>
      <c r="V91" s="252">
        <v>0</v>
      </c>
      <c r="W91" s="252">
        <v>0</v>
      </c>
      <c r="X91" s="252"/>
      <c r="Y91" s="252">
        <v>0</v>
      </c>
    </row>
    <row r="92" spans="1:25" x14ac:dyDescent="0.3">
      <c r="A92" s="253" t="s">
        <v>188</v>
      </c>
      <c r="B92" s="252">
        <v>0</v>
      </c>
      <c r="C92" s="252">
        <v>0</v>
      </c>
      <c r="D92" s="252">
        <v>0</v>
      </c>
      <c r="E92" s="252"/>
      <c r="F92" s="252">
        <v>0</v>
      </c>
      <c r="G92" s="252">
        <v>0</v>
      </c>
      <c r="H92" s="252">
        <v>0</v>
      </c>
      <c r="I92" s="252"/>
      <c r="J92" s="252"/>
      <c r="K92" s="252">
        <v>0</v>
      </c>
      <c r="L92" s="252"/>
      <c r="M92" s="252">
        <v>0</v>
      </c>
      <c r="N92" s="252">
        <v>0</v>
      </c>
      <c r="O92" s="252">
        <v>0</v>
      </c>
      <c r="P92" s="252"/>
      <c r="Q92" s="252">
        <v>0</v>
      </c>
      <c r="R92" s="252"/>
      <c r="S92" s="252"/>
      <c r="T92" s="252">
        <v>0</v>
      </c>
      <c r="U92" s="252"/>
      <c r="V92" s="252">
        <v>0</v>
      </c>
      <c r="W92" s="252">
        <v>0</v>
      </c>
      <c r="X92" s="252"/>
      <c r="Y92" s="252">
        <v>0</v>
      </c>
    </row>
    <row r="93" spans="1:25" x14ac:dyDescent="0.3">
      <c r="A93" s="253" t="s">
        <v>189</v>
      </c>
      <c r="B93" s="252">
        <v>77</v>
      </c>
      <c r="C93" s="252">
        <v>58</v>
      </c>
      <c r="D93" s="252">
        <v>12</v>
      </c>
      <c r="E93" s="252">
        <v>88</v>
      </c>
      <c r="F93" s="252">
        <v>15</v>
      </c>
      <c r="G93" s="252">
        <v>81</v>
      </c>
      <c r="H93" s="252">
        <v>80</v>
      </c>
      <c r="I93" s="252"/>
      <c r="J93" s="252">
        <v>42</v>
      </c>
      <c r="K93" s="252">
        <v>61</v>
      </c>
      <c r="L93" s="252">
        <v>65</v>
      </c>
      <c r="M93" s="252">
        <v>94</v>
      </c>
      <c r="N93" s="252">
        <v>41</v>
      </c>
      <c r="O93" s="252">
        <v>87</v>
      </c>
      <c r="P93" s="252">
        <v>55</v>
      </c>
      <c r="Q93" s="252">
        <v>61</v>
      </c>
      <c r="R93" s="252">
        <v>72</v>
      </c>
      <c r="S93" s="252">
        <v>48</v>
      </c>
      <c r="T93" s="252">
        <v>51</v>
      </c>
      <c r="U93" s="252">
        <v>61</v>
      </c>
      <c r="V93" s="252">
        <v>45</v>
      </c>
      <c r="W93" s="252">
        <v>70</v>
      </c>
      <c r="X93" s="252">
        <v>72</v>
      </c>
      <c r="Y93" s="252">
        <v>1336</v>
      </c>
    </row>
    <row r="94" spans="1:25" x14ac:dyDescent="0.3">
      <c r="A94" s="253" t="s">
        <v>190</v>
      </c>
      <c r="B94" s="252">
        <v>99</v>
      </c>
      <c r="C94" s="252">
        <v>63</v>
      </c>
      <c r="D94" s="252">
        <v>55</v>
      </c>
      <c r="E94" s="252">
        <v>131</v>
      </c>
      <c r="F94" s="252">
        <v>43</v>
      </c>
      <c r="G94" s="252">
        <v>54</v>
      </c>
      <c r="H94" s="252">
        <v>93</v>
      </c>
      <c r="I94" s="252"/>
      <c r="J94" s="252">
        <v>82</v>
      </c>
      <c r="K94" s="252">
        <v>100</v>
      </c>
      <c r="L94" s="252">
        <v>79</v>
      </c>
      <c r="M94" s="252">
        <v>72</v>
      </c>
      <c r="N94" s="252">
        <v>52</v>
      </c>
      <c r="O94" s="252">
        <v>101</v>
      </c>
      <c r="P94" s="252">
        <v>85</v>
      </c>
      <c r="Q94" s="252">
        <v>56</v>
      </c>
      <c r="R94" s="252">
        <v>58</v>
      </c>
      <c r="S94" s="252">
        <v>107</v>
      </c>
      <c r="T94" s="252">
        <v>39</v>
      </c>
      <c r="U94" s="252">
        <v>99</v>
      </c>
      <c r="V94" s="252">
        <v>71</v>
      </c>
      <c r="W94" s="252">
        <v>67</v>
      </c>
      <c r="X94" s="252">
        <v>91</v>
      </c>
      <c r="Y94" s="252">
        <v>1697</v>
      </c>
    </row>
    <row r="95" spans="1:25" x14ac:dyDescent="0.3">
      <c r="A95" s="253" t="s">
        <v>191</v>
      </c>
      <c r="B95" s="252">
        <v>98</v>
      </c>
      <c r="C95" s="252">
        <v>26</v>
      </c>
      <c r="D95" s="252">
        <v>0</v>
      </c>
      <c r="E95" s="252">
        <v>75</v>
      </c>
      <c r="F95" s="252">
        <v>0</v>
      </c>
      <c r="G95" s="252">
        <v>34</v>
      </c>
      <c r="H95" s="252">
        <v>54</v>
      </c>
      <c r="I95" s="252">
        <v>4</v>
      </c>
      <c r="J95" s="252">
        <v>26</v>
      </c>
      <c r="K95" s="252">
        <v>59</v>
      </c>
      <c r="L95" s="252">
        <v>33</v>
      </c>
      <c r="M95" s="252">
        <v>55</v>
      </c>
      <c r="N95" s="252">
        <v>34</v>
      </c>
      <c r="O95" s="252">
        <v>68</v>
      </c>
      <c r="P95" s="252">
        <v>48</v>
      </c>
      <c r="Q95" s="252">
        <v>43</v>
      </c>
      <c r="R95" s="252">
        <v>49</v>
      </c>
      <c r="S95" s="252">
        <v>29</v>
      </c>
      <c r="T95" s="252">
        <v>29</v>
      </c>
      <c r="U95" s="252">
        <v>45</v>
      </c>
      <c r="V95" s="252">
        <v>22</v>
      </c>
      <c r="W95" s="252">
        <v>69</v>
      </c>
      <c r="X95" s="252">
        <v>59</v>
      </c>
      <c r="Y95" s="252">
        <v>959</v>
      </c>
    </row>
    <row r="96" spans="1:25" x14ac:dyDescent="0.3">
      <c r="A96" s="253" t="s">
        <v>967</v>
      </c>
      <c r="B96" s="252">
        <v>0</v>
      </c>
      <c r="C96" s="252">
        <v>0</v>
      </c>
      <c r="D96" s="252">
        <v>0</v>
      </c>
      <c r="E96" s="252">
        <v>0</v>
      </c>
      <c r="F96" s="252">
        <v>0</v>
      </c>
      <c r="G96" s="252">
        <v>0</v>
      </c>
      <c r="H96" s="252">
        <v>0</v>
      </c>
      <c r="I96" s="252">
        <v>0</v>
      </c>
      <c r="J96" s="252">
        <v>0</v>
      </c>
      <c r="K96" s="252">
        <v>0</v>
      </c>
      <c r="L96" s="252"/>
      <c r="M96" s="252">
        <v>0</v>
      </c>
      <c r="N96" s="252">
        <v>0</v>
      </c>
      <c r="O96" s="252">
        <v>0</v>
      </c>
      <c r="P96" s="252">
        <v>0</v>
      </c>
      <c r="Q96" s="252">
        <v>0</v>
      </c>
      <c r="R96" s="252">
        <v>0</v>
      </c>
      <c r="S96" s="252">
        <v>0</v>
      </c>
      <c r="T96" s="252">
        <v>0</v>
      </c>
      <c r="U96" s="252">
        <v>0</v>
      </c>
      <c r="V96" s="252">
        <v>0</v>
      </c>
      <c r="W96" s="252">
        <v>0</v>
      </c>
      <c r="X96" s="252"/>
      <c r="Y96" s="252">
        <v>0</v>
      </c>
    </row>
    <row r="97" spans="1:25" x14ac:dyDescent="0.3">
      <c r="A97" s="253" t="s">
        <v>192</v>
      </c>
      <c r="B97" s="252">
        <v>0</v>
      </c>
      <c r="C97" s="252">
        <v>0</v>
      </c>
      <c r="D97" s="252">
        <v>0</v>
      </c>
      <c r="E97" s="252">
        <v>0</v>
      </c>
      <c r="F97" s="252">
        <v>0</v>
      </c>
      <c r="G97" s="252">
        <v>0</v>
      </c>
      <c r="H97" s="252">
        <v>0</v>
      </c>
      <c r="I97" s="252"/>
      <c r="J97" s="252"/>
      <c r="K97" s="252">
        <v>0</v>
      </c>
      <c r="L97" s="252"/>
      <c r="M97" s="252">
        <v>0</v>
      </c>
      <c r="N97" s="252">
        <v>0</v>
      </c>
      <c r="O97" s="252">
        <v>0</v>
      </c>
      <c r="P97" s="252"/>
      <c r="Q97" s="252">
        <v>0</v>
      </c>
      <c r="R97" s="252"/>
      <c r="S97" s="252">
        <v>0</v>
      </c>
      <c r="T97" s="252">
        <v>0</v>
      </c>
      <c r="U97" s="252"/>
      <c r="V97" s="252">
        <v>0</v>
      </c>
      <c r="W97" s="252">
        <v>0</v>
      </c>
      <c r="X97" s="252"/>
      <c r="Y97" s="252">
        <v>0</v>
      </c>
    </row>
    <row r="98" spans="1:25" x14ac:dyDescent="0.3">
      <c r="A98" s="253" t="s">
        <v>193</v>
      </c>
      <c r="B98" s="252">
        <v>0</v>
      </c>
      <c r="C98" s="252">
        <v>0</v>
      </c>
      <c r="D98" s="252">
        <v>0</v>
      </c>
      <c r="E98" s="252">
        <v>0</v>
      </c>
      <c r="F98" s="252">
        <v>0</v>
      </c>
      <c r="G98" s="252">
        <v>0</v>
      </c>
      <c r="H98" s="252">
        <v>0</v>
      </c>
      <c r="I98" s="252"/>
      <c r="J98" s="252"/>
      <c r="K98" s="252">
        <v>0</v>
      </c>
      <c r="L98" s="252"/>
      <c r="M98" s="252">
        <v>0</v>
      </c>
      <c r="N98" s="252">
        <v>0</v>
      </c>
      <c r="O98" s="252">
        <v>0</v>
      </c>
      <c r="P98" s="252"/>
      <c r="Q98" s="252">
        <v>0</v>
      </c>
      <c r="R98" s="252"/>
      <c r="S98" s="252">
        <v>0</v>
      </c>
      <c r="T98" s="252">
        <v>0</v>
      </c>
      <c r="U98" s="252"/>
      <c r="V98" s="252">
        <v>0</v>
      </c>
      <c r="W98" s="252">
        <v>0</v>
      </c>
      <c r="X98" s="252"/>
      <c r="Y98" s="252">
        <v>0</v>
      </c>
    </row>
    <row r="99" spans="1:25" x14ac:dyDescent="0.3">
      <c r="A99" s="253" t="s">
        <v>194</v>
      </c>
      <c r="B99" s="252">
        <v>0</v>
      </c>
      <c r="C99" s="252">
        <v>0</v>
      </c>
      <c r="D99" s="252">
        <v>0</v>
      </c>
      <c r="E99" s="252">
        <v>0</v>
      </c>
      <c r="F99" s="252">
        <v>0</v>
      </c>
      <c r="G99" s="252">
        <v>0</v>
      </c>
      <c r="H99" s="252">
        <v>0</v>
      </c>
      <c r="I99" s="252"/>
      <c r="J99" s="252"/>
      <c r="K99" s="252">
        <v>0</v>
      </c>
      <c r="L99" s="252"/>
      <c r="M99" s="252">
        <v>0</v>
      </c>
      <c r="N99" s="252">
        <v>0</v>
      </c>
      <c r="O99" s="252">
        <v>0</v>
      </c>
      <c r="P99" s="252"/>
      <c r="Q99" s="252">
        <v>0</v>
      </c>
      <c r="R99" s="252"/>
      <c r="S99" s="252">
        <v>0</v>
      </c>
      <c r="T99" s="252">
        <v>0</v>
      </c>
      <c r="U99" s="252"/>
      <c r="V99" s="252">
        <v>0</v>
      </c>
      <c r="W99" s="252">
        <v>0</v>
      </c>
      <c r="X99" s="252"/>
      <c r="Y99" s="252">
        <v>0</v>
      </c>
    </row>
    <row r="100" spans="1:25" x14ac:dyDescent="0.3">
      <c r="A100" s="253" t="s">
        <v>195</v>
      </c>
      <c r="B100" s="252">
        <v>0</v>
      </c>
      <c r="C100" s="252">
        <v>0</v>
      </c>
      <c r="D100" s="252">
        <v>0</v>
      </c>
      <c r="E100" s="252">
        <v>0</v>
      </c>
      <c r="F100" s="252">
        <v>0</v>
      </c>
      <c r="G100" s="252">
        <v>0</v>
      </c>
      <c r="H100" s="252">
        <v>0</v>
      </c>
      <c r="I100" s="252"/>
      <c r="J100" s="252"/>
      <c r="K100" s="252">
        <v>0</v>
      </c>
      <c r="L100" s="252"/>
      <c r="M100" s="252">
        <v>0</v>
      </c>
      <c r="N100" s="252">
        <v>0</v>
      </c>
      <c r="O100" s="252">
        <v>0</v>
      </c>
      <c r="P100" s="252"/>
      <c r="Q100" s="252">
        <v>0</v>
      </c>
      <c r="R100" s="252"/>
      <c r="S100" s="252">
        <v>0</v>
      </c>
      <c r="T100" s="252">
        <v>0</v>
      </c>
      <c r="U100" s="252"/>
      <c r="V100" s="252">
        <v>0</v>
      </c>
      <c r="W100" s="252">
        <v>0</v>
      </c>
      <c r="X100" s="252"/>
      <c r="Y100" s="252">
        <v>0</v>
      </c>
    </row>
    <row r="101" spans="1:25" x14ac:dyDescent="0.3">
      <c r="A101" s="253" t="s">
        <v>1097</v>
      </c>
      <c r="B101" s="252">
        <v>0</v>
      </c>
      <c r="C101" s="252">
        <v>0</v>
      </c>
      <c r="D101" s="252">
        <v>0</v>
      </c>
      <c r="E101" s="252">
        <v>0</v>
      </c>
      <c r="F101" s="252">
        <v>0</v>
      </c>
      <c r="G101" s="252">
        <v>0</v>
      </c>
      <c r="H101" s="252">
        <v>0</v>
      </c>
      <c r="I101" s="252">
        <v>0</v>
      </c>
      <c r="J101" s="252">
        <v>0</v>
      </c>
      <c r="K101" s="252">
        <v>0</v>
      </c>
      <c r="L101" s="252">
        <v>0</v>
      </c>
      <c r="M101" s="252">
        <v>0</v>
      </c>
      <c r="N101" s="252">
        <v>0</v>
      </c>
      <c r="O101" s="252">
        <v>0</v>
      </c>
      <c r="P101" s="252">
        <v>0</v>
      </c>
      <c r="Q101" s="252">
        <v>0</v>
      </c>
      <c r="R101" s="252">
        <v>0</v>
      </c>
      <c r="S101" s="252">
        <v>0</v>
      </c>
      <c r="T101" s="252">
        <v>0</v>
      </c>
      <c r="U101" s="252">
        <v>0</v>
      </c>
      <c r="V101" s="252">
        <v>0</v>
      </c>
      <c r="W101" s="252">
        <v>0</v>
      </c>
      <c r="X101" s="252">
        <v>0</v>
      </c>
      <c r="Y101" s="252">
        <v>0</v>
      </c>
    </row>
    <row r="102" spans="1:25" x14ac:dyDescent="0.3">
      <c r="A102" s="253" t="s">
        <v>196</v>
      </c>
      <c r="B102" s="252">
        <v>0</v>
      </c>
      <c r="C102" s="252">
        <v>0</v>
      </c>
      <c r="D102" s="252">
        <v>0</v>
      </c>
      <c r="E102" s="252">
        <v>0</v>
      </c>
      <c r="F102" s="252">
        <v>0</v>
      </c>
      <c r="G102" s="252">
        <v>0</v>
      </c>
      <c r="H102" s="252">
        <v>0</v>
      </c>
      <c r="I102" s="252"/>
      <c r="J102" s="252">
        <v>0</v>
      </c>
      <c r="K102" s="252">
        <v>0</v>
      </c>
      <c r="L102" s="252"/>
      <c r="M102" s="252">
        <v>0</v>
      </c>
      <c r="N102" s="252">
        <v>0</v>
      </c>
      <c r="O102" s="252">
        <v>0</v>
      </c>
      <c r="P102" s="252"/>
      <c r="Q102" s="252">
        <v>0</v>
      </c>
      <c r="R102" s="252"/>
      <c r="S102" s="252">
        <v>0</v>
      </c>
      <c r="T102" s="252">
        <v>0</v>
      </c>
      <c r="U102" s="252"/>
      <c r="V102" s="252">
        <v>0</v>
      </c>
      <c r="W102" s="252">
        <v>0</v>
      </c>
      <c r="X102" s="252"/>
      <c r="Y102" s="252">
        <v>0</v>
      </c>
    </row>
    <row r="103" spans="1:25" x14ac:dyDescent="0.3">
      <c r="A103" s="253" t="s">
        <v>1117</v>
      </c>
      <c r="B103" s="252">
        <v>0</v>
      </c>
      <c r="C103" s="252">
        <v>0</v>
      </c>
      <c r="D103" s="252">
        <v>0</v>
      </c>
      <c r="E103" s="252">
        <v>0</v>
      </c>
      <c r="F103" s="252">
        <v>0</v>
      </c>
      <c r="G103" s="252">
        <v>0</v>
      </c>
      <c r="H103" s="252">
        <v>0</v>
      </c>
      <c r="I103" s="252">
        <v>0</v>
      </c>
      <c r="J103" s="252">
        <v>0</v>
      </c>
      <c r="K103" s="252">
        <v>0</v>
      </c>
      <c r="L103" s="252">
        <v>0</v>
      </c>
      <c r="M103" s="252">
        <v>0</v>
      </c>
      <c r="N103" s="252">
        <v>0</v>
      </c>
      <c r="O103" s="252">
        <v>0</v>
      </c>
      <c r="P103" s="252">
        <v>0</v>
      </c>
      <c r="Q103" s="252">
        <v>0</v>
      </c>
      <c r="R103" s="252">
        <v>0</v>
      </c>
      <c r="S103" s="252">
        <v>0</v>
      </c>
      <c r="T103" s="252">
        <v>0</v>
      </c>
      <c r="U103" s="252">
        <v>0</v>
      </c>
      <c r="V103" s="252">
        <v>0</v>
      </c>
      <c r="W103" s="252">
        <v>0</v>
      </c>
      <c r="X103" s="252">
        <v>0</v>
      </c>
      <c r="Y103" s="252">
        <v>0</v>
      </c>
    </row>
    <row r="104" spans="1:25" x14ac:dyDescent="0.3">
      <c r="A104" s="253" t="s">
        <v>77</v>
      </c>
      <c r="B104" s="252">
        <v>0</v>
      </c>
      <c r="C104" s="252">
        <v>0</v>
      </c>
      <c r="D104" s="252">
        <v>0</v>
      </c>
      <c r="E104" s="252">
        <v>2</v>
      </c>
      <c r="F104" s="252">
        <v>0</v>
      </c>
      <c r="G104" s="252">
        <v>2</v>
      </c>
      <c r="H104" s="252">
        <v>1</v>
      </c>
      <c r="I104" s="252">
        <v>0</v>
      </c>
      <c r="J104" s="252">
        <v>2</v>
      </c>
      <c r="K104" s="252">
        <v>1</v>
      </c>
      <c r="L104" s="252">
        <v>0</v>
      </c>
      <c r="M104" s="252">
        <v>1</v>
      </c>
      <c r="N104" s="252">
        <v>0</v>
      </c>
      <c r="O104" s="252">
        <v>1</v>
      </c>
      <c r="P104" s="252">
        <v>1</v>
      </c>
      <c r="Q104" s="252">
        <v>2</v>
      </c>
      <c r="R104" s="252">
        <v>2</v>
      </c>
      <c r="S104" s="252">
        <v>0</v>
      </c>
      <c r="T104" s="252">
        <v>1</v>
      </c>
      <c r="U104" s="252">
        <v>0</v>
      </c>
      <c r="V104" s="252">
        <v>2</v>
      </c>
      <c r="W104" s="252">
        <v>1</v>
      </c>
      <c r="X104" s="252">
        <v>2</v>
      </c>
      <c r="Y104" s="252">
        <v>21</v>
      </c>
    </row>
    <row r="105" spans="1:25" x14ac:dyDescent="0.3">
      <c r="A105" s="253" t="s">
        <v>1123</v>
      </c>
      <c r="B105" s="252">
        <v>0</v>
      </c>
      <c r="C105" s="252">
        <v>0</v>
      </c>
      <c r="D105" s="252">
        <v>0</v>
      </c>
      <c r="E105" s="252">
        <v>0</v>
      </c>
      <c r="F105" s="252">
        <v>0</v>
      </c>
      <c r="G105" s="252">
        <v>0</v>
      </c>
      <c r="H105" s="252">
        <v>0</v>
      </c>
      <c r="I105" s="252">
        <v>0</v>
      </c>
      <c r="J105" s="252">
        <v>0</v>
      </c>
      <c r="K105" s="252">
        <v>0</v>
      </c>
      <c r="L105" s="252">
        <v>0</v>
      </c>
      <c r="M105" s="252">
        <v>1</v>
      </c>
      <c r="N105" s="252">
        <v>0</v>
      </c>
      <c r="O105" s="252">
        <v>0</v>
      </c>
      <c r="P105" s="252">
        <v>0</v>
      </c>
      <c r="Q105" s="252">
        <v>0</v>
      </c>
      <c r="R105" s="252">
        <v>0</v>
      </c>
      <c r="S105" s="252">
        <v>0</v>
      </c>
      <c r="T105" s="252">
        <v>0</v>
      </c>
      <c r="U105" s="252">
        <v>0</v>
      </c>
      <c r="V105" s="252">
        <v>0</v>
      </c>
      <c r="W105" s="252">
        <v>0</v>
      </c>
      <c r="X105" s="252">
        <v>0</v>
      </c>
      <c r="Y105" s="252">
        <v>1</v>
      </c>
    </row>
    <row r="106" spans="1:25" x14ac:dyDescent="0.3">
      <c r="A106" s="253" t="s">
        <v>1124</v>
      </c>
      <c r="B106" s="252">
        <v>0</v>
      </c>
      <c r="C106" s="252">
        <v>0</v>
      </c>
      <c r="D106" s="252">
        <v>0</v>
      </c>
      <c r="E106" s="252">
        <v>0</v>
      </c>
      <c r="F106" s="252">
        <v>0</v>
      </c>
      <c r="G106" s="252">
        <v>0</v>
      </c>
      <c r="H106" s="252">
        <v>0</v>
      </c>
      <c r="I106" s="252">
        <v>0</v>
      </c>
      <c r="J106" s="252">
        <v>0</v>
      </c>
      <c r="K106" s="252">
        <v>0</v>
      </c>
      <c r="L106" s="252">
        <v>0</v>
      </c>
      <c r="M106" s="252">
        <v>0</v>
      </c>
      <c r="N106" s="252">
        <v>0</v>
      </c>
      <c r="O106" s="252">
        <v>0</v>
      </c>
      <c r="P106" s="252">
        <v>0</v>
      </c>
      <c r="Q106" s="252">
        <v>0</v>
      </c>
      <c r="R106" s="252">
        <v>0</v>
      </c>
      <c r="S106" s="252">
        <v>0</v>
      </c>
      <c r="T106" s="252">
        <v>0</v>
      </c>
      <c r="U106" s="252">
        <v>0</v>
      </c>
      <c r="V106" s="252">
        <v>0</v>
      </c>
      <c r="W106" s="252">
        <v>0</v>
      </c>
      <c r="X106" s="252">
        <v>0</v>
      </c>
      <c r="Y106" s="252">
        <v>0</v>
      </c>
    </row>
    <row r="107" spans="1:25" x14ac:dyDescent="0.3">
      <c r="A107" s="253" t="s">
        <v>197</v>
      </c>
      <c r="B107" s="252">
        <v>0</v>
      </c>
      <c r="C107" s="252">
        <v>0</v>
      </c>
      <c r="D107" s="252">
        <v>0</v>
      </c>
      <c r="E107" s="252">
        <v>0</v>
      </c>
      <c r="F107" s="252">
        <v>0</v>
      </c>
      <c r="G107" s="252">
        <v>0</v>
      </c>
      <c r="H107" s="252">
        <v>0</v>
      </c>
      <c r="I107" s="252"/>
      <c r="J107" s="252">
        <v>0</v>
      </c>
      <c r="K107" s="252">
        <v>0</v>
      </c>
      <c r="L107" s="252"/>
      <c r="M107" s="252">
        <v>0</v>
      </c>
      <c r="N107" s="252">
        <v>0</v>
      </c>
      <c r="O107" s="252">
        <v>0</v>
      </c>
      <c r="P107" s="252"/>
      <c r="Q107" s="252">
        <v>0</v>
      </c>
      <c r="R107" s="252"/>
      <c r="S107" s="252">
        <v>0</v>
      </c>
      <c r="T107" s="252">
        <v>0</v>
      </c>
      <c r="U107" s="252"/>
      <c r="V107" s="252">
        <v>0</v>
      </c>
      <c r="W107" s="252">
        <v>0</v>
      </c>
      <c r="X107" s="252"/>
      <c r="Y107" s="252">
        <v>0</v>
      </c>
    </row>
    <row r="108" spans="1:25" x14ac:dyDescent="0.3">
      <c r="A108" s="253" t="s">
        <v>198</v>
      </c>
      <c r="B108" s="252">
        <v>0</v>
      </c>
      <c r="C108" s="252">
        <v>0</v>
      </c>
      <c r="D108" s="252">
        <v>0</v>
      </c>
      <c r="E108" s="252">
        <v>0</v>
      </c>
      <c r="F108" s="252">
        <v>0</v>
      </c>
      <c r="G108" s="252">
        <v>0</v>
      </c>
      <c r="H108" s="252">
        <v>0</v>
      </c>
      <c r="I108" s="252"/>
      <c r="J108" s="252"/>
      <c r="K108" s="252">
        <v>0</v>
      </c>
      <c r="L108" s="252"/>
      <c r="M108" s="252">
        <v>0</v>
      </c>
      <c r="N108" s="252">
        <v>0</v>
      </c>
      <c r="O108" s="252">
        <v>0</v>
      </c>
      <c r="P108" s="252"/>
      <c r="Q108" s="252">
        <v>0</v>
      </c>
      <c r="R108" s="252"/>
      <c r="S108" s="252">
        <v>0</v>
      </c>
      <c r="T108" s="252">
        <v>0</v>
      </c>
      <c r="U108" s="252"/>
      <c r="V108" s="252">
        <v>0</v>
      </c>
      <c r="W108" s="252">
        <v>0</v>
      </c>
      <c r="X108" s="252"/>
      <c r="Y108" s="252">
        <v>0</v>
      </c>
    </row>
    <row r="109" spans="1:25" x14ac:dyDescent="0.3">
      <c r="A109" s="253" t="s">
        <v>199</v>
      </c>
      <c r="B109" s="252">
        <v>0</v>
      </c>
      <c r="C109" s="252">
        <v>0</v>
      </c>
      <c r="D109" s="252">
        <v>0</v>
      </c>
      <c r="E109" s="252">
        <v>0</v>
      </c>
      <c r="F109" s="252">
        <v>0</v>
      </c>
      <c r="G109" s="252">
        <v>0</v>
      </c>
      <c r="H109" s="252">
        <v>0</v>
      </c>
      <c r="I109" s="252"/>
      <c r="J109" s="252"/>
      <c r="K109" s="252">
        <v>0</v>
      </c>
      <c r="L109" s="252"/>
      <c r="M109" s="252">
        <v>0</v>
      </c>
      <c r="N109" s="252">
        <v>0</v>
      </c>
      <c r="O109" s="252">
        <v>0</v>
      </c>
      <c r="P109" s="252"/>
      <c r="Q109" s="252">
        <v>0</v>
      </c>
      <c r="R109" s="252"/>
      <c r="S109" s="252"/>
      <c r="T109" s="252">
        <v>0</v>
      </c>
      <c r="U109" s="252"/>
      <c r="V109" s="252">
        <v>0</v>
      </c>
      <c r="W109" s="252">
        <v>0</v>
      </c>
      <c r="X109" s="252"/>
      <c r="Y109" s="252">
        <v>0</v>
      </c>
    </row>
    <row r="110" spans="1:25" x14ac:dyDescent="0.3">
      <c r="A110" s="253" t="s">
        <v>200</v>
      </c>
      <c r="B110" s="252">
        <v>0</v>
      </c>
      <c r="C110" s="252">
        <v>0</v>
      </c>
      <c r="D110" s="252">
        <v>0</v>
      </c>
      <c r="E110" s="252">
        <v>0</v>
      </c>
      <c r="F110" s="252">
        <v>0</v>
      </c>
      <c r="G110" s="252">
        <v>0</v>
      </c>
      <c r="H110" s="252">
        <v>0</v>
      </c>
      <c r="I110" s="252"/>
      <c r="J110" s="252"/>
      <c r="K110" s="252">
        <v>0</v>
      </c>
      <c r="L110" s="252"/>
      <c r="M110" s="252">
        <v>0</v>
      </c>
      <c r="N110" s="252">
        <v>0</v>
      </c>
      <c r="O110" s="252">
        <v>0</v>
      </c>
      <c r="P110" s="252"/>
      <c r="Q110" s="252">
        <v>0</v>
      </c>
      <c r="R110" s="252"/>
      <c r="S110" s="252"/>
      <c r="T110" s="252">
        <v>0</v>
      </c>
      <c r="U110" s="252"/>
      <c r="V110" s="252">
        <v>0</v>
      </c>
      <c r="W110" s="252">
        <v>0</v>
      </c>
      <c r="X110" s="252"/>
      <c r="Y110" s="252">
        <v>0</v>
      </c>
    </row>
    <row r="111" spans="1:25" x14ac:dyDescent="0.3">
      <c r="A111" s="253" t="s">
        <v>201</v>
      </c>
      <c r="B111" s="252">
        <v>0</v>
      </c>
      <c r="C111" s="252">
        <v>0</v>
      </c>
      <c r="D111" s="252">
        <v>0</v>
      </c>
      <c r="E111" s="252">
        <v>0</v>
      </c>
      <c r="F111" s="252">
        <v>0</v>
      </c>
      <c r="G111" s="252">
        <v>0</v>
      </c>
      <c r="H111" s="252">
        <v>0</v>
      </c>
      <c r="I111" s="252"/>
      <c r="J111" s="252"/>
      <c r="K111" s="252">
        <v>0</v>
      </c>
      <c r="L111" s="252"/>
      <c r="M111" s="252">
        <v>0</v>
      </c>
      <c r="N111" s="252">
        <v>0</v>
      </c>
      <c r="O111" s="252">
        <v>0</v>
      </c>
      <c r="P111" s="252"/>
      <c r="Q111" s="252">
        <v>0</v>
      </c>
      <c r="R111" s="252"/>
      <c r="S111" s="252"/>
      <c r="T111" s="252">
        <v>0</v>
      </c>
      <c r="U111" s="252"/>
      <c r="V111" s="252">
        <v>0</v>
      </c>
      <c r="W111" s="252">
        <v>0</v>
      </c>
      <c r="X111" s="252"/>
      <c r="Y111" s="252">
        <v>0</v>
      </c>
    </row>
    <row r="112" spans="1:25" x14ac:dyDescent="0.3">
      <c r="A112" s="253" t="s">
        <v>202</v>
      </c>
      <c r="B112" s="252">
        <v>0</v>
      </c>
      <c r="C112" s="252">
        <v>0</v>
      </c>
      <c r="D112" s="252">
        <v>0</v>
      </c>
      <c r="E112" s="252"/>
      <c r="F112" s="252">
        <v>0</v>
      </c>
      <c r="G112" s="252">
        <v>0</v>
      </c>
      <c r="H112" s="252">
        <v>0</v>
      </c>
      <c r="I112" s="252"/>
      <c r="J112" s="252"/>
      <c r="K112" s="252">
        <v>0</v>
      </c>
      <c r="L112" s="252"/>
      <c r="M112" s="252">
        <v>0</v>
      </c>
      <c r="N112" s="252">
        <v>0</v>
      </c>
      <c r="O112" s="252">
        <v>0</v>
      </c>
      <c r="P112" s="252"/>
      <c r="Q112" s="252">
        <v>0</v>
      </c>
      <c r="R112" s="252"/>
      <c r="S112" s="252"/>
      <c r="T112" s="252">
        <v>0</v>
      </c>
      <c r="U112" s="252"/>
      <c r="V112" s="252">
        <v>0</v>
      </c>
      <c r="W112" s="252">
        <v>0</v>
      </c>
      <c r="X112" s="252"/>
      <c r="Y112" s="252">
        <v>0</v>
      </c>
    </row>
    <row r="113" spans="1:25" x14ac:dyDescent="0.3">
      <c r="A113" s="253" t="s">
        <v>203</v>
      </c>
      <c r="B113" s="252">
        <v>0</v>
      </c>
      <c r="C113" s="252"/>
      <c r="D113" s="252">
        <v>0</v>
      </c>
      <c r="E113" s="252">
        <v>0</v>
      </c>
      <c r="F113" s="252">
        <v>0</v>
      </c>
      <c r="G113" s="252">
        <v>0</v>
      </c>
      <c r="H113" s="252">
        <v>0</v>
      </c>
      <c r="I113" s="252"/>
      <c r="J113" s="252"/>
      <c r="K113" s="252">
        <v>0</v>
      </c>
      <c r="L113" s="252"/>
      <c r="M113" s="252">
        <v>0</v>
      </c>
      <c r="N113" s="252">
        <v>0</v>
      </c>
      <c r="O113" s="252">
        <v>0</v>
      </c>
      <c r="P113" s="252"/>
      <c r="Q113" s="252">
        <v>0</v>
      </c>
      <c r="R113" s="252"/>
      <c r="S113" s="252"/>
      <c r="T113" s="252">
        <v>0</v>
      </c>
      <c r="U113" s="252"/>
      <c r="V113" s="252">
        <v>0</v>
      </c>
      <c r="W113" s="252">
        <v>0</v>
      </c>
      <c r="X113" s="252"/>
      <c r="Y113" s="252">
        <v>0</v>
      </c>
    </row>
    <row r="114" spans="1:25" x14ac:dyDescent="0.3">
      <c r="A114" s="253" t="s">
        <v>204</v>
      </c>
      <c r="B114" s="252">
        <v>0</v>
      </c>
      <c r="C114" s="252">
        <v>0</v>
      </c>
      <c r="D114" s="252">
        <v>0</v>
      </c>
      <c r="E114" s="252">
        <v>0</v>
      </c>
      <c r="F114" s="252">
        <v>0</v>
      </c>
      <c r="G114" s="252">
        <v>0</v>
      </c>
      <c r="H114" s="252">
        <v>0</v>
      </c>
      <c r="I114" s="252">
        <v>0</v>
      </c>
      <c r="J114" s="252">
        <v>0</v>
      </c>
      <c r="K114" s="252">
        <v>0</v>
      </c>
      <c r="L114" s="252">
        <v>0</v>
      </c>
      <c r="M114" s="252">
        <v>0</v>
      </c>
      <c r="N114" s="252">
        <v>0</v>
      </c>
      <c r="O114" s="252">
        <v>0</v>
      </c>
      <c r="P114" s="252">
        <v>0</v>
      </c>
      <c r="Q114" s="252">
        <v>0</v>
      </c>
      <c r="R114" s="252">
        <v>0</v>
      </c>
      <c r="S114" s="252">
        <v>0</v>
      </c>
      <c r="T114" s="252">
        <v>0</v>
      </c>
      <c r="U114" s="252">
        <v>0</v>
      </c>
      <c r="V114" s="252">
        <v>0</v>
      </c>
      <c r="W114" s="252">
        <v>0</v>
      </c>
      <c r="X114" s="252">
        <v>0</v>
      </c>
      <c r="Y114" s="252">
        <v>0</v>
      </c>
    </row>
    <row r="115" spans="1:25" x14ac:dyDescent="0.3">
      <c r="A115" s="253" t="s">
        <v>205</v>
      </c>
      <c r="B115" s="252">
        <v>0</v>
      </c>
      <c r="C115" s="252">
        <v>0</v>
      </c>
      <c r="D115" s="252">
        <v>0</v>
      </c>
      <c r="E115" s="252">
        <v>0</v>
      </c>
      <c r="F115" s="252">
        <v>0</v>
      </c>
      <c r="G115" s="252">
        <v>0</v>
      </c>
      <c r="H115" s="252">
        <v>0</v>
      </c>
      <c r="I115" s="252">
        <v>0</v>
      </c>
      <c r="J115" s="252">
        <v>0</v>
      </c>
      <c r="K115" s="252">
        <v>0</v>
      </c>
      <c r="L115" s="252">
        <v>0</v>
      </c>
      <c r="M115" s="252">
        <v>0</v>
      </c>
      <c r="N115" s="252">
        <v>0</v>
      </c>
      <c r="O115" s="252">
        <v>0</v>
      </c>
      <c r="P115" s="252">
        <v>0</v>
      </c>
      <c r="Q115" s="252">
        <v>0</v>
      </c>
      <c r="R115" s="252">
        <v>0</v>
      </c>
      <c r="S115" s="252">
        <v>0</v>
      </c>
      <c r="T115" s="252">
        <v>0</v>
      </c>
      <c r="U115" s="252">
        <v>0</v>
      </c>
      <c r="V115" s="252">
        <v>0</v>
      </c>
      <c r="W115" s="252">
        <v>0</v>
      </c>
      <c r="X115" s="252">
        <v>0</v>
      </c>
      <c r="Y115" s="252">
        <v>0</v>
      </c>
    </row>
    <row r="116" spans="1:25" x14ac:dyDescent="0.3">
      <c r="A116" s="253" t="s">
        <v>206</v>
      </c>
      <c r="B116" s="252">
        <v>0</v>
      </c>
      <c r="C116" s="252"/>
      <c r="D116" s="252">
        <v>0</v>
      </c>
      <c r="E116" s="252">
        <v>0</v>
      </c>
      <c r="F116" s="252">
        <v>0</v>
      </c>
      <c r="G116" s="252">
        <v>0</v>
      </c>
      <c r="H116" s="252">
        <v>0</v>
      </c>
      <c r="I116" s="252"/>
      <c r="J116" s="252"/>
      <c r="K116" s="252">
        <v>0</v>
      </c>
      <c r="L116" s="252"/>
      <c r="M116" s="252">
        <v>0</v>
      </c>
      <c r="N116" s="252">
        <v>0</v>
      </c>
      <c r="O116" s="252">
        <v>0</v>
      </c>
      <c r="P116" s="252"/>
      <c r="Q116" s="252">
        <v>0</v>
      </c>
      <c r="R116" s="252"/>
      <c r="S116" s="252"/>
      <c r="T116" s="252">
        <v>0</v>
      </c>
      <c r="U116" s="252"/>
      <c r="V116" s="252">
        <v>0</v>
      </c>
      <c r="W116" s="252">
        <v>0</v>
      </c>
      <c r="X116" s="252"/>
      <c r="Y116" s="252">
        <v>0</v>
      </c>
    </row>
    <row r="117" spans="1:25" x14ac:dyDescent="0.3">
      <c r="A117" s="253" t="s">
        <v>207</v>
      </c>
      <c r="B117" s="252">
        <v>0</v>
      </c>
      <c r="C117" s="252">
        <v>0</v>
      </c>
      <c r="D117" s="252">
        <v>0</v>
      </c>
      <c r="E117" s="252">
        <v>0</v>
      </c>
      <c r="F117" s="252">
        <v>0</v>
      </c>
      <c r="G117" s="252">
        <v>0</v>
      </c>
      <c r="H117" s="252">
        <v>0</v>
      </c>
      <c r="I117" s="252">
        <v>0</v>
      </c>
      <c r="J117" s="252">
        <v>0</v>
      </c>
      <c r="K117" s="252">
        <v>0</v>
      </c>
      <c r="L117" s="252"/>
      <c r="M117" s="252">
        <v>0</v>
      </c>
      <c r="N117" s="252">
        <v>0</v>
      </c>
      <c r="O117" s="252">
        <v>0</v>
      </c>
      <c r="P117" s="252"/>
      <c r="Q117" s="252">
        <v>0</v>
      </c>
      <c r="R117" s="252"/>
      <c r="S117" s="252">
        <v>0</v>
      </c>
      <c r="T117" s="252">
        <v>0</v>
      </c>
      <c r="U117" s="252"/>
      <c r="V117" s="252">
        <v>0</v>
      </c>
      <c r="W117" s="252">
        <v>0</v>
      </c>
      <c r="X117" s="252"/>
      <c r="Y117" s="252">
        <v>0</v>
      </c>
    </row>
    <row r="118" spans="1:25" x14ac:dyDescent="0.3">
      <c r="A118" s="253" t="s">
        <v>208</v>
      </c>
      <c r="B118" s="252">
        <v>0</v>
      </c>
      <c r="C118" s="252">
        <v>0</v>
      </c>
      <c r="D118" s="252">
        <v>0</v>
      </c>
      <c r="E118" s="252">
        <v>0</v>
      </c>
      <c r="F118" s="252">
        <v>0</v>
      </c>
      <c r="G118" s="252">
        <v>0</v>
      </c>
      <c r="H118" s="252">
        <v>0</v>
      </c>
      <c r="I118" s="252">
        <v>0</v>
      </c>
      <c r="J118" s="252">
        <v>0</v>
      </c>
      <c r="K118" s="252">
        <v>0</v>
      </c>
      <c r="L118" s="252"/>
      <c r="M118" s="252">
        <v>0</v>
      </c>
      <c r="N118" s="252">
        <v>0</v>
      </c>
      <c r="O118" s="252">
        <v>0</v>
      </c>
      <c r="P118" s="252"/>
      <c r="Q118" s="252">
        <v>0</v>
      </c>
      <c r="R118" s="252"/>
      <c r="S118" s="252">
        <v>0</v>
      </c>
      <c r="T118" s="252">
        <v>0</v>
      </c>
      <c r="U118" s="252"/>
      <c r="V118" s="252">
        <v>0</v>
      </c>
      <c r="W118" s="252">
        <v>0</v>
      </c>
      <c r="X118" s="252"/>
      <c r="Y118" s="252">
        <v>0</v>
      </c>
    </row>
    <row r="119" spans="1:25" x14ac:dyDescent="0.3">
      <c r="A119" s="253" t="s">
        <v>209</v>
      </c>
      <c r="B119" s="252">
        <v>0</v>
      </c>
      <c r="C119" s="252">
        <v>0</v>
      </c>
      <c r="D119" s="252">
        <v>0</v>
      </c>
      <c r="E119" s="252">
        <v>0</v>
      </c>
      <c r="F119" s="252">
        <v>0</v>
      </c>
      <c r="G119" s="252">
        <v>0</v>
      </c>
      <c r="H119" s="252">
        <v>0</v>
      </c>
      <c r="I119" s="252"/>
      <c r="J119" s="252"/>
      <c r="K119" s="252">
        <v>0</v>
      </c>
      <c r="L119" s="252"/>
      <c r="M119" s="252">
        <v>0</v>
      </c>
      <c r="N119" s="252">
        <v>0</v>
      </c>
      <c r="O119" s="252">
        <v>0</v>
      </c>
      <c r="P119" s="252"/>
      <c r="Q119" s="252">
        <v>0</v>
      </c>
      <c r="R119" s="252"/>
      <c r="S119" s="252">
        <v>0</v>
      </c>
      <c r="T119" s="252">
        <v>0</v>
      </c>
      <c r="U119" s="252"/>
      <c r="V119" s="252">
        <v>0</v>
      </c>
      <c r="W119" s="252">
        <v>0</v>
      </c>
      <c r="X119" s="252"/>
      <c r="Y119" s="252">
        <v>0</v>
      </c>
    </row>
    <row r="120" spans="1:25" x14ac:dyDescent="0.3">
      <c r="A120" s="253" t="s">
        <v>210</v>
      </c>
      <c r="B120" s="252">
        <v>0</v>
      </c>
      <c r="C120" s="252">
        <v>0</v>
      </c>
      <c r="D120" s="252">
        <v>0</v>
      </c>
      <c r="E120" s="252">
        <v>0</v>
      </c>
      <c r="F120" s="252">
        <v>0</v>
      </c>
      <c r="G120" s="252">
        <v>0</v>
      </c>
      <c r="H120" s="252">
        <v>0</v>
      </c>
      <c r="I120" s="252">
        <v>0</v>
      </c>
      <c r="J120" s="252">
        <v>0</v>
      </c>
      <c r="K120" s="252">
        <v>0</v>
      </c>
      <c r="L120" s="252"/>
      <c r="M120" s="252">
        <v>0</v>
      </c>
      <c r="N120" s="252">
        <v>0</v>
      </c>
      <c r="O120" s="252">
        <v>0</v>
      </c>
      <c r="P120" s="252">
        <v>0</v>
      </c>
      <c r="Q120" s="252">
        <v>0</v>
      </c>
      <c r="R120" s="252">
        <v>0</v>
      </c>
      <c r="S120" s="252">
        <v>0</v>
      </c>
      <c r="T120" s="252">
        <v>0</v>
      </c>
      <c r="U120" s="252">
        <v>0</v>
      </c>
      <c r="V120" s="252">
        <v>0</v>
      </c>
      <c r="W120" s="252">
        <v>0</v>
      </c>
      <c r="X120" s="252">
        <v>0</v>
      </c>
      <c r="Y120" s="252">
        <v>0</v>
      </c>
    </row>
    <row r="121" spans="1:25" x14ac:dyDescent="0.3">
      <c r="A121" s="253" t="s">
        <v>1081</v>
      </c>
      <c r="B121" s="252">
        <v>0</v>
      </c>
      <c r="C121" s="252">
        <v>0</v>
      </c>
      <c r="D121" s="252">
        <v>0</v>
      </c>
      <c r="E121" s="252">
        <v>0</v>
      </c>
      <c r="F121" s="252">
        <v>0</v>
      </c>
      <c r="G121" s="252">
        <v>0</v>
      </c>
      <c r="H121" s="252">
        <v>0</v>
      </c>
      <c r="I121" s="252">
        <v>0</v>
      </c>
      <c r="J121" s="252">
        <v>0</v>
      </c>
      <c r="K121" s="252">
        <v>0</v>
      </c>
      <c r="L121" s="252">
        <v>0</v>
      </c>
      <c r="M121" s="252">
        <v>0</v>
      </c>
      <c r="N121" s="252">
        <v>0</v>
      </c>
      <c r="O121" s="252">
        <v>0</v>
      </c>
      <c r="P121" s="252">
        <v>0</v>
      </c>
      <c r="Q121" s="252">
        <v>0</v>
      </c>
      <c r="R121" s="252">
        <v>0</v>
      </c>
      <c r="S121" s="252">
        <v>0</v>
      </c>
      <c r="T121" s="252">
        <v>0</v>
      </c>
      <c r="U121" s="252">
        <v>0</v>
      </c>
      <c r="V121" s="252">
        <v>0</v>
      </c>
      <c r="W121" s="252">
        <v>0</v>
      </c>
      <c r="X121" s="252">
        <v>0</v>
      </c>
      <c r="Y121" s="252">
        <v>0</v>
      </c>
    </row>
    <row r="122" spans="1:25" x14ac:dyDescent="0.3">
      <c r="A122" s="253" t="s">
        <v>1034</v>
      </c>
      <c r="B122" s="252">
        <v>0</v>
      </c>
      <c r="C122" s="252">
        <v>0</v>
      </c>
      <c r="D122" s="252">
        <v>0</v>
      </c>
      <c r="E122" s="252">
        <v>0</v>
      </c>
      <c r="F122" s="252">
        <v>0</v>
      </c>
      <c r="G122" s="252">
        <v>0</v>
      </c>
      <c r="H122" s="252">
        <v>0</v>
      </c>
      <c r="I122" s="252">
        <v>0</v>
      </c>
      <c r="J122" s="252">
        <v>0</v>
      </c>
      <c r="K122" s="252">
        <v>0</v>
      </c>
      <c r="L122" s="252">
        <v>0</v>
      </c>
      <c r="M122" s="252">
        <v>0</v>
      </c>
      <c r="N122" s="252">
        <v>0</v>
      </c>
      <c r="O122" s="252">
        <v>0</v>
      </c>
      <c r="P122" s="252">
        <v>0</v>
      </c>
      <c r="Q122" s="252">
        <v>0</v>
      </c>
      <c r="R122" s="252">
        <v>0</v>
      </c>
      <c r="S122" s="252">
        <v>0</v>
      </c>
      <c r="T122" s="252">
        <v>0</v>
      </c>
      <c r="U122" s="252">
        <v>0</v>
      </c>
      <c r="V122" s="252">
        <v>0</v>
      </c>
      <c r="W122" s="252">
        <v>0</v>
      </c>
      <c r="X122" s="252">
        <v>0</v>
      </c>
      <c r="Y122" s="252">
        <v>0</v>
      </c>
    </row>
    <row r="123" spans="1:25" x14ac:dyDescent="0.3">
      <c r="A123" s="253" t="s">
        <v>830</v>
      </c>
      <c r="B123" s="252">
        <v>0</v>
      </c>
      <c r="C123" s="252">
        <v>0</v>
      </c>
      <c r="D123" s="252">
        <v>0</v>
      </c>
      <c r="E123" s="252"/>
      <c r="F123" s="252">
        <v>0</v>
      </c>
      <c r="G123" s="252">
        <v>0</v>
      </c>
      <c r="H123" s="252">
        <v>0</v>
      </c>
      <c r="I123" s="252">
        <v>0</v>
      </c>
      <c r="J123" s="252">
        <v>0</v>
      </c>
      <c r="K123" s="252">
        <v>0</v>
      </c>
      <c r="L123" s="252"/>
      <c r="M123" s="252">
        <v>0</v>
      </c>
      <c r="N123" s="252">
        <v>0</v>
      </c>
      <c r="O123" s="252">
        <v>0</v>
      </c>
      <c r="P123" s="252"/>
      <c r="Q123" s="252">
        <v>0</v>
      </c>
      <c r="R123" s="252">
        <v>0</v>
      </c>
      <c r="S123" s="252">
        <v>0</v>
      </c>
      <c r="T123" s="252">
        <v>0</v>
      </c>
      <c r="U123" s="252"/>
      <c r="V123" s="252">
        <v>0</v>
      </c>
      <c r="W123" s="252">
        <v>0</v>
      </c>
      <c r="X123" s="252"/>
      <c r="Y123" s="252">
        <v>0</v>
      </c>
    </row>
    <row r="124" spans="1:25" x14ac:dyDescent="0.3">
      <c r="A124" s="253" t="s">
        <v>211</v>
      </c>
      <c r="B124" s="252">
        <v>18</v>
      </c>
      <c r="C124" s="252">
        <v>11</v>
      </c>
      <c r="D124" s="252">
        <v>0</v>
      </c>
      <c r="E124" s="252">
        <v>0</v>
      </c>
      <c r="F124" s="252">
        <v>1</v>
      </c>
      <c r="G124" s="252">
        <v>1</v>
      </c>
      <c r="H124" s="252">
        <v>9</v>
      </c>
      <c r="I124" s="252">
        <v>0</v>
      </c>
      <c r="J124" s="252">
        <v>0</v>
      </c>
      <c r="K124" s="252">
        <v>0</v>
      </c>
      <c r="L124" s="252">
        <v>4</v>
      </c>
      <c r="M124" s="252">
        <v>11</v>
      </c>
      <c r="N124" s="252">
        <v>1</v>
      </c>
      <c r="O124" s="252">
        <v>12</v>
      </c>
      <c r="P124" s="252">
        <v>4</v>
      </c>
      <c r="Q124" s="252">
        <v>2</v>
      </c>
      <c r="R124" s="252">
        <v>8</v>
      </c>
      <c r="S124" s="252">
        <v>8</v>
      </c>
      <c r="T124" s="252">
        <v>8</v>
      </c>
      <c r="U124" s="252">
        <v>7</v>
      </c>
      <c r="V124" s="252">
        <v>7</v>
      </c>
      <c r="W124" s="252">
        <v>6</v>
      </c>
      <c r="X124" s="252">
        <v>12</v>
      </c>
      <c r="Y124" s="252">
        <v>130</v>
      </c>
    </row>
    <row r="125" spans="1:25" x14ac:dyDescent="0.3">
      <c r="A125" s="253" t="s">
        <v>212</v>
      </c>
      <c r="B125" s="252">
        <v>0</v>
      </c>
      <c r="C125" s="252">
        <v>0</v>
      </c>
      <c r="D125" s="252">
        <v>0</v>
      </c>
      <c r="E125" s="252">
        <v>0</v>
      </c>
      <c r="F125" s="252">
        <v>0</v>
      </c>
      <c r="G125" s="252">
        <v>0</v>
      </c>
      <c r="H125" s="252">
        <v>0</v>
      </c>
      <c r="I125" s="252"/>
      <c r="J125" s="252"/>
      <c r="K125" s="252">
        <v>0</v>
      </c>
      <c r="L125" s="252"/>
      <c r="M125" s="252">
        <v>0</v>
      </c>
      <c r="N125" s="252">
        <v>0</v>
      </c>
      <c r="O125" s="252">
        <v>0</v>
      </c>
      <c r="P125" s="252"/>
      <c r="Q125" s="252">
        <v>0</v>
      </c>
      <c r="R125" s="252"/>
      <c r="S125" s="252"/>
      <c r="T125" s="252">
        <v>0</v>
      </c>
      <c r="U125" s="252"/>
      <c r="V125" s="252">
        <v>0</v>
      </c>
      <c r="W125" s="252">
        <v>0</v>
      </c>
      <c r="X125" s="252"/>
      <c r="Y125" s="252">
        <v>0</v>
      </c>
    </row>
    <row r="126" spans="1:25" x14ac:dyDescent="0.3">
      <c r="A126" s="253" t="s">
        <v>213</v>
      </c>
      <c r="B126" s="252">
        <v>0</v>
      </c>
      <c r="C126" s="252">
        <v>0</v>
      </c>
      <c r="D126" s="252">
        <v>0</v>
      </c>
      <c r="E126" s="252">
        <v>0</v>
      </c>
      <c r="F126" s="252">
        <v>0</v>
      </c>
      <c r="G126" s="252">
        <v>0</v>
      </c>
      <c r="H126" s="252">
        <v>0</v>
      </c>
      <c r="I126" s="252"/>
      <c r="J126" s="252"/>
      <c r="K126" s="252">
        <v>0</v>
      </c>
      <c r="L126" s="252"/>
      <c r="M126" s="252">
        <v>0</v>
      </c>
      <c r="N126" s="252">
        <v>0</v>
      </c>
      <c r="O126" s="252">
        <v>0</v>
      </c>
      <c r="P126" s="252"/>
      <c r="Q126" s="252">
        <v>0</v>
      </c>
      <c r="R126" s="252"/>
      <c r="S126" s="252"/>
      <c r="T126" s="252">
        <v>0</v>
      </c>
      <c r="U126" s="252"/>
      <c r="V126" s="252">
        <v>0</v>
      </c>
      <c r="W126" s="252">
        <v>0</v>
      </c>
      <c r="X126" s="252"/>
      <c r="Y126" s="252">
        <v>0</v>
      </c>
    </row>
    <row r="127" spans="1:25" x14ac:dyDescent="0.3">
      <c r="A127" s="253" t="s">
        <v>1098</v>
      </c>
      <c r="B127" s="252">
        <v>0</v>
      </c>
      <c r="C127" s="252">
        <v>0</v>
      </c>
      <c r="D127" s="252">
        <v>0</v>
      </c>
      <c r="E127" s="252">
        <v>0</v>
      </c>
      <c r="F127" s="252">
        <v>0</v>
      </c>
      <c r="G127" s="252">
        <v>0</v>
      </c>
      <c r="H127" s="252">
        <v>0</v>
      </c>
      <c r="I127" s="252">
        <v>0</v>
      </c>
      <c r="J127" s="252">
        <v>0</v>
      </c>
      <c r="K127" s="252">
        <v>0</v>
      </c>
      <c r="L127" s="252">
        <v>0</v>
      </c>
      <c r="M127" s="252">
        <v>0</v>
      </c>
      <c r="N127" s="252">
        <v>0</v>
      </c>
      <c r="O127" s="252">
        <v>0</v>
      </c>
      <c r="P127" s="252">
        <v>0</v>
      </c>
      <c r="Q127" s="252">
        <v>0</v>
      </c>
      <c r="R127" s="252">
        <v>0</v>
      </c>
      <c r="S127" s="252">
        <v>0</v>
      </c>
      <c r="T127" s="252">
        <v>0</v>
      </c>
      <c r="U127" s="252">
        <v>0</v>
      </c>
      <c r="V127" s="252">
        <v>0</v>
      </c>
      <c r="W127" s="252">
        <v>0</v>
      </c>
      <c r="X127" s="252">
        <v>0</v>
      </c>
      <c r="Y127" s="252">
        <v>0</v>
      </c>
    </row>
    <row r="128" spans="1:25" x14ac:dyDescent="0.3">
      <c r="A128" s="253" t="s">
        <v>1099</v>
      </c>
      <c r="B128" s="252">
        <v>0</v>
      </c>
      <c r="C128" s="252">
        <v>0</v>
      </c>
      <c r="D128" s="252">
        <v>0</v>
      </c>
      <c r="E128" s="252">
        <v>0</v>
      </c>
      <c r="F128" s="252">
        <v>0</v>
      </c>
      <c r="G128" s="252">
        <v>0</v>
      </c>
      <c r="H128" s="252">
        <v>0</v>
      </c>
      <c r="I128" s="252">
        <v>0</v>
      </c>
      <c r="J128" s="252">
        <v>0</v>
      </c>
      <c r="K128" s="252">
        <v>0</v>
      </c>
      <c r="L128" s="252">
        <v>0</v>
      </c>
      <c r="M128" s="252">
        <v>0</v>
      </c>
      <c r="N128" s="252">
        <v>0</v>
      </c>
      <c r="O128" s="252">
        <v>0</v>
      </c>
      <c r="P128" s="252">
        <v>0</v>
      </c>
      <c r="Q128" s="252">
        <v>0</v>
      </c>
      <c r="R128" s="252">
        <v>0</v>
      </c>
      <c r="S128" s="252">
        <v>0</v>
      </c>
      <c r="T128" s="252">
        <v>0</v>
      </c>
      <c r="U128" s="252">
        <v>0</v>
      </c>
      <c r="V128" s="252">
        <v>0</v>
      </c>
      <c r="W128" s="252">
        <v>0</v>
      </c>
      <c r="X128" s="252">
        <v>0</v>
      </c>
      <c r="Y128" s="252">
        <v>0</v>
      </c>
    </row>
    <row r="129" spans="1:25" x14ac:dyDescent="0.3">
      <c r="A129" s="253" t="s">
        <v>1113</v>
      </c>
      <c r="B129" s="252">
        <v>0</v>
      </c>
      <c r="C129" s="252">
        <v>0</v>
      </c>
      <c r="D129" s="252">
        <v>0</v>
      </c>
      <c r="E129" s="252">
        <v>0</v>
      </c>
      <c r="F129" s="252">
        <v>0</v>
      </c>
      <c r="G129" s="252">
        <v>0</v>
      </c>
      <c r="H129" s="252">
        <v>0</v>
      </c>
      <c r="I129" s="252">
        <v>0</v>
      </c>
      <c r="J129" s="252">
        <v>0</v>
      </c>
      <c r="K129" s="252">
        <v>0</v>
      </c>
      <c r="L129" s="252">
        <v>0</v>
      </c>
      <c r="M129" s="252">
        <v>0</v>
      </c>
      <c r="N129" s="252">
        <v>0</v>
      </c>
      <c r="O129" s="252">
        <v>0</v>
      </c>
      <c r="P129" s="252">
        <v>0</v>
      </c>
      <c r="Q129" s="252">
        <v>0</v>
      </c>
      <c r="R129" s="252">
        <v>0</v>
      </c>
      <c r="S129" s="252">
        <v>0</v>
      </c>
      <c r="T129" s="252">
        <v>0</v>
      </c>
      <c r="U129" s="252">
        <v>0</v>
      </c>
      <c r="V129" s="252">
        <v>0</v>
      </c>
      <c r="W129" s="252">
        <v>0</v>
      </c>
      <c r="X129" s="252">
        <v>0</v>
      </c>
      <c r="Y129" s="252">
        <v>0</v>
      </c>
    </row>
    <row r="130" spans="1:25" x14ac:dyDescent="0.3">
      <c r="A130" s="253" t="s">
        <v>842</v>
      </c>
      <c r="B130" s="252">
        <v>0</v>
      </c>
      <c r="C130" s="252">
        <v>0</v>
      </c>
      <c r="D130" s="252">
        <v>0</v>
      </c>
      <c r="E130" s="252">
        <v>0</v>
      </c>
      <c r="F130" s="252">
        <v>0</v>
      </c>
      <c r="G130" s="252">
        <v>0</v>
      </c>
      <c r="H130" s="252">
        <v>0</v>
      </c>
      <c r="I130" s="252">
        <v>0</v>
      </c>
      <c r="J130" s="252">
        <v>0</v>
      </c>
      <c r="K130" s="252">
        <v>0</v>
      </c>
      <c r="L130" s="252">
        <v>0</v>
      </c>
      <c r="M130" s="252">
        <v>0</v>
      </c>
      <c r="N130" s="252">
        <v>0</v>
      </c>
      <c r="O130" s="252">
        <v>0</v>
      </c>
      <c r="P130" s="252">
        <v>0</v>
      </c>
      <c r="Q130" s="252">
        <v>0</v>
      </c>
      <c r="R130" s="252">
        <v>0</v>
      </c>
      <c r="S130" s="252">
        <v>0</v>
      </c>
      <c r="T130" s="252">
        <v>0</v>
      </c>
      <c r="U130" s="252">
        <v>0</v>
      </c>
      <c r="V130" s="252">
        <v>0</v>
      </c>
      <c r="W130" s="252">
        <v>0</v>
      </c>
      <c r="X130" s="252">
        <v>0</v>
      </c>
      <c r="Y130" s="252">
        <v>0</v>
      </c>
    </row>
    <row r="131" spans="1:25" x14ac:dyDescent="0.3">
      <c r="A131" s="253" t="s">
        <v>989</v>
      </c>
      <c r="B131" s="252">
        <v>0</v>
      </c>
      <c r="C131" s="252">
        <v>0</v>
      </c>
      <c r="D131" s="252">
        <v>0</v>
      </c>
      <c r="E131" s="252">
        <v>0</v>
      </c>
      <c r="F131" s="252">
        <v>0</v>
      </c>
      <c r="G131" s="252">
        <v>0</v>
      </c>
      <c r="H131" s="252">
        <v>0</v>
      </c>
      <c r="I131" s="252"/>
      <c r="J131" s="252">
        <v>0</v>
      </c>
      <c r="K131" s="252">
        <v>0</v>
      </c>
      <c r="L131" s="252"/>
      <c r="M131" s="252">
        <v>0</v>
      </c>
      <c r="N131" s="252">
        <v>0</v>
      </c>
      <c r="O131" s="252">
        <v>0</v>
      </c>
      <c r="P131" s="252"/>
      <c r="Q131" s="252">
        <v>0</v>
      </c>
      <c r="R131" s="252"/>
      <c r="S131" s="252"/>
      <c r="T131" s="252">
        <v>0</v>
      </c>
      <c r="U131" s="252"/>
      <c r="V131" s="252">
        <v>0</v>
      </c>
      <c r="W131" s="252">
        <v>0</v>
      </c>
      <c r="X131" s="252"/>
      <c r="Y131" s="252">
        <v>0</v>
      </c>
    </row>
    <row r="132" spans="1:25" x14ac:dyDescent="0.3">
      <c r="A132" s="253" t="s">
        <v>214</v>
      </c>
      <c r="B132" s="252">
        <v>0</v>
      </c>
      <c r="C132" s="252">
        <v>0</v>
      </c>
      <c r="D132" s="252">
        <v>0</v>
      </c>
      <c r="E132" s="252"/>
      <c r="F132" s="252">
        <v>0</v>
      </c>
      <c r="G132" s="252">
        <v>0</v>
      </c>
      <c r="H132" s="252">
        <v>0</v>
      </c>
      <c r="I132" s="252"/>
      <c r="J132" s="252"/>
      <c r="K132" s="252">
        <v>0</v>
      </c>
      <c r="L132" s="252"/>
      <c r="M132" s="252">
        <v>0</v>
      </c>
      <c r="N132" s="252">
        <v>0</v>
      </c>
      <c r="O132" s="252">
        <v>0</v>
      </c>
      <c r="P132" s="252"/>
      <c r="Q132" s="252">
        <v>0</v>
      </c>
      <c r="R132" s="252"/>
      <c r="S132" s="252"/>
      <c r="T132" s="252">
        <v>0</v>
      </c>
      <c r="U132" s="252"/>
      <c r="V132" s="252">
        <v>0</v>
      </c>
      <c r="W132" s="252">
        <v>0</v>
      </c>
      <c r="X132" s="252"/>
      <c r="Y132" s="252">
        <v>0</v>
      </c>
    </row>
    <row r="133" spans="1:25" x14ac:dyDescent="0.3">
      <c r="A133" s="253" t="s">
        <v>215</v>
      </c>
      <c r="B133" s="252">
        <v>0</v>
      </c>
      <c r="C133" s="252">
        <v>0</v>
      </c>
      <c r="D133" s="252">
        <v>0</v>
      </c>
      <c r="E133" s="252"/>
      <c r="F133" s="252">
        <v>0</v>
      </c>
      <c r="G133" s="252">
        <v>0</v>
      </c>
      <c r="H133" s="252">
        <v>0</v>
      </c>
      <c r="I133" s="252"/>
      <c r="J133" s="252"/>
      <c r="K133" s="252">
        <v>0</v>
      </c>
      <c r="L133" s="252"/>
      <c r="M133" s="252">
        <v>0</v>
      </c>
      <c r="N133" s="252">
        <v>0</v>
      </c>
      <c r="O133" s="252">
        <v>0</v>
      </c>
      <c r="P133" s="252"/>
      <c r="Q133" s="252">
        <v>0</v>
      </c>
      <c r="R133" s="252"/>
      <c r="S133" s="252"/>
      <c r="T133" s="252">
        <v>0</v>
      </c>
      <c r="U133" s="252"/>
      <c r="V133" s="252">
        <v>0</v>
      </c>
      <c r="W133" s="252">
        <v>0</v>
      </c>
      <c r="X133" s="252"/>
      <c r="Y133" s="252">
        <v>0</v>
      </c>
    </row>
    <row r="134" spans="1:25" x14ac:dyDescent="0.3">
      <c r="A134" s="253" t="s">
        <v>216</v>
      </c>
      <c r="B134" s="252">
        <v>0</v>
      </c>
      <c r="C134" s="252">
        <v>0</v>
      </c>
      <c r="D134" s="252">
        <v>0</v>
      </c>
      <c r="E134" s="252"/>
      <c r="F134" s="252">
        <v>0</v>
      </c>
      <c r="G134" s="252">
        <v>0</v>
      </c>
      <c r="H134" s="252">
        <v>0</v>
      </c>
      <c r="I134" s="252"/>
      <c r="J134" s="252"/>
      <c r="K134" s="252">
        <v>0</v>
      </c>
      <c r="L134" s="252"/>
      <c r="M134" s="252">
        <v>0</v>
      </c>
      <c r="N134" s="252">
        <v>0</v>
      </c>
      <c r="O134" s="252">
        <v>0</v>
      </c>
      <c r="P134" s="252"/>
      <c r="Q134" s="252">
        <v>0</v>
      </c>
      <c r="R134" s="252"/>
      <c r="S134" s="252"/>
      <c r="T134" s="252">
        <v>0</v>
      </c>
      <c r="U134" s="252"/>
      <c r="V134" s="252">
        <v>0</v>
      </c>
      <c r="W134" s="252">
        <v>0</v>
      </c>
      <c r="X134" s="252"/>
      <c r="Y134" s="252">
        <v>0</v>
      </c>
    </row>
    <row r="135" spans="1:25" x14ac:dyDescent="0.3">
      <c r="A135" s="253" t="s">
        <v>217</v>
      </c>
      <c r="B135" s="252">
        <v>0</v>
      </c>
      <c r="C135" s="252">
        <v>0</v>
      </c>
      <c r="D135" s="252">
        <v>0</v>
      </c>
      <c r="E135" s="252"/>
      <c r="F135" s="252">
        <v>0</v>
      </c>
      <c r="G135" s="252">
        <v>0</v>
      </c>
      <c r="H135" s="252">
        <v>0</v>
      </c>
      <c r="I135" s="252"/>
      <c r="J135" s="252"/>
      <c r="K135" s="252">
        <v>0</v>
      </c>
      <c r="L135" s="252"/>
      <c r="M135" s="252">
        <v>0</v>
      </c>
      <c r="N135" s="252">
        <v>0</v>
      </c>
      <c r="O135" s="252">
        <v>0</v>
      </c>
      <c r="P135" s="252"/>
      <c r="Q135" s="252">
        <v>0</v>
      </c>
      <c r="R135" s="252"/>
      <c r="S135" s="252"/>
      <c r="T135" s="252">
        <v>0</v>
      </c>
      <c r="U135" s="252"/>
      <c r="V135" s="252">
        <v>0</v>
      </c>
      <c r="W135" s="252">
        <v>0</v>
      </c>
      <c r="X135" s="252"/>
      <c r="Y135" s="252">
        <v>0</v>
      </c>
    </row>
    <row r="136" spans="1:25" x14ac:dyDescent="0.3">
      <c r="A136" s="253" t="s">
        <v>218</v>
      </c>
      <c r="B136" s="252">
        <v>0</v>
      </c>
      <c r="C136" s="252">
        <v>0</v>
      </c>
      <c r="D136" s="252">
        <v>0</v>
      </c>
      <c r="E136" s="252"/>
      <c r="F136" s="252">
        <v>0</v>
      </c>
      <c r="G136" s="252">
        <v>0</v>
      </c>
      <c r="H136" s="252">
        <v>0</v>
      </c>
      <c r="I136" s="252"/>
      <c r="J136" s="252"/>
      <c r="K136" s="252">
        <v>0</v>
      </c>
      <c r="L136" s="252"/>
      <c r="M136" s="252">
        <v>0</v>
      </c>
      <c r="N136" s="252">
        <v>0</v>
      </c>
      <c r="O136" s="252">
        <v>0</v>
      </c>
      <c r="P136" s="252"/>
      <c r="Q136" s="252">
        <v>0</v>
      </c>
      <c r="R136" s="252"/>
      <c r="S136" s="252"/>
      <c r="T136" s="252">
        <v>0</v>
      </c>
      <c r="U136" s="252"/>
      <c r="V136" s="252">
        <v>0</v>
      </c>
      <c r="W136" s="252">
        <v>0</v>
      </c>
      <c r="X136" s="252"/>
      <c r="Y136" s="252">
        <v>0</v>
      </c>
    </row>
    <row r="137" spans="1:25" x14ac:dyDescent="0.3">
      <c r="A137" s="253" t="s">
        <v>219</v>
      </c>
      <c r="B137" s="252">
        <v>0</v>
      </c>
      <c r="C137" s="252">
        <v>0</v>
      </c>
      <c r="D137" s="252">
        <v>0</v>
      </c>
      <c r="E137" s="252"/>
      <c r="F137" s="252">
        <v>0</v>
      </c>
      <c r="G137" s="252">
        <v>0</v>
      </c>
      <c r="H137" s="252">
        <v>0</v>
      </c>
      <c r="I137" s="252"/>
      <c r="J137" s="252"/>
      <c r="K137" s="252">
        <v>0</v>
      </c>
      <c r="L137" s="252"/>
      <c r="M137" s="252">
        <v>0</v>
      </c>
      <c r="N137" s="252">
        <v>0</v>
      </c>
      <c r="O137" s="252">
        <v>0</v>
      </c>
      <c r="P137" s="252"/>
      <c r="Q137" s="252">
        <v>0</v>
      </c>
      <c r="R137" s="252"/>
      <c r="S137" s="252"/>
      <c r="T137" s="252">
        <v>0</v>
      </c>
      <c r="U137" s="252"/>
      <c r="V137" s="252">
        <v>0</v>
      </c>
      <c r="W137" s="252">
        <v>0</v>
      </c>
      <c r="X137" s="252"/>
      <c r="Y137" s="252">
        <v>0</v>
      </c>
    </row>
    <row r="138" spans="1:25" x14ac:dyDescent="0.3">
      <c r="A138" s="253" t="s">
        <v>220</v>
      </c>
      <c r="B138" s="252">
        <v>0</v>
      </c>
      <c r="C138" s="252">
        <v>0</v>
      </c>
      <c r="D138" s="252">
        <v>0</v>
      </c>
      <c r="E138" s="252"/>
      <c r="F138" s="252">
        <v>0</v>
      </c>
      <c r="G138" s="252">
        <v>0</v>
      </c>
      <c r="H138" s="252">
        <v>0</v>
      </c>
      <c r="I138" s="252"/>
      <c r="J138" s="252"/>
      <c r="K138" s="252">
        <v>0</v>
      </c>
      <c r="L138" s="252"/>
      <c r="M138" s="252">
        <v>0</v>
      </c>
      <c r="N138" s="252">
        <v>0</v>
      </c>
      <c r="O138" s="252">
        <v>0</v>
      </c>
      <c r="P138" s="252"/>
      <c r="Q138" s="252">
        <v>0</v>
      </c>
      <c r="R138" s="252"/>
      <c r="S138" s="252"/>
      <c r="T138" s="252">
        <v>0</v>
      </c>
      <c r="U138" s="252"/>
      <c r="V138" s="252">
        <v>0</v>
      </c>
      <c r="W138" s="252">
        <v>0</v>
      </c>
      <c r="X138" s="252"/>
      <c r="Y138" s="252">
        <v>0</v>
      </c>
    </row>
    <row r="139" spans="1:25" x14ac:dyDescent="0.3">
      <c r="A139" s="253" t="s">
        <v>221</v>
      </c>
      <c r="B139" s="252">
        <v>0</v>
      </c>
      <c r="C139" s="252">
        <v>0</v>
      </c>
      <c r="D139" s="252">
        <v>0</v>
      </c>
      <c r="E139" s="252"/>
      <c r="F139" s="252">
        <v>0</v>
      </c>
      <c r="G139" s="252">
        <v>0</v>
      </c>
      <c r="H139" s="252">
        <v>0</v>
      </c>
      <c r="I139" s="252"/>
      <c r="J139" s="252"/>
      <c r="K139" s="252">
        <v>0</v>
      </c>
      <c r="L139" s="252"/>
      <c r="M139" s="252">
        <v>0</v>
      </c>
      <c r="N139" s="252">
        <v>0</v>
      </c>
      <c r="O139" s="252">
        <v>0</v>
      </c>
      <c r="P139" s="252"/>
      <c r="Q139" s="252">
        <v>0</v>
      </c>
      <c r="R139" s="252"/>
      <c r="S139" s="252"/>
      <c r="T139" s="252">
        <v>0</v>
      </c>
      <c r="U139" s="252"/>
      <c r="V139" s="252">
        <v>0</v>
      </c>
      <c r="W139" s="252">
        <v>0</v>
      </c>
      <c r="X139" s="252"/>
      <c r="Y139" s="252">
        <v>0</v>
      </c>
    </row>
    <row r="140" spans="1:25" x14ac:dyDescent="0.3">
      <c r="A140" s="253" t="s">
        <v>222</v>
      </c>
      <c r="B140" s="252">
        <v>0</v>
      </c>
      <c r="C140" s="252">
        <v>0</v>
      </c>
      <c r="D140" s="252">
        <v>0</v>
      </c>
      <c r="E140" s="252"/>
      <c r="F140" s="252">
        <v>0</v>
      </c>
      <c r="G140" s="252">
        <v>0</v>
      </c>
      <c r="H140" s="252">
        <v>0</v>
      </c>
      <c r="I140" s="252"/>
      <c r="J140" s="252"/>
      <c r="K140" s="252">
        <v>0</v>
      </c>
      <c r="L140" s="252"/>
      <c r="M140" s="252">
        <v>0</v>
      </c>
      <c r="N140" s="252">
        <v>0</v>
      </c>
      <c r="O140" s="252">
        <v>0</v>
      </c>
      <c r="P140" s="252"/>
      <c r="Q140" s="252">
        <v>0</v>
      </c>
      <c r="R140" s="252"/>
      <c r="S140" s="252"/>
      <c r="T140" s="252">
        <v>0</v>
      </c>
      <c r="U140" s="252"/>
      <c r="V140" s="252">
        <v>0</v>
      </c>
      <c r="W140" s="252">
        <v>0</v>
      </c>
      <c r="X140" s="252"/>
      <c r="Y140" s="252">
        <v>0</v>
      </c>
    </row>
    <row r="141" spans="1:25" x14ac:dyDescent="0.3">
      <c r="A141" s="253" t="s">
        <v>223</v>
      </c>
      <c r="B141" s="252">
        <v>0</v>
      </c>
      <c r="C141" s="252">
        <v>0</v>
      </c>
      <c r="D141" s="252">
        <v>0</v>
      </c>
      <c r="E141" s="252"/>
      <c r="F141" s="252">
        <v>0</v>
      </c>
      <c r="G141" s="252">
        <v>0</v>
      </c>
      <c r="H141" s="252">
        <v>0</v>
      </c>
      <c r="I141" s="252"/>
      <c r="J141" s="252"/>
      <c r="K141" s="252">
        <v>0</v>
      </c>
      <c r="L141" s="252"/>
      <c r="M141" s="252">
        <v>0</v>
      </c>
      <c r="N141" s="252">
        <v>0</v>
      </c>
      <c r="O141" s="252">
        <v>0</v>
      </c>
      <c r="P141" s="252"/>
      <c r="Q141" s="252">
        <v>0</v>
      </c>
      <c r="R141" s="252"/>
      <c r="S141" s="252"/>
      <c r="T141" s="252">
        <v>0</v>
      </c>
      <c r="U141" s="252"/>
      <c r="V141" s="252">
        <v>0</v>
      </c>
      <c r="W141" s="252">
        <v>0</v>
      </c>
      <c r="X141" s="252"/>
      <c r="Y141" s="252">
        <v>0</v>
      </c>
    </row>
    <row r="142" spans="1:25" x14ac:dyDescent="0.3">
      <c r="A142" s="253" t="s">
        <v>224</v>
      </c>
      <c r="B142" s="252">
        <v>0</v>
      </c>
      <c r="C142" s="252">
        <v>0</v>
      </c>
      <c r="D142" s="252">
        <v>0</v>
      </c>
      <c r="E142" s="252"/>
      <c r="F142" s="252">
        <v>0</v>
      </c>
      <c r="G142" s="252">
        <v>0</v>
      </c>
      <c r="H142" s="252">
        <v>0</v>
      </c>
      <c r="I142" s="252"/>
      <c r="J142" s="252"/>
      <c r="K142" s="252">
        <v>0</v>
      </c>
      <c r="L142" s="252"/>
      <c r="M142" s="252">
        <v>0</v>
      </c>
      <c r="N142" s="252">
        <v>0</v>
      </c>
      <c r="O142" s="252">
        <v>0</v>
      </c>
      <c r="P142" s="252"/>
      <c r="Q142" s="252">
        <v>0</v>
      </c>
      <c r="R142" s="252"/>
      <c r="S142" s="252"/>
      <c r="T142" s="252">
        <v>0</v>
      </c>
      <c r="U142" s="252"/>
      <c r="V142" s="252">
        <v>0</v>
      </c>
      <c r="W142" s="252">
        <v>0</v>
      </c>
      <c r="X142" s="252"/>
      <c r="Y142" s="252">
        <v>0</v>
      </c>
    </row>
    <row r="143" spans="1:25" x14ac:dyDescent="0.3">
      <c r="A143" s="253" t="s">
        <v>225</v>
      </c>
      <c r="B143" s="252">
        <v>0</v>
      </c>
      <c r="C143" s="252">
        <v>0</v>
      </c>
      <c r="D143" s="252">
        <v>0</v>
      </c>
      <c r="E143" s="252"/>
      <c r="F143" s="252">
        <v>0</v>
      </c>
      <c r="G143" s="252">
        <v>0</v>
      </c>
      <c r="H143" s="252">
        <v>0</v>
      </c>
      <c r="I143" s="252"/>
      <c r="J143" s="252"/>
      <c r="K143" s="252">
        <v>0</v>
      </c>
      <c r="L143" s="252"/>
      <c r="M143" s="252">
        <v>0</v>
      </c>
      <c r="N143" s="252">
        <v>0</v>
      </c>
      <c r="O143" s="252">
        <v>0</v>
      </c>
      <c r="P143" s="252"/>
      <c r="Q143" s="252">
        <v>0</v>
      </c>
      <c r="R143" s="252"/>
      <c r="S143" s="252"/>
      <c r="T143" s="252">
        <v>0</v>
      </c>
      <c r="U143" s="252"/>
      <c r="V143" s="252">
        <v>0</v>
      </c>
      <c r="W143" s="252">
        <v>0</v>
      </c>
      <c r="X143" s="252"/>
      <c r="Y143" s="252">
        <v>0</v>
      </c>
    </row>
    <row r="144" spans="1:25" x14ac:dyDescent="0.3">
      <c r="A144" s="253" t="s">
        <v>226</v>
      </c>
      <c r="B144" s="252">
        <v>0</v>
      </c>
      <c r="C144" s="252">
        <v>0</v>
      </c>
      <c r="D144" s="252">
        <v>0</v>
      </c>
      <c r="E144" s="252"/>
      <c r="F144" s="252">
        <v>0</v>
      </c>
      <c r="G144" s="252">
        <v>0</v>
      </c>
      <c r="H144" s="252">
        <v>0</v>
      </c>
      <c r="I144" s="252"/>
      <c r="J144" s="252"/>
      <c r="K144" s="252">
        <v>0</v>
      </c>
      <c r="L144" s="252"/>
      <c r="M144" s="252">
        <v>0</v>
      </c>
      <c r="N144" s="252">
        <v>0</v>
      </c>
      <c r="O144" s="252">
        <v>0</v>
      </c>
      <c r="P144" s="252"/>
      <c r="Q144" s="252">
        <v>0</v>
      </c>
      <c r="R144" s="252"/>
      <c r="S144" s="252"/>
      <c r="T144" s="252">
        <v>0</v>
      </c>
      <c r="U144" s="252"/>
      <c r="V144" s="252">
        <v>0</v>
      </c>
      <c r="W144" s="252">
        <v>0</v>
      </c>
      <c r="X144" s="252"/>
      <c r="Y144" s="252">
        <v>0</v>
      </c>
    </row>
    <row r="145" spans="1:25" x14ac:dyDescent="0.3">
      <c r="A145" s="253" t="s">
        <v>227</v>
      </c>
      <c r="B145" s="252">
        <v>0</v>
      </c>
      <c r="C145" s="252">
        <v>0</v>
      </c>
      <c r="D145" s="252">
        <v>0</v>
      </c>
      <c r="E145" s="252"/>
      <c r="F145" s="252">
        <v>0</v>
      </c>
      <c r="G145" s="252">
        <v>0</v>
      </c>
      <c r="H145" s="252">
        <v>0</v>
      </c>
      <c r="I145" s="252"/>
      <c r="J145" s="252"/>
      <c r="K145" s="252">
        <v>0</v>
      </c>
      <c r="L145" s="252"/>
      <c r="M145" s="252">
        <v>0</v>
      </c>
      <c r="N145" s="252">
        <v>0</v>
      </c>
      <c r="O145" s="252">
        <v>0</v>
      </c>
      <c r="P145" s="252"/>
      <c r="Q145" s="252">
        <v>0</v>
      </c>
      <c r="R145" s="252"/>
      <c r="S145" s="252"/>
      <c r="T145" s="252">
        <v>0</v>
      </c>
      <c r="U145" s="252"/>
      <c r="V145" s="252">
        <v>0</v>
      </c>
      <c r="W145" s="252">
        <v>0</v>
      </c>
      <c r="X145" s="252"/>
      <c r="Y145" s="252">
        <v>0</v>
      </c>
    </row>
    <row r="146" spans="1:25" x14ac:dyDescent="0.3">
      <c r="A146" s="253" t="s">
        <v>228</v>
      </c>
      <c r="B146" s="252">
        <v>0</v>
      </c>
      <c r="C146" s="252">
        <v>0</v>
      </c>
      <c r="D146" s="252">
        <v>0</v>
      </c>
      <c r="E146" s="252"/>
      <c r="F146" s="252">
        <v>0</v>
      </c>
      <c r="G146" s="252">
        <v>0</v>
      </c>
      <c r="H146" s="252">
        <v>0</v>
      </c>
      <c r="I146" s="252"/>
      <c r="J146" s="252"/>
      <c r="K146" s="252">
        <v>0</v>
      </c>
      <c r="L146" s="252"/>
      <c r="M146" s="252">
        <v>0</v>
      </c>
      <c r="N146" s="252">
        <v>0</v>
      </c>
      <c r="O146" s="252">
        <v>0</v>
      </c>
      <c r="P146" s="252"/>
      <c r="Q146" s="252">
        <v>0</v>
      </c>
      <c r="R146" s="252"/>
      <c r="S146" s="252"/>
      <c r="T146" s="252">
        <v>0</v>
      </c>
      <c r="U146" s="252"/>
      <c r="V146" s="252">
        <v>0</v>
      </c>
      <c r="W146" s="252">
        <v>0</v>
      </c>
      <c r="X146" s="252"/>
      <c r="Y146" s="252">
        <v>0</v>
      </c>
    </row>
    <row r="147" spans="1:25" x14ac:dyDescent="0.3">
      <c r="A147" s="253" t="s">
        <v>229</v>
      </c>
      <c r="B147" s="252">
        <v>0</v>
      </c>
      <c r="C147" s="252">
        <v>0</v>
      </c>
      <c r="D147" s="252">
        <v>0</v>
      </c>
      <c r="E147" s="252"/>
      <c r="F147" s="252">
        <v>0</v>
      </c>
      <c r="G147" s="252">
        <v>0</v>
      </c>
      <c r="H147" s="252">
        <v>0</v>
      </c>
      <c r="I147" s="252"/>
      <c r="J147" s="252"/>
      <c r="K147" s="252">
        <v>0</v>
      </c>
      <c r="L147" s="252"/>
      <c r="M147" s="252">
        <v>0</v>
      </c>
      <c r="N147" s="252">
        <v>0</v>
      </c>
      <c r="O147" s="252">
        <v>0</v>
      </c>
      <c r="P147" s="252"/>
      <c r="Q147" s="252">
        <v>0</v>
      </c>
      <c r="R147" s="252"/>
      <c r="S147" s="252"/>
      <c r="T147" s="252">
        <v>0</v>
      </c>
      <c r="U147" s="252"/>
      <c r="V147" s="252">
        <v>0</v>
      </c>
      <c r="W147" s="252">
        <v>0</v>
      </c>
      <c r="X147" s="252"/>
      <c r="Y147" s="252">
        <v>0</v>
      </c>
    </row>
    <row r="148" spans="1:25" x14ac:dyDescent="0.3">
      <c r="A148" s="253" t="s">
        <v>230</v>
      </c>
      <c r="B148" s="252">
        <v>0</v>
      </c>
      <c r="C148" s="252"/>
      <c r="D148" s="252">
        <v>0</v>
      </c>
      <c r="E148" s="252">
        <v>0</v>
      </c>
      <c r="F148" s="252">
        <v>0</v>
      </c>
      <c r="G148" s="252">
        <v>0</v>
      </c>
      <c r="H148" s="252">
        <v>0</v>
      </c>
      <c r="I148" s="252"/>
      <c r="J148" s="252"/>
      <c r="K148" s="252">
        <v>0</v>
      </c>
      <c r="L148" s="252"/>
      <c r="M148" s="252">
        <v>0</v>
      </c>
      <c r="N148" s="252">
        <v>0</v>
      </c>
      <c r="O148" s="252">
        <v>0</v>
      </c>
      <c r="P148" s="252"/>
      <c r="Q148" s="252">
        <v>0</v>
      </c>
      <c r="R148" s="252"/>
      <c r="S148" s="252"/>
      <c r="T148" s="252">
        <v>0</v>
      </c>
      <c r="U148" s="252"/>
      <c r="V148" s="252">
        <v>0</v>
      </c>
      <c r="W148" s="252">
        <v>0</v>
      </c>
      <c r="X148" s="252"/>
      <c r="Y148" s="252">
        <v>0</v>
      </c>
    </row>
    <row r="149" spans="1:25" x14ac:dyDescent="0.3">
      <c r="A149" s="253" t="s">
        <v>1118</v>
      </c>
      <c r="B149" s="252">
        <v>0</v>
      </c>
      <c r="C149" s="252">
        <v>0</v>
      </c>
      <c r="D149" s="252">
        <v>0</v>
      </c>
      <c r="E149" s="252">
        <v>0</v>
      </c>
      <c r="F149" s="252">
        <v>0</v>
      </c>
      <c r="G149" s="252">
        <v>0</v>
      </c>
      <c r="H149" s="252">
        <v>0</v>
      </c>
      <c r="I149" s="252">
        <v>0</v>
      </c>
      <c r="J149" s="252">
        <v>0</v>
      </c>
      <c r="K149" s="252">
        <v>0</v>
      </c>
      <c r="L149" s="252">
        <v>0</v>
      </c>
      <c r="M149" s="252">
        <v>0</v>
      </c>
      <c r="N149" s="252">
        <v>0</v>
      </c>
      <c r="O149" s="252">
        <v>0</v>
      </c>
      <c r="P149" s="252">
        <v>0</v>
      </c>
      <c r="Q149" s="252">
        <v>0</v>
      </c>
      <c r="R149" s="252">
        <v>0</v>
      </c>
      <c r="S149" s="252">
        <v>0</v>
      </c>
      <c r="T149" s="252">
        <v>0</v>
      </c>
      <c r="U149" s="252">
        <v>0</v>
      </c>
      <c r="V149" s="252">
        <v>0</v>
      </c>
      <c r="W149" s="252">
        <v>0</v>
      </c>
      <c r="X149" s="252">
        <v>0</v>
      </c>
      <c r="Y149" s="252">
        <v>0</v>
      </c>
    </row>
    <row r="150" spans="1:25" x14ac:dyDescent="0.3">
      <c r="A150" s="253" t="s">
        <v>1119</v>
      </c>
      <c r="B150" s="252">
        <v>0</v>
      </c>
      <c r="C150" s="252">
        <v>0</v>
      </c>
      <c r="D150" s="252">
        <v>0</v>
      </c>
      <c r="E150" s="252">
        <v>0</v>
      </c>
      <c r="F150" s="252">
        <v>0</v>
      </c>
      <c r="G150" s="252">
        <v>0</v>
      </c>
      <c r="H150" s="252">
        <v>0</v>
      </c>
      <c r="I150" s="252">
        <v>0</v>
      </c>
      <c r="J150" s="252">
        <v>0</v>
      </c>
      <c r="K150" s="252">
        <v>0</v>
      </c>
      <c r="L150" s="252">
        <v>0</v>
      </c>
      <c r="M150" s="252">
        <v>0</v>
      </c>
      <c r="N150" s="252">
        <v>0</v>
      </c>
      <c r="O150" s="252">
        <v>0</v>
      </c>
      <c r="P150" s="252">
        <v>0</v>
      </c>
      <c r="Q150" s="252">
        <v>0</v>
      </c>
      <c r="R150" s="252">
        <v>0</v>
      </c>
      <c r="S150" s="252">
        <v>0</v>
      </c>
      <c r="T150" s="252">
        <v>0</v>
      </c>
      <c r="U150" s="252">
        <v>0</v>
      </c>
      <c r="V150" s="252">
        <v>0</v>
      </c>
      <c r="W150" s="252">
        <v>0</v>
      </c>
      <c r="X150" s="252">
        <v>0</v>
      </c>
      <c r="Y150" s="252">
        <v>0</v>
      </c>
    </row>
    <row r="151" spans="1:25" x14ac:dyDescent="0.3">
      <c r="A151" s="253" t="s">
        <v>231</v>
      </c>
      <c r="B151" s="252">
        <v>0</v>
      </c>
      <c r="C151" s="252">
        <v>0</v>
      </c>
      <c r="D151" s="252">
        <v>0</v>
      </c>
      <c r="E151" s="252">
        <v>0</v>
      </c>
      <c r="F151" s="252">
        <v>0</v>
      </c>
      <c r="G151" s="252">
        <v>0</v>
      </c>
      <c r="H151" s="252">
        <v>0</v>
      </c>
      <c r="I151" s="252"/>
      <c r="J151" s="252">
        <v>0</v>
      </c>
      <c r="K151" s="252">
        <v>0</v>
      </c>
      <c r="L151" s="252"/>
      <c r="M151" s="252">
        <v>0</v>
      </c>
      <c r="N151" s="252">
        <v>0</v>
      </c>
      <c r="O151" s="252">
        <v>0</v>
      </c>
      <c r="P151" s="252"/>
      <c r="Q151" s="252">
        <v>0</v>
      </c>
      <c r="R151" s="252"/>
      <c r="S151" s="252">
        <v>0</v>
      </c>
      <c r="T151" s="252">
        <v>0</v>
      </c>
      <c r="U151" s="252"/>
      <c r="V151" s="252">
        <v>0</v>
      </c>
      <c r="W151" s="252">
        <v>0</v>
      </c>
      <c r="X151" s="252"/>
      <c r="Y151" s="252">
        <v>0</v>
      </c>
    </row>
    <row r="152" spans="1:25" x14ac:dyDescent="0.3">
      <c r="A152" s="253" t="s">
        <v>232</v>
      </c>
      <c r="B152" s="252">
        <v>0</v>
      </c>
      <c r="C152" s="252">
        <v>0</v>
      </c>
      <c r="D152" s="252">
        <v>0</v>
      </c>
      <c r="E152" s="252">
        <v>0</v>
      </c>
      <c r="F152" s="252">
        <v>0</v>
      </c>
      <c r="G152" s="252">
        <v>0</v>
      </c>
      <c r="H152" s="252">
        <v>0</v>
      </c>
      <c r="I152" s="252">
        <v>0</v>
      </c>
      <c r="J152" s="252">
        <v>0</v>
      </c>
      <c r="K152" s="252">
        <v>0</v>
      </c>
      <c r="L152" s="252"/>
      <c r="M152" s="252">
        <v>0</v>
      </c>
      <c r="N152" s="252">
        <v>0</v>
      </c>
      <c r="O152" s="252">
        <v>0</v>
      </c>
      <c r="P152" s="252">
        <v>0</v>
      </c>
      <c r="Q152" s="252">
        <v>0</v>
      </c>
      <c r="R152" s="252">
        <v>0</v>
      </c>
      <c r="S152" s="252">
        <v>0</v>
      </c>
      <c r="T152" s="252">
        <v>0</v>
      </c>
      <c r="U152" s="252">
        <v>0</v>
      </c>
      <c r="V152" s="252">
        <v>0</v>
      </c>
      <c r="W152" s="252">
        <v>0</v>
      </c>
      <c r="X152" s="252"/>
      <c r="Y152" s="252">
        <v>0</v>
      </c>
    </row>
    <row r="153" spans="1:25" x14ac:dyDescent="0.3">
      <c r="A153" s="253" t="s">
        <v>233</v>
      </c>
      <c r="B153" s="252">
        <v>0</v>
      </c>
      <c r="C153" s="252">
        <v>0</v>
      </c>
      <c r="D153" s="252">
        <v>0</v>
      </c>
      <c r="E153" s="252">
        <v>0</v>
      </c>
      <c r="F153" s="252">
        <v>0</v>
      </c>
      <c r="G153" s="252">
        <v>0</v>
      </c>
      <c r="H153" s="252">
        <v>0</v>
      </c>
      <c r="I153" s="252"/>
      <c r="J153" s="252"/>
      <c r="K153" s="252">
        <v>0</v>
      </c>
      <c r="L153" s="252"/>
      <c r="M153" s="252">
        <v>0</v>
      </c>
      <c r="N153" s="252">
        <v>0</v>
      </c>
      <c r="O153" s="252">
        <v>0</v>
      </c>
      <c r="P153" s="252"/>
      <c r="Q153" s="252">
        <v>0</v>
      </c>
      <c r="R153" s="252"/>
      <c r="S153" s="252"/>
      <c r="T153" s="252">
        <v>0</v>
      </c>
      <c r="U153" s="252"/>
      <c r="V153" s="252">
        <v>0</v>
      </c>
      <c r="W153" s="252">
        <v>0</v>
      </c>
      <c r="X153" s="252"/>
      <c r="Y153" s="252">
        <v>0</v>
      </c>
    </row>
    <row r="154" spans="1:25" x14ac:dyDescent="0.3">
      <c r="A154" s="253" t="s">
        <v>234</v>
      </c>
      <c r="B154" s="252">
        <v>0</v>
      </c>
      <c r="C154" s="252">
        <v>0</v>
      </c>
      <c r="D154" s="252">
        <v>0</v>
      </c>
      <c r="E154" s="252">
        <v>0</v>
      </c>
      <c r="F154" s="252">
        <v>0</v>
      </c>
      <c r="G154" s="252">
        <v>0</v>
      </c>
      <c r="H154" s="252">
        <v>0</v>
      </c>
      <c r="I154" s="252"/>
      <c r="J154" s="252"/>
      <c r="K154" s="252">
        <v>0</v>
      </c>
      <c r="L154" s="252"/>
      <c r="M154" s="252">
        <v>0</v>
      </c>
      <c r="N154" s="252">
        <v>0</v>
      </c>
      <c r="O154" s="252">
        <v>0</v>
      </c>
      <c r="P154" s="252"/>
      <c r="Q154" s="252">
        <v>0</v>
      </c>
      <c r="R154" s="252"/>
      <c r="S154" s="252"/>
      <c r="T154" s="252">
        <v>0</v>
      </c>
      <c r="U154" s="252"/>
      <c r="V154" s="252">
        <v>0</v>
      </c>
      <c r="W154" s="252">
        <v>0</v>
      </c>
      <c r="X154" s="252"/>
      <c r="Y154" s="252">
        <v>0</v>
      </c>
    </row>
    <row r="155" spans="1:25" x14ac:dyDescent="0.3">
      <c r="A155" s="253" t="s">
        <v>1021</v>
      </c>
      <c r="B155" s="252">
        <v>0</v>
      </c>
      <c r="C155" s="252">
        <v>0</v>
      </c>
      <c r="D155" s="252">
        <v>0</v>
      </c>
      <c r="E155" s="252">
        <v>0</v>
      </c>
      <c r="F155" s="252">
        <v>0</v>
      </c>
      <c r="G155" s="252">
        <v>0</v>
      </c>
      <c r="H155" s="252">
        <v>0</v>
      </c>
      <c r="I155" s="252">
        <v>0</v>
      </c>
      <c r="J155" s="252">
        <v>0</v>
      </c>
      <c r="K155" s="252">
        <v>0</v>
      </c>
      <c r="L155" s="252"/>
      <c r="M155" s="252">
        <v>0</v>
      </c>
      <c r="N155" s="252">
        <v>0</v>
      </c>
      <c r="O155" s="252">
        <v>0</v>
      </c>
      <c r="P155" s="252">
        <v>0</v>
      </c>
      <c r="Q155" s="252">
        <v>0</v>
      </c>
      <c r="R155" s="252">
        <v>0</v>
      </c>
      <c r="S155" s="252">
        <v>0</v>
      </c>
      <c r="T155" s="252">
        <v>0</v>
      </c>
      <c r="U155" s="252">
        <v>0</v>
      </c>
      <c r="V155" s="252">
        <v>0</v>
      </c>
      <c r="W155" s="252">
        <v>0</v>
      </c>
      <c r="X155" s="252">
        <v>0</v>
      </c>
      <c r="Y155" s="252">
        <v>0</v>
      </c>
    </row>
    <row r="156" spans="1:25" x14ac:dyDescent="0.3">
      <c r="A156" s="253" t="s">
        <v>235</v>
      </c>
      <c r="B156" s="252">
        <v>0</v>
      </c>
      <c r="C156" s="252"/>
      <c r="D156" s="252">
        <v>0</v>
      </c>
      <c r="E156" s="252">
        <v>0</v>
      </c>
      <c r="F156" s="252">
        <v>0</v>
      </c>
      <c r="G156" s="252">
        <v>0</v>
      </c>
      <c r="H156" s="252">
        <v>0</v>
      </c>
      <c r="I156" s="252"/>
      <c r="J156" s="252"/>
      <c r="K156" s="252">
        <v>0</v>
      </c>
      <c r="L156" s="252"/>
      <c r="M156" s="252">
        <v>0</v>
      </c>
      <c r="N156" s="252">
        <v>0</v>
      </c>
      <c r="O156" s="252">
        <v>0</v>
      </c>
      <c r="P156" s="252"/>
      <c r="Q156" s="252">
        <v>0</v>
      </c>
      <c r="R156" s="252"/>
      <c r="S156" s="252"/>
      <c r="T156" s="252">
        <v>0</v>
      </c>
      <c r="U156" s="252"/>
      <c r="V156" s="252">
        <v>0</v>
      </c>
      <c r="W156" s="252">
        <v>0</v>
      </c>
      <c r="X156" s="252"/>
      <c r="Y156" s="252">
        <v>0</v>
      </c>
    </row>
    <row r="157" spans="1:25" x14ac:dyDescent="0.3">
      <c r="A157" s="253" t="s">
        <v>236</v>
      </c>
      <c r="B157" s="252">
        <v>0</v>
      </c>
      <c r="C157" s="252">
        <v>0</v>
      </c>
      <c r="D157" s="252">
        <v>0</v>
      </c>
      <c r="E157" s="252">
        <v>0</v>
      </c>
      <c r="F157" s="252">
        <v>0</v>
      </c>
      <c r="G157" s="252">
        <v>0</v>
      </c>
      <c r="H157" s="252">
        <v>0</v>
      </c>
      <c r="I157" s="252"/>
      <c r="J157" s="252"/>
      <c r="K157" s="252">
        <v>0</v>
      </c>
      <c r="L157" s="252"/>
      <c r="M157" s="252">
        <v>0</v>
      </c>
      <c r="N157" s="252">
        <v>0</v>
      </c>
      <c r="O157" s="252">
        <v>0</v>
      </c>
      <c r="P157" s="252"/>
      <c r="Q157" s="252">
        <v>0</v>
      </c>
      <c r="R157" s="252"/>
      <c r="S157" s="252"/>
      <c r="T157" s="252">
        <v>0</v>
      </c>
      <c r="U157" s="252"/>
      <c r="V157" s="252">
        <v>0</v>
      </c>
      <c r="W157" s="252">
        <v>0</v>
      </c>
      <c r="X157" s="252"/>
      <c r="Y157" s="252">
        <v>0</v>
      </c>
    </row>
    <row r="158" spans="1:25" x14ac:dyDescent="0.3">
      <c r="A158" s="253" t="s">
        <v>937</v>
      </c>
      <c r="B158" s="252">
        <v>0</v>
      </c>
      <c r="C158" s="252">
        <v>0</v>
      </c>
      <c r="D158" s="252">
        <v>0</v>
      </c>
      <c r="E158" s="252">
        <v>0</v>
      </c>
      <c r="F158" s="252">
        <v>0</v>
      </c>
      <c r="G158" s="252">
        <v>0</v>
      </c>
      <c r="H158" s="252">
        <v>0</v>
      </c>
      <c r="I158" s="252">
        <v>0</v>
      </c>
      <c r="J158" s="252">
        <v>0</v>
      </c>
      <c r="K158" s="252">
        <v>0</v>
      </c>
      <c r="L158" s="252"/>
      <c r="M158" s="252">
        <v>0</v>
      </c>
      <c r="N158" s="252">
        <v>0</v>
      </c>
      <c r="O158" s="252">
        <v>0</v>
      </c>
      <c r="P158" s="252"/>
      <c r="Q158" s="252">
        <v>0</v>
      </c>
      <c r="R158" s="252">
        <v>0</v>
      </c>
      <c r="S158" s="252">
        <v>0</v>
      </c>
      <c r="T158" s="252">
        <v>0</v>
      </c>
      <c r="U158" s="252">
        <v>0</v>
      </c>
      <c r="V158" s="252">
        <v>0</v>
      </c>
      <c r="W158" s="252">
        <v>0</v>
      </c>
      <c r="X158" s="252"/>
      <c r="Y158" s="252">
        <v>0</v>
      </c>
    </row>
    <row r="159" spans="1:25" x14ac:dyDescent="0.3">
      <c r="A159" s="253" t="s">
        <v>237</v>
      </c>
      <c r="B159" s="252">
        <v>0</v>
      </c>
      <c r="C159" s="252">
        <v>0</v>
      </c>
      <c r="D159" s="252">
        <v>2</v>
      </c>
      <c r="E159" s="252">
        <v>0</v>
      </c>
      <c r="F159" s="252">
        <v>0</v>
      </c>
      <c r="G159" s="252">
        <v>0</v>
      </c>
      <c r="H159" s="252">
        <v>0</v>
      </c>
      <c r="I159" s="252"/>
      <c r="J159" s="252"/>
      <c r="K159" s="252">
        <v>0</v>
      </c>
      <c r="L159" s="252"/>
      <c r="M159" s="252">
        <v>0</v>
      </c>
      <c r="N159" s="252">
        <v>0</v>
      </c>
      <c r="O159" s="252">
        <v>0</v>
      </c>
      <c r="P159" s="252"/>
      <c r="Q159" s="252">
        <v>0</v>
      </c>
      <c r="R159" s="252"/>
      <c r="S159" s="252"/>
      <c r="T159" s="252">
        <v>0</v>
      </c>
      <c r="U159" s="252"/>
      <c r="V159" s="252">
        <v>0</v>
      </c>
      <c r="W159" s="252">
        <v>0</v>
      </c>
      <c r="X159" s="252"/>
      <c r="Y159" s="252">
        <v>2</v>
      </c>
    </row>
    <row r="160" spans="1:25" x14ac:dyDescent="0.3">
      <c r="A160" s="253" t="s">
        <v>238</v>
      </c>
      <c r="B160" s="252">
        <v>0</v>
      </c>
      <c r="C160" s="252">
        <v>0</v>
      </c>
      <c r="D160" s="252">
        <v>0</v>
      </c>
      <c r="E160" s="252">
        <v>0</v>
      </c>
      <c r="F160" s="252">
        <v>0</v>
      </c>
      <c r="G160" s="252">
        <v>0</v>
      </c>
      <c r="H160" s="252">
        <v>0</v>
      </c>
      <c r="I160" s="252"/>
      <c r="J160" s="252"/>
      <c r="K160" s="252">
        <v>0</v>
      </c>
      <c r="L160" s="252"/>
      <c r="M160" s="252">
        <v>0</v>
      </c>
      <c r="N160" s="252">
        <v>0</v>
      </c>
      <c r="O160" s="252">
        <v>0</v>
      </c>
      <c r="P160" s="252"/>
      <c r="Q160" s="252">
        <v>0</v>
      </c>
      <c r="R160" s="252"/>
      <c r="S160" s="252"/>
      <c r="T160" s="252">
        <v>0</v>
      </c>
      <c r="U160" s="252"/>
      <c r="V160" s="252">
        <v>0</v>
      </c>
      <c r="W160" s="252">
        <v>0</v>
      </c>
      <c r="X160" s="252"/>
      <c r="Y160" s="252">
        <v>0</v>
      </c>
    </row>
    <row r="161" spans="1:25" x14ac:dyDescent="0.3">
      <c r="A161" s="253" t="s">
        <v>239</v>
      </c>
      <c r="B161" s="252">
        <v>0</v>
      </c>
      <c r="C161" s="252">
        <v>0</v>
      </c>
      <c r="D161" s="252">
        <v>0</v>
      </c>
      <c r="E161" s="252">
        <v>0</v>
      </c>
      <c r="F161" s="252">
        <v>0</v>
      </c>
      <c r="G161" s="252">
        <v>0</v>
      </c>
      <c r="H161" s="252">
        <v>0</v>
      </c>
      <c r="I161" s="252"/>
      <c r="J161" s="252"/>
      <c r="K161" s="252">
        <v>0</v>
      </c>
      <c r="L161" s="252"/>
      <c r="M161" s="252">
        <v>0</v>
      </c>
      <c r="N161" s="252">
        <v>0</v>
      </c>
      <c r="O161" s="252">
        <v>0</v>
      </c>
      <c r="P161" s="252"/>
      <c r="Q161" s="252">
        <v>0</v>
      </c>
      <c r="R161" s="252"/>
      <c r="S161" s="252"/>
      <c r="T161" s="252">
        <v>0</v>
      </c>
      <c r="U161" s="252"/>
      <c r="V161" s="252">
        <v>0</v>
      </c>
      <c r="W161" s="252">
        <v>0</v>
      </c>
      <c r="X161" s="252"/>
      <c r="Y161" s="252">
        <v>0</v>
      </c>
    </row>
    <row r="162" spans="1:25" x14ac:dyDescent="0.3">
      <c r="A162" s="253" t="s">
        <v>1115</v>
      </c>
      <c r="B162" s="252">
        <v>0</v>
      </c>
      <c r="C162" s="252">
        <v>0</v>
      </c>
      <c r="D162" s="252">
        <v>0</v>
      </c>
      <c r="E162" s="252">
        <v>0</v>
      </c>
      <c r="F162" s="252">
        <v>0</v>
      </c>
      <c r="G162" s="252">
        <v>0</v>
      </c>
      <c r="H162" s="252">
        <v>0</v>
      </c>
      <c r="I162" s="252">
        <v>0</v>
      </c>
      <c r="J162" s="252">
        <v>0</v>
      </c>
      <c r="K162" s="252">
        <v>0</v>
      </c>
      <c r="L162" s="252">
        <v>0</v>
      </c>
      <c r="M162" s="252">
        <v>0</v>
      </c>
      <c r="N162" s="252">
        <v>0</v>
      </c>
      <c r="O162" s="252">
        <v>0</v>
      </c>
      <c r="P162" s="252">
        <v>0</v>
      </c>
      <c r="Q162" s="252">
        <v>0</v>
      </c>
      <c r="R162" s="252">
        <v>0</v>
      </c>
      <c r="S162" s="252">
        <v>0</v>
      </c>
      <c r="T162" s="252">
        <v>0</v>
      </c>
      <c r="U162" s="252">
        <v>0</v>
      </c>
      <c r="V162" s="252">
        <v>0</v>
      </c>
      <c r="W162" s="252">
        <v>0</v>
      </c>
      <c r="X162" s="252">
        <v>0</v>
      </c>
      <c r="Y162" s="252">
        <v>0</v>
      </c>
    </row>
    <row r="163" spans="1:25" x14ac:dyDescent="0.3">
      <c r="A163" s="253" t="s">
        <v>843</v>
      </c>
      <c r="B163" s="252">
        <v>0</v>
      </c>
      <c r="C163" s="252">
        <v>0</v>
      </c>
      <c r="D163" s="252">
        <v>0</v>
      </c>
      <c r="E163" s="252">
        <v>0</v>
      </c>
      <c r="F163" s="252">
        <v>0</v>
      </c>
      <c r="G163" s="252">
        <v>0</v>
      </c>
      <c r="H163" s="252">
        <v>0</v>
      </c>
      <c r="I163" s="252">
        <v>0</v>
      </c>
      <c r="J163" s="252">
        <v>0</v>
      </c>
      <c r="K163" s="252">
        <v>0</v>
      </c>
      <c r="L163" s="252">
        <v>0</v>
      </c>
      <c r="M163" s="252">
        <v>0</v>
      </c>
      <c r="N163" s="252">
        <v>0</v>
      </c>
      <c r="O163" s="252">
        <v>0</v>
      </c>
      <c r="P163" s="252">
        <v>0</v>
      </c>
      <c r="Q163" s="252">
        <v>0</v>
      </c>
      <c r="R163" s="252">
        <v>0</v>
      </c>
      <c r="S163" s="252">
        <v>0</v>
      </c>
      <c r="T163" s="252">
        <v>0</v>
      </c>
      <c r="U163" s="252">
        <v>0</v>
      </c>
      <c r="V163" s="252">
        <v>0</v>
      </c>
      <c r="W163" s="252">
        <v>0</v>
      </c>
      <c r="X163" s="252">
        <v>0</v>
      </c>
      <c r="Y163" s="252">
        <v>0</v>
      </c>
    </row>
    <row r="164" spans="1:25" x14ac:dyDescent="0.3">
      <c r="A164" s="253" t="s">
        <v>844</v>
      </c>
      <c r="B164" s="252">
        <v>0</v>
      </c>
      <c r="C164" s="252">
        <v>0</v>
      </c>
      <c r="D164" s="252">
        <v>0</v>
      </c>
      <c r="E164" s="252">
        <v>0</v>
      </c>
      <c r="F164" s="252">
        <v>0</v>
      </c>
      <c r="G164" s="252">
        <v>0</v>
      </c>
      <c r="H164" s="252">
        <v>0</v>
      </c>
      <c r="I164" s="252">
        <v>0</v>
      </c>
      <c r="J164" s="252">
        <v>0</v>
      </c>
      <c r="K164" s="252">
        <v>0</v>
      </c>
      <c r="L164" s="252"/>
      <c r="M164" s="252">
        <v>0</v>
      </c>
      <c r="N164" s="252">
        <v>0</v>
      </c>
      <c r="O164" s="252">
        <v>0</v>
      </c>
      <c r="P164" s="252">
        <v>0</v>
      </c>
      <c r="Q164" s="252">
        <v>0</v>
      </c>
      <c r="R164" s="252">
        <v>0</v>
      </c>
      <c r="S164" s="252">
        <v>0</v>
      </c>
      <c r="T164" s="252">
        <v>0</v>
      </c>
      <c r="U164" s="252">
        <v>0</v>
      </c>
      <c r="V164" s="252">
        <v>0</v>
      </c>
      <c r="W164" s="252">
        <v>0</v>
      </c>
      <c r="X164" s="252"/>
      <c r="Y164" s="252">
        <v>0</v>
      </c>
    </row>
    <row r="165" spans="1:25" x14ac:dyDescent="0.3">
      <c r="A165" s="253" t="s">
        <v>240</v>
      </c>
      <c r="B165" s="252">
        <v>0</v>
      </c>
      <c r="C165" s="252">
        <v>0</v>
      </c>
      <c r="D165" s="252">
        <v>0</v>
      </c>
      <c r="E165" s="252">
        <v>0</v>
      </c>
      <c r="F165" s="252">
        <v>0</v>
      </c>
      <c r="G165" s="252">
        <v>0</v>
      </c>
      <c r="H165" s="252">
        <v>0</v>
      </c>
      <c r="I165" s="252">
        <v>0</v>
      </c>
      <c r="J165" s="252">
        <v>0</v>
      </c>
      <c r="K165" s="252">
        <v>0</v>
      </c>
      <c r="L165" s="252">
        <v>0</v>
      </c>
      <c r="M165" s="252">
        <v>0</v>
      </c>
      <c r="N165" s="252">
        <v>0</v>
      </c>
      <c r="O165" s="252">
        <v>0</v>
      </c>
      <c r="P165" s="252">
        <v>0</v>
      </c>
      <c r="Q165" s="252">
        <v>0</v>
      </c>
      <c r="R165" s="252">
        <v>0</v>
      </c>
      <c r="S165" s="252">
        <v>0</v>
      </c>
      <c r="T165" s="252">
        <v>0</v>
      </c>
      <c r="U165" s="252">
        <v>0</v>
      </c>
      <c r="V165" s="252">
        <v>0</v>
      </c>
      <c r="W165" s="252">
        <v>0</v>
      </c>
      <c r="X165" s="252">
        <v>0</v>
      </c>
      <c r="Y165" s="252">
        <v>0</v>
      </c>
    </row>
    <row r="166" spans="1:25" x14ac:dyDescent="0.3">
      <c r="A166" s="253" t="s">
        <v>241</v>
      </c>
      <c r="B166" s="252">
        <v>0</v>
      </c>
      <c r="C166" s="252">
        <v>0</v>
      </c>
      <c r="D166" s="252">
        <v>0</v>
      </c>
      <c r="E166" s="252">
        <v>0</v>
      </c>
      <c r="F166" s="252">
        <v>0</v>
      </c>
      <c r="G166" s="252">
        <v>0</v>
      </c>
      <c r="H166" s="252">
        <v>0</v>
      </c>
      <c r="I166" s="252"/>
      <c r="J166" s="252"/>
      <c r="K166" s="252">
        <v>0</v>
      </c>
      <c r="L166" s="252"/>
      <c r="M166" s="252">
        <v>0</v>
      </c>
      <c r="N166" s="252">
        <v>0</v>
      </c>
      <c r="O166" s="252">
        <v>0</v>
      </c>
      <c r="P166" s="252"/>
      <c r="Q166" s="252">
        <v>0</v>
      </c>
      <c r="R166" s="252"/>
      <c r="S166" s="252">
        <v>0</v>
      </c>
      <c r="T166" s="252">
        <v>0</v>
      </c>
      <c r="U166" s="252"/>
      <c r="V166" s="252">
        <v>0</v>
      </c>
      <c r="W166" s="252">
        <v>0</v>
      </c>
      <c r="X166" s="252"/>
      <c r="Y166" s="252">
        <v>0</v>
      </c>
    </row>
    <row r="167" spans="1:25" x14ac:dyDescent="0.3">
      <c r="A167" s="253" t="s">
        <v>242</v>
      </c>
      <c r="B167" s="252">
        <v>0</v>
      </c>
      <c r="C167" s="252">
        <v>0</v>
      </c>
      <c r="D167" s="252">
        <v>0</v>
      </c>
      <c r="E167" s="252">
        <v>0</v>
      </c>
      <c r="F167" s="252">
        <v>0</v>
      </c>
      <c r="G167" s="252">
        <v>0</v>
      </c>
      <c r="H167" s="252">
        <v>0</v>
      </c>
      <c r="I167" s="252"/>
      <c r="J167" s="252"/>
      <c r="K167" s="252">
        <v>0</v>
      </c>
      <c r="L167" s="252"/>
      <c r="M167" s="252">
        <v>0</v>
      </c>
      <c r="N167" s="252">
        <v>0</v>
      </c>
      <c r="O167" s="252">
        <v>0</v>
      </c>
      <c r="P167" s="252"/>
      <c r="Q167" s="252">
        <v>0</v>
      </c>
      <c r="R167" s="252"/>
      <c r="S167" s="252"/>
      <c r="T167" s="252">
        <v>0</v>
      </c>
      <c r="U167" s="252"/>
      <c r="V167" s="252">
        <v>0</v>
      </c>
      <c r="W167" s="252">
        <v>0</v>
      </c>
      <c r="X167" s="252"/>
      <c r="Y167" s="252">
        <v>0</v>
      </c>
    </row>
    <row r="168" spans="1:25" x14ac:dyDescent="0.3">
      <c r="A168" s="253" t="s">
        <v>243</v>
      </c>
      <c r="B168" s="252">
        <v>0</v>
      </c>
      <c r="C168" s="252">
        <v>0</v>
      </c>
      <c r="D168" s="252">
        <v>0</v>
      </c>
      <c r="E168" s="252">
        <v>0</v>
      </c>
      <c r="F168" s="252">
        <v>0</v>
      </c>
      <c r="G168" s="252">
        <v>0</v>
      </c>
      <c r="H168" s="252">
        <v>0</v>
      </c>
      <c r="I168" s="252"/>
      <c r="J168" s="252"/>
      <c r="K168" s="252">
        <v>0</v>
      </c>
      <c r="L168" s="252"/>
      <c r="M168" s="252">
        <v>0</v>
      </c>
      <c r="N168" s="252">
        <v>0</v>
      </c>
      <c r="O168" s="252">
        <v>0</v>
      </c>
      <c r="P168" s="252"/>
      <c r="Q168" s="252">
        <v>0</v>
      </c>
      <c r="R168" s="252"/>
      <c r="S168" s="252"/>
      <c r="T168" s="252">
        <v>0</v>
      </c>
      <c r="U168" s="252"/>
      <c r="V168" s="252">
        <v>0</v>
      </c>
      <c r="W168" s="252">
        <v>0</v>
      </c>
      <c r="X168" s="252"/>
      <c r="Y168" s="252">
        <v>0</v>
      </c>
    </row>
    <row r="169" spans="1:25" x14ac:dyDescent="0.3">
      <c r="A169" s="253" t="s">
        <v>244</v>
      </c>
      <c r="B169" s="252">
        <v>0</v>
      </c>
      <c r="C169" s="252">
        <v>0</v>
      </c>
      <c r="D169" s="252">
        <v>0</v>
      </c>
      <c r="E169" s="252"/>
      <c r="F169" s="252">
        <v>0</v>
      </c>
      <c r="G169" s="252">
        <v>0</v>
      </c>
      <c r="H169" s="252">
        <v>0</v>
      </c>
      <c r="I169" s="252"/>
      <c r="J169" s="252"/>
      <c r="K169" s="252">
        <v>0</v>
      </c>
      <c r="L169" s="252"/>
      <c r="M169" s="252">
        <v>0</v>
      </c>
      <c r="N169" s="252">
        <v>0</v>
      </c>
      <c r="O169" s="252">
        <v>0</v>
      </c>
      <c r="P169" s="252"/>
      <c r="Q169" s="252">
        <v>0</v>
      </c>
      <c r="R169" s="252"/>
      <c r="S169" s="252"/>
      <c r="T169" s="252">
        <v>0</v>
      </c>
      <c r="U169" s="252"/>
      <c r="V169" s="252">
        <v>0</v>
      </c>
      <c r="W169" s="252">
        <v>0</v>
      </c>
      <c r="X169" s="252"/>
      <c r="Y169" s="252">
        <v>0</v>
      </c>
    </row>
    <row r="170" spans="1:25" x14ac:dyDescent="0.3">
      <c r="A170" s="253" t="s">
        <v>245</v>
      </c>
      <c r="B170" s="252">
        <v>0</v>
      </c>
      <c r="C170" s="252">
        <v>0</v>
      </c>
      <c r="D170" s="252">
        <v>0</v>
      </c>
      <c r="E170" s="252">
        <v>0</v>
      </c>
      <c r="F170" s="252">
        <v>0</v>
      </c>
      <c r="G170" s="252">
        <v>0</v>
      </c>
      <c r="H170" s="252">
        <v>0</v>
      </c>
      <c r="I170" s="252"/>
      <c r="J170" s="252"/>
      <c r="K170" s="252">
        <v>0</v>
      </c>
      <c r="L170" s="252"/>
      <c r="M170" s="252">
        <v>0</v>
      </c>
      <c r="N170" s="252">
        <v>0</v>
      </c>
      <c r="O170" s="252">
        <v>0</v>
      </c>
      <c r="P170" s="252"/>
      <c r="Q170" s="252">
        <v>0</v>
      </c>
      <c r="R170" s="252"/>
      <c r="S170" s="252"/>
      <c r="T170" s="252">
        <v>0</v>
      </c>
      <c r="U170" s="252"/>
      <c r="V170" s="252">
        <v>0</v>
      </c>
      <c r="W170" s="252">
        <v>0</v>
      </c>
      <c r="X170" s="252"/>
      <c r="Y170" s="252">
        <v>0</v>
      </c>
    </row>
    <row r="171" spans="1:25" x14ac:dyDescent="0.3">
      <c r="A171" s="253" t="s">
        <v>246</v>
      </c>
      <c r="B171" s="252">
        <v>0</v>
      </c>
      <c r="C171" s="252">
        <v>0</v>
      </c>
      <c r="D171" s="252">
        <v>0</v>
      </c>
      <c r="E171" s="252">
        <v>0</v>
      </c>
      <c r="F171" s="252">
        <v>0</v>
      </c>
      <c r="G171" s="252">
        <v>0</v>
      </c>
      <c r="H171" s="252">
        <v>0</v>
      </c>
      <c r="I171" s="252"/>
      <c r="J171" s="252"/>
      <c r="K171" s="252">
        <v>0</v>
      </c>
      <c r="L171" s="252"/>
      <c r="M171" s="252">
        <v>0</v>
      </c>
      <c r="N171" s="252">
        <v>0</v>
      </c>
      <c r="O171" s="252">
        <v>0</v>
      </c>
      <c r="P171" s="252"/>
      <c r="Q171" s="252">
        <v>0</v>
      </c>
      <c r="R171" s="252"/>
      <c r="S171" s="252"/>
      <c r="T171" s="252">
        <v>0</v>
      </c>
      <c r="U171" s="252"/>
      <c r="V171" s="252">
        <v>0</v>
      </c>
      <c r="W171" s="252">
        <v>0</v>
      </c>
      <c r="X171" s="252"/>
      <c r="Y171" s="252">
        <v>0</v>
      </c>
    </row>
    <row r="172" spans="1:25" x14ac:dyDescent="0.3">
      <c r="A172" s="253" t="s">
        <v>247</v>
      </c>
      <c r="B172" s="252">
        <v>0</v>
      </c>
      <c r="C172" s="252">
        <v>0</v>
      </c>
      <c r="D172" s="252">
        <v>0</v>
      </c>
      <c r="E172" s="252"/>
      <c r="F172" s="252">
        <v>0</v>
      </c>
      <c r="G172" s="252">
        <v>0</v>
      </c>
      <c r="H172" s="252">
        <v>0</v>
      </c>
      <c r="I172" s="252"/>
      <c r="J172" s="252"/>
      <c r="K172" s="252">
        <v>0</v>
      </c>
      <c r="L172" s="252"/>
      <c r="M172" s="252">
        <v>0</v>
      </c>
      <c r="N172" s="252">
        <v>0</v>
      </c>
      <c r="O172" s="252">
        <v>0</v>
      </c>
      <c r="P172" s="252"/>
      <c r="Q172" s="252">
        <v>0</v>
      </c>
      <c r="R172" s="252"/>
      <c r="S172" s="252"/>
      <c r="T172" s="252">
        <v>0</v>
      </c>
      <c r="U172" s="252"/>
      <c r="V172" s="252">
        <v>0</v>
      </c>
      <c r="W172" s="252">
        <v>0</v>
      </c>
      <c r="X172" s="252"/>
      <c r="Y172" s="252">
        <v>0</v>
      </c>
    </row>
    <row r="173" spans="1:25" x14ac:dyDescent="0.3">
      <c r="A173" s="253" t="s">
        <v>248</v>
      </c>
      <c r="B173" s="252">
        <v>0</v>
      </c>
      <c r="C173" s="252"/>
      <c r="D173" s="252">
        <v>0</v>
      </c>
      <c r="E173" s="252">
        <v>0</v>
      </c>
      <c r="F173" s="252">
        <v>0</v>
      </c>
      <c r="G173" s="252"/>
      <c r="H173" s="252">
        <v>0</v>
      </c>
      <c r="I173" s="252"/>
      <c r="J173" s="252"/>
      <c r="K173" s="252"/>
      <c r="L173" s="252"/>
      <c r="M173" s="252">
        <v>0</v>
      </c>
      <c r="N173" s="252">
        <v>0</v>
      </c>
      <c r="O173" s="252">
        <v>0</v>
      </c>
      <c r="P173" s="252"/>
      <c r="Q173" s="252">
        <v>0</v>
      </c>
      <c r="R173" s="252"/>
      <c r="S173" s="252"/>
      <c r="T173" s="252"/>
      <c r="U173" s="252"/>
      <c r="V173" s="252">
        <v>0</v>
      </c>
      <c r="W173" s="252">
        <v>0</v>
      </c>
      <c r="X173" s="252"/>
      <c r="Y173" s="252">
        <v>0</v>
      </c>
    </row>
    <row r="174" spans="1:25" x14ac:dyDescent="0.3">
      <c r="A174" s="253" t="s">
        <v>249</v>
      </c>
      <c r="B174" s="252">
        <v>0</v>
      </c>
      <c r="C174" s="252">
        <v>1</v>
      </c>
      <c r="D174" s="252">
        <v>0</v>
      </c>
      <c r="E174" s="252">
        <v>1</v>
      </c>
      <c r="F174" s="252">
        <v>1</v>
      </c>
      <c r="G174" s="252">
        <v>2</v>
      </c>
      <c r="H174" s="252">
        <v>0</v>
      </c>
      <c r="I174" s="252">
        <v>0</v>
      </c>
      <c r="J174" s="252">
        <v>0</v>
      </c>
      <c r="K174" s="252">
        <v>0</v>
      </c>
      <c r="L174" s="252">
        <v>1</v>
      </c>
      <c r="M174" s="252">
        <v>2</v>
      </c>
      <c r="N174" s="252">
        <v>0</v>
      </c>
      <c r="O174" s="252">
        <v>0</v>
      </c>
      <c r="P174" s="252">
        <v>0</v>
      </c>
      <c r="Q174" s="252">
        <v>0</v>
      </c>
      <c r="R174" s="252">
        <v>0</v>
      </c>
      <c r="S174" s="252">
        <v>2</v>
      </c>
      <c r="T174" s="252">
        <v>1</v>
      </c>
      <c r="U174" s="252">
        <v>2</v>
      </c>
      <c r="V174" s="252">
        <v>2</v>
      </c>
      <c r="W174" s="252">
        <v>2</v>
      </c>
      <c r="X174" s="252">
        <v>0</v>
      </c>
      <c r="Y174" s="252">
        <v>17</v>
      </c>
    </row>
    <row r="175" spans="1:25" x14ac:dyDescent="0.3">
      <c r="A175" s="253" t="s">
        <v>845</v>
      </c>
      <c r="B175" s="252">
        <v>0</v>
      </c>
      <c r="C175" s="252">
        <v>0</v>
      </c>
      <c r="D175" s="252">
        <v>0</v>
      </c>
      <c r="E175" s="252">
        <v>0</v>
      </c>
      <c r="F175" s="252">
        <v>0</v>
      </c>
      <c r="G175" s="252">
        <v>0</v>
      </c>
      <c r="H175" s="252">
        <v>0</v>
      </c>
      <c r="I175" s="252">
        <v>0</v>
      </c>
      <c r="J175" s="252">
        <v>0</v>
      </c>
      <c r="K175" s="252">
        <v>0</v>
      </c>
      <c r="L175" s="252"/>
      <c r="M175" s="252">
        <v>0</v>
      </c>
      <c r="N175" s="252">
        <v>0</v>
      </c>
      <c r="O175" s="252">
        <v>0</v>
      </c>
      <c r="P175" s="252">
        <v>0</v>
      </c>
      <c r="Q175" s="252">
        <v>0</v>
      </c>
      <c r="R175" s="252">
        <v>0</v>
      </c>
      <c r="S175" s="252">
        <v>0</v>
      </c>
      <c r="T175" s="252">
        <v>0</v>
      </c>
      <c r="U175" s="252">
        <v>0</v>
      </c>
      <c r="V175" s="252">
        <v>0</v>
      </c>
      <c r="W175" s="252">
        <v>0</v>
      </c>
      <c r="X175" s="252"/>
      <c r="Y175" s="252">
        <v>0</v>
      </c>
    </row>
    <row r="176" spans="1:25" x14ac:dyDescent="0.3">
      <c r="A176" s="253" t="s">
        <v>1109</v>
      </c>
      <c r="B176" s="252">
        <v>0</v>
      </c>
      <c r="C176" s="252">
        <v>0</v>
      </c>
      <c r="D176" s="252">
        <v>0</v>
      </c>
      <c r="E176" s="252">
        <v>0</v>
      </c>
      <c r="F176" s="252">
        <v>0</v>
      </c>
      <c r="G176" s="252">
        <v>0</v>
      </c>
      <c r="H176" s="252">
        <v>0</v>
      </c>
      <c r="I176" s="252">
        <v>0</v>
      </c>
      <c r="J176" s="252">
        <v>0</v>
      </c>
      <c r="K176" s="252">
        <v>0</v>
      </c>
      <c r="L176" s="252">
        <v>0</v>
      </c>
      <c r="M176" s="252">
        <v>0</v>
      </c>
      <c r="N176" s="252">
        <v>0</v>
      </c>
      <c r="O176" s="252">
        <v>0</v>
      </c>
      <c r="P176" s="252">
        <v>0</v>
      </c>
      <c r="Q176" s="252">
        <v>0</v>
      </c>
      <c r="R176" s="252">
        <v>0</v>
      </c>
      <c r="S176" s="252">
        <v>0</v>
      </c>
      <c r="T176" s="252">
        <v>0</v>
      </c>
      <c r="U176" s="252">
        <v>0</v>
      </c>
      <c r="V176" s="252">
        <v>0</v>
      </c>
      <c r="W176" s="252">
        <v>0</v>
      </c>
      <c r="X176" s="252">
        <v>0</v>
      </c>
      <c r="Y176" s="252">
        <v>0</v>
      </c>
    </row>
    <row r="177" spans="1:25" x14ac:dyDescent="0.3">
      <c r="A177" s="253" t="s">
        <v>1110</v>
      </c>
      <c r="B177" s="252">
        <v>0</v>
      </c>
      <c r="C177" s="252">
        <v>0</v>
      </c>
      <c r="D177" s="252">
        <v>0</v>
      </c>
      <c r="E177" s="252">
        <v>0</v>
      </c>
      <c r="F177" s="252">
        <v>0</v>
      </c>
      <c r="G177" s="252">
        <v>0</v>
      </c>
      <c r="H177" s="252">
        <v>0</v>
      </c>
      <c r="I177" s="252">
        <v>0</v>
      </c>
      <c r="J177" s="252">
        <v>0</v>
      </c>
      <c r="K177" s="252">
        <v>0</v>
      </c>
      <c r="L177" s="252">
        <v>0</v>
      </c>
      <c r="M177" s="252">
        <v>0</v>
      </c>
      <c r="N177" s="252">
        <v>0</v>
      </c>
      <c r="O177" s="252">
        <v>0</v>
      </c>
      <c r="P177" s="252">
        <v>0</v>
      </c>
      <c r="Q177" s="252">
        <v>0</v>
      </c>
      <c r="R177" s="252">
        <v>0</v>
      </c>
      <c r="S177" s="252">
        <v>0</v>
      </c>
      <c r="T177" s="252">
        <v>0</v>
      </c>
      <c r="U177" s="252">
        <v>0</v>
      </c>
      <c r="V177" s="252">
        <v>0</v>
      </c>
      <c r="W177" s="252">
        <v>0</v>
      </c>
      <c r="X177" s="252">
        <v>0</v>
      </c>
      <c r="Y177" s="252">
        <v>0</v>
      </c>
    </row>
    <row r="178" spans="1:25" x14ac:dyDescent="0.3">
      <c r="A178" s="253" t="s">
        <v>250</v>
      </c>
      <c r="B178" s="252">
        <v>0</v>
      </c>
      <c r="C178" s="252">
        <v>0</v>
      </c>
      <c r="D178" s="252">
        <v>0</v>
      </c>
      <c r="E178" s="252">
        <v>0</v>
      </c>
      <c r="F178" s="252">
        <v>0</v>
      </c>
      <c r="G178" s="252">
        <v>0</v>
      </c>
      <c r="H178" s="252">
        <v>0</v>
      </c>
      <c r="I178" s="252"/>
      <c r="J178" s="252"/>
      <c r="K178" s="252">
        <v>0</v>
      </c>
      <c r="L178" s="252"/>
      <c r="M178" s="252">
        <v>0</v>
      </c>
      <c r="N178" s="252">
        <v>0</v>
      </c>
      <c r="O178" s="252">
        <v>0</v>
      </c>
      <c r="P178" s="252"/>
      <c r="Q178" s="252">
        <v>0</v>
      </c>
      <c r="R178" s="252"/>
      <c r="S178" s="252"/>
      <c r="T178" s="252">
        <v>0</v>
      </c>
      <c r="U178" s="252"/>
      <c r="V178" s="252">
        <v>0</v>
      </c>
      <c r="W178" s="252">
        <v>0</v>
      </c>
      <c r="X178" s="252"/>
      <c r="Y178" s="252">
        <v>0</v>
      </c>
    </row>
    <row r="179" spans="1:25" x14ac:dyDescent="0.3">
      <c r="A179" s="253" t="s">
        <v>53</v>
      </c>
      <c r="B179" s="252">
        <v>3</v>
      </c>
      <c r="C179" s="252">
        <v>5</v>
      </c>
      <c r="D179" s="252">
        <v>0</v>
      </c>
      <c r="E179" s="252">
        <v>2</v>
      </c>
      <c r="F179" s="252">
        <v>0</v>
      </c>
      <c r="G179" s="252">
        <v>0</v>
      </c>
      <c r="H179" s="252">
        <v>2</v>
      </c>
      <c r="I179" s="252">
        <v>0</v>
      </c>
      <c r="J179" s="252">
        <v>3</v>
      </c>
      <c r="K179" s="252">
        <v>0</v>
      </c>
      <c r="L179" s="252">
        <v>0</v>
      </c>
      <c r="M179" s="252">
        <v>3</v>
      </c>
      <c r="N179" s="252">
        <v>1</v>
      </c>
      <c r="O179" s="252">
        <v>3</v>
      </c>
      <c r="P179" s="252">
        <v>5</v>
      </c>
      <c r="Q179" s="252">
        <v>4</v>
      </c>
      <c r="R179" s="252">
        <v>6</v>
      </c>
      <c r="S179" s="252">
        <v>5</v>
      </c>
      <c r="T179" s="252">
        <v>0</v>
      </c>
      <c r="U179" s="252">
        <v>1</v>
      </c>
      <c r="V179" s="252">
        <v>3</v>
      </c>
      <c r="W179" s="252">
        <v>3</v>
      </c>
      <c r="X179" s="252">
        <v>7</v>
      </c>
      <c r="Y179" s="252">
        <v>56</v>
      </c>
    </row>
    <row r="180" spans="1:25" x14ac:dyDescent="0.3">
      <c r="A180" s="253" t="s">
        <v>980</v>
      </c>
      <c r="B180" s="252">
        <v>0</v>
      </c>
      <c r="C180" s="252">
        <v>0</v>
      </c>
      <c r="D180" s="252">
        <v>0</v>
      </c>
      <c r="E180" s="252">
        <v>0</v>
      </c>
      <c r="F180" s="252">
        <v>0</v>
      </c>
      <c r="G180" s="252">
        <v>0</v>
      </c>
      <c r="H180" s="252">
        <v>0</v>
      </c>
      <c r="I180" s="252">
        <v>0</v>
      </c>
      <c r="J180" s="252">
        <v>0</v>
      </c>
      <c r="K180" s="252">
        <v>0</v>
      </c>
      <c r="L180" s="252">
        <v>0</v>
      </c>
      <c r="M180" s="252">
        <v>0</v>
      </c>
      <c r="N180" s="252">
        <v>0</v>
      </c>
      <c r="O180" s="252">
        <v>0</v>
      </c>
      <c r="P180" s="252">
        <v>0</v>
      </c>
      <c r="Q180" s="252">
        <v>0</v>
      </c>
      <c r="R180" s="252">
        <v>0</v>
      </c>
      <c r="S180" s="252">
        <v>0</v>
      </c>
      <c r="T180" s="252">
        <v>0</v>
      </c>
      <c r="U180" s="252">
        <v>0</v>
      </c>
      <c r="V180" s="252">
        <v>0</v>
      </c>
      <c r="W180" s="252">
        <v>0</v>
      </c>
      <c r="X180" s="252">
        <v>0</v>
      </c>
      <c r="Y180" s="252">
        <v>0</v>
      </c>
    </row>
    <row r="181" spans="1:25" x14ac:dyDescent="0.3">
      <c r="A181" s="253" t="s">
        <v>251</v>
      </c>
      <c r="B181" s="252">
        <v>0</v>
      </c>
      <c r="C181" s="252">
        <v>0</v>
      </c>
      <c r="D181" s="252">
        <v>0</v>
      </c>
      <c r="E181" s="252">
        <v>0</v>
      </c>
      <c r="F181" s="252">
        <v>0</v>
      </c>
      <c r="G181" s="252">
        <v>0</v>
      </c>
      <c r="H181" s="252">
        <v>0</v>
      </c>
      <c r="I181" s="252">
        <v>0</v>
      </c>
      <c r="J181" s="252">
        <v>0</v>
      </c>
      <c r="K181" s="252">
        <v>0</v>
      </c>
      <c r="L181" s="252"/>
      <c r="M181" s="252">
        <v>0</v>
      </c>
      <c r="N181" s="252">
        <v>0</v>
      </c>
      <c r="O181" s="252">
        <v>0</v>
      </c>
      <c r="P181" s="252">
        <v>0</v>
      </c>
      <c r="Q181" s="252">
        <v>0</v>
      </c>
      <c r="R181" s="252">
        <v>0</v>
      </c>
      <c r="S181" s="252">
        <v>0</v>
      </c>
      <c r="T181" s="252">
        <v>0</v>
      </c>
      <c r="U181" s="252">
        <v>0</v>
      </c>
      <c r="V181" s="252">
        <v>0</v>
      </c>
      <c r="W181" s="252">
        <v>0</v>
      </c>
      <c r="X181" s="252">
        <v>0</v>
      </c>
      <c r="Y181" s="252">
        <v>0</v>
      </c>
    </row>
    <row r="182" spans="1:25" x14ac:dyDescent="0.3">
      <c r="A182" s="253" t="s">
        <v>1065</v>
      </c>
      <c r="B182" s="252">
        <v>0</v>
      </c>
      <c r="C182" s="252">
        <v>0</v>
      </c>
      <c r="D182" s="252">
        <v>0</v>
      </c>
      <c r="E182" s="252">
        <v>0</v>
      </c>
      <c r="F182" s="252">
        <v>0</v>
      </c>
      <c r="G182" s="252">
        <v>0</v>
      </c>
      <c r="H182" s="252">
        <v>0</v>
      </c>
      <c r="I182" s="252"/>
      <c r="J182" s="252">
        <v>0</v>
      </c>
      <c r="K182" s="252">
        <v>0</v>
      </c>
      <c r="L182" s="252"/>
      <c r="M182" s="252">
        <v>0</v>
      </c>
      <c r="N182" s="252">
        <v>0</v>
      </c>
      <c r="O182" s="252">
        <v>0</v>
      </c>
      <c r="P182" s="252">
        <v>0</v>
      </c>
      <c r="Q182" s="252">
        <v>0</v>
      </c>
      <c r="R182" s="252"/>
      <c r="S182" s="252"/>
      <c r="T182" s="252">
        <v>0</v>
      </c>
      <c r="U182" s="252"/>
      <c r="V182" s="252">
        <v>0</v>
      </c>
      <c r="W182" s="252">
        <v>0</v>
      </c>
      <c r="X182" s="252"/>
      <c r="Y182" s="252">
        <v>0</v>
      </c>
    </row>
    <row r="183" spans="1:25" x14ac:dyDescent="0.3">
      <c r="A183" s="253" t="s">
        <v>1111</v>
      </c>
      <c r="B183" s="252">
        <v>0</v>
      </c>
      <c r="C183" s="252">
        <v>0</v>
      </c>
      <c r="D183" s="252">
        <v>0</v>
      </c>
      <c r="E183" s="252">
        <v>0</v>
      </c>
      <c r="F183" s="252">
        <v>0</v>
      </c>
      <c r="G183" s="252">
        <v>0</v>
      </c>
      <c r="H183" s="252">
        <v>0</v>
      </c>
      <c r="I183" s="252">
        <v>0</v>
      </c>
      <c r="J183" s="252">
        <v>0</v>
      </c>
      <c r="K183" s="252">
        <v>0</v>
      </c>
      <c r="L183" s="252">
        <v>0</v>
      </c>
      <c r="M183" s="252">
        <v>0</v>
      </c>
      <c r="N183" s="252">
        <v>0</v>
      </c>
      <c r="O183" s="252">
        <v>0</v>
      </c>
      <c r="P183" s="252">
        <v>0</v>
      </c>
      <c r="Q183" s="252">
        <v>0</v>
      </c>
      <c r="R183" s="252">
        <v>0</v>
      </c>
      <c r="S183" s="252">
        <v>0</v>
      </c>
      <c r="T183" s="252">
        <v>0</v>
      </c>
      <c r="U183" s="252">
        <v>0</v>
      </c>
      <c r="V183" s="252">
        <v>0</v>
      </c>
      <c r="W183" s="252">
        <v>0</v>
      </c>
      <c r="X183" s="252">
        <v>0</v>
      </c>
      <c r="Y183" s="252">
        <v>0</v>
      </c>
    </row>
    <row r="184" spans="1:25" x14ac:dyDescent="0.3">
      <c r="A184" s="253" t="s">
        <v>252</v>
      </c>
      <c r="B184" s="252">
        <v>0</v>
      </c>
      <c r="C184" s="252">
        <v>0</v>
      </c>
      <c r="D184" s="252">
        <v>0</v>
      </c>
      <c r="E184" s="252">
        <v>0</v>
      </c>
      <c r="F184" s="252">
        <v>0</v>
      </c>
      <c r="G184" s="252">
        <v>0</v>
      </c>
      <c r="H184" s="252">
        <v>0</v>
      </c>
      <c r="I184" s="252"/>
      <c r="J184" s="252">
        <v>0</v>
      </c>
      <c r="K184" s="252">
        <v>0</v>
      </c>
      <c r="L184" s="252"/>
      <c r="M184" s="252">
        <v>0</v>
      </c>
      <c r="N184" s="252">
        <v>0</v>
      </c>
      <c r="O184" s="252">
        <v>0</v>
      </c>
      <c r="P184" s="252"/>
      <c r="Q184" s="252">
        <v>0</v>
      </c>
      <c r="R184" s="252"/>
      <c r="S184" s="252">
        <v>0</v>
      </c>
      <c r="T184" s="252">
        <v>0</v>
      </c>
      <c r="U184" s="252"/>
      <c r="V184" s="252">
        <v>0</v>
      </c>
      <c r="W184" s="252">
        <v>0</v>
      </c>
      <c r="X184" s="252"/>
      <c r="Y184" s="252">
        <v>0</v>
      </c>
    </row>
    <row r="185" spans="1:25" x14ac:dyDescent="0.3">
      <c r="A185" s="253" t="s">
        <v>253</v>
      </c>
      <c r="B185" s="252">
        <v>2</v>
      </c>
      <c r="C185" s="252">
        <v>2</v>
      </c>
      <c r="D185" s="252">
        <v>0</v>
      </c>
      <c r="E185" s="252">
        <v>6</v>
      </c>
      <c r="F185" s="252">
        <v>2</v>
      </c>
      <c r="G185" s="252">
        <v>0</v>
      </c>
      <c r="H185" s="252">
        <v>4</v>
      </c>
      <c r="I185" s="252">
        <v>0</v>
      </c>
      <c r="J185" s="252">
        <v>6</v>
      </c>
      <c r="K185" s="252">
        <v>2</v>
      </c>
      <c r="L185" s="252">
        <v>1</v>
      </c>
      <c r="M185" s="252">
        <v>2</v>
      </c>
      <c r="N185" s="252">
        <v>0</v>
      </c>
      <c r="O185" s="252">
        <v>2</v>
      </c>
      <c r="P185" s="252">
        <v>4</v>
      </c>
      <c r="Q185" s="252">
        <v>4</v>
      </c>
      <c r="R185" s="252">
        <v>4</v>
      </c>
      <c r="S185" s="252">
        <v>0</v>
      </c>
      <c r="T185" s="252">
        <v>0</v>
      </c>
      <c r="U185" s="252">
        <v>0</v>
      </c>
      <c r="V185" s="252">
        <v>4</v>
      </c>
      <c r="W185" s="252">
        <v>3</v>
      </c>
      <c r="X185" s="252">
        <v>2</v>
      </c>
      <c r="Y185" s="252">
        <v>50</v>
      </c>
    </row>
    <row r="186" spans="1:25" x14ac:dyDescent="0.3">
      <c r="A186" s="253" t="s">
        <v>254</v>
      </c>
      <c r="B186" s="252">
        <v>0</v>
      </c>
      <c r="C186" s="252">
        <v>0</v>
      </c>
      <c r="D186" s="252">
        <v>0</v>
      </c>
      <c r="E186" s="252">
        <v>0</v>
      </c>
      <c r="F186" s="252">
        <v>0</v>
      </c>
      <c r="G186" s="252">
        <v>0</v>
      </c>
      <c r="H186" s="252">
        <v>0</v>
      </c>
      <c r="I186" s="252"/>
      <c r="J186" s="252"/>
      <c r="K186" s="252">
        <v>0</v>
      </c>
      <c r="L186" s="252"/>
      <c r="M186" s="252">
        <v>0</v>
      </c>
      <c r="N186" s="252">
        <v>0</v>
      </c>
      <c r="O186" s="252">
        <v>0</v>
      </c>
      <c r="P186" s="252"/>
      <c r="Q186" s="252">
        <v>0</v>
      </c>
      <c r="R186" s="252"/>
      <c r="S186" s="252"/>
      <c r="T186" s="252">
        <v>0</v>
      </c>
      <c r="U186" s="252"/>
      <c r="V186" s="252">
        <v>0</v>
      </c>
      <c r="W186" s="252">
        <v>0</v>
      </c>
      <c r="X186" s="252"/>
      <c r="Y186" s="252">
        <v>0</v>
      </c>
    </row>
    <row r="187" spans="1:25" x14ac:dyDescent="0.3">
      <c r="A187" s="253" t="s">
        <v>255</v>
      </c>
      <c r="B187" s="252">
        <v>0</v>
      </c>
      <c r="C187" s="252">
        <v>0</v>
      </c>
      <c r="D187" s="252">
        <v>0</v>
      </c>
      <c r="E187" s="252">
        <v>0</v>
      </c>
      <c r="F187" s="252">
        <v>0</v>
      </c>
      <c r="G187" s="252">
        <v>0</v>
      </c>
      <c r="H187" s="252">
        <v>0</v>
      </c>
      <c r="I187" s="252"/>
      <c r="J187" s="252"/>
      <c r="K187" s="252">
        <v>0</v>
      </c>
      <c r="L187" s="252"/>
      <c r="M187" s="252">
        <v>0</v>
      </c>
      <c r="N187" s="252">
        <v>0</v>
      </c>
      <c r="O187" s="252">
        <v>0</v>
      </c>
      <c r="P187" s="252"/>
      <c r="Q187" s="252">
        <v>0</v>
      </c>
      <c r="R187" s="252"/>
      <c r="S187" s="252"/>
      <c r="T187" s="252">
        <v>0</v>
      </c>
      <c r="U187" s="252"/>
      <c r="V187" s="252">
        <v>0</v>
      </c>
      <c r="W187" s="252">
        <v>0</v>
      </c>
      <c r="X187" s="252"/>
      <c r="Y187" s="252">
        <v>0</v>
      </c>
    </row>
    <row r="188" spans="1:25" x14ac:dyDescent="0.3">
      <c r="A188" s="253" t="s">
        <v>256</v>
      </c>
      <c r="B188" s="252">
        <v>0</v>
      </c>
      <c r="C188" s="252">
        <v>0</v>
      </c>
      <c r="D188" s="252">
        <v>0</v>
      </c>
      <c r="E188" s="252"/>
      <c r="F188" s="252">
        <v>0</v>
      </c>
      <c r="G188" s="252">
        <v>0</v>
      </c>
      <c r="H188" s="252">
        <v>0</v>
      </c>
      <c r="I188" s="252">
        <v>0</v>
      </c>
      <c r="J188" s="252">
        <v>0</v>
      </c>
      <c r="K188" s="252">
        <v>0</v>
      </c>
      <c r="L188" s="252"/>
      <c r="M188" s="252">
        <v>0</v>
      </c>
      <c r="N188" s="252">
        <v>0</v>
      </c>
      <c r="O188" s="252">
        <v>0</v>
      </c>
      <c r="P188" s="252"/>
      <c r="Q188" s="252">
        <v>0</v>
      </c>
      <c r="R188" s="252">
        <v>0</v>
      </c>
      <c r="S188" s="252">
        <v>0</v>
      </c>
      <c r="T188" s="252">
        <v>0</v>
      </c>
      <c r="U188" s="252"/>
      <c r="V188" s="252">
        <v>0</v>
      </c>
      <c r="W188" s="252">
        <v>0</v>
      </c>
      <c r="X188" s="252"/>
      <c r="Y188" s="252">
        <v>0</v>
      </c>
    </row>
    <row r="189" spans="1:25" x14ac:dyDescent="0.3">
      <c r="A189" s="253" t="s">
        <v>257</v>
      </c>
      <c r="B189" s="252">
        <v>0</v>
      </c>
      <c r="C189" s="252">
        <v>0</v>
      </c>
      <c r="D189" s="252">
        <v>0</v>
      </c>
      <c r="E189" s="252">
        <v>0</v>
      </c>
      <c r="F189" s="252">
        <v>0</v>
      </c>
      <c r="G189" s="252">
        <v>0</v>
      </c>
      <c r="H189" s="252">
        <v>0</v>
      </c>
      <c r="I189" s="252">
        <v>0</v>
      </c>
      <c r="J189" s="252">
        <v>0</v>
      </c>
      <c r="K189" s="252">
        <v>0</v>
      </c>
      <c r="L189" s="252"/>
      <c r="M189" s="252">
        <v>0</v>
      </c>
      <c r="N189" s="252">
        <v>0</v>
      </c>
      <c r="O189" s="252">
        <v>0</v>
      </c>
      <c r="P189" s="252"/>
      <c r="Q189" s="252">
        <v>0</v>
      </c>
      <c r="R189" s="252">
        <v>0</v>
      </c>
      <c r="S189" s="252">
        <v>0</v>
      </c>
      <c r="T189" s="252">
        <v>0</v>
      </c>
      <c r="U189" s="252"/>
      <c r="V189" s="252">
        <v>0</v>
      </c>
      <c r="W189" s="252">
        <v>0</v>
      </c>
      <c r="X189" s="252"/>
      <c r="Y189" s="252">
        <v>0</v>
      </c>
    </row>
    <row r="190" spans="1:25" x14ac:dyDescent="0.3">
      <c r="A190" s="253" t="s">
        <v>258</v>
      </c>
      <c r="B190" s="252">
        <v>0</v>
      </c>
      <c r="C190" s="252">
        <v>0</v>
      </c>
      <c r="D190" s="252">
        <v>0</v>
      </c>
      <c r="E190" s="252">
        <v>0</v>
      </c>
      <c r="F190" s="252">
        <v>0</v>
      </c>
      <c r="G190" s="252">
        <v>0</v>
      </c>
      <c r="H190" s="252">
        <v>0</v>
      </c>
      <c r="I190" s="252">
        <v>0</v>
      </c>
      <c r="J190" s="252">
        <v>0</v>
      </c>
      <c r="K190" s="252">
        <v>0</v>
      </c>
      <c r="L190" s="252"/>
      <c r="M190" s="252">
        <v>0</v>
      </c>
      <c r="N190" s="252">
        <v>0</v>
      </c>
      <c r="O190" s="252">
        <v>0</v>
      </c>
      <c r="P190" s="252"/>
      <c r="Q190" s="252">
        <v>0</v>
      </c>
      <c r="R190" s="252">
        <v>0</v>
      </c>
      <c r="S190" s="252">
        <v>0</v>
      </c>
      <c r="T190" s="252">
        <v>0</v>
      </c>
      <c r="U190" s="252"/>
      <c r="V190" s="252">
        <v>0</v>
      </c>
      <c r="W190" s="252">
        <v>0</v>
      </c>
      <c r="X190" s="252"/>
      <c r="Y190" s="252">
        <v>0</v>
      </c>
    </row>
    <row r="191" spans="1:25" x14ac:dyDescent="0.3">
      <c r="A191" s="253" t="s">
        <v>972</v>
      </c>
      <c r="B191" s="252">
        <v>0</v>
      </c>
      <c r="C191" s="252">
        <v>0</v>
      </c>
      <c r="D191" s="252">
        <v>0</v>
      </c>
      <c r="E191" s="252">
        <v>0</v>
      </c>
      <c r="F191" s="252">
        <v>0</v>
      </c>
      <c r="G191" s="252">
        <v>0</v>
      </c>
      <c r="H191" s="252">
        <v>0</v>
      </c>
      <c r="I191" s="252">
        <v>0</v>
      </c>
      <c r="J191" s="252">
        <v>0</v>
      </c>
      <c r="K191" s="252">
        <v>0</v>
      </c>
      <c r="L191" s="252">
        <v>0</v>
      </c>
      <c r="M191" s="252">
        <v>0</v>
      </c>
      <c r="N191" s="252">
        <v>0</v>
      </c>
      <c r="O191" s="252">
        <v>0</v>
      </c>
      <c r="P191" s="252">
        <v>0</v>
      </c>
      <c r="Q191" s="252">
        <v>0</v>
      </c>
      <c r="R191" s="252">
        <v>0</v>
      </c>
      <c r="S191" s="252">
        <v>0</v>
      </c>
      <c r="T191" s="252">
        <v>0</v>
      </c>
      <c r="U191" s="252">
        <v>0</v>
      </c>
      <c r="V191" s="252">
        <v>0</v>
      </c>
      <c r="W191" s="252">
        <v>0</v>
      </c>
      <c r="X191" s="252">
        <v>0</v>
      </c>
      <c r="Y191" s="252">
        <v>0</v>
      </c>
    </row>
    <row r="192" spans="1:25" x14ac:dyDescent="0.3">
      <c r="A192" s="253" t="s">
        <v>259</v>
      </c>
      <c r="B192" s="252">
        <v>0</v>
      </c>
      <c r="C192" s="252"/>
      <c r="D192" s="252">
        <v>0</v>
      </c>
      <c r="E192" s="252">
        <v>0</v>
      </c>
      <c r="F192" s="252">
        <v>0</v>
      </c>
      <c r="G192" s="252">
        <v>0</v>
      </c>
      <c r="H192" s="252">
        <v>0</v>
      </c>
      <c r="I192" s="252"/>
      <c r="J192" s="252"/>
      <c r="K192" s="252">
        <v>0</v>
      </c>
      <c r="L192" s="252"/>
      <c r="M192" s="252">
        <v>0</v>
      </c>
      <c r="N192" s="252">
        <v>0</v>
      </c>
      <c r="O192" s="252">
        <v>0</v>
      </c>
      <c r="P192" s="252"/>
      <c r="Q192" s="252">
        <v>0</v>
      </c>
      <c r="R192" s="252"/>
      <c r="S192" s="252"/>
      <c r="T192" s="252">
        <v>0</v>
      </c>
      <c r="U192" s="252"/>
      <c r="V192" s="252">
        <v>0</v>
      </c>
      <c r="W192" s="252">
        <v>0</v>
      </c>
      <c r="X192" s="252"/>
      <c r="Y192" s="252">
        <v>0</v>
      </c>
    </row>
    <row r="193" spans="1:25" x14ac:dyDescent="0.3">
      <c r="A193" s="253" t="s">
        <v>973</v>
      </c>
      <c r="B193" s="252">
        <v>0</v>
      </c>
      <c r="C193" s="252">
        <v>0</v>
      </c>
      <c r="D193" s="252">
        <v>0</v>
      </c>
      <c r="E193" s="252">
        <v>0</v>
      </c>
      <c r="F193" s="252">
        <v>0</v>
      </c>
      <c r="G193" s="252">
        <v>0</v>
      </c>
      <c r="H193" s="252">
        <v>0</v>
      </c>
      <c r="I193" s="252">
        <v>0</v>
      </c>
      <c r="J193" s="252">
        <v>0</v>
      </c>
      <c r="K193" s="252">
        <v>0</v>
      </c>
      <c r="L193" s="252">
        <v>0</v>
      </c>
      <c r="M193" s="252">
        <v>0</v>
      </c>
      <c r="N193" s="252">
        <v>0</v>
      </c>
      <c r="O193" s="252">
        <v>0</v>
      </c>
      <c r="P193" s="252">
        <v>0</v>
      </c>
      <c r="Q193" s="252">
        <v>0</v>
      </c>
      <c r="R193" s="252">
        <v>0</v>
      </c>
      <c r="S193" s="252">
        <v>0</v>
      </c>
      <c r="T193" s="252">
        <v>0</v>
      </c>
      <c r="U193" s="252">
        <v>0</v>
      </c>
      <c r="V193" s="252">
        <v>0</v>
      </c>
      <c r="W193" s="252">
        <v>0</v>
      </c>
      <c r="X193" s="252">
        <v>0</v>
      </c>
      <c r="Y193" s="252">
        <v>0</v>
      </c>
    </row>
    <row r="194" spans="1:25" x14ac:dyDescent="0.3">
      <c r="A194" s="253" t="s">
        <v>260</v>
      </c>
      <c r="B194" s="252">
        <v>0</v>
      </c>
      <c r="C194" s="252"/>
      <c r="D194" s="252">
        <v>0</v>
      </c>
      <c r="E194" s="252">
        <v>0</v>
      </c>
      <c r="F194" s="252">
        <v>0</v>
      </c>
      <c r="G194" s="252">
        <v>0</v>
      </c>
      <c r="H194" s="252">
        <v>0</v>
      </c>
      <c r="I194" s="252"/>
      <c r="J194" s="252"/>
      <c r="K194" s="252">
        <v>0</v>
      </c>
      <c r="L194" s="252"/>
      <c r="M194" s="252">
        <v>0</v>
      </c>
      <c r="N194" s="252">
        <v>0</v>
      </c>
      <c r="O194" s="252">
        <v>0</v>
      </c>
      <c r="P194" s="252"/>
      <c r="Q194" s="252">
        <v>0</v>
      </c>
      <c r="R194" s="252"/>
      <c r="S194" s="252"/>
      <c r="T194" s="252">
        <v>0</v>
      </c>
      <c r="U194" s="252"/>
      <c r="V194" s="252">
        <v>0</v>
      </c>
      <c r="W194" s="252">
        <v>0</v>
      </c>
      <c r="X194" s="252"/>
      <c r="Y194" s="252">
        <v>0</v>
      </c>
    </row>
    <row r="195" spans="1:25" x14ac:dyDescent="0.3">
      <c r="A195" s="253" t="s">
        <v>261</v>
      </c>
      <c r="B195" s="252">
        <v>0</v>
      </c>
      <c r="C195" s="252">
        <v>0</v>
      </c>
      <c r="D195" s="252">
        <v>0</v>
      </c>
      <c r="E195" s="252">
        <v>0</v>
      </c>
      <c r="F195" s="252">
        <v>0</v>
      </c>
      <c r="G195" s="252">
        <v>0</v>
      </c>
      <c r="H195" s="252">
        <v>0</v>
      </c>
      <c r="I195" s="252"/>
      <c r="J195" s="252"/>
      <c r="K195" s="252">
        <v>0</v>
      </c>
      <c r="L195" s="252"/>
      <c r="M195" s="252">
        <v>0</v>
      </c>
      <c r="N195" s="252">
        <v>0</v>
      </c>
      <c r="O195" s="252">
        <v>0</v>
      </c>
      <c r="P195" s="252"/>
      <c r="Q195" s="252">
        <v>0</v>
      </c>
      <c r="R195" s="252"/>
      <c r="S195" s="252"/>
      <c r="T195" s="252">
        <v>0</v>
      </c>
      <c r="U195" s="252"/>
      <c r="V195" s="252">
        <v>0</v>
      </c>
      <c r="W195" s="252">
        <v>0</v>
      </c>
      <c r="X195" s="252"/>
      <c r="Y195" s="252">
        <v>0</v>
      </c>
    </row>
    <row r="196" spans="1:25" x14ac:dyDescent="0.3">
      <c r="A196" s="253" t="s">
        <v>262</v>
      </c>
      <c r="B196" s="252">
        <v>0</v>
      </c>
      <c r="C196" s="252">
        <v>0</v>
      </c>
      <c r="D196" s="252">
        <v>0</v>
      </c>
      <c r="E196" s="252">
        <v>0</v>
      </c>
      <c r="F196" s="252">
        <v>0</v>
      </c>
      <c r="G196" s="252">
        <v>0</v>
      </c>
      <c r="H196" s="252">
        <v>0</v>
      </c>
      <c r="I196" s="252">
        <v>0</v>
      </c>
      <c r="J196" s="252">
        <v>0</v>
      </c>
      <c r="K196" s="252">
        <v>0</v>
      </c>
      <c r="L196" s="252"/>
      <c r="M196" s="252">
        <v>0</v>
      </c>
      <c r="N196" s="252">
        <v>0</v>
      </c>
      <c r="O196" s="252">
        <v>0</v>
      </c>
      <c r="P196" s="252"/>
      <c r="Q196" s="252">
        <v>0</v>
      </c>
      <c r="R196" s="252">
        <v>0</v>
      </c>
      <c r="S196" s="252">
        <v>0</v>
      </c>
      <c r="T196" s="252">
        <v>0</v>
      </c>
      <c r="U196" s="252">
        <v>0</v>
      </c>
      <c r="V196" s="252">
        <v>0</v>
      </c>
      <c r="W196" s="252">
        <v>0</v>
      </c>
      <c r="X196" s="252"/>
      <c r="Y196" s="252">
        <v>0</v>
      </c>
    </row>
    <row r="197" spans="1:25" x14ac:dyDescent="0.3">
      <c r="A197" s="253" t="s">
        <v>1112</v>
      </c>
      <c r="B197" s="252">
        <v>0</v>
      </c>
      <c r="C197" s="252">
        <v>0</v>
      </c>
      <c r="D197" s="252">
        <v>0</v>
      </c>
      <c r="E197" s="252">
        <v>0</v>
      </c>
      <c r="F197" s="252">
        <v>0</v>
      </c>
      <c r="G197" s="252">
        <v>0</v>
      </c>
      <c r="H197" s="252">
        <v>0</v>
      </c>
      <c r="I197" s="252">
        <v>0</v>
      </c>
      <c r="J197" s="252">
        <v>0</v>
      </c>
      <c r="K197" s="252">
        <v>0</v>
      </c>
      <c r="L197" s="252">
        <v>0</v>
      </c>
      <c r="M197" s="252">
        <v>0</v>
      </c>
      <c r="N197" s="252">
        <v>0</v>
      </c>
      <c r="O197" s="252">
        <v>0</v>
      </c>
      <c r="P197" s="252">
        <v>0</v>
      </c>
      <c r="Q197" s="252">
        <v>0</v>
      </c>
      <c r="R197" s="252">
        <v>0</v>
      </c>
      <c r="S197" s="252">
        <v>0</v>
      </c>
      <c r="T197" s="252">
        <v>0</v>
      </c>
      <c r="U197" s="252">
        <v>0</v>
      </c>
      <c r="V197" s="252">
        <v>0</v>
      </c>
      <c r="W197" s="252">
        <v>0</v>
      </c>
      <c r="X197" s="252">
        <v>0</v>
      </c>
      <c r="Y197" s="252">
        <v>0</v>
      </c>
    </row>
    <row r="198" spans="1:25" x14ac:dyDescent="0.3">
      <c r="A198" s="253" t="s">
        <v>263</v>
      </c>
      <c r="B198" s="252">
        <v>0</v>
      </c>
      <c r="C198" s="252">
        <v>0</v>
      </c>
      <c r="D198" s="252">
        <v>0</v>
      </c>
      <c r="E198" s="252">
        <v>0</v>
      </c>
      <c r="F198" s="252">
        <v>0</v>
      </c>
      <c r="G198" s="252">
        <v>0</v>
      </c>
      <c r="H198" s="252">
        <v>0</v>
      </c>
      <c r="I198" s="252"/>
      <c r="J198" s="252">
        <v>0</v>
      </c>
      <c r="K198" s="252">
        <v>0</v>
      </c>
      <c r="L198" s="252"/>
      <c r="M198" s="252">
        <v>0</v>
      </c>
      <c r="N198" s="252">
        <v>0</v>
      </c>
      <c r="O198" s="252">
        <v>0</v>
      </c>
      <c r="P198" s="252"/>
      <c r="Q198" s="252">
        <v>0</v>
      </c>
      <c r="R198" s="252"/>
      <c r="S198" s="252"/>
      <c r="T198" s="252">
        <v>0</v>
      </c>
      <c r="U198" s="252"/>
      <c r="V198" s="252">
        <v>0</v>
      </c>
      <c r="W198" s="252">
        <v>0</v>
      </c>
      <c r="X198" s="252"/>
      <c r="Y198" s="252">
        <v>0</v>
      </c>
    </row>
    <row r="199" spans="1:25" x14ac:dyDescent="0.3">
      <c r="A199" s="253" t="s">
        <v>264</v>
      </c>
      <c r="B199" s="252">
        <v>0</v>
      </c>
      <c r="C199" s="252">
        <v>0</v>
      </c>
      <c r="D199" s="252">
        <v>0</v>
      </c>
      <c r="E199" s="252">
        <v>0</v>
      </c>
      <c r="F199" s="252">
        <v>0</v>
      </c>
      <c r="G199" s="252">
        <v>0</v>
      </c>
      <c r="H199" s="252">
        <v>0</v>
      </c>
      <c r="I199" s="252"/>
      <c r="J199" s="252"/>
      <c r="K199" s="252">
        <v>0</v>
      </c>
      <c r="L199" s="252"/>
      <c r="M199" s="252">
        <v>0</v>
      </c>
      <c r="N199" s="252">
        <v>0</v>
      </c>
      <c r="O199" s="252">
        <v>0</v>
      </c>
      <c r="P199" s="252"/>
      <c r="Q199" s="252">
        <v>0</v>
      </c>
      <c r="R199" s="252"/>
      <c r="S199" s="252">
        <v>0</v>
      </c>
      <c r="T199" s="252">
        <v>0</v>
      </c>
      <c r="U199" s="252"/>
      <c r="V199" s="252">
        <v>0</v>
      </c>
      <c r="W199" s="252">
        <v>0</v>
      </c>
      <c r="X199" s="252"/>
      <c r="Y199" s="252">
        <v>0</v>
      </c>
    </row>
    <row r="200" spans="1:25" x14ac:dyDescent="0.3">
      <c r="A200" s="253" t="s">
        <v>265</v>
      </c>
      <c r="B200" s="252">
        <v>0</v>
      </c>
      <c r="C200" s="252">
        <v>0</v>
      </c>
      <c r="D200" s="252">
        <v>0</v>
      </c>
      <c r="E200" s="252">
        <v>0</v>
      </c>
      <c r="F200" s="252">
        <v>0</v>
      </c>
      <c r="G200" s="252">
        <v>0</v>
      </c>
      <c r="H200" s="252">
        <v>0</v>
      </c>
      <c r="I200" s="252"/>
      <c r="J200" s="252">
        <v>0</v>
      </c>
      <c r="K200" s="252">
        <v>0</v>
      </c>
      <c r="L200" s="252"/>
      <c r="M200" s="252">
        <v>0</v>
      </c>
      <c r="N200" s="252">
        <v>0</v>
      </c>
      <c r="O200" s="252">
        <v>0</v>
      </c>
      <c r="P200" s="252"/>
      <c r="Q200" s="252">
        <v>0</v>
      </c>
      <c r="R200" s="252"/>
      <c r="S200" s="252"/>
      <c r="T200" s="252">
        <v>0</v>
      </c>
      <c r="U200" s="252"/>
      <c r="V200" s="252">
        <v>0</v>
      </c>
      <c r="W200" s="252">
        <v>0</v>
      </c>
      <c r="X200" s="252"/>
      <c r="Y200" s="252">
        <v>0</v>
      </c>
    </row>
    <row r="201" spans="1:25" x14ac:dyDescent="0.3">
      <c r="A201" s="253" t="s">
        <v>266</v>
      </c>
      <c r="B201" s="252">
        <v>0</v>
      </c>
      <c r="C201" s="252">
        <v>0</v>
      </c>
      <c r="D201" s="252">
        <v>0</v>
      </c>
      <c r="E201" s="252">
        <v>0</v>
      </c>
      <c r="F201" s="252">
        <v>0</v>
      </c>
      <c r="G201" s="252">
        <v>0</v>
      </c>
      <c r="H201" s="252">
        <v>0</v>
      </c>
      <c r="I201" s="252"/>
      <c r="J201" s="252"/>
      <c r="K201" s="252">
        <v>0</v>
      </c>
      <c r="L201" s="252"/>
      <c r="M201" s="252">
        <v>0</v>
      </c>
      <c r="N201" s="252">
        <v>0</v>
      </c>
      <c r="O201" s="252">
        <v>0</v>
      </c>
      <c r="P201" s="252"/>
      <c r="Q201" s="252">
        <v>0</v>
      </c>
      <c r="R201" s="252"/>
      <c r="S201" s="252">
        <v>0</v>
      </c>
      <c r="T201" s="252">
        <v>0</v>
      </c>
      <c r="U201" s="252"/>
      <c r="V201" s="252">
        <v>0</v>
      </c>
      <c r="W201" s="252">
        <v>0</v>
      </c>
      <c r="X201" s="252"/>
      <c r="Y201" s="252">
        <v>0</v>
      </c>
    </row>
    <row r="202" spans="1:25" x14ac:dyDescent="0.3">
      <c r="A202" s="253" t="s">
        <v>267</v>
      </c>
      <c r="B202" s="252">
        <v>0</v>
      </c>
      <c r="C202" s="252">
        <v>0</v>
      </c>
      <c r="D202" s="252">
        <v>0</v>
      </c>
      <c r="E202" s="252">
        <v>0</v>
      </c>
      <c r="F202" s="252">
        <v>0</v>
      </c>
      <c r="G202" s="252">
        <v>0</v>
      </c>
      <c r="H202" s="252">
        <v>0</v>
      </c>
      <c r="I202" s="252"/>
      <c r="J202" s="252"/>
      <c r="K202" s="252">
        <v>0</v>
      </c>
      <c r="L202" s="252"/>
      <c r="M202" s="252">
        <v>0</v>
      </c>
      <c r="N202" s="252">
        <v>0</v>
      </c>
      <c r="O202" s="252">
        <v>0</v>
      </c>
      <c r="P202" s="252"/>
      <c r="Q202" s="252">
        <v>0</v>
      </c>
      <c r="R202" s="252"/>
      <c r="S202" s="252"/>
      <c r="T202" s="252">
        <v>0</v>
      </c>
      <c r="U202" s="252"/>
      <c r="V202" s="252">
        <v>0</v>
      </c>
      <c r="W202" s="252">
        <v>0</v>
      </c>
      <c r="X202" s="252"/>
      <c r="Y202" s="252">
        <v>0</v>
      </c>
    </row>
    <row r="203" spans="1:25" x14ac:dyDescent="0.3">
      <c r="A203" s="253" t="s">
        <v>268</v>
      </c>
      <c r="B203" s="252">
        <v>0</v>
      </c>
      <c r="C203" s="252">
        <v>0</v>
      </c>
      <c r="D203" s="252">
        <v>0</v>
      </c>
      <c r="E203" s="252"/>
      <c r="F203" s="252">
        <v>0</v>
      </c>
      <c r="G203" s="252">
        <v>0</v>
      </c>
      <c r="H203" s="252">
        <v>0</v>
      </c>
      <c r="I203" s="252"/>
      <c r="J203" s="252"/>
      <c r="K203" s="252">
        <v>0</v>
      </c>
      <c r="L203" s="252"/>
      <c r="M203" s="252">
        <v>0</v>
      </c>
      <c r="N203" s="252">
        <v>0</v>
      </c>
      <c r="O203" s="252">
        <v>0</v>
      </c>
      <c r="P203" s="252"/>
      <c r="Q203" s="252">
        <v>0</v>
      </c>
      <c r="R203" s="252"/>
      <c r="S203" s="252">
        <v>0</v>
      </c>
      <c r="T203" s="252">
        <v>0</v>
      </c>
      <c r="U203" s="252"/>
      <c r="V203" s="252">
        <v>0</v>
      </c>
      <c r="W203" s="252">
        <v>0</v>
      </c>
      <c r="X203" s="252"/>
      <c r="Y203" s="252">
        <v>0</v>
      </c>
    </row>
    <row r="204" spans="1:25" x14ac:dyDescent="0.3">
      <c r="A204" s="253" t="s">
        <v>269</v>
      </c>
      <c r="B204" s="252">
        <v>0</v>
      </c>
      <c r="C204" s="252">
        <v>0</v>
      </c>
      <c r="D204" s="252">
        <v>0</v>
      </c>
      <c r="E204" s="252">
        <v>0</v>
      </c>
      <c r="F204" s="252">
        <v>0</v>
      </c>
      <c r="G204" s="252">
        <v>0</v>
      </c>
      <c r="H204" s="252">
        <v>0</v>
      </c>
      <c r="I204" s="252"/>
      <c r="J204" s="252"/>
      <c r="K204" s="252">
        <v>0</v>
      </c>
      <c r="L204" s="252"/>
      <c r="M204" s="252">
        <v>0</v>
      </c>
      <c r="N204" s="252">
        <v>0</v>
      </c>
      <c r="O204" s="252">
        <v>0</v>
      </c>
      <c r="P204" s="252"/>
      <c r="Q204" s="252">
        <v>0</v>
      </c>
      <c r="R204" s="252"/>
      <c r="S204" s="252">
        <v>0</v>
      </c>
      <c r="T204" s="252">
        <v>0</v>
      </c>
      <c r="U204" s="252"/>
      <c r="V204" s="252">
        <v>0</v>
      </c>
      <c r="W204" s="252">
        <v>0</v>
      </c>
      <c r="X204" s="252"/>
      <c r="Y204" s="252">
        <v>0</v>
      </c>
    </row>
    <row r="205" spans="1:25" x14ac:dyDescent="0.3">
      <c r="A205" s="253" t="s">
        <v>270</v>
      </c>
      <c r="B205" s="252">
        <v>0</v>
      </c>
      <c r="C205" s="252"/>
      <c r="D205" s="252">
        <v>0</v>
      </c>
      <c r="E205" s="252">
        <v>0</v>
      </c>
      <c r="F205" s="252">
        <v>0</v>
      </c>
      <c r="G205" s="252">
        <v>0</v>
      </c>
      <c r="H205" s="252">
        <v>0</v>
      </c>
      <c r="I205" s="252"/>
      <c r="J205" s="252"/>
      <c r="K205" s="252">
        <v>0</v>
      </c>
      <c r="L205" s="252"/>
      <c r="M205" s="252">
        <v>0</v>
      </c>
      <c r="N205" s="252">
        <v>0</v>
      </c>
      <c r="O205" s="252">
        <v>0</v>
      </c>
      <c r="P205" s="252"/>
      <c r="Q205" s="252">
        <v>0</v>
      </c>
      <c r="R205" s="252"/>
      <c r="S205" s="252"/>
      <c r="T205" s="252">
        <v>0</v>
      </c>
      <c r="U205" s="252"/>
      <c r="V205" s="252">
        <v>0</v>
      </c>
      <c r="W205" s="252">
        <v>0</v>
      </c>
      <c r="X205" s="252"/>
      <c r="Y205" s="252">
        <v>0</v>
      </c>
    </row>
    <row r="206" spans="1:25" x14ac:dyDescent="0.3">
      <c r="A206" s="253" t="s">
        <v>271</v>
      </c>
      <c r="B206" s="252">
        <v>0</v>
      </c>
      <c r="C206" s="252"/>
      <c r="D206" s="252">
        <v>0</v>
      </c>
      <c r="E206" s="252">
        <v>0</v>
      </c>
      <c r="F206" s="252">
        <v>0</v>
      </c>
      <c r="G206" s="252">
        <v>0</v>
      </c>
      <c r="H206" s="252">
        <v>0</v>
      </c>
      <c r="I206" s="252"/>
      <c r="J206" s="252"/>
      <c r="K206" s="252">
        <v>0</v>
      </c>
      <c r="L206" s="252"/>
      <c r="M206" s="252">
        <v>0</v>
      </c>
      <c r="N206" s="252">
        <v>0</v>
      </c>
      <c r="O206" s="252">
        <v>0</v>
      </c>
      <c r="P206" s="252"/>
      <c r="Q206" s="252">
        <v>0</v>
      </c>
      <c r="R206" s="252"/>
      <c r="S206" s="252"/>
      <c r="T206" s="252">
        <v>0</v>
      </c>
      <c r="U206" s="252"/>
      <c r="V206" s="252">
        <v>0</v>
      </c>
      <c r="W206" s="252">
        <v>0</v>
      </c>
      <c r="X206" s="252"/>
      <c r="Y206" s="252">
        <v>0</v>
      </c>
    </row>
    <row r="207" spans="1:25" x14ac:dyDescent="0.3">
      <c r="A207" s="253" t="s">
        <v>914</v>
      </c>
      <c r="B207" s="252">
        <v>1</v>
      </c>
      <c r="C207" s="252">
        <v>2</v>
      </c>
      <c r="D207" s="252">
        <v>0</v>
      </c>
      <c r="E207" s="252">
        <v>3</v>
      </c>
      <c r="F207" s="252">
        <v>2</v>
      </c>
      <c r="G207" s="252">
        <v>1</v>
      </c>
      <c r="H207" s="252">
        <v>0</v>
      </c>
      <c r="I207" s="252">
        <v>0</v>
      </c>
      <c r="J207" s="252">
        <v>1</v>
      </c>
      <c r="K207" s="252">
        <v>1</v>
      </c>
      <c r="L207" s="252">
        <v>0</v>
      </c>
      <c r="M207" s="252">
        <v>1</v>
      </c>
      <c r="N207" s="252">
        <v>1</v>
      </c>
      <c r="O207" s="252">
        <v>1</v>
      </c>
      <c r="P207" s="252">
        <v>0</v>
      </c>
      <c r="Q207" s="252">
        <v>0</v>
      </c>
      <c r="R207" s="252">
        <v>0</v>
      </c>
      <c r="S207" s="252">
        <v>0</v>
      </c>
      <c r="T207" s="252">
        <v>1</v>
      </c>
      <c r="U207" s="252">
        <v>1</v>
      </c>
      <c r="V207" s="252">
        <v>1</v>
      </c>
      <c r="W207" s="252">
        <v>0</v>
      </c>
      <c r="X207" s="252">
        <v>1</v>
      </c>
      <c r="Y207" s="252">
        <v>18</v>
      </c>
    </row>
    <row r="208" spans="1:25" x14ac:dyDescent="0.3">
      <c r="A208" s="253" t="s">
        <v>272</v>
      </c>
      <c r="B208" s="252">
        <v>0</v>
      </c>
      <c r="C208" s="252"/>
      <c r="D208" s="252">
        <v>0</v>
      </c>
      <c r="E208" s="252">
        <v>0</v>
      </c>
      <c r="F208" s="252">
        <v>0</v>
      </c>
      <c r="G208" s="252">
        <v>0</v>
      </c>
      <c r="H208" s="252">
        <v>0</v>
      </c>
      <c r="I208" s="252"/>
      <c r="J208" s="252"/>
      <c r="K208" s="252"/>
      <c r="L208" s="252"/>
      <c r="M208" s="252">
        <v>0</v>
      </c>
      <c r="N208" s="252">
        <v>0</v>
      </c>
      <c r="O208" s="252">
        <v>0</v>
      </c>
      <c r="P208" s="252"/>
      <c r="Q208" s="252">
        <v>0</v>
      </c>
      <c r="R208" s="252"/>
      <c r="S208" s="252"/>
      <c r="T208" s="252">
        <v>0</v>
      </c>
      <c r="U208" s="252"/>
      <c r="V208" s="252">
        <v>0</v>
      </c>
      <c r="W208" s="252">
        <v>0</v>
      </c>
      <c r="X208" s="252"/>
      <c r="Y208" s="252">
        <v>0</v>
      </c>
    </row>
    <row r="209" spans="1:25" x14ac:dyDescent="0.3">
      <c r="A209" s="253" t="s">
        <v>273</v>
      </c>
      <c r="B209" s="252">
        <v>0</v>
      </c>
      <c r="C209" s="252">
        <v>0</v>
      </c>
      <c r="D209" s="252">
        <v>0</v>
      </c>
      <c r="E209" s="252">
        <v>0</v>
      </c>
      <c r="F209" s="252">
        <v>0</v>
      </c>
      <c r="G209" s="252">
        <v>0</v>
      </c>
      <c r="H209" s="252">
        <v>0</v>
      </c>
      <c r="I209" s="252">
        <v>0</v>
      </c>
      <c r="J209" s="252">
        <v>0</v>
      </c>
      <c r="K209" s="252">
        <v>0</v>
      </c>
      <c r="L209" s="252"/>
      <c r="M209" s="252">
        <v>0</v>
      </c>
      <c r="N209" s="252">
        <v>0</v>
      </c>
      <c r="O209" s="252">
        <v>0</v>
      </c>
      <c r="P209" s="252"/>
      <c r="Q209" s="252">
        <v>0</v>
      </c>
      <c r="R209" s="252"/>
      <c r="S209" s="252">
        <v>0</v>
      </c>
      <c r="T209" s="252">
        <v>0</v>
      </c>
      <c r="U209" s="252"/>
      <c r="V209" s="252">
        <v>0</v>
      </c>
      <c r="W209" s="252">
        <v>0</v>
      </c>
      <c r="X209" s="252"/>
      <c r="Y209" s="252">
        <v>0</v>
      </c>
    </row>
    <row r="210" spans="1:25" x14ac:dyDescent="0.3">
      <c r="A210" s="253" t="s">
        <v>274</v>
      </c>
      <c r="B210" s="252">
        <v>0</v>
      </c>
      <c r="C210" s="252">
        <v>0</v>
      </c>
      <c r="D210" s="252">
        <v>0</v>
      </c>
      <c r="E210" s="252">
        <v>0</v>
      </c>
      <c r="F210" s="252">
        <v>0</v>
      </c>
      <c r="G210" s="252">
        <v>0</v>
      </c>
      <c r="H210" s="252">
        <v>0</v>
      </c>
      <c r="I210" s="252"/>
      <c r="J210" s="252"/>
      <c r="K210" s="252">
        <v>0</v>
      </c>
      <c r="L210" s="252"/>
      <c r="M210" s="252">
        <v>0</v>
      </c>
      <c r="N210" s="252">
        <v>0</v>
      </c>
      <c r="O210" s="252">
        <v>0</v>
      </c>
      <c r="P210" s="252"/>
      <c r="Q210" s="252">
        <v>0</v>
      </c>
      <c r="R210" s="252"/>
      <c r="S210" s="252">
        <v>0</v>
      </c>
      <c r="T210" s="252">
        <v>0</v>
      </c>
      <c r="U210" s="252"/>
      <c r="V210" s="252">
        <v>0</v>
      </c>
      <c r="W210" s="252">
        <v>0</v>
      </c>
      <c r="X210" s="252"/>
      <c r="Y210" s="252">
        <v>0</v>
      </c>
    </row>
    <row r="211" spans="1:25" x14ac:dyDescent="0.3">
      <c r="A211" s="253" t="s">
        <v>846</v>
      </c>
      <c r="B211" s="252">
        <v>0</v>
      </c>
      <c r="C211" s="252">
        <v>0</v>
      </c>
      <c r="D211" s="252">
        <v>0</v>
      </c>
      <c r="E211" s="252">
        <v>0</v>
      </c>
      <c r="F211" s="252">
        <v>0</v>
      </c>
      <c r="G211" s="252">
        <v>0</v>
      </c>
      <c r="H211" s="252">
        <v>0</v>
      </c>
      <c r="I211" s="252">
        <v>0</v>
      </c>
      <c r="J211" s="252">
        <v>0</v>
      </c>
      <c r="K211" s="252">
        <v>0</v>
      </c>
      <c r="L211" s="252"/>
      <c r="M211" s="252">
        <v>0</v>
      </c>
      <c r="N211" s="252">
        <v>0</v>
      </c>
      <c r="O211" s="252">
        <v>0</v>
      </c>
      <c r="P211" s="252"/>
      <c r="Q211" s="252">
        <v>0</v>
      </c>
      <c r="R211" s="252">
        <v>0</v>
      </c>
      <c r="S211" s="252">
        <v>0</v>
      </c>
      <c r="T211" s="252">
        <v>0</v>
      </c>
      <c r="U211" s="252">
        <v>0</v>
      </c>
      <c r="V211" s="252">
        <v>0</v>
      </c>
      <c r="W211" s="252">
        <v>0</v>
      </c>
      <c r="X211" s="252"/>
      <c r="Y211" s="252">
        <v>0</v>
      </c>
    </row>
    <row r="212" spans="1:25" x14ac:dyDescent="0.3">
      <c r="A212" s="253" t="s">
        <v>275</v>
      </c>
      <c r="B212" s="252">
        <v>0</v>
      </c>
      <c r="C212" s="252"/>
      <c r="D212" s="252">
        <v>0</v>
      </c>
      <c r="E212" s="252">
        <v>0</v>
      </c>
      <c r="F212" s="252">
        <v>0</v>
      </c>
      <c r="G212" s="252">
        <v>0</v>
      </c>
      <c r="H212" s="252">
        <v>0</v>
      </c>
      <c r="I212" s="252"/>
      <c r="J212" s="252"/>
      <c r="K212" s="252"/>
      <c r="L212" s="252"/>
      <c r="M212" s="252">
        <v>0</v>
      </c>
      <c r="N212" s="252">
        <v>0</v>
      </c>
      <c r="O212" s="252">
        <v>0</v>
      </c>
      <c r="P212" s="252"/>
      <c r="Q212" s="252">
        <v>0</v>
      </c>
      <c r="R212" s="252"/>
      <c r="S212" s="252"/>
      <c r="T212" s="252">
        <v>0</v>
      </c>
      <c r="U212" s="252"/>
      <c r="V212" s="252">
        <v>0</v>
      </c>
      <c r="W212" s="252">
        <v>0</v>
      </c>
      <c r="X212" s="252"/>
      <c r="Y212" s="252">
        <v>0</v>
      </c>
    </row>
    <row r="213" spans="1:25" x14ac:dyDescent="0.3">
      <c r="A213" s="253" t="s">
        <v>276</v>
      </c>
      <c r="B213" s="252">
        <v>0</v>
      </c>
      <c r="C213" s="252"/>
      <c r="D213" s="252">
        <v>0</v>
      </c>
      <c r="E213" s="252">
        <v>0</v>
      </c>
      <c r="F213" s="252">
        <v>0</v>
      </c>
      <c r="G213" s="252">
        <v>0</v>
      </c>
      <c r="H213" s="252">
        <v>0</v>
      </c>
      <c r="I213" s="252"/>
      <c r="J213" s="252"/>
      <c r="K213" s="252">
        <v>0</v>
      </c>
      <c r="L213" s="252"/>
      <c r="M213" s="252">
        <v>0</v>
      </c>
      <c r="N213" s="252">
        <v>0</v>
      </c>
      <c r="O213" s="252">
        <v>0</v>
      </c>
      <c r="P213" s="252"/>
      <c r="Q213" s="252">
        <v>0</v>
      </c>
      <c r="R213" s="252"/>
      <c r="S213" s="252"/>
      <c r="T213" s="252">
        <v>0</v>
      </c>
      <c r="U213" s="252"/>
      <c r="V213" s="252">
        <v>0</v>
      </c>
      <c r="W213" s="252">
        <v>0</v>
      </c>
      <c r="X213" s="252"/>
      <c r="Y213" s="252">
        <v>0</v>
      </c>
    </row>
    <row r="214" spans="1:25" x14ac:dyDescent="0.3">
      <c r="A214" s="253" t="s">
        <v>277</v>
      </c>
      <c r="B214" s="252">
        <v>0</v>
      </c>
      <c r="C214" s="252">
        <v>0</v>
      </c>
      <c r="D214" s="252">
        <v>0</v>
      </c>
      <c r="E214" s="252"/>
      <c r="F214" s="252">
        <v>0</v>
      </c>
      <c r="G214" s="252">
        <v>0</v>
      </c>
      <c r="H214" s="252">
        <v>0</v>
      </c>
      <c r="I214" s="252"/>
      <c r="J214" s="252"/>
      <c r="K214" s="252">
        <v>0</v>
      </c>
      <c r="L214" s="252"/>
      <c r="M214" s="252">
        <v>0</v>
      </c>
      <c r="N214" s="252">
        <v>0</v>
      </c>
      <c r="O214" s="252">
        <v>0</v>
      </c>
      <c r="P214" s="252"/>
      <c r="Q214" s="252">
        <v>0</v>
      </c>
      <c r="R214" s="252"/>
      <c r="S214" s="252"/>
      <c r="T214" s="252">
        <v>0</v>
      </c>
      <c r="U214" s="252"/>
      <c r="V214" s="252">
        <v>0</v>
      </c>
      <c r="W214" s="252">
        <v>0</v>
      </c>
      <c r="X214" s="252"/>
      <c r="Y214" s="252">
        <v>0</v>
      </c>
    </row>
    <row r="215" spans="1:25" x14ac:dyDescent="0.3">
      <c r="A215" s="253" t="s">
        <v>278</v>
      </c>
      <c r="B215" s="252">
        <v>0</v>
      </c>
      <c r="C215" s="252">
        <v>0</v>
      </c>
      <c r="D215" s="252">
        <v>0</v>
      </c>
      <c r="E215" s="252">
        <v>0</v>
      </c>
      <c r="F215" s="252">
        <v>0</v>
      </c>
      <c r="G215" s="252">
        <v>0</v>
      </c>
      <c r="H215" s="252">
        <v>0</v>
      </c>
      <c r="I215" s="252"/>
      <c r="J215" s="252"/>
      <c r="K215" s="252">
        <v>0</v>
      </c>
      <c r="L215" s="252"/>
      <c r="M215" s="252">
        <v>0</v>
      </c>
      <c r="N215" s="252">
        <v>0</v>
      </c>
      <c r="O215" s="252">
        <v>0</v>
      </c>
      <c r="P215" s="252"/>
      <c r="Q215" s="252">
        <v>0</v>
      </c>
      <c r="R215" s="252"/>
      <c r="S215" s="252"/>
      <c r="T215" s="252">
        <v>0</v>
      </c>
      <c r="U215" s="252"/>
      <c r="V215" s="252">
        <v>0</v>
      </c>
      <c r="W215" s="252">
        <v>0</v>
      </c>
      <c r="X215" s="252"/>
      <c r="Y215" s="252">
        <v>0</v>
      </c>
    </row>
    <row r="216" spans="1:25" x14ac:dyDescent="0.3">
      <c r="A216" s="253" t="s">
        <v>279</v>
      </c>
      <c r="B216" s="252">
        <v>0</v>
      </c>
      <c r="C216" s="252"/>
      <c r="D216" s="252">
        <v>0</v>
      </c>
      <c r="E216" s="252"/>
      <c r="F216" s="252">
        <v>0</v>
      </c>
      <c r="G216" s="252">
        <v>0</v>
      </c>
      <c r="H216" s="252">
        <v>0</v>
      </c>
      <c r="I216" s="252"/>
      <c r="J216" s="252"/>
      <c r="K216" s="252">
        <v>0</v>
      </c>
      <c r="L216" s="252"/>
      <c r="M216" s="252">
        <v>0</v>
      </c>
      <c r="N216" s="252">
        <v>0</v>
      </c>
      <c r="O216" s="252">
        <v>0</v>
      </c>
      <c r="P216" s="252"/>
      <c r="Q216" s="252">
        <v>0</v>
      </c>
      <c r="R216" s="252"/>
      <c r="S216" s="252"/>
      <c r="T216" s="252">
        <v>0</v>
      </c>
      <c r="U216" s="252"/>
      <c r="V216" s="252">
        <v>0</v>
      </c>
      <c r="W216" s="252">
        <v>0</v>
      </c>
      <c r="X216" s="252"/>
      <c r="Y216" s="252">
        <v>0</v>
      </c>
    </row>
    <row r="217" spans="1:25" x14ac:dyDescent="0.3">
      <c r="A217" s="253" t="s">
        <v>280</v>
      </c>
      <c r="B217" s="252">
        <v>0</v>
      </c>
      <c r="C217" s="252">
        <v>0</v>
      </c>
      <c r="D217" s="252">
        <v>0</v>
      </c>
      <c r="E217" s="252">
        <v>0</v>
      </c>
      <c r="F217" s="252">
        <v>0</v>
      </c>
      <c r="G217" s="252">
        <v>0</v>
      </c>
      <c r="H217" s="252">
        <v>0</v>
      </c>
      <c r="I217" s="252"/>
      <c r="J217" s="252"/>
      <c r="K217" s="252">
        <v>0</v>
      </c>
      <c r="L217" s="252"/>
      <c r="M217" s="252">
        <v>0</v>
      </c>
      <c r="N217" s="252">
        <v>0</v>
      </c>
      <c r="O217" s="252">
        <v>0</v>
      </c>
      <c r="P217" s="252"/>
      <c r="Q217" s="252">
        <v>0</v>
      </c>
      <c r="R217" s="252"/>
      <c r="S217" s="252">
        <v>0</v>
      </c>
      <c r="T217" s="252">
        <v>0</v>
      </c>
      <c r="U217" s="252"/>
      <c r="V217" s="252">
        <v>0</v>
      </c>
      <c r="W217" s="252">
        <v>0</v>
      </c>
      <c r="X217" s="252"/>
      <c r="Y217" s="252">
        <v>0</v>
      </c>
    </row>
    <row r="218" spans="1:25" x14ac:dyDescent="0.3">
      <c r="A218" s="253" t="s">
        <v>957</v>
      </c>
      <c r="B218" s="252">
        <v>0</v>
      </c>
      <c r="C218" s="252">
        <v>0</v>
      </c>
      <c r="D218" s="252">
        <v>0</v>
      </c>
      <c r="E218" s="252">
        <v>0</v>
      </c>
      <c r="F218" s="252">
        <v>0</v>
      </c>
      <c r="G218" s="252">
        <v>0</v>
      </c>
      <c r="H218" s="252">
        <v>0</v>
      </c>
      <c r="I218" s="252"/>
      <c r="J218" s="252">
        <v>0</v>
      </c>
      <c r="K218" s="252">
        <v>0</v>
      </c>
      <c r="L218" s="252"/>
      <c r="M218" s="252">
        <v>0</v>
      </c>
      <c r="N218" s="252">
        <v>0</v>
      </c>
      <c r="O218" s="252">
        <v>0</v>
      </c>
      <c r="P218" s="252">
        <v>0</v>
      </c>
      <c r="Q218" s="252">
        <v>0</v>
      </c>
      <c r="R218" s="252">
        <v>0</v>
      </c>
      <c r="S218" s="252">
        <v>0</v>
      </c>
      <c r="T218" s="252">
        <v>0</v>
      </c>
      <c r="U218" s="252">
        <v>0</v>
      </c>
      <c r="V218" s="252">
        <v>0</v>
      </c>
      <c r="W218" s="252">
        <v>0</v>
      </c>
      <c r="X218" s="252"/>
      <c r="Y218" s="252">
        <v>0</v>
      </c>
    </row>
    <row r="219" spans="1:25" x14ac:dyDescent="0.3">
      <c r="A219" s="253" t="s">
        <v>281</v>
      </c>
      <c r="B219" s="252">
        <v>0</v>
      </c>
      <c r="C219" s="252">
        <v>0</v>
      </c>
      <c r="D219" s="252">
        <v>0</v>
      </c>
      <c r="E219" s="252">
        <v>0</v>
      </c>
      <c r="F219" s="252">
        <v>0</v>
      </c>
      <c r="G219" s="252">
        <v>0</v>
      </c>
      <c r="H219" s="252">
        <v>0</v>
      </c>
      <c r="I219" s="252"/>
      <c r="J219" s="252"/>
      <c r="K219" s="252">
        <v>0</v>
      </c>
      <c r="L219" s="252"/>
      <c r="M219" s="252">
        <v>0</v>
      </c>
      <c r="N219" s="252">
        <v>0</v>
      </c>
      <c r="O219" s="252">
        <v>0</v>
      </c>
      <c r="P219" s="252"/>
      <c r="Q219" s="252">
        <v>0</v>
      </c>
      <c r="R219" s="252"/>
      <c r="S219" s="252"/>
      <c r="T219" s="252">
        <v>0</v>
      </c>
      <c r="U219" s="252"/>
      <c r="V219" s="252">
        <v>0</v>
      </c>
      <c r="W219" s="252">
        <v>0</v>
      </c>
      <c r="X219" s="252"/>
      <c r="Y219" s="252">
        <v>0</v>
      </c>
    </row>
    <row r="220" spans="1:25" x14ac:dyDescent="0.3">
      <c r="A220" s="253" t="s">
        <v>282</v>
      </c>
      <c r="B220" s="252">
        <v>0</v>
      </c>
      <c r="C220" s="252">
        <v>0</v>
      </c>
      <c r="D220" s="252">
        <v>0</v>
      </c>
      <c r="E220" s="252">
        <v>0</v>
      </c>
      <c r="F220" s="252">
        <v>0</v>
      </c>
      <c r="G220" s="252">
        <v>0</v>
      </c>
      <c r="H220" s="252">
        <v>0</v>
      </c>
      <c r="I220" s="252"/>
      <c r="J220" s="252"/>
      <c r="K220" s="252">
        <v>0</v>
      </c>
      <c r="L220" s="252"/>
      <c r="M220" s="252">
        <v>0</v>
      </c>
      <c r="N220" s="252">
        <v>0</v>
      </c>
      <c r="O220" s="252">
        <v>0</v>
      </c>
      <c r="P220" s="252"/>
      <c r="Q220" s="252">
        <v>0</v>
      </c>
      <c r="R220" s="252"/>
      <c r="S220" s="252"/>
      <c r="T220" s="252">
        <v>0</v>
      </c>
      <c r="U220" s="252"/>
      <c r="V220" s="252">
        <v>0</v>
      </c>
      <c r="W220" s="252">
        <v>0</v>
      </c>
      <c r="X220" s="252"/>
      <c r="Y220" s="252">
        <v>0</v>
      </c>
    </row>
    <row r="221" spans="1:25" x14ac:dyDescent="0.3">
      <c r="A221" s="253" t="s">
        <v>991</v>
      </c>
      <c r="B221" s="252">
        <v>0</v>
      </c>
      <c r="C221" s="252">
        <v>0</v>
      </c>
      <c r="D221" s="252">
        <v>0</v>
      </c>
      <c r="E221" s="252">
        <v>0</v>
      </c>
      <c r="F221" s="252">
        <v>0</v>
      </c>
      <c r="G221" s="252">
        <v>0</v>
      </c>
      <c r="H221" s="252">
        <v>0</v>
      </c>
      <c r="I221" s="252">
        <v>0</v>
      </c>
      <c r="J221" s="252">
        <v>0</v>
      </c>
      <c r="K221" s="252">
        <v>0</v>
      </c>
      <c r="L221" s="252">
        <v>0</v>
      </c>
      <c r="M221" s="252">
        <v>0</v>
      </c>
      <c r="N221" s="252">
        <v>0</v>
      </c>
      <c r="O221" s="252">
        <v>0</v>
      </c>
      <c r="P221" s="252">
        <v>0</v>
      </c>
      <c r="Q221" s="252">
        <v>0</v>
      </c>
      <c r="R221" s="252">
        <v>0</v>
      </c>
      <c r="S221" s="252">
        <v>0</v>
      </c>
      <c r="T221" s="252">
        <v>0</v>
      </c>
      <c r="U221" s="252">
        <v>0</v>
      </c>
      <c r="V221" s="252">
        <v>0</v>
      </c>
      <c r="W221" s="252">
        <v>0</v>
      </c>
      <c r="X221" s="252">
        <v>0</v>
      </c>
      <c r="Y221" s="252">
        <v>0</v>
      </c>
    </row>
    <row r="222" spans="1:25" x14ac:dyDescent="0.3">
      <c r="A222" s="253" t="s">
        <v>283</v>
      </c>
      <c r="B222" s="252">
        <v>0</v>
      </c>
      <c r="C222" s="252">
        <v>0</v>
      </c>
      <c r="D222" s="252">
        <v>0</v>
      </c>
      <c r="E222" s="252">
        <v>0</v>
      </c>
      <c r="F222" s="252">
        <v>0</v>
      </c>
      <c r="G222" s="252">
        <v>0</v>
      </c>
      <c r="H222" s="252">
        <v>0</v>
      </c>
      <c r="I222" s="252">
        <v>0</v>
      </c>
      <c r="J222" s="252">
        <v>0</v>
      </c>
      <c r="K222" s="252">
        <v>0</v>
      </c>
      <c r="L222" s="252">
        <v>0</v>
      </c>
      <c r="M222" s="252">
        <v>0</v>
      </c>
      <c r="N222" s="252">
        <v>0</v>
      </c>
      <c r="O222" s="252">
        <v>0</v>
      </c>
      <c r="P222" s="252">
        <v>0</v>
      </c>
      <c r="Q222" s="252">
        <v>0</v>
      </c>
      <c r="R222" s="252">
        <v>0</v>
      </c>
      <c r="S222" s="252">
        <v>0</v>
      </c>
      <c r="T222" s="252">
        <v>0</v>
      </c>
      <c r="U222" s="252">
        <v>0</v>
      </c>
      <c r="V222" s="252">
        <v>0</v>
      </c>
      <c r="W222" s="252">
        <v>0</v>
      </c>
      <c r="X222" s="252">
        <v>0</v>
      </c>
      <c r="Y222" s="252">
        <v>0</v>
      </c>
    </row>
    <row r="223" spans="1:25" x14ac:dyDescent="0.3">
      <c r="A223" s="253" t="s">
        <v>284</v>
      </c>
      <c r="B223" s="252">
        <v>0</v>
      </c>
      <c r="C223" s="252"/>
      <c r="D223" s="252">
        <v>0</v>
      </c>
      <c r="E223" s="252">
        <v>0</v>
      </c>
      <c r="F223" s="252">
        <v>0</v>
      </c>
      <c r="G223" s="252">
        <v>0</v>
      </c>
      <c r="H223" s="252">
        <v>0</v>
      </c>
      <c r="I223" s="252"/>
      <c r="J223" s="252"/>
      <c r="K223" s="252">
        <v>0</v>
      </c>
      <c r="L223" s="252"/>
      <c r="M223" s="252">
        <v>0</v>
      </c>
      <c r="N223" s="252">
        <v>0</v>
      </c>
      <c r="O223" s="252">
        <v>0</v>
      </c>
      <c r="P223" s="252"/>
      <c r="Q223" s="252">
        <v>0</v>
      </c>
      <c r="R223" s="252"/>
      <c r="S223" s="252"/>
      <c r="T223" s="252">
        <v>0</v>
      </c>
      <c r="U223" s="252"/>
      <c r="V223" s="252">
        <v>0</v>
      </c>
      <c r="W223" s="252">
        <v>0</v>
      </c>
      <c r="X223" s="252"/>
      <c r="Y223" s="252">
        <v>0</v>
      </c>
    </row>
    <row r="224" spans="1:25" x14ac:dyDescent="0.3">
      <c r="A224" s="253" t="s">
        <v>285</v>
      </c>
      <c r="B224" s="252">
        <v>0</v>
      </c>
      <c r="C224" s="252"/>
      <c r="D224" s="252">
        <v>0</v>
      </c>
      <c r="E224" s="252"/>
      <c r="F224" s="252">
        <v>0</v>
      </c>
      <c r="G224" s="252">
        <v>0</v>
      </c>
      <c r="H224" s="252">
        <v>0</v>
      </c>
      <c r="I224" s="252"/>
      <c r="J224" s="252"/>
      <c r="K224" s="252">
        <v>0</v>
      </c>
      <c r="L224" s="252"/>
      <c r="M224" s="252">
        <v>0</v>
      </c>
      <c r="N224" s="252">
        <v>0</v>
      </c>
      <c r="O224" s="252">
        <v>0</v>
      </c>
      <c r="P224" s="252"/>
      <c r="Q224" s="252">
        <v>0</v>
      </c>
      <c r="R224" s="252"/>
      <c r="S224" s="252"/>
      <c r="T224" s="252">
        <v>0</v>
      </c>
      <c r="U224" s="252"/>
      <c r="V224" s="252">
        <v>0</v>
      </c>
      <c r="W224" s="252">
        <v>0</v>
      </c>
      <c r="X224" s="252"/>
      <c r="Y224" s="252">
        <v>0</v>
      </c>
    </row>
    <row r="225" spans="1:25" x14ac:dyDescent="0.3">
      <c r="A225" s="253" t="s">
        <v>286</v>
      </c>
      <c r="B225" s="252">
        <v>0</v>
      </c>
      <c r="C225" s="252">
        <v>0</v>
      </c>
      <c r="D225" s="252">
        <v>0</v>
      </c>
      <c r="E225" s="252">
        <v>0</v>
      </c>
      <c r="F225" s="252">
        <v>0</v>
      </c>
      <c r="G225" s="252">
        <v>0</v>
      </c>
      <c r="H225" s="252">
        <v>0</v>
      </c>
      <c r="I225" s="252">
        <v>0</v>
      </c>
      <c r="J225" s="252">
        <v>0</v>
      </c>
      <c r="K225" s="252">
        <v>0</v>
      </c>
      <c r="L225" s="252"/>
      <c r="M225" s="252">
        <v>0</v>
      </c>
      <c r="N225" s="252">
        <v>0</v>
      </c>
      <c r="O225" s="252">
        <v>0</v>
      </c>
      <c r="P225" s="252"/>
      <c r="Q225" s="252">
        <v>0</v>
      </c>
      <c r="R225" s="252">
        <v>0</v>
      </c>
      <c r="S225" s="252">
        <v>0</v>
      </c>
      <c r="T225" s="252">
        <v>0</v>
      </c>
      <c r="U225" s="252"/>
      <c r="V225" s="252">
        <v>0</v>
      </c>
      <c r="W225" s="252">
        <v>0</v>
      </c>
      <c r="X225" s="252"/>
      <c r="Y225" s="252">
        <v>0</v>
      </c>
    </row>
    <row r="226" spans="1:25" x14ac:dyDescent="0.3">
      <c r="A226" s="253" t="s">
        <v>971</v>
      </c>
      <c r="B226" s="252">
        <v>0</v>
      </c>
      <c r="C226" s="252">
        <v>0</v>
      </c>
      <c r="D226" s="252">
        <v>0</v>
      </c>
      <c r="E226" s="252">
        <v>0</v>
      </c>
      <c r="F226" s="252">
        <v>0</v>
      </c>
      <c r="G226" s="252">
        <v>0</v>
      </c>
      <c r="H226" s="252">
        <v>0</v>
      </c>
      <c r="I226" s="252">
        <v>0</v>
      </c>
      <c r="J226" s="252">
        <v>0</v>
      </c>
      <c r="K226" s="252">
        <v>0</v>
      </c>
      <c r="L226" s="252"/>
      <c r="M226" s="252">
        <v>0</v>
      </c>
      <c r="N226" s="252">
        <v>0</v>
      </c>
      <c r="O226" s="252">
        <v>0</v>
      </c>
      <c r="P226" s="252">
        <v>0</v>
      </c>
      <c r="Q226" s="252">
        <v>0</v>
      </c>
      <c r="R226" s="252">
        <v>0</v>
      </c>
      <c r="S226" s="252">
        <v>0</v>
      </c>
      <c r="T226" s="252">
        <v>0</v>
      </c>
      <c r="U226" s="252">
        <v>0</v>
      </c>
      <c r="V226" s="252">
        <v>0</v>
      </c>
      <c r="W226" s="252">
        <v>0</v>
      </c>
      <c r="X226" s="252"/>
      <c r="Y226" s="252">
        <v>0</v>
      </c>
    </row>
    <row r="227" spans="1:25" x14ac:dyDescent="0.3">
      <c r="A227" s="253" t="s">
        <v>287</v>
      </c>
      <c r="B227" s="252">
        <v>0</v>
      </c>
      <c r="C227" s="252"/>
      <c r="D227" s="252">
        <v>0</v>
      </c>
      <c r="E227" s="252">
        <v>0</v>
      </c>
      <c r="F227" s="252">
        <v>0</v>
      </c>
      <c r="G227" s="252">
        <v>0</v>
      </c>
      <c r="H227" s="252">
        <v>0</v>
      </c>
      <c r="I227" s="252"/>
      <c r="J227" s="252"/>
      <c r="K227" s="252">
        <v>0</v>
      </c>
      <c r="L227" s="252"/>
      <c r="M227" s="252">
        <v>0</v>
      </c>
      <c r="N227" s="252">
        <v>0</v>
      </c>
      <c r="O227" s="252">
        <v>0</v>
      </c>
      <c r="P227" s="252"/>
      <c r="Q227" s="252">
        <v>0</v>
      </c>
      <c r="R227" s="252"/>
      <c r="S227" s="252"/>
      <c r="T227" s="252">
        <v>0</v>
      </c>
      <c r="U227" s="252"/>
      <c r="V227" s="252">
        <v>0</v>
      </c>
      <c r="W227" s="252">
        <v>0</v>
      </c>
      <c r="X227" s="252"/>
      <c r="Y227" s="252">
        <v>0</v>
      </c>
    </row>
    <row r="228" spans="1:25" x14ac:dyDescent="0.3">
      <c r="A228" s="253" t="s">
        <v>288</v>
      </c>
      <c r="B228" s="252">
        <v>0</v>
      </c>
      <c r="C228" s="252"/>
      <c r="D228" s="252">
        <v>0</v>
      </c>
      <c r="E228" s="252">
        <v>0</v>
      </c>
      <c r="F228" s="252">
        <v>0</v>
      </c>
      <c r="G228" s="252"/>
      <c r="H228" s="252">
        <v>0</v>
      </c>
      <c r="I228" s="252"/>
      <c r="J228" s="252"/>
      <c r="K228" s="252"/>
      <c r="L228" s="252"/>
      <c r="M228" s="252">
        <v>0</v>
      </c>
      <c r="N228" s="252"/>
      <c r="O228" s="252"/>
      <c r="P228" s="252"/>
      <c r="Q228" s="252"/>
      <c r="R228" s="252"/>
      <c r="S228" s="252"/>
      <c r="T228" s="252"/>
      <c r="U228" s="252"/>
      <c r="V228" s="252">
        <v>0</v>
      </c>
      <c r="W228" s="252">
        <v>0</v>
      </c>
      <c r="X228" s="252"/>
      <c r="Y228" s="252">
        <v>0</v>
      </c>
    </row>
    <row r="229" spans="1:25" x14ac:dyDescent="0.3">
      <c r="A229" s="253" t="s">
        <v>1035</v>
      </c>
      <c r="B229" s="252">
        <v>0</v>
      </c>
      <c r="C229" s="252">
        <v>0</v>
      </c>
      <c r="D229" s="252">
        <v>0</v>
      </c>
      <c r="E229" s="252">
        <v>0</v>
      </c>
      <c r="F229" s="252">
        <v>0</v>
      </c>
      <c r="G229" s="252">
        <v>0</v>
      </c>
      <c r="H229" s="252">
        <v>0</v>
      </c>
      <c r="I229" s="252">
        <v>0</v>
      </c>
      <c r="J229" s="252">
        <v>0</v>
      </c>
      <c r="K229" s="252">
        <v>0</v>
      </c>
      <c r="L229" s="252">
        <v>0</v>
      </c>
      <c r="M229" s="252">
        <v>0</v>
      </c>
      <c r="N229" s="252">
        <v>0</v>
      </c>
      <c r="O229" s="252">
        <v>0</v>
      </c>
      <c r="P229" s="252">
        <v>0</v>
      </c>
      <c r="Q229" s="252">
        <v>0</v>
      </c>
      <c r="R229" s="252">
        <v>0</v>
      </c>
      <c r="S229" s="252">
        <v>0</v>
      </c>
      <c r="T229" s="252">
        <v>0</v>
      </c>
      <c r="U229" s="252">
        <v>0</v>
      </c>
      <c r="V229" s="252">
        <v>0</v>
      </c>
      <c r="W229" s="252">
        <v>0</v>
      </c>
      <c r="X229" s="252">
        <v>0</v>
      </c>
      <c r="Y229" s="252">
        <v>0</v>
      </c>
    </row>
    <row r="230" spans="1:25" x14ac:dyDescent="0.3">
      <c r="A230" s="253" t="s">
        <v>1036</v>
      </c>
      <c r="B230" s="252">
        <v>0</v>
      </c>
      <c r="C230" s="252">
        <v>0</v>
      </c>
      <c r="D230" s="252">
        <v>0</v>
      </c>
      <c r="E230" s="252">
        <v>0</v>
      </c>
      <c r="F230" s="252">
        <v>0</v>
      </c>
      <c r="G230" s="252">
        <v>0</v>
      </c>
      <c r="H230" s="252">
        <v>0</v>
      </c>
      <c r="I230" s="252">
        <v>0</v>
      </c>
      <c r="J230" s="252">
        <v>0</v>
      </c>
      <c r="K230" s="252">
        <v>0</v>
      </c>
      <c r="L230" s="252">
        <v>0</v>
      </c>
      <c r="M230" s="252">
        <v>0</v>
      </c>
      <c r="N230" s="252">
        <v>0</v>
      </c>
      <c r="O230" s="252">
        <v>0</v>
      </c>
      <c r="P230" s="252">
        <v>0</v>
      </c>
      <c r="Q230" s="252">
        <v>0</v>
      </c>
      <c r="R230" s="252">
        <v>0</v>
      </c>
      <c r="S230" s="252">
        <v>0</v>
      </c>
      <c r="T230" s="252">
        <v>0</v>
      </c>
      <c r="U230" s="252">
        <v>0</v>
      </c>
      <c r="V230" s="252">
        <v>0</v>
      </c>
      <c r="W230" s="252">
        <v>0</v>
      </c>
      <c r="X230" s="252">
        <v>0</v>
      </c>
      <c r="Y230" s="252">
        <v>0</v>
      </c>
    </row>
    <row r="231" spans="1:25" x14ac:dyDescent="0.3">
      <c r="A231" s="253" t="s">
        <v>1037</v>
      </c>
      <c r="B231" s="252">
        <v>0</v>
      </c>
      <c r="C231" s="252">
        <v>0</v>
      </c>
      <c r="D231" s="252">
        <v>0</v>
      </c>
      <c r="E231" s="252">
        <v>0</v>
      </c>
      <c r="F231" s="252">
        <v>0</v>
      </c>
      <c r="G231" s="252">
        <v>0</v>
      </c>
      <c r="H231" s="252">
        <v>0</v>
      </c>
      <c r="I231" s="252">
        <v>0</v>
      </c>
      <c r="J231" s="252">
        <v>0</v>
      </c>
      <c r="K231" s="252">
        <v>0</v>
      </c>
      <c r="L231" s="252">
        <v>0</v>
      </c>
      <c r="M231" s="252">
        <v>0</v>
      </c>
      <c r="N231" s="252">
        <v>0</v>
      </c>
      <c r="O231" s="252">
        <v>0</v>
      </c>
      <c r="P231" s="252">
        <v>0</v>
      </c>
      <c r="Q231" s="252">
        <v>0</v>
      </c>
      <c r="R231" s="252">
        <v>0</v>
      </c>
      <c r="S231" s="252">
        <v>0</v>
      </c>
      <c r="T231" s="252">
        <v>0</v>
      </c>
      <c r="U231" s="252">
        <v>0</v>
      </c>
      <c r="V231" s="252">
        <v>0</v>
      </c>
      <c r="W231" s="252">
        <v>0</v>
      </c>
      <c r="X231" s="252">
        <v>0</v>
      </c>
      <c r="Y231" s="252">
        <v>0</v>
      </c>
    </row>
    <row r="232" spans="1:25" x14ac:dyDescent="0.3">
      <c r="A232" s="253" t="s">
        <v>1038</v>
      </c>
      <c r="B232" s="252">
        <v>0</v>
      </c>
      <c r="C232" s="252">
        <v>0</v>
      </c>
      <c r="D232" s="252">
        <v>0</v>
      </c>
      <c r="E232" s="252">
        <v>0</v>
      </c>
      <c r="F232" s="252">
        <v>0</v>
      </c>
      <c r="G232" s="252">
        <v>0</v>
      </c>
      <c r="H232" s="252">
        <v>0</v>
      </c>
      <c r="I232" s="252">
        <v>0</v>
      </c>
      <c r="J232" s="252">
        <v>0</v>
      </c>
      <c r="K232" s="252">
        <v>0</v>
      </c>
      <c r="L232" s="252">
        <v>0</v>
      </c>
      <c r="M232" s="252">
        <v>0</v>
      </c>
      <c r="N232" s="252">
        <v>0</v>
      </c>
      <c r="O232" s="252">
        <v>0</v>
      </c>
      <c r="P232" s="252">
        <v>0</v>
      </c>
      <c r="Q232" s="252">
        <v>0</v>
      </c>
      <c r="R232" s="252">
        <v>0</v>
      </c>
      <c r="S232" s="252">
        <v>0</v>
      </c>
      <c r="T232" s="252">
        <v>0</v>
      </c>
      <c r="U232" s="252">
        <v>0</v>
      </c>
      <c r="V232" s="252">
        <v>0</v>
      </c>
      <c r="W232" s="252">
        <v>0</v>
      </c>
      <c r="X232" s="252">
        <v>0</v>
      </c>
      <c r="Y232" s="252">
        <v>0</v>
      </c>
    </row>
    <row r="233" spans="1:25" x14ac:dyDescent="0.3">
      <c r="A233" s="253" t="s">
        <v>1039</v>
      </c>
      <c r="B233" s="252">
        <v>0</v>
      </c>
      <c r="C233" s="252">
        <v>0</v>
      </c>
      <c r="D233" s="252">
        <v>0</v>
      </c>
      <c r="E233" s="252">
        <v>0</v>
      </c>
      <c r="F233" s="252">
        <v>0</v>
      </c>
      <c r="G233" s="252">
        <v>0</v>
      </c>
      <c r="H233" s="252">
        <v>0</v>
      </c>
      <c r="I233" s="252">
        <v>0</v>
      </c>
      <c r="J233" s="252">
        <v>0</v>
      </c>
      <c r="K233" s="252">
        <v>0</v>
      </c>
      <c r="L233" s="252">
        <v>0</v>
      </c>
      <c r="M233" s="252">
        <v>0</v>
      </c>
      <c r="N233" s="252">
        <v>0</v>
      </c>
      <c r="O233" s="252">
        <v>0</v>
      </c>
      <c r="P233" s="252">
        <v>0</v>
      </c>
      <c r="Q233" s="252">
        <v>0</v>
      </c>
      <c r="R233" s="252">
        <v>0</v>
      </c>
      <c r="S233" s="252">
        <v>0</v>
      </c>
      <c r="T233" s="252">
        <v>0</v>
      </c>
      <c r="U233" s="252">
        <v>0</v>
      </c>
      <c r="V233" s="252">
        <v>0</v>
      </c>
      <c r="W233" s="252">
        <v>0</v>
      </c>
      <c r="X233" s="252">
        <v>0</v>
      </c>
      <c r="Y233" s="252">
        <v>0</v>
      </c>
    </row>
    <row r="234" spans="1:25" x14ac:dyDescent="0.3">
      <c r="A234" s="253" t="s">
        <v>289</v>
      </c>
      <c r="B234" s="252">
        <v>0</v>
      </c>
      <c r="C234" s="252"/>
      <c r="D234" s="252">
        <v>0</v>
      </c>
      <c r="E234" s="252">
        <v>0</v>
      </c>
      <c r="F234" s="252">
        <v>0</v>
      </c>
      <c r="G234" s="252">
        <v>0</v>
      </c>
      <c r="H234" s="252">
        <v>0</v>
      </c>
      <c r="I234" s="252"/>
      <c r="J234" s="252"/>
      <c r="K234" s="252">
        <v>0</v>
      </c>
      <c r="L234" s="252"/>
      <c r="M234" s="252">
        <v>0</v>
      </c>
      <c r="N234" s="252">
        <v>0</v>
      </c>
      <c r="O234" s="252">
        <v>0</v>
      </c>
      <c r="P234" s="252"/>
      <c r="Q234" s="252">
        <v>0</v>
      </c>
      <c r="R234" s="252"/>
      <c r="S234" s="252"/>
      <c r="T234" s="252">
        <v>0</v>
      </c>
      <c r="U234" s="252"/>
      <c r="V234" s="252">
        <v>0</v>
      </c>
      <c r="W234" s="252">
        <v>0</v>
      </c>
      <c r="X234" s="252"/>
      <c r="Y234" s="252">
        <v>0</v>
      </c>
    </row>
    <row r="235" spans="1:25" x14ac:dyDescent="0.3">
      <c r="A235" s="253" t="s">
        <v>290</v>
      </c>
      <c r="B235" s="252">
        <v>0</v>
      </c>
      <c r="C235" s="252"/>
      <c r="D235" s="252">
        <v>0</v>
      </c>
      <c r="E235" s="252">
        <v>0</v>
      </c>
      <c r="F235" s="252">
        <v>0</v>
      </c>
      <c r="G235" s="252">
        <v>0</v>
      </c>
      <c r="H235" s="252">
        <v>0</v>
      </c>
      <c r="I235" s="252"/>
      <c r="J235" s="252"/>
      <c r="K235" s="252">
        <v>0</v>
      </c>
      <c r="L235" s="252"/>
      <c r="M235" s="252">
        <v>0</v>
      </c>
      <c r="N235" s="252">
        <v>0</v>
      </c>
      <c r="O235" s="252">
        <v>0</v>
      </c>
      <c r="P235" s="252"/>
      <c r="Q235" s="252">
        <v>0</v>
      </c>
      <c r="R235" s="252"/>
      <c r="S235" s="252"/>
      <c r="T235" s="252">
        <v>0</v>
      </c>
      <c r="U235" s="252"/>
      <c r="V235" s="252">
        <v>0</v>
      </c>
      <c r="W235" s="252">
        <v>0</v>
      </c>
      <c r="X235" s="252"/>
      <c r="Y235" s="252">
        <v>0</v>
      </c>
    </row>
    <row r="236" spans="1:25" x14ac:dyDescent="0.3">
      <c r="A236" s="253" t="s">
        <v>44</v>
      </c>
      <c r="B236" s="252">
        <v>1</v>
      </c>
      <c r="C236" s="252">
        <v>2</v>
      </c>
      <c r="D236" s="252">
        <v>0</v>
      </c>
      <c r="E236" s="252">
        <v>2</v>
      </c>
      <c r="F236" s="252">
        <v>1</v>
      </c>
      <c r="G236" s="252">
        <v>1</v>
      </c>
      <c r="H236" s="252">
        <v>1</v>
      </c>
      <c r="I236" s="252">
        <v>0</v>
      </c>
      <c r="J236" s="252">
        <v>3</v>
      </c>
      <c r="K236" s="252">
        <v>1</v>
      </c>
      <c r="L236" s="252">
        <v>1</v>
      </c>
      <c r="M236" s="252">
        <v>0</v>
      </c>
      <c r="N236" s="252">
        <v>1</v>
      </c>
      <c r="O236" s="252">
        <v>1</v>
      </c>
      <c r="P236" s="252">
        <v>0</v>
      </c>
      <c r="Q236" s="252">
        <v>0</v>
      </c>
      <c r="R236" s="252">
        <v>2</v>
      </c>
      <c r="S236" s="252">
        <v>1</v>
      </c>
      <c r="T236" s="252">
        <v>0</v>
      </c>
      <c r="U236" s="252">
        <v>2</v>
      </c>
      <c r="V236" s="252">
        <v>1</v>
      </c>
      <c r="W236" s="252">
        <v>0</v>
      </c>
      <c r="X236" s="252">
        <v>1</v>
      </c>
      <c r="Y236" s="252">
        <v>22</v>
      </c>
    </row>
    <row r="237" spans="1:25" x14ac:dyDescent="0.3">
      <c r="A237" s="253" t="s">
        <v>935</v>
      </c>
      <c r="B237" s="252">
        <v>0</v>
      </c>
      <c r="C237" s="252">
        <v>0</v>
      </c>
      <c r="D237" s="252">
        <v>0</v>
      </c>
      <c r="E237" s="252">
        <v>0</v>
      </c>
      <c r="F237" s="252">
        <v>0</v>
      </c>
      <c r="G237" s="252">
        <v>0</v>
      </c>
      <c r="H237" s="252">
        <v>0</v>
      </c>
      <c r="I237" s="252">
        <v>0</v>
      </c>
      <c r="J237" s="252">
        <v>0</v>
      </c>
      <c r="K237" s="252">
        <v>0</v>
      </c>
      <c r="L237" s="252"/>
      <c r="M237" s="252">
        <v>0</v>
      </c>
      <c r="N237" s="252">
        <v>0</v>
      </c>
      <c r="O237" s="252">
        <v>0</v>
      </c>
      <c r="P237" s="252">
        <v>0</v>
      </c>
      <c r="Q237" s="252">
        <v>0</v>
      </c>
      <c r="R237" s="252">
        <v>0</v>
      </c>
      <c r="S237" s="252">
        <v>0</v>
      </c>
      <c r="T237" s="252">
        <v>0</v>
      </c>
      <c r="U237" s="252">
        <v>0</v>
      </c>
      <c r="V237" s="252">
        <v>0</v>
      </c>
      <c r="W237" s="252">
        <v>0</v>
      </c>
      <c r="X237" s="252"/>
      <c r="Y237" s="252">
        <v>0</v>
      </c>
    </row>
    <row r="238" spans="1:25" x14ac:dyDescent="0.3">
      <c r="A238" s="253" t="s">
        <v>936</v>
      </c>
      <c r="B238" s="252">
        <v>0</v>
      </c>
      <c r="C238" s="252">
        <v>0</v>
      </c>
      <c r="D238" s="252">
        <v>0</v>
      </c>
      <c r="E238" s="252">
        <v>0</v>
      </c>
      <c r="F238" s="252">
        <v>0</v>
      </c>
      <c r="G238" s="252">
        <v>0</v>
      </c>
      <c r="H238" s="252">
        <v>0</v>
      </c>
      <c r="I238" s="252">
        <v>0</v>
      </c>
      <c r="J238" s="252">
        <v>0</v>
      </c>
      <c r="K238" s="252">
        <v>0</v>
      </c>
      <c r="L238" s="252"/>
      <c r="M238" s="252">
        <v>0</v>
      </c>
      <c r="N238" s="252">
        <v>0</v>
      </c>
      <c r="O238" s="252">
        <v>0</v>
      </c>
      <c r="P238" s="252">
        <v>0</v>
      </c>
      <c r="Q238" s="252">
        <v>0</v>
      </c>
      <c r="R238" s="252">
        <v>0</v>
      </c>
      <c r="S238" s="252">
        <v>0</v>
      </c>
      <c r="T238" s="252">
        <v>0</v>
      </c>
      <c r="U238" s="252">
        <v>0</v>
      </c>
      <c r="V238" s="252">
        <v>0</v>
      </c>
      <c r="W238" s="252">
        <v>0</v>
      </c>
      <c r="X238" s="252"/>
      <c r="Y238" s="252">
        <v>0</v>
      </c>
    </row>
    <row r="239" spans="1:25" x14ac:dyDescent="0.3">
      <c r="A239" s="253" t="s">
        <v>1040</v>
      </c>
      <c r="B239" s="252">
        <v>0</v>
      </c>
      <c r="C239" s="252">
        <v>0</v>
      </c>
      <c r="D239" s="252">
        <v>0</v>
      </c>
      <c r="E239" s="252">
        <v>0</v>
      </c>
      <c r="F239" s="252">
        <v>0</v>
      </c>
      <c r="G239" s="252">
        <v>0</v>
      </c>
      <c r="H239" s="252">
        <v>0</v>
      </c>
      <c r="I239" s="252">
        <v>0</v>
      </c>
      <c r="J239" s="252">
        <v>0</v>
      </c>
      <c r="K239" s="252">
        <v>0</v>
      </c>
      <c r="L239" s="252">
        <v>0</v>
      </c>
      <c r="M239" s="252">
        <v>0</v>
      </c>
      <c r="N239" s="252">
        <v>0</v>
      </c>
      <c r="O239" s="252">
        <v>0</v>
      </c>
      <c r="P239" s="252">
        <v>0</v>
      </c>
      <c r="Q239" s="252">
        <v>0</v>
      </c>
      <c r="R239" s="252">
        <v>0</v>
      </c>
      <c r="S239" s="252">
        <v>0</v>
      </c>
      <c r="T239" s="252">
        <v>0</v>
      </c>
      <c r="U239" s="252">
        <v>0</v>
      </c>
      <c r="V239" s="252">
        <v>0</v>
      </c>
      <c r="W239" s="252">
        <v>0</v>
      </c>
      <c r="X239" s="252">
        <v>0</v>
      </c>
      <c r="Y239" s="252">
        <v>0</v>
      </c>
    </row>
    <row r="240" spans="1:25" x14ac:dyDescent="0.3">
      <c r="A240" s="253" t="s">
        <v>1107</v>
      </c>
      <c r="B240" s="252">
        <v>0</v>
      </c>
      <c r="C240" s="252">
        <v>0</v>
      </c>
      <c r="D240" s="252">
        <v>0</v>
      </c>
      <c r="E240" s="252">
        <v>0</v>
      </c>
      <c r="F240" s="252">
        <v>0</v>
      </c>
      <c r="G240" s="252">
        <v>0</v>
      </c>
      <c r="H240" s="252">
        <v>0</v>
      </c>
      <c r="I240" s="252">
        <v>0</v>
      </c>
      <c r="J240" s="252">
        <v>0</v>
      </c>
      <c r="K240" s="252">
        <v>0</v>
      </c>
      <c r="L240" s="252">
        <v>0</v>
      </c>
      <c r="M240" s="252">
        <v>0</v>
      </c>
      <c r="N240" s="252">
        <v>0</v>
      </c>
      <c r="O240" s="252">
        <v>0</v>
      </c>
      <c r="P240" s="252">
        <v>0</v>
      </c>
      <c r="Q240" s="252">
        <v>0</v>
      </c>
      <c r="R240" s="252">
        <v>0</v>
      </c>
      <c r="S240" s="252">
        <v>0</v>
      </c>
      <c r="T240" s="252">
        <v>0</v>
      </c>
      <c r="U240" s="252">
        <v>0</v>
      </c>
      <c r="V240" s="252">
        <v>0</v>
      </c>
      <c r="W240" s="252">
        <v>0</v>
      </c>
      <c r="X240" s="252">
        <v>0</v>
      </c>
      <c r="Y240" s="252">
        <v>0</v>
      </c>
    </row>
    <row r="241" spans="1:25" x14ac:dyDescent="0.3">
      <c r="A241" s="253" t="s">
        <v>45</v>
      </c>
      <c r="B241" s="252">
        <v>1</v>
      </c>
      <c r="C241" s="252">
        <v>2</v>
      </c>
      <c r="D241" s="252">
        <v>0</v>
      </c>
      <c r="E241" s="252">
        <v>1</v>
      </c>
      <c r="F241" s="252">
        <v>1</v>
      </c>
      <c r="G241" s="252">
        <v>1</v>
      </c>
      <c r="H241" s="252">
        <v>0</v>
      </c>
      <c r="I241" s="252">
        <v>0</v>
      </c>
      <c r="J241" s="252">
        <v>2</v>
      </c>
      <c r="K241" s="252">
        <v>0</v>
      </c>
      <c r="L241" s="252">
        <v>0</v>
      </c>
      <c r="M241" s="252">
        <v>3</v>
      </c>
      <c r="N241" s="252">
        <v>2</v>
      </c>
      <c r="O241" s="252">
        <v>2</v>
      </c>
      <c r="P241" s="252">
        <v>3</v>
      </c>
      <c r="Q241" s="252">
        <v>1</v>
      </c>
      <c r="R241" s="252">
        <v>2</v>
      </c>
      <c r="S241" s="252">
        <v>1</v>
      </c>
      <c r="T241" s="252">
        <v>0</v>
      </c>
      <c r="U241" s="252">
        <v>4</v>
      </c>
      <c r="V241" s="252">
        <v>1</v>
      </c>
      <c r="W241" s="252">
        <v>1</v>
      </c>
      <c r="X241" s="252">
        <v>1</v>
      </c>
      <c r="Y241" s="252">
        <v>29</v>
      </c>
    </row>
    <row r="242" spans="1:25" x14ac:dyDescent="0.3">
      <c r="A242" s="253" t="s">
        <v>1028</v>
      </c>
      <c r="B242" s="252">
        <v>0</v>
      </c>
      <c r="C242" s="252">
        <v>0</v>
      </c>
      <c r="D242" s="252">
        <v>0</v>
      </c>
      <c r="E242" s="252">
        <v>0</v>
      </c>
      <c r="F242" s="252">
        <v>0</v>
      </c>
      <c r="G242" s="252">
        <v>0</v>
      </c>
      <c r="H242" s="252">
        <v>0</v>
      </c>
      <c r="I242" s="252">
        <v>0</v>
      </c>
      <c r="J242" s="252">
        <v>0</v>
      </c>
      <c r="K242" s="252">
        <v>0</v>
      </c>
      <c r="L242" s="252">
        <v>0</v>
      </c>
      <c r="M242" s="252">
        <v>0</v>
      </c>
      <c r="N242" s="252">
        <v>0</v>
      </c>
      <c r="O242" s="252">
        <v>0</v>
      </c>
      <c r="P242" s="252">
        <v>0</v>
      </c>
      <c r="Q242" s="252">
        <v>0</v>
      </c>
      <c r="R242" s="252">
        <v>0</v>
      </c>
      <c r="S242" s="252">
        <v>0</v>
      </c>
      <c r="T242" s="252">
        <v>0</v>
      </c>
      <c r="U242" s="252">
        <v>0</v>
      </c>
      <c r="V242" s="252">
        <v>0</v>
      </c>
      <c r="W242" s="252">
        <v>0</v>
      </c>
      <c r="X242" s="252">
        <v>0</v>
      </c>
      <c r="Y242" s="252">
        <v>0</v>
      </c>
    </row>
    <row r="243" spans="1:25" x14ac:dyDescent="0.3">
      <c r="A243" s="253" t="s">
        <v>46</v>
      </c>
      <c r="B243" s="252">
        <v>1</v>
      </c>
      <c r="C243" s="252">
        <v>2</v>
      </c>
      <c r="D243" s="252">
        <v>0</v>
      </c>
      <c r="E243" s="252">
        <v>3</v>
      </c>
      <c r="F243" s="252">
        <v>1</v>
      </c>
      <c r="G243" s="252">
        <v>1</v>
      </c>
      <c r="H243" s="252">
        <v>2</v>
      </c>
      <c r="I243" s="252">
        <v>0</v>
      </c>
      <c r="J243" s="252">
        <v>3</v>
      </c>
      <c r="K243" s="252">
        <v>1</v>
      </c>
      <c r="L243" s="252">
        <v>1</v>
      </c>
      <c r="M243" s="252">
        <v>3</v>
      </c>
      <c r="N243" s="252">
        <v>2</v>
      </c>
      <c r="O243" s="252">
        <v>3</v>
      </c>
      <c r="P243" s="252">
        <v>2</v>
      </c>
      <c r="Q243" s="252">
        <v>2</v>
      </c>
      <c r="R243" s="252">
        <v>3</v>
      </c>
      <c r="S243" s="252">
        <v>2</v>
      </c>
      <c r="T243" s="252">
        <v>3</v>
      </c>
      <c r="U243" s="252">
        <v>3</v>
      </c>
      <c r="V243" s="252">
        <v>1</v>
      </c>
      <c r="W243" s="252">
        <v>2</v>
      </c>
      <c r="X243" s="252">
        <v>4</v>
      </c>
      <c r="Y243" s="252">
        <v>45</v>
      </c>
    </row>
    <row r="244" spans="1:25" x14ac:dyDescent="0.3">
      <c r="A244" s="253" t="s">
        <v>291</v>
      </c>
      <c r="B244" s="252">
        <v>0</v>
      </c>
      <c r="C244" s="252">
        <v>0</v>
      </c>
      <c r="D244" s="252">
        <v>0</v>
      </c>
      <c r="E244" s="252">
        <v>0</v>
      </c>
      <c r="F244" s="252">
        <v>0</v>
      </c>
      <c r="G244" s="252">
        <v>0</v>
      </c>
      <c r="H244" s="252">
        <v>0</v>
      </c>
      <c r="I244" s="252"/>
      <c r="J244" s="252"/>
      <c r="K244" s="252">
        <v>0</v>
      </c>
      <c r="L244" s="252"/>
      <c r="M244" s="252">
        <v>0</v>
      </c>
      <c r="N244" s="252">
        <v>0</v>
      </c>
      <c r="O244" s="252">
        <v>0</v>
      </c>
      <c r="P244" s="252"/>
      <c r="Q244" s="252">
        <v>0</v>
      </c>
      <c r="R244" s="252"/>
      <c r="S244" s="252"/>
      <c r="T244" s="252">
        <v>0</v>
      </c>
      <c r="U244" s="252"/>
      <c r="V244" s="252">
        <v>0</v>
      </c>
      <c r="W244" s="252">
        <v>0</v>
      </c>
      <c r="X244" s="252"/>
      <c r="Y244" s="252">
        <v>0</v>
      </c>
    </row>
    <row r="245" spans="1:25" x14ac:dyDescent="0.3">
      <c r="A245" s="253" t="s">
        <v>292</v>
      </c>
      <c r="B245" s="252">
        <v>0</v>
      </c>
      <c r="C245" s="252">
        <v>0</v>
      </c>
      <c r="D245" s="252">
        <v>0</v>
      </c>
      <c r="E245" s="252">
        <v>0</v>
      </c>
      <c r="F245" s="252">
        <v>0</v>
      </c>
      <c r="G245" s="252">
        <v>0</v>
      </c>
      <c r="H245" s="252">
        <v>0</v>
      </c>
      <c r="I245" s="252"/>
      <c r="J245" s="252">
        <v>0</v>
      </c>
      <c r="K245" s="252">
        <v>0</v>
      </c>
      <c r="L245" s="252"/>
      <c r="M245" s="252">
        <v>0</v>
      </c>
      <c r="N245" s="252">
        <v>0</v>
      </c>
      <c r="O245" s="252">
        <v>0</v>
      </c>
      <c r="P245" s="252"/>
      <c r="Q245" s="252">
        <v>0</v>
      </c>
      <c r="R245" s="252"/>
      <c r="S245" s="252">
        <v>0</v>
      </c>
      <c r="T245" s="252">
        <v>0</v>
      </c>
      <c r="U245" s="252"/>
      <c r="V245" s="252">
        <v>0</v>
      </c>
      <c r="W245" s="252">
        <v>0</v>
      </c>
      <c r="X245" s="252"/>
      <c r="Y245" s="252">
        <v>0</v>
      </c>
    </row>
    <row r="246" spans="1:25" x14ac:dyDescent="0.3">
      <c r="A246" s="253" t="s">
        <v>293</v>
      </c>
      <c r="B246" s="252">
        <v>0</v>
      </c>
      <c r="C246" s="252">
        <v>0</v>
      </c>
      <c r="D246" s="252">
        <v>0</v>
      </c>
      <c r="E246" s="252">
        <v>0</v>
      </c>
      <c r="F246" s="252">
        <v>0</v>
      </c>
      <c r="G246" s="252">
        <v>0</v>
      </c>
      <c r="H246" s="252">
        <v>0</v>
      </c>
      <c r="I246" s="252">
        <v>0</v>
      </c>
      <c r="J246" s="252">
        <v>0</v>
      </c>
      <c r="K246" s="252">
        <v>0</v>
      </c>
      <c r="L246" s="252"/>
      <c r="M246" s="252">
        <v>0</v>
      </c>
      <c r="N246" s="252">
        <v>0</v>
      </c>
      <c r="O246" s="252">
        <v>0</v>
      </c>
      <c r="P246" s="252"/>
      <c r="Q246" s="252">
        <v>0</v>
      </c>
      <c r="R246" s="252"/>
      <c r="S246" s="252">
        <v>0</v>
      </c>
      <c r="T246" s="252">
        <v>0</v>
      </c>
      <c r="U246" s="252"/>
      <c r="V246" s="252">
        <v>0</v>
      </c>
      <c r="W246" s="252">
        <v>0</v>
      </c>
      <c r="X246" s="252"/>
      <c r="Y246" s="252">
        <v>0</v>
      </c>
    </row>
    <row r="247" spans="1:25" x14ac:dyDescent="0.3">
      <c r="A247" s="253" t="s">
        <v>294</v>
      </c>
      <c r="B247" s="252">
        <v>0</v>
      </c>
      <c r="C247" s="252"/>
      <c r="D247" s="252">
        <v>0</v>
      </c>
      <c r="E247" s="252">
        <v>0</v>
      </c>
      <c r="F247" s="252">
        <v>0</v>
      </c>
      <c r="G247" s="252">
        <v>0</v>
      </c>
      <c r="H247" s="252">
        <v>0</v>
      </c>
      <c r="I247" s="252"/>
      <c r="J247" s="252"/>
      <c r="K247" s="252">
        <v>0</v>
      </c>
      <c r="L247" s="252"/>
      <c r="M247" s="252">
        <v>0</v>
      </c>
      <c r="N247" s="252">
        <v>0</v>
      </c>
      <c r="O247" s="252">
        <v>0</v>
      </c>
      <c r="P247" s="252"/>
      <c r="Q247" s="252">
        <v>0</v>
      </c>
      <c r="R247" s="252"/>
      <c r="S247" s="252"/>
      <c r="T247" s="252">
        <v>0</v>
      </c>
      <c r="U247" s="252"/>
      <c r="V247" s="252">
        <v>0</v>
      </c>
      <c r="W247" s="252">
        <v>0</v>
      </c>
      <c r="X247" s="252"/>
      <c r="Y247" s="252">
        <v>0</v>
      </c>
    </row>
    <row r="248" spans="1:25" x14ac:dyDescent="0.3">
      <c r="A248" s="253" t="s">
        <v>47</v>
      </c>
      <c r="B248" s="252">
        <v>1</v>
      </c>
      <c r="C248" s="252">
        <v>2</v>
      </c>
      <c r="D248" s="252">
        <v>0</v>
      </c>
      <c r="E248" s="252">
        <v>2</v>
      </c>
      <c r="F248" s="252">
        <v>2</v>
      </c>
      <c r="G248" s="252">
        <v>1</v>
      </c>
      <c r="H248" s="252">
        <v>1</v>
      </c>
      <c r="I248" s="252">
        <v>0</v>
      </c>
      <c r="J248" s="252">
        <v>2</v>
      </c>
      <c r="K248" s="252">
        <v>1</v>
      </c>
      <c r="L248" s="252">
        <v>0</v>
      </c>
      <c r="M248" s="252">
        <v>2</v>
      </c>
      <c r="N248" s="252">
        <v>1</v>
      </c>
      <c r="O248" s="252">
        <v>0</v>
      </c>
      <c r="P248" s="252">
        <v>2</v>
      </c>
      <c r="Q248" s="252">
        <v>1</v>
      </c>
      <c r="R248" s="252">
        <v>1</v>
      </c>
      <c r="S248" s="252">
        <v>1</v>
      </c>
      <c r="T248" s="252">
        <v>0</v>
      </c>
      <c r="U248" s="252">
        <v>2</v>
      </c>
      <c r="V248" s="252">
        <v>2</v>
      </c>
      <c r="W248" s="252">
        <v>0</v>
      </c>
      <c r="X248" s="252">
        <v>1</v>
      </c>
      <c r="Y248" s="252">
        <v>25</v>
      </c>
    </row>
    <row r="249" spans="1:25" x14ac:dyDescent="0.3">
      <c r="A249" s="253" t="s">
        <v>295</v>
      </c>
      <c r="B249" s="252">
        <v>0</v>
      </c>
      <c r="C249" s="252">
        <v>0</v>
      </c>
      <c r="D249" s="252">
        <v>0</v>
      </c>
      <c r="E249" s="252">
        <v>0</v>
      </c>
      <c r="F249" s="252">
        <v>0</v>
      </c>
      <c r="G249" s="252">
        <v>0</v>
      </c>
      <c r="H249" s="252">
        <v>0</v>
      </c>
      <c r="I249" s="252"/>
      <c r="J249" s="252"/>
      <c r="K249" s="252">
        <v>0</v>
      </c>
      <c r="L249" s="252"/>
      <c r="M249" s="252">
        <v>0</v>
      </c>
      <c r="N249" s="252">
        <v>0</v>
      </c>
      <c r="O249" s="252">
        <v>0</v>
      </c>
      <c r="P249" s="252"/>
      <c r="Q249" s="252">
        <v>0</v>
      </c>
      <c r="R249" s="252"/>
      <c r="S249" s="252">
        <v>0</v>
      </c>
      <c r="T249" s="252">
        <v>0</v>
      </c>
      <c r="U249" s="252"/>
      <c r="V249" s="252">
        <v>0</v>
      </c>
      <c r="W249" s="252">
        <v>0</v>
      </c>
      <c r="X249" s="252"/>
      <c r="Y249" s="252">
        <v>0</v>
      </c>
    </row>
    <row r="250" spans="1:25" x14ac:dyDescent="0.3">
      <c r="A250" s="253" t="s">
        <v>296</v>
      </c>
      <c r="B250" s="252">
        <v>0</v>
      </c>
      <c r="C250" s="252">
        <v>0</v>
      </c>
      <c r="D250" s="252">
        <v>0</v>
      </c>
      <c r="E250" s="252">
        <v>0</v>
      </c>
      <c r="F250" s="252">
        <v>0</v>
      </c>
      <c r="G250" s="252">
        <v>0</v>
      </c>
      <c r="H250" s="252">
        <v>0</v>
      </c>
      <c r="I250" s="252"/>
      <c r="J250" s="252"/>
      <c r="K250" s="252">
        <v>0</v>
      </c>
      <c r="L250" s="252"/>
      <c r="M250" s="252">
        <v>0</v>
      </c>
      <c r="N250" s="252">
        <v>0</v>
      </c>
      <c r="O250" s="252">
        <v>0</v>
      </c>
      <c r="P250" s="252"/>
      <c r="Q250" s="252">
        <v>0</v>
      </c>
      <c r="R250" s="252"/>
      <c r="S250" s="252">
        <v>0</v>
      </c>
      <c r="T250" s="252">
        <v>0</v>
      </c>
      <c r="U250" s="252"/>
      <c r="V250" s="252">
        <v>0</v>
      </c>
      <c r="W250" s="252">
        <v>0</v>
      </c>
      <c r="X250" s="252"/>
      <c r="Y250" s="252">
        <v>0</v>
      </c>
    </row>
    <row r="251" spans="1:25" x14ac:dyDescent="0.3">
      <c r="A251" s="253" t="s">
        <v>297</v>
      </c>
      <c r="B251" s="252">
        <v>0</v>
      </c>
      <c r="C251" s="252">
        <v>0</v>
      </c>
      <c r="D251" s="252">
        <v>0</v>
      </c>
      <c r="E251" s="252">
        <v>0</v>
      </c>
      <c r="F251" s="252">
        <v>0</v>
      </c>
      <c r="G251" s="252">
        <v>0</v>
      </c>
      <c r="H251" s="252">
        <v>0</v>
      </c>
      <c r="I251" s="252"/>
      <c r="J251" s="252">
        <v>0</v>
      </c>
      <c r="K251" s="252">
        <v>0</v>
      </c>
      <c r="L251" s="252"/>
      <c r="M251" s="252">
        <v>0</v>
      </c>
      <c r="N251" s="252">
        <v>0</v>
      </c>
      <c r="O251" s="252">
        <v>0</v>
      </c>
      <c r="P251" s="252"/>
      <c r="Q251" s="252">
        <v>0</v>
      </c>
      <c r="R251" s="252"/>
      <c r="S251" s="252"/>
      <c r="T251" s="252">
        <v>0</v>
      </c>
      <c r="U251" s="252"/>
      <c r="V251" s="252">
        <v>0</v>
      </c>
      <c r="W251" s="252">
        <v>0</v>
      </c>
      <c r="X251" s="252"/>
      <c r="Y251" s="252">
        <v>0</v>
      </c>
    </row>
    <row r="252" spans="1:25" x14ac:dyDescent="0.3">
      <c r="A252" s="253" t="s">
        <v>298</v>
      </c>
      <c r="B252" s="252">
        <v>0</v>
      </c>
      <c r="C252" s="252">
        <v>0</v>
      </c>
      <c r="D252" s="252">
        <v>0</v>
      </c>
      <c r="E252" s="252">
        <v>0</v>
      </c>
      <c r="F252" s="252">
        <v>0</v>
      </c>
      <c r="G252" s="252">
        <v>0</v>
      </c>
      <c r="H252" s="252">
        <v>0</v>
      </c>
      <c r="I252" s="252">
        <v>0</v>
      </c>
      <c r="J252" s="252">
        <v>0</v>
      </c>
      <c r="K252" s="252">
        <v>0</v>
      </c>
      <c r="L252" s="252"/>
      <c r="M252" s="252">
        <v>0</v>
      </c>
      <c r="N252" s="252">
        <v>0</v>
      </c>
      <c r="O252" s="252">
        <v>0</v>
      </c>
      <c r="P252" s="252"/>
      <c r="Q252" s="252">
        <v>0</v>
      </c>
      <c r="R252" s="252">
        <v>0</v>
      </c>
      <c r="S252" s="252">
        <v>0</v>
      </c>
      <c r="T252" s="252">
        <v>0</v>
      </c>
      <c r="U252" s="252"/>
      <c r="V252" s="252">
        <v>0</v>
      </c>
      <c r="W252" s="252">
        <v>0</v>
      </c>
      <c r="X252" s="252"/>
      <c r="Y252" s="252">
        <v>0</v>
      </c>
    </row>
    <row r="253" spans="1:25" x14ac:dyDescent="0.3">
      <c r="A253" s="253" t="s">
        <v>24</v>
      </c>
      <c r="B253" s="252">
        <v>2</v>
      </c>
      <c r="C253" s="252">
        <v>1</v>
      </c>
      <c r="D253" s="252">
        <v>0</v>
      </c>
      <c r="E253" s="252">
        <v>2</v>
      </c>
      <c r="F253" s="252">
        <v>1</v>
      </c>
      <c r="G253" s="252">
        <v>1</v>
      </c>
      <c r="H253" s="252">
        <v>2</v>
      </c>
      <c r="I253" s="252">
        <v>0</v>
      </c>
      <c r="J253" s="252">
        <v>3</v>
      </c>
      <c r="K253" s="252">
        <v>2</v>
      </c>
      <c r="L253" s="252">
        <v>1</v>
      </c>
      <c r="M253" s="252">
        <v>0</v>
      </c>
      <c r="N253" s="252">
        <v>2</v>
      </c>
      <c r="O253" s="252">
        <v>3</v>
      </c>
      <c r="P253" s="252">
        <v>2</v>
      </c>
      <c r="Q253" s="252">
        <v>3</v>
      </c>
      <c r="R253" s="252">
        <v>3</v>
      </c>
      <c r="S253" s="252">
        <v>1</v>
      </c>
      <c r="T253" s="252">
        <v>0</v>
      </c>
      <c r="U253" s="252">
        <v>2</v>
      </c>
      <c r="V253" s="252">
        <v>0</v>
      </c>
      <c r="W253" s="252">
        <v>0</v>
      </c>
      <c r="X253" s="252">
        <v>2</v>
      </c>
      <c r="Y253" s="252">
        <v>33</v>
      </c>
    </row>
    <row r="254" spans="1:25" x14ac:dyDescent="0.3">
      <c r="A254" s="253" t="s">
        <v>8</v>
      </c>
      <c r="B254" s="252">
        <v>2</v>
      </c>
      <c r="C254" s="252">
        <v>3</v>
      </c>
      <c r="D254" s="252">
        <v>0</v>
      </c>
      <c r="E254" s="252">
        <v>3</v>
      </c>
      <c r="F254" s="252">
        <v>2</v>
      </c>
      <c r="G254" s="252">
        <v>1</v>
      </c>
      <c r="H254" s="252">
        <v>1</v>
      </c>
      <c r="I254" s="252">
        <v>0</v>
      </c>
      <c r="J254" s="252">
        <v>3</v>
      </c>
      <c r="K254" s="252">
        <v>2</v>
      </c>
      <c r="L254" s="252">
        <v>2</v>
      </c>
      <c r="M254" s="252">
        <v>0</v>
      </c>
      <c r="N254" s="252">
        <v>1</v>
      </c>
      <c r="O254" s="252">
        <v>2</v>
      </c>
      <c r="P254" s="252">
        <v>1</v>
      </c>
      <c r="Q254" s="252">
        <v>2</v>
      </c>
      <c r="R254" s="252">
        <v>5</v>
      </c>
      <c r="S254" s="252">
        <v>2</v>
      </c>
      <c r="T254" s="252">
        <v>0</v>
      </c>
      <c r="U254" s="252">
        <v>3</v>
      </c>
      <c r="V254" s="252">
        <v>4</v>
      </c>
      <c r="W254" s="252">
        <v>1</v>
      </c>
      <c r="X254" s="252">
        <v>2</v>
      </c>
      <c r="Y254" s="252">
        <v>42</v>
      </c>
    </row>
    <row r="255" spans="1:25" x14ac:dyDescent="0.3">
      <c r="A255" s="253" t="s">
        <v>299</v>
      </c>
      <c r="B255" s="252">
        <v>0</v>
      </c>
      <c r="C255" s="252">
        <v>0</v>
      </c>
      <c r="D255" s="252">
        <v>0</v>
      </c>
      <c r="E255" s="252">
        <v>0</v>
      </c>
      <c r="F255" s="252">
        <v>0</v>
      </c>
      <c r="G255" s="252">
        <v>0</v>
      </c>
      <c r="H255" s="252">
        <v>0</v>
      </c>
      <c r="I255" s="252"/>
      <c r="J255" s="252"/>
      <c r="K255" s="252">
        <v>0</v>
      </c>
      <c r="L255" s="252"/>
      <c r="M255" s="252">
        <v>0</v>
      </c>
      <c r="N255" s="252">
        <v>0</v>
      </c>
      <c r="O255" s="252">
        <v>0</v>
      </c>
      <c r="P255" s="252"/>
      <c r="Q255" s="252">
        <v>0</v>
      </c>
      <c r="R255" s="252"/>
      <c r="S255" s="252"/>
      <c r="T255" s="252">
        <v>0</v>
      </c>
      <c r="U255" s="252"/>
      <c r="V255" s="252">
        <v>0</v>
      </c>
      <c r="W255" s="252">
        <v>0</v>
      </c>
      <c r="X255" s="252"/>
      <c r="Y255" s="252">
        <v>0</v>
      </c>
    </row>
    <row r="256" spans="1:25" x14ac:dyDescent="0.3">
      <c r="A256" s="253" t="s">
        <v>966</v>
      </c>
      <c r="B256" s="252">
        <v>0</v>
      </c>
      <c r="C256" s="252">
        <v>0</v>
      </c>
      <c r="D256" s="252">
        <v>0</v>
      </c>
      <c r="E256" s="252">
        <v>0</v>
      </c>
      <c r="F256" s="252">
        <v>0</v>
      </c>
      <c r="G256" s="252">
        <v>0</v>
      </c>
      <c r="H256" s="252">
        <v>0</v>
      </c>
      <c r="I256" s="252">
        <v>0</v>
      </c>
      <c r="J256" s="252">
        <v>0</v>
      </c>
      <c r="K256" s="252">
        <v>0</v>
      </c>
      <c r="L256" s="252"/>
      <c r="M256" s="252">
        <v>0</v>
      </c>
      <c r="N256" s="252">
        <v>0</v>
      </c>
      <c r="O256" s="252">
        <v>0</v>
      </c>
      <c r="P256" s="252">
        <v>0</v>
      </c>
      <c r="Q256" s="252">
        <v>0</v>
      </c>
      <c r="R256" s="252">
        <v>0</v>
      </c>
      <c r="S256" s="252">
        <v>0</v>
      </c>
      <c r="T256" s="252">
        <v>0</v>
      </c>
      <c r="U256" s="252">
        <v>0</v>
      </c>
      <c r="V256" s="252">
        <v>0</v>
      </c>
      <c r="W256" s="252">
        <v>0</v>
      </c>
      <c r="X256" s="252"/>
      <c r="Y256" s="252">
        <v>0</v>
      </c>
    </row>
    <row r="257" spans="1:25" x14ac:dyDescent="0.3">
      <c r="A257" s="253" t="s">
        <v>12</v>
      </c>
      <c r="B257" s="252">
        <v>2</v>
      </c>
      <c r="C257" s="252">
        <v>2</v>
      </c>
      <c r="D257" s="252">
        <v>0</v>
      </c>
      <c r="E257" s="252">
        <v>0</v>
      </c>
      <c r="F257" s="252">
        <v>2</v>
      </c>
      <c r="G257" s="252">
        <v>1</v>
      </c>
      <c r="H257" s="252">
        <v>2</v>
      </c>
      <c r="I257" s="252">
        <v>0</v>
      </c>
      <c r="J257" s="252">
        <v>0</v>
      </c>
      <c r="K257" s="252">
        <v>2</v>
      </c>
      <c r="L257" s="252">
        <v>0</v>
      </c>
      <c r="M257" s="252">
        <v>0</v>
      </c>
      <c r="N257" s="252">
        <v>3</v>
      </c>
      <c r="O257" s="252">
        <v>2</v>
      </c>
      <c r="P257" s="252">
        <v>3</v>
      </c>
      <c r="Q257" s="252">
        <v>6</v>
      </c>
      <c r="R257" s="252">
        <v>3</v>
      </c>
      <c r="S257" s="252">
        <v>2</v>
      </c>
      <c r="T257" s="252">
        <v>0</v>
      </c>
      <c r="U257" s="252">
        <v>3</v>
      </c>
      <c r="V257" s="252">
        <v>3</v>
      </c>
      <c r="W257" s="252">
        <v>2</v>
      </c>
      <c r="X257" s="252">
        <v>2</v>
      </c>
      <c r="Y257" s="252">
        <v>40</v>
      </c>
    </row>
    <row r="258" spans="1:25" x14ac:dyDescent="0.3">
      <c r="A258" s="253" t="s">
        <v>300</v>
      </c>
      <c r="B258" s="252">
        <v>0</v>
      </c>
      <c r="C258" s="252"/>
      <c r="D258" s="252">
        <v>0</v>
      </c>
      <c r="E258" s="252"/>
      <c r="F258" s="252">
        <v>0</v>
      </c>
      <c r="G258" s="252"/>
      <c r="H258" s="252">
        <v>0</v>
      </c>
      <c r="I258" s="252"/>
      <c r="J258" s="252"/>
      <c r="K258" s="252"/>
      <c r="L258" s="252"/>
      <c r="M258" s="252">
        <v>0</v>
      </c>
      <c r="N258" s="252"/>
      <c r="O258" s="252"/>
      <c r="P258" s="252"/>
      <c r="Q258" s="252">
        <v>0</v>
      </c>
      <c r="R258" s="252"/>
      <c r="S258" s="252"/>
      <c r="T258" s="252"/>
      <c r="U258" s="252"/>
      <c r="V258" s="252"/>
      <c r="W258" s="252">
        <v>0</v>
      </c>
      <c r="X258" s="252"/>
      <c r="Y258" s="252">
        <v>0</v>
      </c>
    </row>
    <row r="259" spans="1:25" x14ac:dyDescent="0.3">
      <c r="A259" s="253" t="s">
        <v>40</v>
      </c>
      <c r="B259" s="252">
        <v>1</v>
      </c>
      <c r="C259" s="252">
        <v>2</v>
      </c>
      <c r="D259" s="252">
        <v>0</v>
      </c>
      <c r="E259" s="252">
        <v>2</v>
      </c>
      <c r="F259" s="252">
        <v>1</v>
      </c>
      <c r="G259" s="252">
        <v>1</v>
      </c>
      <c r="H259" s="252">
        <v>1</v>
      </c>
      <c r="I259" s="252">
        <v>0</v>
      </c>
      <c r="J259" s="252">
        <v>2</v>
      </c>
      <c r="K259" s="252">
        <v>1</v>
      </c>
      <c r="L259" s="252">
        <v>1</v>
      </c>
      <c r="M259" s="252">
        <v>1</v>
      </c>
      <c r="N259" s="252">
        <v>0</v>
      </c>
      <c r="O259" s="252">
        <v>0</v>
      </c>
      <c r="P259" s="252">
        <v>0</v>
      </c>
      <c r="Q259" s="252">
        <v>1</v>
      </c>
      <c r="R259" s="252">
        <v>1</v>
      </c>
      <c r="S259" s="252">
        <v>0</v>
      </c>
      <c r="T259" s="252">
        <v>1</v>
      </c>
      <c r="U259" s="252">
        <v>0</v>
      </c>
      <c r="V259" s="252">
        <v>1</v>
      </c>
      <c r="W259" s="252">
        <v>0</v>
      </c>
      <c r="X259" s="252">
        <v>1</v>
      </c>
      <c r="Y259" s="252">
        <v>18</v>
      </c>
    </row>
    <row r="260" spans="1:25" x14ac:dyDescent="0.3">
      <c r="A260" s="253" t="s">
        <v>41</v>
      </c>
      <c r="B260" s="252">
        <v>1</v>
      </c>
      <c r="C260" s="252">
        <v>2</v>
      </c>
      <c r="D260" s="252">
        <v>0</v>
      </c>
      <c r="E260" s="252">
        <v>2</v>
      </c>
      <c r="F260" s="252">
        <v>1</v>
      </c>
      <c r="G260" s="252">
        <v>1</v>
      </c>
      <c r="H260" s="252">
        <v>0</v>
      </c>
      <c r="I260" s="252">
        <v>0</v>
      </c>
      <c r="J260" s="252">
        <v>1</v>
      </c>
      <c r="K260" s="252">
        <v>1</v>
      </c>
      <c r="L260" s="252">
        <v>1</v>
      </c>
      <c r="M260" s="252">
        <v>1</v>
      </c>
      <c r="N260" s="252">
        <v>0</v>
      </c>
      <c r="O260" s="252">
        <v>1</v>
      </c>
      <c r="P260" s="252">
        <v>0</v>
      </c>
      <c r="Q260" s="252">
        <v>0</v>
      </c>
      <c r="R260" s="252">
        <v>1</v>
      </c>
      <c r="S260" s="252">
        <v>2</v>
      </c>
      <c r="T260" s="252">
        <v>0</v>
      </c>
      <c r="U260" s="252">
        <v>1</v>
      </c>
      <c r="V260" s="252">
        <v>1</v>
      </c>
      <c r="W260" s="252">
        <v>1</v>
      </c>
      <c r="X260" s="252">
        <v>0</v>
      </c>
      <c r="Y260" s="252">
        <v>18</v>
      </c>
    </row>
    <row r="261" spans="1:25" x14ac:dyDescent="0.3">
      <c r="A261" s="253" t="s">
        <v>301</v>
      </c>
      <c r="B261" s="252">
        <v>0</v>
      </c>
      <c r="C261" s="252">
        <v>0</v>
      </c>
      <c r="D261" s="252">
        <v>0</v>
      </c>
      <c r="E261" s="252">
        <v>0</v>
      </c>
      <c r="F261" s="252">
        <v>0</v>
      </c>
      <c r="G261" s="252">
        <v>0</v>
      </c>
      <c r="H261" s="252">
        <v>0</v>
      </c>
      <c r="I261" s="252"/>
      <c r="J261" s="252"/>
      <c r="K261" s="252">
        <v>0</v>
      </c>
      <c r="L261" s="252"/>
      <c r="M261" s="252">
        <v>0</v>
      </c>
      <c r="N261" s="252">
        <v>0</v>
      </c>
      <c r="O261" s="252">
        <v>0</v>
      </c>
      <c r="P261" s="252"/>
      <c r="Q261" s="252">
        <v>0</v>
      </c>
      <c r="R261" s="252"/>
      <c r="S261" s="252"/>
      <c r="T261" s="252">
        <v>0</v>
      </c>
      <c r="U261" s="252"/>
      <c r="V261" s="252">
        <v>0</v>
      </c>
      <c r="W261" s="252">
        <v>0</v>
      </c>
      <c r="X261" s="252"/>
      <c r="Y261" s="252">
        <v>0</v>
      </c>
    </row>
    <row r="262" spans="1:25" x14ac:dyDescent="0.3">
      <c r="A262" s="253" t="s">
        <v>28</v>
      </c>
      <c r="B262" s="252">
        <v>0</v>
      </c>
      <c r="C262" s="252">
        <v>0</v>
      </c>
      <c r="D262" s="252">
        <v>0</v>
      </c>
      <c r="E262" s="252">
        <v>0</v>
      </c>
      <c r="F262" s="252">
        <v>0</v>
      </c>
      <c r="G262" s="252">
        <v>0</v>
      </c>
      <c r="H262" s="252">
        <v>0</v>
      </c>
      <c r="I262" s="252">
        <v>0</v>
      </c>
      <c r="J262" s="252">
        <v>0</v>
      </c>
      <c r="K262" s="252">
        <v>0</v>
      </c>
      <c r="L262" s="252"/>
      <c r="M262" s="252">
        <v>0</v>
      </c>
      <c r="N262" s="252">
        <v>0</v>
      </c>
      <c r="O262" s="252">
        <v>0</v>
      </c>
      <c r="P262" s="252"/>
      <c r="Q262" s="252">
        <v>0</v>
      </c>
      <c r="R262" s="252">
        <v>0</v>
      </c>
      <c r="S262" s="252">
        <v>0</v>
      </c>
      <c r="T262" s="252">
        <v>0</v>
      </c>
      <c r="U262" s="252"/>
      <c r="V262" s="252">
        <v>0</v>
      </c>
      <c r="W262" s="252">
        <v>0</v>
      </c>
      <c r="X262" s="252"/>
      <c r="Y262" s="252">
        <v>0</v>
      </c>
    </row>
    <row r="263" spans="1:25" x14ac:dyDescent="0.3">
      <c r="A263" s="253" t="s">
        <v>302</v>
      </c>
      <c r="B263" s="252">
        <v>0</v>
      </c>
      <c r="C263" s="252">
        <v>0</v>
      </c>
      <c r="D263" s="252">
        <v>0</v>
      </c>
      <c r="E263" s="252">
        <v>0</v>
      </c>
      <c r="F263" s="252">
        <v>0</v>
      </c>
      <c r="G263" s="252">
        <v>0</v>
      </c>
      <c r="H263" s="252">
        <v>0</v>
      </c>
      <c r="I263" s="252"/>
      <c r="J263" s="252"/>
      <c r="K263" s="252">
        <v>0</v>
      </c>
      <c r="L263" s="252"/>
      <c r="M263" s="252">
        <v>0</v>
      </c>
      <c r="N263" s="252">
        <v>0</v>
      </c>
      <c r="O263" s="252">
        <v>0</v>
      </c>
      <c r="P263" s="252"/>
      <c r="Q263" s="252">
        <v>0</v>
      </c>
      <c r="R263" s="252"/>
      <c r="S263" s="252"/>
      <c r="T263" s="252">
        <v>0</v>
      </c>
      <c r="U263" s="252"/>
      <c r="V263" s="252">
        <v>0</v>
      </c>
      <c r="W263" s="252">
        <v>0</v>
      </c>
      <c r="X263" s="252"/>
      <c r="Y263" s="252">
        <v>0</v>
      </c>
    </row>
    <row r="264" spans="1:25" x14ac:dyDescent="0.3">
      <c r="A264" s="253" t="s">
        <v>910</v>
      </c>
      <c r="B264" s="252">
        <v>0</v>
      </c>
      <c r="C264" s="252">
        <v>0</v>
      </c>
      <c r="D264" s="252">
        <v>0</v>
      </c>
      <c r="E264" s="252">
        <v>0</v>
      </c>
      <c r="F264" s="252">
        <v>0</v>
      </c>
      <c r="G264" s="252">
        <v>0</v>
      </c>
      <c r="H264" s="252">
        <v>0</v>
      </c>
      <c r="I264" s="252">
        <v>0</v>
      </c>
      <c r="J264" s="252">
        <v>0</v>
      </c>
      <c r="K264" s="252">
        <v>0</v>
      </c>
      <c r="L264" s="252">
        <v>0</v>
      </c>
      <c r="M264" s="252">
        <v>0</v>
      </c>
      <c r="N264" s="252">
        <v>0</v>
      </c>
      <c r="O264" s="252">
        <v>0</v>
      </c>
      <c r="P264" s="252">
        <v>0</v>
      </c>
      <c r="Q264" s="252">
        <v>0</v>
      </c>
      <c r="R264" s="252">
        <v>0</v>
      </c>
      <c r="S264" s="252">
        <v>0</v>
      </c>
      <c r="T264" s="252">
        <v>0</v>
      </c>
      <c r="U264" s="252">
        <v>0</v>
      </c>
      <c r="V264" s="252">
        <v>0</v>
      </c>
      <c r="W264" s="252">
        <v>0</v>
      </c>
      <c r="X264" s="252">
        <v>0</v>
      </c>
      <c r="Y264" s="252">
        <v>0</v>
      </c>
    </row>
    <row r="265" spans="1:25" x14ac:dyDescent="0.3">
      <c r="A265" s="253" t="s">
        <v>303</v>
      </c>
      <c r="B265" s="252">
        <v>0</v>
      </c>
      <c r="C265" s="252">
        <v>0</v>
      </c>
      <c r="D265" s="252">
        <v>4</v>
      </c>
      <c r="E265" s="252">
        <v>0</v>
      </c>
      <c r="F265" s="252">
        <v>0</v>
      </c>
      <c r="G265" s="252">
        <v>0</v>
      </c>
      <c r="H265" s="252">
        <v>0</v>
      </c>
      <c r="I265" s="252"/>
      <c r="J265" s="252">
        <v>2</v>
      </c>
      <c r="K265" s="252">
        <v>0</v>
      </c>
      <c r="L265" s="252"/>
      <c r="M265" s="252">
        <v>0</v>
      </c>
      <c r="N265" s="252">
        <v>0</v>
      </c>
      <c r="O265" s="252">
        <v>0</v>
      </c>
      <c r="P265" s="252"/>
      <c r="Q265" s="252">
        <v>0</v>
      </c>
      <c r="R265" s="252"/>
      <c r="S265" s="252">
        <v>0</v>
      </c>
      <c r="T265" s="252">
        <v>0</v>
      </c>
      <c r="U265" s="252"/>
      <c r="V265" s="252">
        <v>0</v>
      </c>
      <c r="W265" s="252">
        <v>0</v>
      </c>
      <c r="X265" s="252"/>
      <c r="Y265" s="252">
        <v>6</v>
      </c>
    </row>
    <row r="266" spans="1:25" x14ac:dyDescent="0.3">
      <c r="A266" s="253" t="s">
        <v>304</v>
      </c>
      <c r="B266" s="252">
        <v>0</v>
      </c>
      <c r="C266" s="252">
        <v>0</v>
      </c>
      <c r="D266" s="252">
        <v>0</v>
      </c>
      <c r="E266" s="252">
        <v>0</v>
      </c>
      <c r="F266" s="252">
        <v>0</v>
      </c>
      <c r="G266" s="252">
        <v>0</v>
      </c>
      <c r="H266" s="252">
        <v>0</v>
      </c>
      <c r="I266" s="252">
        <v>0</v>
      </c>
      <c r="J266" s="252">
        <v>0</v>
      </c>
      <c r="K266" s="252">
        <v>0</v>
      </c>
      <c r="L266" s="252"/>
      <c r="M266" s="252">
        <v>0</v>
      </c>
      <c r="N266" s="252">
        <v>0</v>
      </c>
      <c r="O266" s="252">
        <v>0</v>
      </c>
      <c r="P266" s="252"/>
      <c r="Q266" s="252">
        <v>0</v>
      </c>
      <c r="R266" s="252">
        <v>0</v>
      </c>
      <c r="S266" s="252">
        <v>0</v>
      </c>
      <c r="T266" s="252">
        <v>0</v>
      </c>
      <c r="U266" s="252">
        <v>0</v>
      </c>
      <c r="V266" s="252">
        <v>0</v>
      </c>
      <c r="W266" s="252">
        <v>0</v>
      </c>
      <c r="X266" s="252"/>
      <c r="Y266" s="252">
        <v>0</v>
      </c>
    </row>
    <row r="267" spans="1:25" x14ac:dyDescent="0.3">
      <c r="A267" s="253" t="s">
        <v>20</v>
      </c>
      <c r="B267" s="252">
        <v>0</v>
      </c>
      <c r="C267" s="252">
        <v>0</v>
      </c>
      <c r="D267" s="252">
        <v>0</v>
      </c>
      <c r="E267" s="252">
        <v>0</v>
      </c>
      <c r="F267" s="252">
        <v>0</v>
      </c>
      <c r="G267" s="252">
        <v>0</v>
      </c>
      <c r="H267" s="252">
        <v>0</v>
      </c>
      <c r="I267" s="252"/>
      <c r="J267" s="252">
        <v>0</v>
      </c>
      <c r="K267" s="252">
        <v>0</v>
      </c>
      <c r="L267" s="252"/>
      <c r="M267" s="252">
        <v>0</v>
      </c>
      <c r="N267" s="252">
        <v>0</v>
      </c>
      <c r="O267" s="252">
        <v>0</v>
      </c>
      <c r="P267" s="252"/>
      <c r="Q267" s="252">
        <v>0</v>
      </c>
      <c r="R267" s="252">
        <v>0</v>
      </c>
      <c r="S267" s="252">
        <v>0</v>
      </c>
      <c r="T267" s="252">
        <v>0</v>
      </c>
      <c r="U267" s="252"/>
      <c r="V267" s="252">
        <v>0</v>
      </c>
      <c r="W267" s="252">
        <v>0</v>
      </c>
      <c r="X267" s="252"/>
      <c r="Y267" s="252">
        <v>0</v>
      </c>
    </row>
    <row r="268" spans="1:25" x14ac:dyDescent="0.3">
      <c r="A268" s="253" t="s">
        <v>305</v>
      </c>
      <c r="B268" s="252">
        <v>0</v>
      </c>
      <c r="C268" s="252">
        <v>0</v>
      </c>
      <c r="D268" s="252">
        <v>0</v>
      </c>
      <c r="E268" s="252"/>
      <c r="F268" s="252">
        <v>0</v>
      </c>
      <c r="G268" s="252">
        <v>0</v>
      </c>
      <c r="H268" s="252">
        <v>0</v>
      </c>
      <c r="I268" s="252"/>
      <c r="J268" s="252"/>
      <c r="K268" s="252">
        <v>0</v>
      </c>
      <c r="L268" s="252"/>
      <c r="M268" s="252">
        <v>0</v>
      </c>
      <c r="N268" s="252">
        <v>0</v>
      </c>
      <c r="O268" s="252">
        <v>0</v>
      </c>
      <c r="P268" s="252"/>
      <c r="Q268" s="252">
        <v>0</v>
      </c>
      <c r="R268" s="252"/>
      <c r="S268" s="252"/>
      <c r="T268" s="252">
        <v>0</v>
      </c>
      <c r="U268" s="252"/>
      <c r="V268" s="252">
        <v>0</v>
      </c>
      <c r="W268" s="252">
        <v>0</v>
      </c>
      <c r="X268" s="252"/>
      <c r="Y268" s="252">
        <v>0</v>
      </c>
    </row>
    <row r="269" spans="1:25" x14ac:dyDescent="0.3">
      <c r="A269" s="253" t="s">
        <v>306</v>
      </c>
      <c r="B269" s="252">
        <v>0</v>
      </c>
      <c r="C269" s="252">
        <v>0</v>
      </c>
      <c r="D269" s="252">
        <v>0</v>
      </c>
      <c r="E269" s="252"/>
      <c r="F269" s="252">
        <v>0</v>
      </c>
      <c r="G269" s="252">
        <v>0</v>
      </c>
      <c r="H269" s="252">
        <v>0</v>
      </c>
      <c r="I269" s="252"/>
      <c r="J269" s="252"/>
      <c r="K269" s="252">
        <v>0</v>
      </c>
      <c r="L269" s="252"/>
      <c r="M269" s="252">
        <v>0</v>
      </c>
      <c r="N269" s="252">
        <v>0</v>
      </c>
      <c r="O269" s="252">
        <v>0</v>
      </c>
      <c r="P269" s="252"/>
      <c r="Q269" s="252">
        <v>0</v>
      </c>
      <c r="R269" s="252"/>
      <c r="S269" s="252"/>
      <c r="T269" s="252">
        <v>0</v>
      </c>
      <c r="U269" s="252"/>
      <c r="V269" s="252">
        <v>0</v>
      </c>
      <c r="W269" s="252">
        <v>0</v>
      </c>
      <c r="X269" s="252"/>
      <c r="Y269" s="252">
        <v>0</v>
      </c>
    </row>
    <row r="270" spans="1:25" x14ac:dyDescent="0.3">
      <c r="A270" s="253" t="s">
        <v>307</v>
      </c>
      <c r="B270" s="252">
        <v>0</v>
      </c>
      <c r="C270" s="252">
        <v>0</v>
      </c>
      <c r="D270" s="252">
        <v>0</v>
      </c>
      <c r="E270" s="252"/>
      <c r="F270" s="252">
        <v>0</v>
      </c>
      <c r="G270" s="252">
        <v>0</v>
      </c>
      <c r="H270" s="252">
        <v>0</v>
      </c>
      <c r="I270" s="252"/>
      <c r="J270" s="252"/>
      <c r="K270" s="252">
        <v>0</v>
      </c>
      <c r="L270" s="252"/>
      <c r="M270" s="252">
        <v>0</v>
      </c>
      <c r="N270" s="252">
        <v>0</v>
      </c>
      <c r="O270" s="252">
        <v>0</v>
      </c>
      <c r="P270" s="252"/>
      <c r="Q270" s="252">
        <v>0</v>
      </c>
      <c r="R270" s="252"/>
      <c r="S270" s="252"/>
      <c r="T270" s="252">
        <v>0</v>
      </c>
      <c r="U270" s="252"/>
      <c r="V270" s="252">
        <v>0</v>
      </c>
      <c r="W270" s="252">
        <v>0</v>
      </c>
      <c r="X270" s="252"/>
      <c r="Y270" s="252">
        <v>0</v>
      </c>
    </row>
    <row r="271" spans="1:25" x14ac:dyDescent="0.3">
      <c r="A271" s="253" t="s">
        <v>308</v>
      </c>
      <c r="B271" s="252">
        <v>0</v>
      </c>
      <c r="C271" s="252">
        <v>0</v>
      </c>
      <c r="D271" s="252">
        <v>0</v>
      </c>
      <c r="E271" s="252"/>
      <c r="F271" s="252">
        <v>0</v>
      </c>
      <c r="G271" s="252">
        <v>0</v>
      </c>
      <c r="H271" s="252">
        <v>0</v>
      </c>
      <c r="I271" s="252"/>
      <c r="J271" s="252"/>
      <c r="K271" s="252">
        <v>0</v>
      </c>
      <c r="L271" s="252"/>
      <c r="M271" s="252">
        <v>0</v>
      </c>
      <c r="N271" s="252">
        <v>0</v>
      </c>
      <c r="O271" s="252">
        <v>0</v>
      </c>
      <c r="P271" s="252"/>
      <c r="Q271" s="252">
        <v>0</v>
      </c>
      <c r="R271" s="252"/>
      <c r="S271" s="252"/>
      <c r="T271" s="252">
        <v>0</v>
      </c>
      <c r="U271" s="252"/>
      <c r="V271" s="252">
        <v>0</v>
      </c>
      <c r="W271" s="252">
        <v>0</v>
      </c>
      <c r="X271" s="252"/>
      <c r="Y271" s="252">
        <v>0</v>
      </c>
    </row>
    <row r="272" spans="1:25" x14ac:dyDescent="0.3">
      <c r="A272" s="253" t="s">
        <v>309</v>
      </c>
      <c r="B272" s="252">
        <v>0</v>
      </c>
      <c r="C272" s="252">
        <v>0</v>
      </c>
      <c r="D272" s="252">
        <v>0</v>
      </c>
      <c r="E272" s="252"/>
      <c r="F272" s="252">
        <v>0</v>
      </c>
      <c r="G272" s="252">
        <v>0</v>
      </c>
      <c r="H272" s="252">
        <v>0</v>
      </c>
      <c r="I272" s="252"/>
      <c r="J272" s="252"/>
      <c r="K272" s="252">
        <v>0</v>
      </c>
      <c r="L272" s="252"/>
      <c r="M272" s="252">
        <v>0</v>
      </c>
      <c r="N272" s="252">
        <v>0</v>
      </c>
      <c r="O272" s="252">
        <v>0</v>
      </c>
      <c r="P272" s="252"/>
      <c r="Q272" s="252">
        <v>0</v>
      </c>
      <c r="R272" s="252"/>
      <c r="S272" s="252"/>
      <c r="T272" s="252">
        <v>0</v>
      </c>
      <c r="U272" s="252"/>
      <c r="V272" s="252">
        <v>0</v>
      </c>
      <c r="W272" s="252">
        <v>0</v>
      </c>
      <c r="X272" s="252"/>
      <c r="Y272" s="252">
        <v>0</v>
      </c>
    </row>
    <row r="273" spans="1:25" x14ac:dyDescent="0.3">
      <c r="A273" s="253" t="s">
        <v>310</v>
      </c>
      <c r="B273" s="252">
        <v>0</v>
      </c>
      <c r="C273" s="252">
        <v>0</v>
      </c>
      <c r="D273" s="252">
        <v>0</v>
      </c>
      <c r="E273" s="252"/>
      <c r="F273" s="252">
        <v>0</v>
      </c>
      <c r="G273" s="252">
        <v>0</v>
      </c>
      <c r="H273" s="252">
        <v>0</v>
      </c>
      <c r="I273" s="252"/>
      <c r="J273" s="252"/>
      <c r="K273" s="252">
        <v>0</v>
      </c>
      <c r="L273" s="252"/>
      <c r="M273" s="252">
        <v>0</v>
      </c>
      <c r="N273" s="252">
        <v>0</v>
      </c>
      <c r="O273" s="252">
        <v>0</v>
      </c>
      <c r="P273" s="252"/>
      <c r="Q273" s="252">
        <v>0</v>
      </c>
      <c r="R273" s="252"/>
      <c r="S273" s="252"/>
      <c r="T273" s="252">
        <v>0</v>
      </c>
      <c r="U273" s="252"/>
      <c r="V273" s="252">
        <v>0</v>
      </c>
      <c r="W273" s="252">
        <v>0</v>
      </c>
      <c r="X273" s="252"/>
      <c r="Y273" s="252">
        <v>0</v>
      </c>
    </row>
    <row r="274" spans="1:25" x14ac:dyDescent="0.3">
      <c r="A274" s="253" t="s">
        <v>311</v>
      </c>
      <c r="B274" s="252">
        <v>0</v>
      </c>
      <c r="C274" s="252">
        <v>0</v>
      </c>
      <c r="D274" s="252">
        <v>0</v>
      </c>
      <c r="E274" s="252"/>
      <c r="F274" s="252">
        <v>0</v>
      </c>
      <c r="G274" s="252">
        <v>0</v>
      </c>
      <c r="H274" s="252">
        <v>0</v>
      </c>
      <c r="I274" s="252"/>
      <c r="J274" s="252"/>
      <c r="K274" s="252">
        <v>0</v>
      </c>
      <c r="L274" s="252"/>
      <c r="M274" s="252">
        <v>0</v>
      </c>
      <c r="N274" s="252">
        <v>0</v>
      </c>
      <c r="O274" s="252">
        <v>0</v>
      </c>
      <c r="P274" s="252"/>
      <c r="Q274" s="252">
        <v>0</v>
      </c>
      <c r="R274" s="252"/>
      <c r="S274" s="252"/>
      <c r="T274" s="252">
        <v>0</v>
      </c>
      <c r="U274" s="252"/>
      <c r="V274" s="252">
        <v>0</v>
      </c>
      <c r="W274" s="252">
        <v>0</v>
      </c>
      <c r="X274" s="252"/>
      <c r="Y274" s="252">
        <v>0</v>
      </c>
    </row>
    <row r="275" spans="1:25" x14ac:dyDescent="0.3">
      <c r="A275" s="253" t="s">
        <v>312</v>
      </c>
      <c r="B275" s="252">
        <v>0</v>
      </c>
      <c r="C275" s="252">
        <v>0</v>
      </c>
      <c r="D275" s="252">
        <v>0</v>
      </c>
      <c r="E275" s="252"/>
      <c r="F275" s="252">
        <v>0</v>
      </c>
      <c r="G275" s="252">
        <v>0</v>
      </c>
      <c r="H275" s="252">
        <v>0</v>
      </c>
      <c r="I275" s="252"/>
      <c r="J275" s="252"/>
      <c r="K275" s="252">
        <v>0</v>
      </c>
      <c r="L275" s="252"/>
      <c r="M275" s="252">
        <v>0</v>
      </c>
      <c r="N275" s="252">
        <v>0</v>
      </c>
      <c r="O275" s="252">
        <v>0</v>
      </c>
      <c r="P275" s="252"/>
      <c r="Q275" s="252">
        <v>0</v>
      </c>
      <c r="R275" s="252"/>
      <c r="S275" s="252"/>
      <c r="T275" s="252">
        <v>0</v>
      </c>
      <c r="U275" s="252"/>
      <c r="V275" s="252">
        <v>0</v>
      </c>
      <c r="W275" s="252">
        <v>0</v>
      </c>
      <c r="X275" s="252"/>
      <c r="Y275" s="252">
        <v>0</v>
      </c>
    </row>
    <row r="276" spans="1:25" x14ac:dyDescent="0.3">
      <c r="A276" s="253" t="s">
        <v>313</v>
      </c>
      <c r="B276" s="252">
        <v>0</v>
      </c>
      <c r="C276" s="252">
        <v>0</v>
      </c>
      <c r="D276" s="252">
        <v>0</v>
      </c>
      <c r="E276" s="252"/>
      <c r="F276" s="252">
        <v>0</v>
      </c>
      <c r="G276" s="252">
        <v>0</v>
      </c>
      <c r="H276" s="252">
        <v>0</v>
      </c>
      <c r="I276" s="252"/>
      <c r="J276" s="252"/>
      <c r="K276" s="252">
        <v>0</v>
      </c>
      <c r="L276" s="252"/>
      <c r="M276" s="252">
        <v>0</v>
      </c>
      <c r="N276" s="252">
        <v>0</v>
      </c>
      <c r="O276" s="252">
        <v>0</v>
      </c>
      <c r="P276" s="252"/>
      <c r="Q276" s="252">
        <v>0</v>
      </c>
      <c r="R276" s="252"/>
      <c r="S276" s="252"/>
      <c r="T276" s="252">
        <v>0</v>
      </c>
      <c r="U276" s="252"/>
      <c r="V276" s="252">
        <v>0</v>
      </c>
      <c r="W276" s="252">
        <v>0</v>
      </c>
      <c r="X276" s="252"/>
      <c r="Y276" s="252">
        <v>0</v>
      </c>
    </row>
    <row r="277" spans="1:25" x14ac:dyDescent="0.3">
      <c r="A277" s="253" t="s">
        <v>314</v>
      </c>
      <c r="B277" s="252">
        <v>0</v>
      </c>
      <c r="C277" s="252">
        <v>0</v>
      </c>
      <c r="D277" s="252">
        <v>0</v>
      </c>
      <c r="E277" s="252"/>
      <c r="F277" s="252">
        <v>0</v>
      </c>
      <c r="G277" s="252">
        <v>0</v>
      </c>
      <c r="H277" s="252">
        <v>0</v>
      </c>
      <c r="I277" s="252"/>
      <c r="J277" s="252"/>
      <c r="K277" s="252">
        <v>0</v>
      </c>
      <c r="L277" s="252"/>
      <c r="M277" s="252">
        <v>0</v>
      </c>
      <c r="N277" s="252">
        <v>0</v>
      </c>
      <c r="O277" s="252">
        <v>0</v>
      </c>
      <c r="P277" s="252"/>
      <c r="Q277" s="252">
        <v>0</v>
      </c>
      <c r="R277" s="252"/>
      <c r="S277" s="252"/>
      <c r="T277" s="252">
        <v>0</v>
      </c>
      <c r="U277" s="252"/>
      <c r="V277" s="252">
        <v>0</v>
      </c>
      <c r="W277" s="252">
        <v>0</v>
      </c>
      <c r="X277" s="252"/>
      <c r="Y277" s="252">
        <v>0</v>
      </c>
    </row>
    <row r="278" spans="1:25" x14ac:dyDescent="0.3">
      <c r="A278" s="253" t="s">
        <v>315</v>
      </c>
      <c r="B278" s="252">
        <v>0</v>
      </c>
      <c r="C278" s="252">
        <v>0</v>
      </c>
      <c r="D278" s="252">
        <v>0</v>
      </c>
      <c r="E278" s="252"/>
      <c r="F278" s="252">
        <v>0</v>
      </c>
      <c r="G278" s="252">
        <v>0</v>
      </c>
      <c r="H278" s="252">
        <v>0</v>
      </c>
      <c r="I278" s="252"/>
      <c r="J278" s="252"/>
      <c r="K278" s="252">
        <v>0</v>
      </c>
      <c r="L278" s="252"/>
      <c r="M278" s="252">
        <v>0</v>
      </c>
      <c r="N278" s="252">
        <v>0</v>
      </c>
      <c r="O278" s="252">
        <v>0</v>
      </c>
      <c r="P278" s="252"/>
      <c r="Q278" s="252">
        <v>0</v>
      </c>
      <c r="R278" s="252"/>
      <c r="S278" s="252"/>
      <c r="T278" s="252">
        <v>0</v>
      </c>
      <c r="U278" s="252"/>
      <c r="V278" s="252">
        <v>0</v>
      </c>
      <c r="W278" s="252">
        <v>0</v>
      </c>
      <c r="X278" s="252"/>
      <c r="Y278" s="252">
        <v>0</v>
      </c>
    </row>
    <row r="279" spans="1:25" x14ac:dyDescent="0.3">
      <c r="A279" s="253" t="s">
        <v>316</v>
      </c>
      <c r="B279" s="252">
        <v>0</v>
      </c>
      <c r="C279" s="252">
        <v>0</v>
      </c>
      <c r="D279" s="252">
        <v>0</v>
      </c>
      <c r="E279" s="252"/>
      <c r="F279" s="252">
        <v>0</v>
      </c>
      <c r="G279" s="252">
        <v>0</v>
      </c>
      <c r="H279" s="252">
        <v>0</v>
      </c>
      <c r="I279" s="252"/>
      <c r="J279" s="252"/>
      <c r="K279" s="252">
        <v>0</v>
      </c>
      <c r="L279" s="252"/>
      <c r="M279" s="252">
        <v>0</v>
      </c>
      <c r="N279" s="252">
        <v>0</v>
      </c>
      <c r="O279" s="252">
        <v>0</v>
      </c>
      <c r="P279" s="252"/>
      <c r="Q279" s="252">
        <v>0</v>
      </c>
      <c r="R279" s="252"/>
      <c r="S279" s="252"/>
      <c r="T279" s="252">
        <v>0</v>
      </c>
      <c r="U279" s="252"/>
      <c r="V279" s="252">
        <v>0</v>
      </c>
      <c r="W279" s="252">
        <v>0</v>
      </c>
      <c r="X279" s="252"/>
      <c r="Y279" s="252">
        <v>0</v>
      </c>
    </row>
    <row r="280" spans="1:25" x14ac:dyDescent="0.3">
      <c r="A280" s="253" t="s">
        <v>317</v>
      </c>
      <c r="B280" s="252">
        <v>0</v>
      </c>
      <c r="C280" s="252">
        <v>0</v>
      </c>
      <c r="D280" s="252">
        <v>0</v>
      </c>
      <c r="E280" s="252"/>
      <c r="F280" s="252">
        <v>0</v>
      </c>
      <c r="G280" s="252">
        <v>0</v>
      </c>
      <c r="H280" s="252">
        <v>0</v>
      </c>
      <c r="I280" s="252"/>
      <c r="J280" s="252"/>
      <c r="K280" s="252">
        <v>0</v>
      </c>
      <c r="L280" s="252"/>
      <c r="M280" s="252">
        <v>0</v>
      </c>
      <c r="N280" s="252">
        <v>0</v>
      </c>
      <c r="O280" s="252">
        <v>0</v>
      </c>
      <c r="P280" s="252"/>
      <c r="Q280" s="252">
        <v>0</v>
      </c>
      <c r="R280" s="252"/>
      <c r="S280" s="252"/>
      <c r="T280" s="252">
        <v>0</v>
      </c>
      <c r="U280" s="252"/>
      <c r="V280" s="252">
        <v>0</v>
      </c>
      <c r="W280" s="252">
        <v>0</v>
      </c>
      <c r="X280" s="252"/>
      <c r="Y280" s="252">
        <v>0</v>
      </c>
    </row>
    <row r="281" spans="1:25" x14ac:dyDescent="0.3">
      <c r="A281" s="253" t="s">
        <v>318</v>
      </c>
      <c r="B281" s="252">
        <v>0</v>
      </c>
      <c r="C281" s="252">
        <v>0</v>
      </c>
      <c r="D281" s="252">
        <v>0</v>
      </c>
      <c r="E281" s="252"/>
      <c r="F281" s="252">
        <v>0</v>
      </c>
      <c r="G281" s="252">
        <v>0</v>
      </c>
      <c r="H281" s="252">
        <v>0</v>
      </c>
      <c r="I281" s="252"/>
      <c r="J281" s="252"/>
      <c r="K281" s="252">
        <v>0</v>
      </c>
      <c r="L281" s="252"/>
      <c r="M281" s="252">
        <v>0</v>
      </c>
      <c r="N281" s="252">
        <v>0</v>
      </c>
      <c r="O281" s="252">
        <v>0</v>
      </c>
      <c r="P281" s="252"/>
      <c r="Q281" s="252">
        <v>0</v>
      </c>
      <c r="R281" s="252"/>
      <c r="S281" s="252"/>
      <c r="T281" s="252">
        <v>0</v>
      </c>
      <c r="U281" s="252"/>
      <c r="V281" s="252">
        <v>0</v>
      </c>
      <c r="W281" s="252">
        <v>0</v>
      </c>
      <c r="X281" s="252"/>
      <c r="Y281" s="252">
        <v>0</v>
      </c>
    </row>
    <row r="282" spans="1:25" x14ac:dyDescent="0.3">
      <c r="A282" s="253" t="s">
        <v>319</v>
      </c>
      <c r="B282" s="252">
        <v>0</v>
      </c>
      <c r="C282" s="252">
        <v>0</v>
      </c>
      <c r="D282" s="252">
        <v>0</v>
      </c>
      <c r="E282" s="252"/>
      <c r="F282" s="252">
        <v>0</v>
      </c>
      <c r="G282" s="252">
        <v>0</v>
      </c>
      <c r="H282" s="252">
        <v>0</v>
      </c>
      <c r="I282" s="252"/>
      <c r="J282" s="252"/>
      <c r="K282" s="252">
        <v>0</v>
      </c>
      <c r="L282" s="252"/>
      <c r="M282" s="252">
        <v>0</v>
      </c>
      <c r="N282" s="252">
        <v>0</v>
      </c>
      <c r="O282" s="252">
        <v>0</v>
      </c>
      <c r="P282" s="252"/>
      <c r="Q282" s="252">
        <v>0</v>
      </c>
      <c r="R282" s="252"/>
      <c r="S282" s="252"/>
      <c r="T282" s="252">
        <v>0</v>
      </c>
      <c r="U282" s="252"/>
      <c r="V282" s="252">
        <v>0</v>
      </c>
      <c r="W282" s="252">
        <v>0</v>
      </c>
      <c r="X282" s="252"/>
      <c r="Y282" s="252">
        <v>0</v>
      </c>
    </row>
    <row r="283" spans="1:25" x14ac:dyDescent="0.3">
      <c r="A283" s="253" t="s">
        <v>320</v>
      </c>
      <c r="B283" s="252">
        <v>0</v>
      </c>
      <c r="C283" s="252">
        <v>0</v>
      </c>
      <c r="D283" s="252">
        <v>0</v>
      </c>
      <c r="E283" s="252"/>
      <c r="F283" s="252">
        <v>0</v>
      </c>
      <c r="G283" s="252">
        <v>0</v>
      </c>
      <c r="H283" s="252">
        <v>0</v>
      </c>
      <c r="I283" s="252"/>
      <c r="J283" s="252"/>
      <c r="K283" s="252">
        <v>0</v>
      </c>
      <c r="L283" s="252"/>
      <c r="M283" s="252">
        <v>0</v>
      </c>
      <c r="N283" s="252">
        <v>0</v>
      </c>
      <c r="O283" s="252">
        <v>0</v>
      </c>
      <c r="P283" s="252"/>
      <c r="Q283" s="252">
        <v>0</v>
      </c>
      <c r="R283" s="252"/>
      <c r="S283" s="252"/>
      <c r="T283" s="252">
        <v>0</v>
      </c>
      <c r="U283" s="252"/>
      <c r="V283" s="252">
        <v>0</v>
      </c>
      <c r="W283" s="252">
        <v>0</v>
      </c>
      <c r="X283" s="252"/>
      <c r="Y283" s="252">
        <v>0</v>
      </c>
    </row>
    <row r="284" spans="1:25" x14ac:dyDescent="0.3">
      <c r="A284" s="253" t="s">
        <v>321</v>
      </c>
      <c r="B284" s="252">
        <v>0</v>
      </c>
      <c r="C284" s="252">
        <v>0</v>
      </c>
      <c r="D284" s="252">
        <v>0</v>
      </c>
      <c r="E284" s="252"/>
      <c r="F284" s="252">
        <v>0</v>
      </c>
      <c r="G284" s="252">
        <v>0</v>
      </c>
      <c r="H284" s="252">
        <v>0</v>
      </c>
      <c r="I284" s="252"/>
      <c r="J284" s="252"/>
      <c r="K284" s="252">
        <v>0</v>
      </c>
      <c r="L284" s="252"/>
      <c r="M284" s="252">
        <v>0</v>
      </c>
      <c r="N284" s="252">
        <v>0</v>
      </c>
      <c r="O284" s="252">
        <v>0</v>
      </c>
      <c r="P284" s="252"/>
      <c r="Q284" s="252">
        <v>0</v>
      </c>
      <c r="R284" s="252"/>
      <c r="S284" s="252"/>
      <c r="T284" s="252">
        <v>0</v>
      </c>
      <c r="U284" s="252"/>
      <c r="V284" s="252">
        <v>0</v>
      </c>
      <c r="W284" s="252">
        <v>0</v>
      </c>
      <c r="X284" s="252"/>
      <c r="Y284" s="252">
        <v>0</v>
      </c>
    </row>
    <row r="285" spans="1:25" x14ac:dyDescent="0.3">
      <c r="A285" s="253" t="s">
        <v>322</v>
      </c>
      <c r="B285" s="252">
        <v>0</v>
      </c>
      <c r="C285" s="252">
        <v>0</v>
      </c>
      <c r="D285" s="252">
        <v>0</v>
      </c>
      <c r="E285" s="252">
        <v>0</v>
      </c>
      <c r="F285" s="252">
        <v>0</v>
      </c>
      <c r="G285" s="252">
        <v>0</v>
      </c>
      <c r="H285" s="252">
        <v>0</v>
      </c>
      <c r="I285" s="252">
        <v>0</v>
      </c>
      <c r="J285" s="252">
        <v>0</v>
      </c>
      <c r="K285" s="252">
        <v>0</v>
      </c>
      <c r="L285" s="252"/>
      <c r="M285" s="252">
        <v>0</v>
      </c>
      <c r="N285" s="252">
        <v>0</v>
      </c>
      <c r="O285" s="252">
        <v>0</v>
      </c>
      <c r="P285" s="252">
        <v>0</v>
      </c>
      <c r="Q285" s="252">
        <v>0</v>
      </c>
      <c r="R285" s="252">
        <v>0</v>
      </c>
      <c r="S285" s="252">
        <v>0</v>
      </c>
      <c r="T285" s="252">
        <v>0</v>
      </c>
      <c r="U285" s="252">
        <v>0</v>
      </c>
      <c r="V285" s="252">
        <v>0</v>
      </c>
      <c r="W285" s="252">
        <v>0</v>
      </c>
      <c r="X285" s="252">
        <v>0</v>
      </c>
      <c r="Y285" s="252">
        <v>0</v>
      </c>
    </row>
    <row r="286" spans="1:25" x14ac:dyDescent="0.3">
      <c r="A286" s="253" t="s">
        <v>323</v>
      </c>
      <c r="B286" s="252">
        <v>0</v>
      </c>
      <c r="C286" s="252"/>
      <c r="D286" s="252">
        <v>0</v>
      </c>
      <c r="E286" s="252">
        <v>0</v>
      </c>
      <c r="F286" s="252">
        <v>0</v>
      </c>
      <c r="G286" s="252">
        <v>0</v>
      </c>
      <c r="H286" s="252">
        <v>0</v>
      </c>
      <c r="I286" s="252"/>
      <c r="J286" s="252"/>
      <c r="K286" s="252"/>
      <c r="L286" s="252"/>
      <c r="M286" s="252">
        <v>0</v>
      </c>
      <c r="N286" s="252">
        <v>0</v>
      </c>
      <c r="O286" s="252">
        <v>0</v>
      </c>
      <c r="P286" s="252"/>
      <c r="Q286" s="252">
        <v>0</v>
      </c>
      <c r="R286" s="252"/>
      <c r="S286" s="252"/>
      <c r="T286" s="252">
        <v>0</v>
      </c>
      <c r="U286" s="252"/>
      <c r="V286" s="252">
        <v>0</v>
      </c>
      <c r="W286" s="252">
        <v>0</v>
      </c>
      <c r="X286" s="252"/>
      <c r="Y286" s="252">
        <v>0</v>
      </c>
    </row>
    <row r="287" spans="1:25" x14ac:dyDescent="0.3">
      <c r="A287" s="253" t="s">
        <v>324</v>
      </c>
      <c r="B287" s="252">
        <v>0</v>
      </c>
      <c r="C287" s="252">
        <v>0</v>
      </c>
      <c r="D287" s="252">
        <v>0</v>
      </c>
      <c r="E287" s="252">
        <v>0</v>
      </c>
      <c r="F287" s="252">
        <v>0</v>
      </c>
      <c r="G287" s="252">
        <v>0</v>
      </c>
      <c r="H287" s="252">
        <v>0</v>
      </c>
      <c r="I287" s="252">
        <v>0</v>
      </c>
      <c r="J287" s="252">
        <v>0</v>
      </c>
      <c r="K287" s="252">
        <v>0</v>
      </c>
      <c r="L287" s="252"/>
      <c r="M287" s="252">
        <v>0</v>
      </c>
      <c r="N287" s="252">
        <v>0</v>
      </c>
      <c r="O287" s="252">
        <v>0</v>
      </c>
      <c r="P287" s="252">
        <v>0</v>
      </c>
      <c r="Q287" s="252">
        <v>0</v>
      </c>
      <c r="R287" s="252">
        <v>0</v>
      </c>
      <c r="S287" s="252">
        <v>0</v>
      </c>
      <c r="T287" s="252">
        <v>0</v>
      </c>
      <c r="U287" s="252">
        <v>0</v>
      </c>
      <c r="V287" s="252">
        <v>0</v>
      </c>
      <c r="W287" s="252">
        <v>0</v>
      </c>
      <c r="X287" s="252"/>
      <c r="Y287" s="252">
        <v>0</v>
      </c>
    </row>
    <row r="288" spans="1:25" x14ac:dyDescent="0.3">
      <c r="A288" s="253" t="s">
        <v>325</v>
      </c>
      <c r="B288" s="252">
        <v>0</v>
      </c>
      <c r="C288" s="252">
        <v>0</v>
      </c>
      <c r="D288" s="252">
        <v>0</v>
      </c>
      <c r="E288" s="252">
        <v>0</v>
      </c>
      <c r="F288" s="252">
        <v>0</v>
      </c>
      <c r="G288" s="252">
        <v>0</v>
      </c>
      <c r="H288" s="252">
        <v>0</v>
      </c>
      <c r="I288" s="252"/>
      <c r="J288" s="252"/>
      <c r="K288" s="252">
        <v>0</v>
      </c>
      <c r="L288" s="252"/>
      <c r="M288" s="252">
        <v>0</v>
      </c>
      <c r="N288" s="252">
        <v>0</v>
      </c>
      <c r="O288" s="252">
        <v>0</v>
      </c>
      <c r="P288" s="252"/>
      <c r="Q288" s="252">
        <v>0</v>
      </c>
      <c r="R288" s="252"/>
      <c r="S288" s="252">
        <v>0</v>
      </c>
      <c r="T288" s="252">
        <v>0</v>
      </c>
      <c r="U288" s="252"/>
      <c r="V288" s="252">
        <v>0</v>
      </c>
      <c r="W288" s="252">
        <v>0</v>
      </c>
      <c r="X288" s="252"/>
      <c r="Y288" s="252">
        <v>0</v>
      </c>
    </row>
    <row r="289" spans="1:25" x14ac:dyDescent="0.3">
      <c r="A289" s="253" t="s">
        <v>326</v>
      </c>
      <c r="B289" s="252">
        <v>0</v>
      </c>
      <c r="C289" s="252">
        <v>0</v>
      </c>
      <c r="D289" s="252">
        <v>0</v>
      </c>
      <c r="E289" s="252">
        <v>0</v>
      </c>
      <c r="F289" s="252">
        <v>0</v>
      </c>
      <c r="G289" s="252">
        <v>0</v>
      </c>
      <c r="H289" s="252">
        <v>0</v>
      </c>
      <c r="I289" s="252"/>
      <c r="J289" s="252"/>
      <c r="K289" s="252">
        <v>0</v>
      </c>
      <c r="L289" s="252"/>
      <c r="M289" s="252">
        <v>0</v>
      </c>
      <c r="N289" s="252">
        <v>0</v>
      </c>
      <c r="O289" s="252">
        <v>0</v>
      </c>
      <c r="P289" s="252"/>
      <c r="Q289" s="252">
        <v>0</v>
      </c>
      <c r="R289" s="252"/>
      <c r="S289" s="252"/>
      <c r="T289" s="252">
        <v>0</v>
      </c>
      <c r="U289" s="252"/>
      <c r="V289" s="252">
        <v>0</v>
      </c>
      <c r="W289" s="252">
        <v>0</v>
      </c>
      <c r="X289" s="252"/>
      <c r="Y289" s="252">
        <v>0</v>
      </c>
    </row>
    <row r="290" spans="1:25" x14ac:dyDescent="0.3">
      <c r="A290" s="253" t="s">
        <v>828</v>
      </c>
      <c r="B290" s="252">
        <v>0</v>
      </c>
      <c r="C290" s="252">
        <v>0</v>
      </c>
      <c r="D290" s="252">
        <v>0</v>
      </c>
      <c r="E290" s="252"/>
      <c r="F290" s="252">
        <v>0</v>
      </c>
      <c r="G290" s="252">
        <v>0</v>
      </c>
      <c r="H290" s="252">
        <v>0</v>
      </c>
      <c r="I290" s="252">
        <v>0</v>
      </c>
      <c r="J290" s="252">
        <v>0</v>
      </c>
      <c r="K290" s="252">
        <v>0</v>
      </c>
      <c r="L290" s="252"/>
      <c r="M290" s="252">
        <v>0</v>
      </c>
      <c r="N290" s="252">
        <v>0</v>
      </c>
      <c r="O290" s="252">
        <v>0</v>
      </c>
      <c r="P290" s="252"/>
      <c r="Q290" s="252">
        <v>0</v>
      </c>
      <c r="R290" s="252">
        <v>0</v>
      </c>
      <c r="S290" s="252">
        <v>0</v>
      </c>
      <c r="T290" s="252">
        <v>0</v>
      </c>
      <c r="U290" s="252"/>
      <c r="V290" s="252">
        <v>0</v>
      </c>
      <c r="W290" s="252">
        <v>0</v>
      </c>
      <c r="X290" s="252"/>
      <c r="Y290" s="252">
        <v>0</v>
      </c>
    </row>
    <row r="291" spans="1:25" x14ac:dyDescent="0.3">
      <c r="A291" s="253" t="s">
        <v>327</v>
      </c>
      <c r="B291" s="252">
        <v>0</v>
      </c>
      <c r="C291" s="252">
        <v>0</v>
      </c>
      <c r="D291" s="252">
        <v>0</v>
      </c>
      <c r="E291" s="252">
        <v>0</v>
      </c>
      <c r="F291" s="252">
        <v>0</v>
      </c>
      <c r="G291" s="252">
        <v>0</v>
      </c>
      <c r="H291" s="252">
        <v>0</v>
      </c>
      <c r="I291" s="252"/>
      <c r="J291" s="252"/>
      <c r="K291" s="252">
        <v>0</v>
      </c>
      <c r="L291" s="252"/>
      <c r="M291" s="252">
        <v>0</v>
      </c>
      <c r="N291" s="252">
        <v>0</v>
      </c>
      <c r="O291" s="252">
        <v>0</v>
      </c>
      <c r="P291" s="252"/>
      <c r="Q291" s="252">
        <v>0</v>
      </c>
      <c r="R291" s="252"/>
      <c r="S291" s="252"/>
      <c r="T291" s="252">
        <v>0</v>
      </c>
      <c r="U291" s="252"/>
      <c r="V291" s="252">
        <v>0</v>
      </c>
      <c r="W291" s="252">
        <v>0</v>
      </c>
      <c r="X291" s="252"/>
      <c r="Y291" s="252">
        <v>0</v>
      </c>
    </row>
    <row r="292" spans="1:25" x14ac:dyDescent="0.3">
      <c r="A292" s="253" t="s">
        <v>829</v>
      </c>
      <c r="B292" s="252">
        <v>0</v>
      </c>
      <c r="C292" s="252">
        <v>0</v>
      </c>
      <c r="D292" s="252">
        <v>0</v>
      </c>
      <c r="E292" s="252">
        <v>0</v>
      </c>
      <c r="F292" s="252">
        <v>0</v>
      </c>
      <c r="G292" s="252">
        <v>0</v>
      </c>
      <c r="H292" s="252">
        <v>0</v>
      </c>
      <c r="I292" s="252">
        <v>0</v>
      </c>
      <c r="J292" s="252">
        <v>0</v>
      </c>
      <c r="K292" s="252">
        <v>0</v>
      </c>
      <c r="L292" s="252">
        <v>0</v>
      </c>
      <c r="M292" s="252">
        <v>0</v>
      </c>
      <c r="N292" s="252">
        <v>0</v>
      </c>
      <c r="O292" s="252">
        <v>0</v>
      </c>
      <c r="P292" s="252">
        <v>0</v>
      </c>
      <c r="Q292" s="252">
        <v>0</v>
      </c>
      <c r="R292" s="252">
        <v>0</v>
      </c>
      <c r="S292" s="252">
        <v>0</v>
      </c>
      <c r="T292" s="252">
        <v>0</v>
      </c>
      <c r="U292" s="252">
        <v>0</v>
      </c>
      <c r="V292" s="252">
        <v>0</v>
      </c>
      <c r="W292" s="252">
        <v>0</v>
      </c>
      <c r="X292" s="252">
        <v>0</v>
      </c>
      <c r="Y292" s="252">
        <v>0</v>
      </c>
    </row>
    <row r="293" spans="1:25" x14ac:dyDescent="0.3">
      <c r="A293" s="253" t="s">
        <v>1078</v>
      </c>
      <c r="B293" s="252">
        <v>0</v>
      </c>
      <c r="C293" s="252">
        <v>0</v>
      </c>
      <c r="D293" s="252">
        <v>0</v>
      </c>
      <c r="E293" s="252">
        <v>0</v>
      </c>
      <c r="F293" s="252">
        <v>0</v>
      </c>
      <c r="G293" s="252">
        <v>0</v>
      </c>
      <c r="H293" s="252">
        <v>0</v>
      </c>
      <c r="I293" s="252">
        <v>0</v>
      </c>
      <c r="J293" s="252">
        <v>0</v>
      </c>
      <c r="K293" s="252">
        <v>0</v>
      </c>
      <c r="L293" s="252">
        <v>0</v>
      </c>
      <c r="M293" s="252">
        <v>0</v>
      </c>
      <c r="N293" s="252">
        <v>0</v>
      </c>
      <c r="O293" s="252">
        <v>0</v>
      </c>
      <c r="P293" s="252">
        <v>0</v>
      </c>
      <c r="Q293" s="252">
        <v>0</v>
      </c>
      <c r="R293" s="252">
        <v>0</v>
      </c>
      <c r="S293" s="252">
        <v>0</v>
      </c>
      <c r="T293" s="252">
        <v>0</v>
      </c>
      <c r="U293" s="252">
        <v>0</v>
      </c>
      <c r="V293" s="252">
        <v>0</v>
      </c>
      <c r="W293" s="252">
        <v>0</v>
      </c>
      <c r="X293" s="252">
        <v>0</v>
      </c>
      <c r="Y293" s="252">
        <v>0</v>
      </c>
    </row>
    <row r="294" spans="1:25" x14ac:dyDescent="0.3">
      <c r="A294" s="253" t="s">
        <v>328</v>
      </c>
      <c r="B294" s="252">
        <v>0</v>
      </c>
      <c r="C294" s="252">
        <v>0</v>
      </c>
      <c r="D294" s="252">
        <v>0</v>
      </c>
      <c r="E294" s="252"/>
      <c r="F294" s="252">
        <v>0</v>
      </c>
      <c r="G294" s="252">
        <v>0</v>
      </c>
      <c r="H294" s="252">
        <v>0</v>
      </c>
      <c r="I294" s="252"/>
      <c r="J294" s="252"/>
      <c r="K294" s="252">
        <v>0</v>
      </c>
      <c r="L294" s="252"/>
      <c r="M294" s="252">
        <v>0</v>
      </c>
      <c r="N294" s="252">
        <v>0</v>
      </c>
      <c r="O294" s="252">
        <v>0</v>
      </c>
      <c r="P294" s="252"/>
      <c r="Q294" s="252">
        <v>0</v>
      </c>
      <c r="R294" s="252"/>
      <c r="S294" s="252">
        <v>0</v>
      </c>
      <c r="T294" s="252">
        <v>0</v>
      </c>
      <c r="U294" s="252"/>
      <c r="V294" s="252">
        <v>0</v>
      </c>
      <c r="W294" s="252">
        <v>0</v>
      </c>
      <c r="X294" s="252"/>
      <c r="Y294" s="252">
        <v>0</v>
      </c>
    </row>
    <row r="295" spans="1:25" x14ac:dyDescent="0.3">
      <c r="A295" s="253" t="s">
        <v>329</v>
      </c>
      <c r="B295" s="252">
        <v>0</v>
      </c>
      <c r="C295" s="252">
        <v>0</v>
      </c>
      <c r="D295" s="252">
        <v>0</v>
      </c>
      <c r="E295" s="252">
        <v>0</v>
      </c>
      <c r="F295" s="252">
        <v>0</v>
      </c>
      <c r="G295" s="252">
        <v>0</v>
      </c>
      <c r="H295" s="252">
        <v>0</v>
      </c>
      <c r="I295" s="252">
        <v>0</v>
      </c>
      <c r="J295" s="252">
        <v>0</v>
      </c>
      <c r="K295" s="252">
        <v>0</v>
      </c>
      <c r="L295" s="252"/>
      <c r="M295" s="252">
        <v>0</v>
      </c>
      <c r="N295" s="252">
        <v>0</v>
      </c>
      <c r="O295" s="252">
        <v>0</v>
      </c>
      <c r="P295" s="252"/>
      <c r="Q295" s="252">
        <v>0</v>
      </c>
      <c r="R295" s="252"/>
      <c r="S295" s="252">
        <v>0</v>
      </c>
      <c r="T295" s="252">
        <v>0</v>
      </c>
      <c r="U295" s="252"/>
      <c r="V295" s="252">
        <v>0</v>
      </c>
      <c r="W295" s="252">
        <v>0</v>
      </c>
      <c r="X295" s="252"/>
      <c r="Y295" s="252">
        <v>0</v>
      </c>
    </row>
    <row r="296" spans="1:25" x14ac:dyDescent="0.3">
      <c r="A296" s="253" t="s">
        <v>330</v>
      </c>
      <c r="B296" s="252">
        <v>0</v>
      </c>
      <c r="C296" s="252">
        <v>0</v>
      </c>
      <c r="D296" s="252">
        <v>0</v>
      </c>
      <c r="E296" s="252">
        <v>0</v>
      </c>
      <c r="F296" s="252">
        <v>0</v>
      </c>
      <c r="G296" s="252">
        <v>0</v>
      </c>
      <c r="H296" s="252">
        <v>0</v>
      </c>
      <c r="I296" s="252"/>
      <c r="J296" s="252"/>
      <c r="K296" s="252">
        <v>0</v>
      </c>
      <c r="L296" s="252"/>
      <c r="M296" s="252">
        <v>0</v>
      </c>
      <c r="N296" s="252">
        <v>0</v>
      </c>
      <c r="O296" s="252">
        <v>0</v>
      </c>
      <c r="P296" s="252"/>
      <c r="Q296" s="252">
        <v>0</v>
      </c>
      <c r="R296" s="252"/>
      <c r="S296" s="252">
        <v>0</v>
      </c>
      <c r="T296" s="252">
        <v>0</v>
      </c>
      <c r="U296" s="252"/>
      <c r="V296" s="252">
        <v>0</v>
      </c>
      <c r="W296" s="252">
        <v>0</v>
      </c>
      <c r="X296" s="252"/>
      <c r="Y296" s="252">
        <v>0</v>
      </c>
    </row>
    <row r="297" spans="1:25" x14ac:dyDescent="0.3">
      <c r="A297" s="253" t="s">
        <v>331</v>
      </c>
      <c r="B297" s="252">
        <v>0</v>
      </c>
      <c r="C297" s="252">
        <v>0</v>
      </c>
      <c r="D297" s="252">
        <v>0</v>
      </c>
      <c r="E297" s="252">
        <v>0</v>
      </c>
      <c r="F297" s="252">
        <v>0</v>
      </c>
      <c r="G297" s="252">
        <v>0</v>
      </c>
      <c r="H297" s="252">
        <v>0</v>
      </c>
      <c r="I297" s="252"/>
      <c r="J297" s="252"/>
      <c r="K297" s="252">
        <v>0</v>
      </c>
      <c r="L297" s="252"/>
      <c r="M297" s="252">
        <v>0</v>
      </c>
      <c r="N297" s="252">
        <v>0</v>
      </c>
      <c r="O297" s="252">
        <v>0</v>
      </c>
      <c r="P297" s="252"/>
      <c r="Q297" s="252">
        <v>0</v>
      </c>
      <c r="R297" s="252"/>
      <c r="S297" s="252"/>
      <c r="T297" s="252">
        <v>0</v>
      </c>
      <c r="U297" s="252"/>
      <c r="V297" s="252">
        <v>0</v>
      </c>
      <c r="W297" s="252">
        <v>0</v>
      </c>
      <c r="X297" s="252"/>
      <c r="Y297" s="252">
        <v>0</v>
      </c>
    </row>
    <row r="298" spans="1:25" x14ac:dyDescent="0.3">
      <c r="A298" s="253" t="s">
        <v>332</v>
      </c>
      <c r="B298" s="252">
        <v>0</v>
      </c>
      <c r="C298" s="252">
        <v>0</v>
      </c>
      <c r="D298" s="252">
        <v>0</v>
      </c>
      <c r="E298" s="252">
        <v>0</v>
      </c>
      <c r="F298" s="252">
        <v>0</v>
      </c>
      <c r="G298" s="252">
        <v>0</v>
      </c>
      <c r="H298" s="252">
        <v>0</v>
      </c>
      <c r="I298" s="252"/>
      <c r="J298" s="252">
        <v>0</v>
      </c>
      <c r="K298" s="252">
        <v>0</v>
      </c>
      <c r="L298" s="252"/>
      <c r="M298" s="252">
        <v>0</v>
      </c>
      <c r="N298" s="252">
        <v>0</v>
      </c>
      <c r="O298" s="252">
        <v>0</v>
      </c>
      <c r="P298" s="252"/>
      <c r="Q298" s="252">
        <v>0</v>
      </c>
      <c r="R298" s="252"/>
      <c r="S298" s="252"/>
      <c r="T298" s="252">
        <v>0</v>
      </c>
      <c r="U298" s="252"/>
      <c r="V298" s="252">
        <v>0</v>
      </c>
      <c r="W298" s="252">
        <v>0</v>
      </c>
      <c r="X298" s="252"/>
      <c r="Y298" s="252">
        <v>0</v>
      </c>
    </row>
    <row r="299" spans="1:25" x14ac:dyDescent="0.3">
      <c r="A299" s="253" t="s">
        <v>915</v>
      </c>
      <c r="B299" s="252">
        <v>0</v>
      </c>
      <c r="C299" s="252">
        <v>0</v>
      </c>
      <c r="D299" s="252">
        <v>0</v>
      </c>
      <c r="E299" s="252">
        <v>0</v>
      </c>
      <c r="F299" s="252">
        <v>0</v>
      </c>
      <c r="G299" s="252">
        <v>0</v>
      </c>
      <c r="H299" s="252">
        <v>0</v>
      </c>
      <c r="I299" s="252">
        <v>0</v>
      </c>
      <c r="J299" s="252">
        <v>0</v>
      </c>
      <c r="K299" s="252">
        <v>0</v>
      </c>
      <c r="L299" s="252"/>
      <c r="M299" s="252">
        <v>0</v>
      </c>
      <c r="N299" s="252">
        <v>0</v>
      </c>
      <c r="O299" s="252">
        <v>0</v>
      </c>
      <c r="P299" s="252">
        <v>0</v>
      </c>
      <c r="Q299" s="252">
        <v>0</v>
      </c>
      <c r="R299" s="252">
        <v>0</v>
      </c>
      <c r="S299" s="252">
        <v>0</v>
      </c>
      <c r="T299" s="252">
        <v>0</v>
      </c>
      <c r="U299" s="252">
        <v>0</v>
      </c>
      <c r="V299" s="252">
        <v>0</v>
      </c>
      <c r="W299" s="252">
        <v>0</v>
      </c>
      <c r="X299" s="252">
        <v>0</v>
      </c>
      <c r="Y299" s="252">
        <v>0</v>
      </c>
    </row>
    <row r="300" spans="1:25" x14ac:dyDescent="0.3">
      <c r="A300" s="253" t="s">
        <v>333</v>
      </c>
      <c r="B300" s="252">
        <v>0</v>
      </c>
      <c r="C300" s="252">
        <v>0</v>
      </c>
      <c r="D300" s="252">
        <v>0</v>
      </c>
      <c r="E300" s="252">
        <v>0</v>
      </c>
      <c r="F300" s="252">
        <v>0</v>
      </c>
      <c r="G300" s="252">
        <v>0</v>
      </c>
      <c r="H300" s="252">
        <v>0</v>
      </c>
      <c r="I300" s="252"/>
      <c r="J300" s="252"/>
      <c r="K300" s="252">
        <v>0</v>
      </c>
      <c r="L300" s="252"/>
      <c r="M300" s="252">
        <v>0</v>
      </c>
      <c r="N300" s="252">
        <v>0</v>
      </c>
      <c r="O300" s="252">
        <v>0</v>
      </c>
      <c r="P300" s="252"/>
      <c r="Q300" s="252">
        <v>0</v>
      </c>
      <c r="R300" s="252"/>
      <c r="S300" s="252"/>
      <c r="T300" s="252">
        <v>0</v>
      </c>
      <c r="U300" s="252"/>
      <c r="V300" s="252">
        <v>0</v>
      </c>
      <c r="W300" s="252">
        <v>0</v>
      </c>
      <c r="X300" s="252"/>
      <c r="Y300" s="252">
        <v>0</v>
      </c>
    </row>
    <row r="301" spans="1:25" x14ac:dyDescent="0.3">
      <c r="A301" s="253" t="s">
        <v>334</v>
      </c>
      <c r="B301" s="252">
        <v>0</v>
      </c>
      <c r="C301" s="252">
        <v>0</v>
      </c>
      <c r="D301" s="252">
        <v>0</v>
      </c>
      <c r="E301" s="252">
        <v>0</v>
      </c>
      <c r="F301" s="252">
        <v>0</v>
      </c>
      <c r="G301" s="252">
        <v>0</v>
      </c>
      <c r="H301" s="252">
        <v>0</v>
      </c>
      <c r="I301" s="252"/>
      <c r="J301" s="252"/>
      <c r="K301" s="252">
        <v>0</v>
      </c>
      <c r="L301" s="252"/>
      <c r="M301" s="252">
        <v>0</v>
      </c>
      <c r="N301" s="252">
        <v>0</v>
      </c>
      <c r="O301" s="252">
        <v>0</v>
      </c>
      <c r="P301" s="252"/>
      <c r="Q301" s="252">
        <v>0</v>
      </c>
      <c r="R301" s="252"/>
      <c r="S301" s="252"/>
      <c r="T301" s="252">
        <v>0</v>
      </c>
      <c r="U301" s="252"/>
      <c r="V301" s="252">
        <v>0</v>
      </c>
      <c r="W301" s="252">
        <v>0</v>
      </c>
      <c r="X301" s="252"/>
      <c r="Y301" s="252">
        <v>0</v>
      </c>
    </row>
    <row r="302" spans="1:25" x14ac:dyDescent="0.3">
      <c r="A302" s="253" t="s">
        <v>335</v>
      </c>
      <c r="B302" s="252">
        <v>0</v>
      </c>
      <c r="C302" s="252">
        <v>0</v>
      </c>
      <c r="D302" s="252">
        <v>0</v>
      </c>
      <c r="E302" s="252">
        <v>0</v>
      </c>
      <c r="F302" s="252">
        <v>0</v>
      </c>
      <c r="G302" s="252">
        <v>0</v>
      </c>
      <c r="H302" s="252">
        <v>0</v>
      </c>
      <c r="I302" s="252"/>
      <c r="J302" s="252"/>
      <c r="K302" s="252">
        <v>0</v>
      </c>
      <c r="L302" s="252"/>
      <c r="M302" s="252">
        <v>0</v>
      </c>
      <c r="N302" s="252">
        <v>0</v>
      </c>
      <c r="O302" s="252">
        <v>0</v>
      </c>
      <c r="P302" s="252"/>
      <c r="Q302" s="252">
        <v>0</v>
      </c>
      <c r="R302" s="252"/>
      <c r="S302" s="252"/>
      <c r="T302" s="252">
        <v>0</v>
      </c>
      <c r="U302" s="252"/>
      <c r="V302" s="252">
        <v>0</v>
      </c>
      <c r="W302" s="252">
        <v>0</v>
      </c>
      <c r="X302" s="252"/>
      <c r="Y302" s="252">
        <v>0</v>
      </c>
    </row>
    <row r="303" spans="1:25" x14ac:dyDescent="0.3">
      <c r="A303" s="253" t="s">
        <v>336</v>
      </c>
      <c r="B303" s="252">
        <v>0</v>
      </c>
      <c r="C303" s="252">
        <v>0</v>
      </c>
      <c r="D303" s="252">
        <v>0</v>
      </c>
      <c r="E303" s="252">
        <v>0</v>
      </c>
      <c r="F303" s="252">
        <v>0</v>
      </c>
      <c r="G303" s="252">
        <v>0</v>
      </c>
      <c r="H303" s="252">
        <v>0</v>
      </c>
      <c r="I303" s="252"/>
      <c r="J303" s="252"/>
      <c r="K303" s="252">
        <v>0</v>
      </c>
      <c r="L303" s="252"/>
      <c r="M303" s="252">
        <v>0</v>
      </c>
      <c r="N303" s="252">
        <v>0</v>
      </c>
      <c r="O303" s="252">
        <v>0</v>
      </c>
      <c r="P303" s="252"/>
      <c r="Q303" s="252">
        <v>0</v>
      </c>
      <c r="R303" s="252"/>
      <c r="S303" s="252"/>
      <c r="T303" s="252">
        <v>0</v>
      </c>
      <c r="U303" s="252"/>
      <c r="V303" s="252">
        <v>0</v>
      </c>
      <c r="W303" s="252">
        <v>0</v>
      </c>
      <c r="X303" s="252"/>
      <c r="Y303" s="252">
        <v>0</v>
      </c>
    </row>
    <row r="304" spans="1:25" x14ac:dyDescent="0.3">
      <c r="A304" s="253" t="s">
        <v>337</v>
      </c>
      <c r="B304" s="252">
        <v>0</v>
      </c>
      <c r="C304" s="252">
        <v>0</v>
      </c>
      <c r="D304" s="252">
        <v>0</v>
      </c>
      <c r="E304" s="252">
        <v>0</v>
      </c>
      <c r="F304" s="252">
        <v>0</v>
      </c>
      <c r="G304" s="252">
        <v>0</v>
      </c>
      <c r="H304" s="252">
        <v>0</v>
      </c>
      <c r="I304" s="252"/>
      <c r="J304" s="252"/>
      <c r="K304" s="252">
        <v>0</v>
      </c>
      <c r="L304" s="252"/>
      <c r="M304" s="252">
        <v>0</v>
      </c>
      <c r="N304" s="252">
        <v>0</v>
      </c>
      <c r="O304" s="252">
        <v>0</v>
      </c>
      <c r="P304" s="252"/>
      <c r="Q304" s="252">
        <v>0</v>
      </c>
      <c r="R304" s="252"/>
      <c r="S304" s="252"/>
      <c r="T304" s="252">
        <v>0</v>
      </c>
      <c r="U304" s="252"/>
      <c r="V304" s="252">
        <v>0</v>
      </c>
      <c r="W304" s="252">
        <v>0</v>
      </c>
      <c r="X304" s="252"/>
      <c r="Y304" s="252">
        <v>0</v>
      </c>
    </row>
    <row r="305" spans="1:25" x14ac:dyDescent="0.3">
      <c r="A305" s="253" t="s">
        <v>338</v>
      </c>
      <c r="B305" s="252">
        <v>0</v>
      </c>
      <c r="C305" s="252">
        <v>0</v>
      </c>
      <c r="D305" s="252">
        <v>0</v>
      </c>
      <c r="E305" s="252">
        <v>0</v>
      </c>
      <c r="F305" s="252">
        <v>0</v>
      </c>
      <c r="G305" s="252">
        <v>0</v>
      </c>
      <c r="H305" s="252">
        <v>0</v>
      </c>
      <c r="I305" s="252"/>
      <c r="J305" s="252"/>
      <c r="K305" s="252">
        <v>0</v>
      </c>
      <c r="L305" s="252"/>
      <c r="M305" s="252">
        <v>0</v>
      </c>
      <c r="N305" s="252">
        <v>0</v>
      </c>
      <c r="O305" s="252">
        <v>0</v>
      </c>
      <c r="P305" s="252"/>
      <c r="Q305" s="252">
        <v>0</v>
      </c>
      <c r="R305" s="252"/>
      <c r="S305" s="252"/>
      <c r="T305" s="252">
        <v>0</v>
      </c>
      <c r="U305" s="252"/>
      <c r="V305" s="252">
        <v>0</v>
      </c>
      <c r="W305" s="252">
        <v>0</v>
      </c>
      <c r="X305" s="252"/>
      <c r="Y305" s="252">
        <v>0</v>
      </c>
    </row>
    <row r="306" spans="1:25" x14ac:dyDescent="0.3">
      <c r="A306" s="253" t="s">
        <v>339</v>
      </c>
      <c r="B306" s="252">
        <v>0</v>
      </c>
      <c r="C306" s="252">
        <v>0</v>
      </c>
      <c r="D306" s="252">
        <v>2</v>
      </c>
      <c r="E306" s="252">
        <v>0</v>
      </c>
      <c r="F306" s="252">
        <v>0</v>
      </c>
      <c r="G306" s="252">
        <v>0</v>
      </c>
      <c r="H306" s="252">
        <v>0</v>
      </c>
      <c r="I306" s="252">
        <v>0</v>
      </c>
      <c r="J306" s="252">
        <v>0</v>
      </c>
      <c r="K306" s="252">
        <v>0</v>
      </c>
      <c r="L306" s="252"/>
      <c r="M306" s="252">
        <v>0</v>
      </c>
      <c r="N306" s="252">
        <v>0</v>
      </c>
      <c r="O306" s="252">
        <v>0</v>
      </c>
      <c r="P306" s="252"/>
      <c r="Q306" s="252">
        <v>0</v>
      </c>
      <c r="R306" s="252"/>
      <c r="S306" s="252">
        <v>0</v>
      </c>
      <c r="T306" s="252">
        <v>0</v>
      </c>
      <c r="U306" s="252"/>
      <c r="V306" s="252">
        <v>0</v>
      </c>
      <c r="W306" s="252">
        <v>0</v>
      </c>
      <c r="X306" s="252"/>
      <c r="Y306" s="252">
        <v>2</v>
      </c>
    </row>
    <row r="307" spans="1:25" x14ac:dyDescent="0.3">
      <c r="A307" s="253" t="s">
        <v>340</v>
      </c>
      <c r="B307" s="252">
        <v>0</v>
      </c>
      <c r="C307" s="252">
        <v>0</v>
      </c>
      <c r="D307" s="252">
        <v>0</v>
      </c>
      <c r="E307" s="252">
        <v>0</v>
      </c>
      <c r="F307" s="252">
        <v>0</v>
      </c>
      <c r="G307" s="252">
        <v>0</v>
      </c>
      <c r="H307" s="252">
        <v>0</v>
      </c>
      <c r="I307" s="252"/>
      <c r="J307" s="252"/>
      <c r="K307" s="252">
        <v>0</v>
      </c>
      <c r="L307" s="252"/>
      <c r="M307" s="252">
        <v>0</v>
      </c>
      <c r="N307" s="252">
        <v>0</v>
      </c>
      <c r="O307" s="252">
        <v>0</v>
      </c>
      <c r="P307" s="252"/>
      <c r="Q307" s="252">
        <v>0</v>
      </c>
      <c r="R307" s="252"/>
      <c r="S307" s="252"/>
      <c r="T307" s="252">
        <v>0</v>
      </c>
      <c r="U307" s="252"/>
      <c r="V307" s="252">
        <v>0</v>
      </c>
      <c r="W307" s="252">
        <v>0</v>
      </c>
      <c r="X307" s="252"/>
      <c r="Y307" s="252">
        <v>0</v>
      </c>
    </row>
    <row r="308" spans="1:25" x14ac:dyDescent="0.3">
      <c r="A308" s="253" t="s">
        <v>1006</v>
      </c>
      <c r="B308" s="252">
        <v>0</v>
      </c>
      <c r="C308" s="252">
        <v>0</v>
      </c>
      <c r="D308" s="252">
        <v>0</v>
      </c>
      <c r="E308" s="252">
        <v>0</v>
      </c>
      <c r="F308" s="252">
        <v>0</v>
      </c>
      <c r="G308" s="252">
        <v>0</v>
      </c>
      <c r="H308" s="252">
        <v>0</v>
      </c>
      <c r="I308" s="252">
        <v>0</v>
      </c>
      <c r="J308" s="252">
        <v>0</v>
      </c>
      <c r="K308" s="252">
        <v>0</v>
      </c>
      <c r="L308" s="252"/>
      <c r="M308" s="252">
        <v>0</v>
      </c>
      <c r="N308" s="252">
        <v>0</v>
      </c>
      <c r="O308" s="252">
        <v>0</v>
      </c>
      <c r="P308" s="252">
        <v>0</v>
      </c>
      <c r="Q308" s="252">
        <v>0</v>
      </c>
      <c r="R308" s="252">
        <v>0</v>
      </c>
      <c r="S308" s="252">
        <v>0</v>
      </c>
      <c r="T308" s="252">
        <v>0</v>
      </c>
      <c r="U308" s="252">
        <v>0</v>
      </c>
      <c r="V308" s="252">
        <v>0</v>
      </c>
      <c r="W308" s="252">
        <v>0</v>
      </c>
      <c r="X308" s="252">
        <v>0</v>
      </c>
      <c r="Y308" s="252">
        <v>0</v>
      </c>
    </row>
    <row r="309" spans="1:25" x14ac:dyDescent="0.3">
      <c r="A309" s="253" t="s">
        <v>1007</v>
      </c>
      <c r="B309" s="252">
        <v>0</v>
      </c>
      <c r="C309" s="252">
        <v>0</v>
      </c>
      <c r="D309" s="252">
        <v>0</v>
      </c>
      <c r="E309" s="252">
        <v>0</v>
      </c>
      <c r="F309" s="252">
        <v>0</v>
      </c>
      <c r="G309" s="252">
        <v>0</v>
      </c>
      <c r="H309" s="252">
        <v>0</v>
      </c>
      <c r="I309" s="252">
        <v>0</v>
      </c>
      <c r="J309" s="252">
        <v>0</v>
      </c>
      <c r="K309" s="252">
        <v>0</v>
      </c>
      <c r="L309" s="252"/>
      <c r="M309" s="252">
        <v>0</v>
      </c>
      <c r="N309" s="252">
        <v>0</v>
      </c>
      <c r="O309" s="252">
        <v>0</v>
      </c>
      <c r="P309" s="252">
        <v>0</v>
      </c>
      <c r="Q309" s="252">
        <v>0</v>
      </c>
      <c r="R309" s="252">
        <v>0</v>
      </c>
      <c r="S309" s="252">
        <v>0</v>
      </c>
      <c r="T309" s="252">
        <v>0</v>
      </c>
      <c r="U309" s="252">
        <v>0</v>
      </c>
      <c r="V309" s="252">
        <v>0</v>
      </c>
      <c r="W309" s="252">
        <v>0</v>
      </c>
      <c r="X309" s="252">
        <v>0</v>
      </c>
      <c r="Y309" s="252">
        <v>0</v>
      </c>
    </row>
    <row r="310" spans="1:25" x14ac:dyDescent="0.3">
      <c r="A310" s="253" t="s">
        <v>1008</v>
      </c>
      <c r="B310" s="252">
        <v>0</v>
      </c>
      <c r="C310" s="252">
        <v>0</v>
      </c>
      <c r="D310" s="252">
        <v>0</v>
      </c>
      <c r="E310" s="252">
        <v>0</v>
      </c>
      <c r="F310" s="252">
        <v>0</v>
      </c>
      <c r="G310" s="252">
        <v>0</v>
      </c>
      <c r="H310" s="252">
        <v>0</v>
      </c>
      <c r="I310" s="252"/>
      <c r="J310" s="252">
        <v>0</v>
      </c>
      <c r="K310" s="252">
        <v>0</v>
      </c>
      <c r="L310" s="252"/>
      <c r="M310" s="252">
        <v>0</v>
      </c>
      <c r="N310" s="252">
        <v>0</v>
      </c>
      <c r="O310" s="252">
        <v>0</v>
      </c>
      <c r="P310" s="252">
        <v>0</v>
      </c>
      <c r="Q310" s="252">
        <v>0</v>
      </c>
      <c r="R310" s="252">
        <v>0</v>
      </c>
      <c r="S310" s="252">
        <v>0</v>
      </c>
      <c r="T310" s="252">
        <v>0</v>
      </c>
      <c r="U310" s="252">
        <v>0</v>
      </c>
      <c r="V310" s="252">
        <v>0</v>
      </c>
      <c r="W310" s="252">
        <v>0</v>
      </c>
      <c r="X310" s="252">
        <v>0</v>
      </c>
      <c r="Y310" s="252">
        <v>0</v>
      </c>
    </row>
    <row r="311" spans="1:25" x14ac:dyDescent="0.3">
      <c r="A311" s="253" t="s">
        <v>1029</v>
      </c>
      <c r="B311" s="252">
        <v>0</v>
      </c>
      <c r="C311" s="252">
        <v>0</v>
      </c>
      <c r="D311" s="252">
        <v>0</v>
      </c>
      <c r="E311" s="252">
        <v>0</v>
      </c>
      <c r="F311" s="252">
        <v>0</v>
      </c>
      <c r="G311" s="252">
        <v>0</v>
      </c>
      <c r="H311" s="252">
        <v>0</v>
      </c>
      <c r="I311" s="252">
        <v>0</v>
      </c>
      <c r="J311" s="252">
        <v>0</v>
      </c>
      <c r="K311" s="252">
        <v>0</v>
      </c>
      <c r="L311" s="252"/>
      <c r="M311" s="252">
        <v>0</v>
      </c>
      <c r="N311" s="252">
        <v>0</v>
      </c>
      <c r="O311" s="252">
        <v>0</v>
      </c>
      <c r="P311" s="252">
        <v>0</v>
      </c>
      <c r="Q311" s="252">
        <v>0</v>
      </c>
      <c r="R311" s="252">
        <v>0</v>
      </c>
      <c r="S311" s="252">
        <v>0</v>
      </c>
      <c r="T311" s="252">
        <v>0</v>
      </c>
      <c r="U311" s="252">
        <v>0</v>
      </c>
      <c r="V311" s="252">
        <v>0</v>
      </c>
      <c r="W311" s="252">
        <v>0</v>
      </c>
      <c r="X311" s="252">
        <v>0</v>
      </c>
      <c r="Y311" s="252">
        <v>0</v>
      </c>
    </row>
    <row r="312" spans="1:25" x14ac:dyDescent="0.3">
      <c r="A312" s="253" t="s">
        <v>341</v>
      </c>
      <c r="B312" s="252">
        <v>0</v>
      </c>
      <c r="C312" s="252">
        <v>0</v>
      </c>
      <c r="D312" s="252">
        <v>0</v>
      </c>
      <c r="E312" s="252">
        <v>0</v>
      </c>
      <c r="F312" s="252">
        <v>0</v>
      </c>
      <c r="G312" s="252">
        <v>0</v>
      </c>
      <c r="H312" s="252">
        <v>0</v>
      </c>
      <c r="I312" s="252"/>
      <c r="J312" s="252"/>
      <c r="K312" s="252">
        <v>0</v>
      </c>
      <c r="L312" s="252"/>
      <c r="M312" s="252">
        <v>0</v>
      </c>
      <c r="N312" s="252">
        <v>0</v>
      </c>
      <c r="O312" s="252">
        <v>0</v>
      </c>
      <c r="P312" s="252"/>
      <c r="Q312" s="252">
        <v>0</v>
      </c>
      <c r="R312" s="252"/>
      <c r="S312" s="252"/>
      <c r="T312" s="252">
        <v>0</v>
      </c>
      <c r="U312" s="252"/>
      <c r="V312" s="252">
        <v>0</v>
      </c>
      <c r="W312" s="252">
        <v>0</v>
      </c>
      <c r="X312" s="252"/>
      <c r="Y312" s="252">
        <v>0</v>
      </c>
    </row>
    <row r="313" spans="1:25" x14ac:dyDescent="0.3">
      <c r="A313" s="253" t="s">
        <v>342</v>
      </c>
      <c r="B313" s="252">
        <v>0</v>
      </c>
      <c r="C313" s="252">
        <v>0</v>
      </c>
      <c r="D313" s="252">
        <v>0</v>
      </c>
      <c r="E313" s="252">
        <v>0</v>
      </c>
      <c r="F313" s="252">
        <v>0</v>
      </c>
      <c r="G313" s="252">
        <v>0</v>
      </c>
      <c r="H313" s="252">
        <v>0</v>
      </c>
      <c r="I313" s="252"/>
      <c r="J313" s="252"/>
      <c r="K313" s="252">
        <v>0</v>
      </c>
      <c r="L313" s="252"/>
      <c r="M313" s="252">
        <v>0</v>
      </c>
      <c r="N313" s="252">
        <v>0</v>
      </c>
      <c r="O313" s="252">
        <v>0</v>
      </c>
      <c r="P313" s="252"/>
      <c r="Q313" s="252">
        <v>0</v>
      </c>
      <c r="R313" s="252"/>
      <c r="S313" s="252"/>
      <c r="T313" s="252">
        <v>0</v>
      </c>
      <c r="U313" s="252"/>
      <c r="V313" s="252">
        <v>0</v>
      </c>
      <c r="W313" s="252">
        <v>0</v>
      </c>
      <c r="X313" s="252"/>
      <c r="Y313" s="252">
        <v>0</v>
      </c>
    </row>
    <row r="314" spans="1:25" x14ac:dyDescent="0.3">
      <c r="A314" s="253" t="s">
        <v>343</v>
      </c>
      <c r="B314" s="252">
        <v>0</v>
      </c>
      <c r="C314" s="252">
        <v>0</v>
      </c>
      <c r="D314" s="252">
        <v>0</v>
      </c>
      <c r="E314" s="252">
        <v>0</v>
      </c>
      <c r="F314" s="252">
        <v>0</v>
      </c>
      <c r="G314" s="252">
        <v>0</v>
      </c>
      <c r="H314" s="252">
        <v>0</v>
      </c>
      <c r="I314" s="252"/>
      <c r="J314" s="252"/>
      <c r="K314" s="252">
        <v>0</v>
      </c>
      <c r="L314" s="252"/>
      <c r="M314" s="252">
        <v>0</v>
      </c>
      <c r="N314" s="252">
        <v>0</v>
      </c>
      <c r="O314" s="252">
        <v>0</v>
      </c>
      <c r="P314" s="252"/>
      <c r="Q314" s="252">
        <v>0</v>
      </c>
      <c r="R314" s="252"/>
      <c r="S314" s="252"/>
      <c r="T314" s="252">
        <v>0</v>
      </c>
      <c r="U314" s="252"/>
      <c r="V314" s="252">
        <v>0</v>
      </c>
      <c r="W314" s="252">
        <v>0</v>
      </c>
      <c r="X314" s="252"/>
      <c r="Y314" s="252">
        <v>0</v>
      </c>
    </row>
    <row r="315" spans="1:25" x14ac:dyDescent="0.3">
      <c r="A315" s="253" t="s">
        <v>19</v>
      </c>
      <c r="B315" s="252">
        <v>0</v>
      </c>
      <c r="C315" s="252">
        <v>0</v>
      </c>
      <c r="D315" s="252">
        <v>0</v>
      </c>
      <c r="E315" s="252">
        <v>0</v>
      </c>
      <c r="F315" s="252">
        <v>0</v>
      </c>
      <c r="G315" s="252">
        <v>0</v>
      </c>
      <c r="H315" s="252">
        <v>0</v>
      </c>
      <c r="I315" s="252">
        <v>0</v>
      </c>
      <c r="J315" s="252">
        <v>0</v>
      </c>
      <c r="K315" s="252">
        <v>0</v>
      </c>
      <c r="L315" s="252"/>
      <c r="M315" s="252">
        <v>0</v>
      </c>
      <c r="N315" s="252">
        <v>0</v>
      </c>
      <c r="O315" s="252">
        <v>0</v>
      </c>
      <c r="P315" s="252"/>
      <c r="Q315" s="252">
        <v>0</v>
      </c>
      <c r="R315" s="252">
        <v>0</v>
      </c>
      <c r="S315" s="252">
        <v>0</v>
      </c>
      <c r="T315" s="252">
        <v>0</v>
      </c>
      <c r="U315" s="252"/>
      <c r="V315" s="252">
        <v>0</v>
      </c>
      <c r="W315" s="252">
        <v>0</v>
      </c>
      <c r="X315" s="252"/>
      <c r="Y315" s="252">
        <v>0</v>
      </c>
    </row>
    <row r="316" spans="1:25" x14ac:dyDescent="0.3">
      <c r="A316" s="253" t="s">
        <v>5</v>
      </c>
      <c r="B316" s="252">
        <v>1</v>
      </c>
      <c r="C316" s="252">
        <v>2</v>
      </c>
      <c r="D316" s="252">
        <v>0</v>
      </c>
      <c r="E316" s="252">
        <v>2</v>
      </c>
      <c r="F316" s="252">
        <v>1</v>
      </c>
      <c r="G316" s="252">
        <v>2</v>
      </c>
      <c r="H316" s="252">
        <v>1</v>
      </c>
      <c r="I316" s="252">
        <v>0</v>
      </c>
      <c r="J316" s="252">
        <v>2</v>
      </c>
      <c r="K316" s="252">
        <v>0</v>
      </c>
      <c r="L316" s="252">
        <v>1</v>
      </c>
      <c r="M316" s="252">
        <v>1</v>
      </c>
      <c r="N316" s="252">
        <v>1</v>
      </c>
      <c r="O316" s="252">
        <v>2</v>
      </c>
      <c r="P316" s="252">
        <v>0</v>
      </c>
      <c r="Q316" s="252">
        <v>2</v>
      </c>
      <c r="R316" s="252">
        <v>3</v>
      </c>
      <c r="S316" s="252">
        <v>3</v>
      </c>
      <c r="T316" s="252">
        <v>0</v>
      </c>
      <c r="U316" s="252">
        <v>0</v>
      </c>
      <c r="V316" s="252">
        <v>2</v>
      </c>
      <c r="W316" s="252">
        <v>1</v>
      </c>
      <c r="X316" s="252">
        <v>1</v>
      </c>
      <c r="Y316" s="252">
        <v>28</v>
      </c>
    </row>
    <row r="317" spans="1:25" x14ac:dyDescent="0.3">
      <c r="A317" s="253" t="s">
        <v>344</v>
      </c>
      <c r="B317" s="252">
        <v>2</v>
      </c>
      <c r="C317" s="252">
        <v>3</v>
      </c>
      <c r="D317" s="252">
        <v>0</v>
      </c>
      <c r="E317" s="252">
        <v>2</v>
      </c>
      <c r="F317" s="252">
        <v>1</v>
      </c>
      <c r="G317" s="252">
        <v>1</v>
      </c>
      <c r="H317" s="252">
        <v>1</v>
      </c>
      <c r="I317" s="252">
        <v>0</v>
      </c>
      <c r="J317" s="252">
        <v>0</v>
      </c>
      <c r="K317" s="252">
        <v>1</v>
      </c>
      <c r="L317" s="252">
        <v>3</v>
      </c>
      <c r="M317" s="252">
        <v>0</v>
      </c>
      <c r="N317" s="252">
        <v>3</v>
      </c>
      <c r="O317" s="252">
        <v>3</v>
      </c>
      <c r="P317" s="252">
        <v>2</v>
      </c>
      <c r="Q317" s="252">
        <v>1</v>
      </c>
      <c r="R317" s="252">
        <v>3</v>
      </c>
      <c r="S317" s="252">
        <v>4</v>
      </c>
      <c r="T317" s="252">
        <v>2</v>
      </c>
      <c r="U317" s="252">
        <v>0</v>
      </c>
      <c r="V317" s="252">
        <v>1</v>
      </c>
      <c r="W317" s="252">
        <v>1</v>
      </c>
      <c r="X317" s="252">
        <v>3</v>
      </c>
      <c r="Y317" s="252">
        <v>37</v>
      </c>
    </row>
    <row r="318" spans="1:25" x14ac:dyDescent="0.3">
      <c r="A318" s="253" t="s">
        <v>15</v>
      </c>
      <c r="B318" s="252">
        <v>1</v>
      </c>
      <c r="C318" s="252">
        <v>2</v>
      </c>
      <c r="D318" s="252">
        <v>0</v>
      </c>
      <c r="E318" s="252">
        <v>3</v>
      </c>
      <c r="F318" s="252">
        <v>0</v>
      </c>
      <c r="G318" s="252">
        <v>0</v>
      </c>
      <c r="H318" s="252">
        <v>2</v>
      </c>
      <c r="I318" s="252">
        <v>0</v>
      </c>
      <c r="J318" s="252">
        <v>2</v>
      </c>
      <c r="K318" s="252">
        <v>2</v>
      </c>
      <c r="L318" s="252">
        <v>2</v>
      </c>
      <c r="M318" s="252">
        <v>0</v>
      </c>
      <c r="N318" s="252">
        <v>0</v>
      </c>
      <c r="O318" s="252">
        <v>1</v>
      </c>
      <c r="P318" s="252">
        <v>0</v>
      </c>
      <c r="Q318" s="252">
        <v>2</v>
      </c>
      <c r="R318" s="252">
        <v>2</v>
      </c>
      <c r="S318" s="252">
        <v>4</v>
      </c>
      <c r="T318" s="252">
        <v>2</v>
      </c>
      <c r="U318" s="252">
        <v>2</v>
      </c>
      <c r="V318" s="252">
        <v>2</v>
      </c>
      <c r="W318" s="252">
        <v>2</v>
      </c>
      <c r="X318" s="252">
        <v>2</v>
      </c>
      <c r="Y318" s="252">
        <v>33</v>
      </c>
    </row>
    <row r="319" spans="1:25" x14ac:dyDescent="0.3">
      <c r="A319" s="253" t="s">
        <v>2</v>
      </c>
      <c r="B319" s="252">
        <v>2</v>
      </c>
      <c r="C319" s="252">
        <v>0</v>
      </c>
      <c r="D319" s="252">
        <v>0</v>
      </c>
      <c r="E319" s="252">
        <v>2</v>
      </c>
      <c r="F319" s="252">
        <v>2</v>
      </c>
      <c r="G319" s="252">
        <v>1</v>
      </c>
      <c r="H319" s="252">
        <v>2</v>
      </c>
      <c r="I319" s="252">
        <v>0</v>
      </c>
      <c r="J319" s="252">
        <v>2</v>
      </c>
      <c r="K319" s="252">
        <v>0</v>
      </c>
      <c r="L319" s="252">
        <v>2</v>
      </c>
      <c r="M319" s="252">
        <v>0</v>
      </c>
      <c r="N319" s="252">
        <v>0</v>
      </c>
      <c r="O319" s="252">
        <v>1</v>
      </c>
      <c r="P319" s="252">
        <v>1</v>
      </c>
      <c r="Q319" s="252">
        <v>3</v>
      </c>
      <c r="R319" s="252">
        <v>3</v>
      </c>
      <c r="S319" s="252">
        <v>2</v>
      </c>
      <c r="T319" s="252">
        <v>1</v>
      </c>
      <c r="U319" s="252">
        <v>1</v>
      </c>
      <c r="V319" s="252">
        <v>2</v>
      </c>
      <c r="W319" s="252">
        <v>1</v>
      </c>
      <c r="X319" s="252">
        <v>1</v>
      </c>
      <c r="Y319" s="252">
        <v>29</v>
      </c>
    </row>
    <row r="320" spans="1:25" x14ac:dyDescent="0.3">
      <c r="A320" s="253" t="s">
        <v>345</v>
      </c>
      <c r="B320" s="252">
        <v>0</v>
      </c>
      <c r="C320" s="252">
        <v>0</v>
      </c>
      <c r="D320" s="252">
        <v>0</v>
      </c>
      <c r="E320" s="252">
        <v>0</v>
      </c>
      <c r="F320" s="252">
        <v>0</v>
      </c>
      <c r="G320" s="252">
        <v>0</v>
      </c>
      <c r="H320" s="252">
        <v>0</v>
      </c>
      <c r="I320" s="252"/>
      <c r="J320" s="252"/>
      <c r="K320" s="252">
        <v>0</v>
      </c>
      <c r="L320" s="252"/>
      <c r="M320" s="252">
        <v>0</v>
      </c>
      <c r="N320" s="252">
        <v>0</v>
      </c>
      <c r="O320" s="252">
        <v>0</v>
      </c>
      <c r="P320" s="252"/>
      <c r="Q320" s="252">
        <v>0</v>
      </c>
      <c r="R320" s="252"/>
      <c r="S320" s="252"/>
      <c r="T320" s="252">
        <v>0</v>
      </c>
      <c r="U320" s="252"/>
      <c r="V320" s="252">
        <v>0</v>
      </c>
      <c r="W320" s="252">
        <v>0</v>
      </c>
      <c r="X320" s="252"/>
      <c r="Y320" s="252">
        <v>0</v>
      </c>
    </row>
    <row r="321" spans="1:25" x14ac:dyDescent="0.3">
      <c r="A321" s="253" t="s">
        <v>346</v>
      </c>
      <c r="B321" s="252">
        <v>0</v>
      </c>
      <c r="C321" s="252">
        <v>0</v>
      </c>
      <c r="D321" s="252">
        <v>0</v>
      </c>
      <c r="E321" s="252">
        <v>0</v>
      </c>
      <c r="F321" s="252">
        <v>0</v>
      </c>
      <c r="G321" s="252">
        <v>0</v>
      </c>
      <c r="H321" s="252">
        <v>0</v>
      </c>
      <c r="I321" s="252"/>
      <c r="J321" s="252"/>
      <c r="K321" s="252">
        <v>0</v>
      </c>
      <c r="L321" s="252"/>
      <c r="M321" s="252">
        <v>0</v>
      </c>
      <c r="N321" s="252">
        <v>0</v>
      </c>
      <c r="O321" s="252">
        <v>0</v>
      </c>
      <c r="P321" s="252"/>
      <c r="Q321" s="252">
        <v>0</v>
      </c>
      <c r="R321" s="252"/>
      <c r="S321" s="252"/>
      <c r="T321" s="252">
        <v>0</v>
      </c>
      <c r="U321" s="252"/>
      <c r="V321" s="252">
        <v>0</v>
      </c>
      <c r="W321" s="252">
        <v>0</v>
      </c>
      <c r="X321" s="252"/>
      <c r="Y321" s="252">
        <v>0</v>
      </c>
    </row>
    <row r="322" spans="1:25" x14ac:dyDescent="0.3">
      <c r="A322" s="253" t="s">
        <v>347</v>
      </c>
      <c r="B322" s="252">
        <v>0</v>
      </c>
      <c r="C322" s="252">
        <v>0</v>
      </c>
      <c r="D322" s="252">
        <v>0</v>
      </c>
      <c r="E322" s="252">
        <v>0</v>
      </c>
      <c r="F322" s="252">
        <v>0</v>
      </c>
      <c r="G322" s="252">
        <v>0</v>
      </c>
      <c r="H322" s="252">
        <v>0</v>
      </c>
      <c r="I322" s="252"/>
      <c r="J322" s="252"/>
      <c r="K322" s="252">
        <v>0</v>
      </c>
      <c r="L322" s="252"/>
      <c r="M322" s="252">
        <v>0</v>
      </c>
      <c r="N322" s="252">
        <v>0</v>
      </c>
      <c r="O322" s="252">
        <v>0</v>
      </c>
      <c r="P322" s="252"/>
      <c r="Q322" s="252">
        <v>0</v>
      </c>
      <c r="R322" s="252"/>
      <c r="S322" s="252"/>
      <c r="T322" s="252">
        <v>0</v>
      </c>
      <c r="U322" s="252"/>
      <c r="V322" s="252">
        <v>0</v>
      </c>
      <c r="W322" s="252">
        <v>0</v>
      </c>
      <c r="X322" s="252"/>
      <c r="Y322" s="252">
        <v>0</v>
      </c>
    </row>
    <row r="323" spans="1:25" x14ac:dyDescent="0.3">
      <c r="A323" s="253" t="s">
        <v>348</v>
      </c>
      <c r="B323" s="252">
        <v>0</v>
      </c>
      <c r="C323" s="252">
        <v>0</v>
      </c>
      <c r="D323" s="252">
        <v>0</v>
      </c>
      <c r="E323" s="252">
        <v>0</v>
      </c>
      <c r="F323" s="252">
        <v>0</v>
      </c>
      <c r="G323" s="252">
        <v>0</v>
      </c>
      <c r="H323" s="252">
        <v>0</v>
      </c>
      <c r="I323" s="252"/>
      <c r="J323" s="252"/>
      <c r="K323" s="252">
        <v>0</v>
      </c>
      <c r="L323" s="252"/>
      <c r="M323" s="252">
        <v>0</v>
      </c>
      <c r="N323" s="252">
        <v>0</v>
      </c>
      <c r="O323" s="252">
        <v>0</v>
      </c>
      <c r="P323" s="252"/>
      <c r="Q323" s="252">
        <v>0</v>
      </c>
      <c r="R323" s="252"/>
      <c r="S323" s="252"/>
      <c r="T323" s="252">
        <v>0</v>
      </c>
      <c r="U323" s="252"/>
      <c r="V323" s="252">
        <v>0</v>
      </c>
      <c r="W323" s="252">
        <v>0</v>
      </c>
      <c r="X323" s="252"/>
      <c r="Y323" s="252">
        <v>0</v>
      </c>
    </row>
    <row r="324" spans="1:25" x14ac:dyDescent="0.3">
      <c r="A324" s="253" t="s">
        <v>923</v>
      </c>
      <c r="B324" s="252">
        <v>0</v>
      </c>
      <c r="C324" s="252">
        <v>0</v>
      </c>
      <c r="D324" s="252">
        <v>0</v>
      </c>
      <c r="E324" s="252">
        <v>0</v>
      </c>
      <c r="F324" s="252">
        <v>0</v>
      </c>
      <c r="G324" s="252">
        <v>0</v>
      </c>
      <c r="H324" s="252">
        <v>0</v>
      </c>
      <c r="I324" s="252">
        <v>0</v>
      </c>
      <c r="J324" s="252">
        <v>0</v>
      </c>
      <c r="K324" s="252">
        <v>0</v>
      </c>
      <c r="L324" s="252"/>
      <c r="M324" s="252">
        <v>0</v>
      </c>
      <c r="N324" s="252">
        <v>0</v>
      </c>
      <c r="O324" s="252">
        <v>0</v>
      </c>
      <c r="P324" s="252"/>
      <c r="Q324" s="252">
        <v>0</v>
      </c>
      <c r="R324" s="252">
        <v>0</v>
      </c>
      <c r="S324" s="252">
        <v>0</v>
      </c>
      <c r="T324" s="252">
        <v>0</v>
      </c>
      <c r="U324" s="252">
        <v>0</v>
      </c>
      <c r="V324" s="252">
        <v>0</v>
      </c>
      <c r="W324" s="252">
        <v>0</v>
      </c>
      <c r="X324" s="252"/>
      <c r="Y324" s="252">
        <v>0</v>
      </c>
    </row>
    <row r="325" spans="1:25" x14ac:dyDescent="0.3">
      <c r="A325" s="253" t="s">
        <v>349</v>
      </c>
      <c r="B325" s="252">
        <v>0</v>
      </c>
      <c r="C325" s="252">
        <v>0</v>
      </c>
      <c r="D325" s="252">
        <v>0</v>
      </c>
      <c r="E325" s="252">
        <v>0</v>
      </c>
      <c r="F325" s="252">
        <v>0</v>
      </c>
      <c r="G325" s="252">
        <v>0</v>
      </c>
      <c r="H325" s="252">
        <v>0</v>
      </c>
      <c r="I325" s="252">
        <v>0</v>
      </c>
      <c r="J325" s="252">
        <v>0</v>
      </c>
      <c r="K325" s="252">
        <v>0</v>
      </c>
      <c r="L325" s="252"/>
      <c r="M325" s="252">
        <v>0</v>
      </c>
      <c r="N325" s="252">
        <v>0</v>
      </c>
      <c r="O325" s="252">
        <v>0</v>
      </c>
      <c r="P325" s="252"/>
      <c r="Q325" s="252">
        <v>0</v>
      </c>
      <c r="R325" s="252"/>
      <c r="S325" s="252">
        <v>0</v>
      </c>
      <c r="T325" s="252">
        <v>0</v>
      </c>
      <c r="U325" s="252"/>
      <c r="V325" s="252">
        <v>0</v>
      </c>
      <c r="W325" s="252">
        <v>0</v>
      </c>
      <c r="X325" s="252"/>
      <c r="Y325" s="252">
        <v>0</v>
      </c>
    </row>
    <row r="326" spans="1:25" x14ac:dyDescent="0.3">
      <c r="A326" s="253" t="s">
        <v>350</v>
      </c>
      <c r="B326" s="252">
        <v>0</v>
      </c>
      <c r="C326" s="252">
        <v>0</v>
      </c>
      <c r="D326" s="252">
        <v>0</v>
      </c>
      <c r="E326" s="252">
        <v>0</v>
      </c>
      <c r="F326" s="252">
        <v>0</v>
      </c>
      <c r="G326" s="252">
        <v>0</v>
      </c>
      <c r="H326" s="252">
        <v>0</v>
      </c>
      <c r="I326" s="252">
        <v>0</v>
      </c>
      <c r="J326" s="252">
        <v>0</v>
      </c>
      <c r="K326" s="252">
        <v>0</v>
      </c>
      <c r="L326" s="252"/>
      <c r="M326" s="252">
        <v>0</v>
      </c>
      <c r="N326" s="252">
        <v>0</v>
      </c>
      <c r="O326" s="252">
        <v>0</v>
      </c>
      <c r="P326" s="252"/>
      <c r="Q326" s="252">
        <v>0</v>
      </c>
      <c r="R326" s="252"/>
      <c r="S326" s="252">
        <v>0</v>
      </c>
      <c r="T326" s="252">
        <v>0</v>
      </c>
      <c r="U326" s="252"/>
      <c r="V326" s="252">
        <v>0</v>
      </c>
      <c r="W326" s="252">
        <v>0</v>
      </c>
      <c r="X326" s="252"/>
      <c r="Y326" s="252">
        <v>0</v>
      </c>
    </row>
    <row r="327" spans="1:25" x14ac:dyDescent="0.3">
      <c r="A327" s="253" t="s">
        <v>992</v>
      </c>
      <c r="B327" s="252">
        <v>0</v>
      </c>
      <c r="C327" s="252">
        <v>0</v>
      </c>
      <c r="D327" s="252">
        <v>0</v>
      </c>
      <c r="E327" s="252">
        <v>0</v>
      </c>
      <c r="F327" s="252">
        <v>0</v>
      </c>
      <c r="G327" s="252">
        <v>0</v>
      </c>
      <c r="H327" s="252">
        <v>0</v>
      </c>
      <c r="I327" s="252">
        <v>0</v>
      </c>
      <c r="J327" s="252">
        <v>0</v>
      </c>
      <c r="K327" s="252">
        <v>0</v>
      </c>
      <c r="L327" s="252"/>
      <c r="M327" s="252">
        <v>0</v>
      </c>
      <c r="N327" s="252">
        <v>0</v>
      </c>
      <c r="O327" s="252">
        <v>0</v>
      </c>
      <c r="P327" s="252">
        <v>0</v>
      </c>
      <c r="Q327" s="252">
        <v>0</v>
      </c>
      <c r="R327" s="252">
        <v>0</v>
      </c>
      <c r="S327" s="252">
        <v>0</v>
      </c>
      <c r="T327" s="252">
        <v>0</v>
      </c>
      <c r="U327" s="252">
        <v>0</v>
      </c>
      <c r="V327" s="252">
        <v>0</v>
      </c>
      <c r="W327" s="252">
        <v>0</v>
      </c>
      <c r="X327" s="252"/>
      <c r="Y327" s="252">
        <v>0</v>
      </c>
    </row>
    <row r="328" spans="1:25" x14ac:dyDescent="0.3">
      <c r="A328" s="253" t="s">
        <v>351</v>
      </c>
      <c r="B328" s="252">
        <v>0</v>
      </c>
      <c r="C328" s="252">
        <v>0</v>
      </c>
      <c r="D328" s="252">
        <v>0</v>
      </c>
      <c r="E328" s="252">
        <v>0</v>
      </c>
      <c r="F328" s="252">
        <v>0</v>
      </c>
      <c r="G328" s="252">
        <v>0</v>
      </c>
      <c r="H328" s="252">
        <v>0</v>
      </c>
      <c r="I328" s="252">
        <v>0</v>
      </c>
      <c r="J328" s="252">
        <v>0</v>
      </c>
      <c r="K328" s="252">
        <v>0</v>
      </c>
      <c r="L328" s="252"/>
      <c r="M328" s="252">
        <v>0</v>
      </c>
      <c r="N328" s="252">
        <v>0</v>
      </c>
      <c r="O328" s="252">
        <v>0</v>
      </c>
      <c r="P328" s="252">
        <v>0</v>
      </c>
      <c r="Q328" s="252">
        <v>0</v>
      </c>
      <c r="R328" s="252">
        <v>0</v>
      </c>
      <c r="S328" s="252">
        <v>0</v>
      </c>
      <c r="T328" s="252">
        <v>0</v>
      </c>
      <c r="U328" s="252">
        <v>0</v>
      </c>
      <c r="V328" s="252">
        <v>0</v>
      </c>
      <c r="W328" s="252">
        <v>0</v>
      </c>
      <c r="X328" s="252">
        <v>0</v>
      </c>
      <c r="Y328" s="252">
        <v>0</v>
      </c>
    </row>
    <row r="329" spans="1:25" x14ac:dyDescent="0.3">
      <c r="A329" s="253" t="s">
        <v>352</v>
      </c>
      <c r="B329" s="252">
        <v>0</v>
      </c>
      <c r="C329" s="252">
        <v>0</v>
      </c>
      <c r="D329" s="252">
        <v>0</v>
      </c>
      <c r="E329" s="252">
        <v>0</v>
      </c>
      <c r="F329" s="252">
        <v>0</v>
      </c>
      <c r="G329" s="252">
        <v>0</v>
      </c>
      <c r="H329" s="252">
        <v>0</v>
      </c>
      <c r="I329" s="252"/>
      <c r="J329" s="252"/>
      <c r="K329" s="252">
        <v>0</v>
      </c>
      <c r="L329" s="252"/>
      <c r="M329" s="252">
        <v>0</v>
      </c>
      <c r="N329" s="252">
        <v>0</v>
      </c>
      <c r="O329" s="252">
        <v>0</v>
      </c>
      <c r="P329" s="252"/>
      <c r="Q329" s="252">
        <v>0</v>
      </c>
      <c r="R329" s="252"/>
      <c r="S329" s="252">
        <v>0</v>
      </c>
      <c r="T329" s="252">
        <v>0</v>
      </c>
      <c r="U329" s="252"/>
      <c r="V329" s="252">
        <v>0</v>
      </c>
      <c r="W329" s="252">
        <v>0</v>
      </c>
      <c r="X329" s="252"/>
      <c r="Y329" s="252">
        <v>0</v>
      </c>
    </row>
    <row r="330" spans="1:25" x14ac:dyDescent="0.3">
      <c r="A330" s="253" t="s">
        <v>353</v>
      </c>
      <c r="B330" s="252">
        <v>0</v>
      </c>
      <c r="C330" s="252">
        <v>0</v>
      </c>
      <c r="D330" s="252">
        <v>0</v>
      </c>
      <c r="E330" s="252">
        <v>0</v>
      </c>
      <c r="F330" s="252">
        <v>0</v>
      </c>
      <c r="G330" s="252">
        <v>0</v>
      </c>
      <c r="H330" s="252">
        <v>0</v>
      </c>
      <c r="I330" s="252"/>
      <c r="J330" s="252"/>
      <c r="K330" s="252">
        <v>0</v>
      </c>
      <c r="L330" s="252"/>
      <c r="M330" s="252">
        <v>0</v>
      </c>
      <c r="N330" s="252">
        <v>0</v>
      </c>
      <c r="O330" s="252">
        <v>0</v>
      </c>
      <c r="P330" s="252"/>
      <c r="Q330" s="252">
        <v>0</v>
      </c>
      <c r="R330" s="252"/>
      <c r="S330" s="252">
        <v>0</v>
      </c>
      <c r="T330" s="252">
        <v>0</v>
      </c>
      <c r="U330" s="252"/>
      <c r="V330" s="252">
        <v>0</v>
      </c>
      <c r="W330" s="252">
        <v>0</v>
      </c>
      <c r="X330" s="252"/>
      <c r="Y330" s="252">
        <v>0</v>
      </c>
    </row>
    <row r="331" spans="1:25" x14ac:dyDescent="0.3">
      <c r="A331" s="253" t="s">
        <v>354</v>
      </c>
      <c r="B331" s="252">
        <v>0</v>
      </c>
      <c r="C331" s="252">
        <v>0</v>
      </c>
      <c r="D331" s="252">
        <v>0</v>
      </c>
      <c r="E331" s="252">
        <v>0</v>
      </c>
      <c r="F331" s="252">
        <v>0</v>
      </c>
      <c r="G331" s="252">
        <v>0</v>
      </c>
      <c r="H331" s="252">
        <v>0</v>
      </c>
      <c r="I331" s="252"/>
      <c r="J331" s="252">
        <v>0</v>
      </c>
      <c r="K331" s="252">
        <v>0</v>
      </c>
      <c r="L331" s="252"/>
      <c r="M331" s="252">
        <v>0</v>
      </c>
      <c r="N331" s="252">
        <v>0</v>
      </c>
      <c r="O331" s="252">
        <v>0</v>
      </c>
      <c r="P331" s="252"/>
      <c r="Q331" s="252">
        <v>0</v>
      </c>
      <c r="R331" s="252"/>
      <c r="S331" s="252">
        <v>0</v>
      </c>
      <c r="T331" s="252">
        <v>0</v>
      </c>
      <c r="U331" s="252"/>
      <c r="V331" s="252">
        <v>0</v>
      </c>
      <c r="W331" s="252">
        <v>0</v>
      </c>
      <c r="X331" s="252"/>
      <c r="Y331" s="252">
        <v>0</v>
      </c>
    </row>
    <row r="332" spans="1:25" x14ac:dyDescent="0.3">
      <c r="A332" s="253" t="s">
        <v>823</v>
      </c>
      <c r="B332" s="252">
        <v>0</v>
      </c>
      <c r="C332" s="252">
        <v>0</v>
      </c>
      <c r="D332" s="252">
        <v>0</v>
      </c>
      <c r="E332" s="252">
        <v>0</v>
      </c>
      <c r="F332" s="252">
        <v>0</v>
      </c>
      <c r="G332" s="252">
        <v>0</v>
      </c>
      <c r="H332" s="252">
        <v>0</v>
      </c>
      <c r="I332" s="252">
        <v>0</v>
      </c>
      <c r="J332" s="252">
        <v>0</v>
      </c>
      <c r="K332" s="252">
        <v>0</v>
      </c>
      <c r="L332" s="252">
        <v>0</v>
      </c>
      <c r="M332" s="252">
        <v>0</v>
      </c>
      <c r="N332" s="252">
        <v>0</v>
      </c>
      <c r="O332" s="252">
        <v>0</v>
      </c>
      <c r="P332" s="252">
        <v>0</v>
      </c>
      <c r="Q332" s="252">
        <v>0</v>
      </c>
      <c r="R332" s="252">
        <v>0</v>
      </c>
      <c r="S332" s="252">
        <v>0</v>
      </c>
      <c r="T332" s="252">
        <v>0</v>
      </c>
      <c r="U332" s="252">
        <v>0</v>
      </c>
      <c r="V332" s="252">
        <v>0</v>
      </c>
      <c r="W332" s="252">
        <v>0</v>
      </c>
      <c r="X332" s="252">
        <v>0</v>
      </c>
      <c r="Y332" s="252">
        <v>0</v>
      </c>
    </row>
    <row r="333" spans="1:25" x14ac:dyDescent="0.3">
      <c r="A333" s="253" t="s">
        <v>355</v>
      </c>
      <c r="B333" s="252">
        <v>0</v>
      </c>
      <c r="C333" s="252">
        <v>0</v>
      </c>
      <c r="D333" s="252">
        <v>0</v>
      </c>
      <c r="E333" s="252">
        <v>0</v>
      </c>
      <c r="F333" s="252">
        <v>0</v>
      </c>
      <c r="G333" s="252">
        <v>0</v>
      </c>
      <c r="H333" s="252">
        <v>0</v>
      </c>
      <c r="I333" s="252"/>
      <c r="J333" s="252"/>
      <c r="K333" s="252">
        <v>0</v>
      </c>
      <c r="L333" s="252"/>
      <c r="M333" s="252">
        <v>0</v>
      </c>
      <c r="N333" s="252">
        <v>0</v>
      </c>
      <c r="O333" s="252">
        <v>0</v>
      </c>
      <c r="P333" s="252"/>
      <c r="Q333" s="252">
        <v>0</v>
      </c>
      <c r="R333" s="252"/>
      <c r="S333" s="252">
        <v>0</v>
      </c>
      <c r="T333" s="252">
        <v>0</v>
      </c>
      <c r="U333" s="252"/>
      <c r="V333" s="252">
        <v>0</v>
      </c>
      <c r="W333" s="252">
        <v>0</v>
      </c>
      <c r="X333" s="252"/>
      <c r="Y333" s="252">
        <v>0</v>
      </c>
    </row>
    <row r="334" spans="1:25" x14ac:dyDescent="0.3">
      <c r="A334" s="253" t="s">
        <v>356</v>
      </c>
      <c r="B334" s="252">
        <v>0</v>
      </c>
      <c r="C334" s="252">
        <v>0</v>
      </c>
      <c r="D334" s="252">
        <v>0</v>
      </c>
      <c r="E334" s="252">
        <v>0</v>
      </c>
      <c r="F334" s="252">
        <v>0</v>
      </c>
      <c r="G334" s="252">
        <v>0</v>
      </c>
      <c r="H334" s="252">
        <v>0</v>
      </c>
      <c r="I334" s="252"/>
      <c r="J334" s="252"/>
      <c r="K334" s="252">
        <v>0</v>
      </c>
      <c r="L334" s="252"/>
      <c r="M334" s="252">
        <v>0</v>
      </c>
      <c r="N334" s="252">
        <v>0</v>
      </c>
      <c r="O334" s="252">
        <v>0</v>
      </c>
      <c r="P334" s="252"/>
      <c r="Q334" s="252">
        <v>0</v>
      </c>
      <c r="R334" s="252"/>
      <c r="S334" s="252"/>
      <c r="T334" s="252">
        <v>0</v>
      </c>
      <c r="U334" s="252"/>
      <c r="V334" s="252">
        <v>0</v>
      </c>
      <c r="W334" s="252">
        <v>0</v>
      </c>
      <c r="X334" s="252"/>
      <c r="Y334" s="252">
        <v>0</v>
      </c>
    </row>
    <row r="335" spans="1:25" x14ac:dyDescent="0.3">
      <c r="A335" s="253" t="s">
        <v>85</v>
      </c>
      <c r="B335" s="252">
        <v>2</v>
      </c>
      <c r="C335" s="252">
        <v>3</v>
      </c>
      <c r="D335" s="252">
        <v>0</v>
      </c>
      <c r="E335" s="252">
        <v>3</v>
      </c>
      <c r="F335" s="252">
        <v>1</v>
      </c>
      <c r="G335" s="252">
        <v>0</v>
      </c>
      <c r="H335" s="252">
        <v>0</v>
      </c>
      <c r="I335" s="252">
        <v>0</v>
      </c>
      <c r="J335" s="252">
        <v>4</v>
      </c>
      <c r="K335" s="252">
        <v>0</v>
      </c>
      <c r="L335" s="252">
        <v>1</v>
      </c>
      <c r="M335" s="252">
        <v>3</v>
      </c>
      <c r="N335" s="252">
        <v>1</v>
      </c>
      <c r="O335" s="252">
        <v>2</v>
      </c>
      <c r="P335" s="252">
        <v>3</v>
      </c>
      <c r="Q335" s="252">
        <v>2</v>
      </c>
      <c r="R335" s="252">
        <v>5</v>
      </c>
      <c r="S335" s="252">
        <v>0</v>
      </c>
      <c r="T335" s="252">
        <v>0</v>
      </c>
      <c r="U335" s="252">
        <v>1</v>
      </c>
      <c r="V335" s="252">
        <v>3</v>
      </c>
      <c r="W335" s="252">
        <v>1</v>
      </c>
      <c r="X335" s="252">
        <v>6</v>
      </c>
      <c r="Y335" s="252">
        <v>41</v>
      </c>
    </row>
    <row r="336" spans="1:25" x14ac:dyDescent="0.3">
      <c r="A336" s="253" t="s">
        <v>357</v>
      </c>
      <c r="B336" s="252">
        <v>0</v>
      </c>
      <c r="C336" s="252">
        <v>0</v>
      </c>
      <c r="D336" s="252">
        <v>0</v>
      </c>
      <c r="E336" s="252">
        <v>0</v>
      </c>
      <c r="F336" s="252">
        <v>0</v>
      </c>
      <c r="G336" s="252">
        <v>0</v>
      </c>
      <c r="H336" s="252">
        <v>0</v>
      </c>
      <c r="I336" s="252"/>
      <c r="J336" s="252"/>
      <c r="K336" s="252">
        <v>0</v>
      </c>
      <c r="L336" s="252"/>
      <c r="M336" s="252">
        <v>0</v>
      </c>
      <c r="N336" s="252">
        <v>0</v>
      </c>
      <c r="O336" s="252">
        <v>0</v>
      </c>
      <c r="P336" s="252"/>
      <c r="Q336" s="252">
        <v>0</v>
      </c>
      <c r="R336" s="252"/>
      <c r="S336" s="252"/>
      <c r="T336" s="252">
        <v>0</v>
      </c>
      <c r="U336" s="252"/>
      <c r="V336" s="252">
        <v>0</v>
      </c>
      <c r="W336" s="252">
        <v>0</v>
      </c>
      <c r="X336" s="252"/>
      <c r="Y336" s="252">
        <v>0</v>
      </c>
    </row>
    <row r="337" spans="1:25" x14ac:dyDescent="0.3">
      <c r="A337" s="253" t="s">
        <v>358</v>
      </c>
      <c r="B337" s="252">
        <v>0</v>
      </c>
      <c r="C337" s="252">
        <v>0</v>
      </c>
      <c r="D337" s="252">
        <v>0</v>
      </c>
      <c r="E337" s="252">
        <v>0</v>
      </c>
      <c r="F337" s="252">
        <v>0</v>
      </c>
      <c r="G337" s="252">
        <v>0</v>
      </c>
      <c r="H337" s="252">
        <v>0</v>
      </c>
      <c r="I337" s="252"/>
      <c r="J337" s="252"/>
      <c r="K337" s="252">
        <v>0</v>
      </c>
      <c r="L337" s="252"/>
      <c r="M337" s="252">
        <v>0</v>
      </c>
      <c r="N337" s="252">
        <v>0</v>
      </c>
      <c r="O337" s="252">
        <v>0</v>
      </c>
      <c r="P337" s="252"/>
      <c r="Q337" s="252">
        <v>0</v>
      </c>
      <c r="R337" s="252"/>
      <c r="S337" s="252"/>
      <c r="T337" s="252">
        <v>0</v>
      </c>
      <c r="U337" s="252"/>
      <c r="V337" s="252">
        <v>0</v>
      </c>
      <c r="W337" s="252">
        <v>0</v>
      </c>
      <c r="X337" s="252"/>
      <c r="Y337" s="252">
        <v>0</v>
      </c>
    </row>
    <row r="338" spans="1:25" x14ac:dyDescent="0.3">
      <c r="A338" s="253" t="s">
        <v>1086</v>
      </c>
      <c r="B338" s="252">
        <v>0</v>
      </c>
      <c r="C338" s="252">
        <v>0</v>
      </c>
      <c r="D338" s="252">
        <v>0</v>
      </c>
      <c r="E338" s="252">
        <v>0</v>
      </c>
      <c r="F338" s="252">
        <v>0</v>
      </c>
      <c r="G338" s="252">
        <v>0</v>
      </c>
      <c r="H338" s="252">
        <v>0</v>
      </c>
      <c r="I338" s="252"/>
      <c r="J338" s="252">
        <v>0</v>
      </c>
      <c r="K338" s="252">
        <v>0</v>
      </c>
      <c r="L338" s="252"/>
      <c r="M338" s="252">
        <v>0</v>
      </c>
      <c r="N338" s="252">
        <v>0</v>
      </c>
      <c r="O338" s="252">
        <v>0</v>
      </c>
      <c r="P338" s="252"/>
      <c r="Q338" s="252">
        <v>0</v>
      </c>
      <c r="R338" s="252"/>
      <c r="S338" s="252">
        <v>0</v>
      </c>
      <c r="T338" s="252">
        <v>0</v>
      </c>
      <c r="U338" s="252"/>
      <c r="V338" s="252">
        <v>0</v>
      </c>
      <c r="W338" s="252">
        <v>0</v>
      </c>
      <c r="X338" s="252"/>
      <c r="Y338" s="252">
        <v>0</v>
      </c>
    </row>
    <row r="339" spans="1:25" x14ac:dyDescent="0.3">
      <c r="A339" s="253" t="s">
        <v>359</v>
      </c>
      <c r="B339" s="252">
        <v>0</v>
      </c>
      <c r="C339" s="252">
        <v>0</v>
      </c>
      <c r="D339" s="252">
        <v>0</v>
      </c>
      <c r="E339" s="252">
        <v>0</v>
      </c>
      <c r="F339" s="252">
        <v>0</v>
      </c>
      <c r="G339" s="252">
        <v>0</v>
      </c>
      <c r="H339" s="252">
        <v>0</v>
      </c>
      <c r="I339" s="252"/>
      <c r="J339" s="252"/>
      <c r="K339" s="252">
        <v>0</v>
      </c>
      <c r="L339" s="252"/>
      <c r="M339" s="252">
        <v>0</v>
      </c>
      <c r="N339" s="252">
        <v>0</v>
      </c>
      <c r="O339" s="252">
        <v>0</v>
      </c>
      <c r="P339" s="252"/>
      <c r="Q339" s="252">
        <v>0</v>
      </c>
      <c r="R339" s="252"/>
      <c r="S339" s="252">
        <v>0</v>
      </c>
      <c r="T339" s="252">
        <v>0</v>
      </c>
      <c r="U339" s="252"/>
      <c r="V339" s="252">
        <v>0</v>
      </c>
      <c r="W339" s="252">
        <v>0</v>
      </c>
      <c r="X339" s="252"/>
      <c r="Y339" s="252">
        <v>0</v>
      </c>
    </row>
    <row r="340" spans="1:25" x14ac:dyDescent="0.3">
      <c r="A340" s="253" t="s">
        <v>360</v>
      </c>
      <c r="B340" s="252">
        <v>0</v>
      </c>
      <c r="C340" s="252">
        <v>0</v>
      </c>
      <c r="D340" s="252">
        <v>0</v>
      </c>
      <c r="E340" s="252">
        <v>0</v>
      </c>
      <c r="F340" s="252">
        <v>0</v>
      </c>
      <c r="G340" s="252">
        <v>0</v>
      </c>
      <c r="H340" s="252">
        <v>0</v>
      </c>
      <c r="I340" s="252"/>
      <c r="J340" s="252">
        <v>0</v>
      </c>
      <c r="K340" s="252">
        <v>0</v>
      </c>
      <c r="L340" s="252"/>
      <c r="M340" s="252">
        <v>0</v>
      </c>
      <c r="N340" s="252">
        <v>0</v>
      </c>
      <c r="O340" s="252">
        <v>0</v>
      </c>
      <c r="P340" s="252"/>
      <c r="Q340" s="252">
        <v>0</v>
      </c>
      <c r="R340" s="252"/>
      <c r="S340" s="252">
        <v>0</v>
      </c>
      <c r="T340" s="252">
        <v>0</v>
      </c>
      <c r="U340" s="252"/>
      <c r="V340" s="252">
        <v>0</v>
      </c>
      <c r="W340" s="252">
        <v>0</v>
      </c>
      <c r="X340" s="252"/>
      <c r="Y340" s="252">
        <v>0</v>
      </c>
    </row>
    <row r="341" spans="1:25" x14ac:dyDescent="0.3">
      <c r="A341" s="253" t="s">
        <v>16</v>
      </c>
      <c r="B341" s="252">
        <v>1</v>
      </c>
      <c r="C341" s="252">
        <v>3</v>
      </c>
      <c r="D341" s="252">
        <v>0</v>
      </c>
      <c r="E341" s="252">
        <v>2</v>
      </c>
      <c r="F341" s="252">
        <v>1</v>
      </c>
      <c r="G341" s="252">
        <v>0</v>
      </c>
      <c r="H341" s="252">
        <v>1</v>
      </c>
      <c r="I341" s="252">
        <v>0</v>
      </c>
      <c r="J341" s="252">
        <v>1</v>
      </c>
      <c r="K341" s="252">
        <v>1</v>
      </c>
      <c r="L341" s="252">
        <v>2</v>
      </c>
      <c r="M341" s="252">
        <v>1</v>
      </c>
      <c r="N341" s="252">
        <v>1</v>
      </c>
      <c r="O341" s="252">
        <v>3</v>
      </c>
      <c r="P341" s="252">
        <v>2</v>
      </c>
      <c r="Q341" s="252">
        <v>4</v>
      </c>
      <c r="R341" s="252">
        <v>3</v>
      </c>
      <c r="S341" s="252">
        <v>1</v>
      </c>
      <c r="T341" s="252">
        <v>2</v>
      </c>
      <c r="U341" s="252">
        <v>0</v>
      </c>
      <c r="V341" s="252">
        <v>1</v>
      </c>
      <c r="W341" s="252">
        <v>2</v>
      </c>
      <c r="X341" s="252">
        <v>2</v>
      </c>
      <c r="Y341" s="252">
        <v>34</v>
      </c>
    </row>
    <row r="342" spans="1:25" x14ac:dyDescent="0.3">
      <c r="A342" s="253" t="s">
        <v>361</v>
      </c>
      <c r="B342" s="252">
        <v>0</v>
      </c>
      <c r="C342" s="252">
        <v>0</v>
      </c>
      <c r="D342" s="252">
        <v>0</v>
      </c>
      <c r="E342" s="252">
        <v>0</v>
      </c>
      <c r="F342" s="252">
        <v>0</v>
      </c>
      <c r="G342" s="252">
        <v>0</v>
      </c>
      <c r="H342" s="252">
        <v>0</v>
      </c>
      <c r="I342" s="252"/>
      <c r="J342" s="252">
        <v>0</v>
      </c>
      <c r="K342" s="252">
        <v>0</v>
      </c>
      <c r="L342" s="252"/>
      <c r="M342" s="252">
        <v>0</v>
      </c>
      <c r="N342" s="252">
        <v>0</v>
      </c>
      <c r="O342" s="252">
        <v>0</v>
      </c>
      <c r="P342" s="252"/>
      <c r="Q342" s="252">
        <v>0</v>
      </c>
      <c r="R342" s="252"/>
      <c r="S342" s="252">
        <v>0</v>
      </c>
      <c r="T342" s="252">
        <v>0</v>
      </c>
      <c r="U342" s="252"/>
      <c r="V342" s="252">
        <v>0</v>
      </c>
      <c r="W342" s="252">
        <v>0</v>
      </c>
      <c r="X342" s="252"/>
      <c r="Y342" s="252">
        <v>0</v>
      </c>
    </row>
    <row r="343" spans="1:25" x14ac:dyDescent="0.3">
      <c r="A343" s="253" t="s">
        <v>362</v>
      </c>
      <c r="B343" s="252">
        <v>0</v>
      </c>
      <c r="C343" s="252">
        <v>0</v>
      </c>
      <c r="D343" s="252">
        <v>0</v>
      </c>
      <c r="E343" s="252">
        <v>0</v>
      </c>
      <c r="F343" s="252">
        <v>0</v>
      </c>
      <c r="G343" s="252">
        <v>0</v>
      </c>
      <c r="H343" s="252">
        <v>0</v>
      </c>
      <c r="I343" s="252"/>
      <c r="J343" s="252">
        <v>0</v>
      </c>
      <c r="K343" s="252">
        <v>0</v>
      </c>
      <c r="L343" s="252"/>
      <c r="M343" s="252">
        <v>0</v>
      </c>
      <c r="N343" s="252">
        <v>0</v>
      </c>
      <c r="O343" s="252">
        <v>0</v>
      </c>
      <c r="P343" s="252"/>
      <c r="Q343" s="252">
        <v>0</v>
      </c>
      <c r="R343" s="252"/>
      <c r="S343" s="252">
        <v>0</v>
      </c>
      <c r="T343" s="252">
        <v>0</v>
      </c>
      <c r="U343" s="252"/>
      <c r="V343" s="252">
        <v>0</v>
      </c>
      <c r="W343" s="252">
        <v>0</v>
      </c>
      <c r="X343" s="252"/>
      <c r="Y343" s="252">
        <v>0</v>
      </c>
    </row>
    <row r="344" spans="1:25" x14ac:dyDescent="0.3">
      <c r="A344" s="253" t="s">
        <v>363</v>
      </c>
      <c r="B344" s="252">
        <v>0</v>
      </c>
      <c r="C344" s="252">
        <v>0</v>
      </c>
      <c r="D344" s="252">
        <v>0</v>
      </c>
      <c r="E344" s="252">
        <v>0</v>
      </c>
      <c r="F344" s="252">
        <v>0</v>
      </c>
      <c r="G344" s="252">
        <v>0</v>
      </c>
      <c r="H344" s="252">
        <v>0</v>
      </c>
      <c r="I344" s="252"/>
      <c r="J344" s="252"/>
      <c r="K344" s="252">
        <v>0</v>
      </c>
      <c r="L344" s="252"/>
      <c r="M344" s="252">
        <v>0</v>
      </c>
      <c r="N344" s="252">
        <v>0</v>
      </c>
      <c r="O344" s="252">
        <v>0</v>
      </c>
      <c r="P344" s="252"/>
      <c r="Q344" s="252">
        <v>0</v>
      </c>
      <c r="R344" s="252"/>
      <c r="S344" s="252"/>
      <c r="T344" s="252">
        <v>0</v>
      </c>
      <c r="U344" s="252"/>
      <c r="V344" s="252">
        <v>0</v>
      </c>
      <c r="W344" s="252">
        <v>0</v>
      </c>
      <c r="X344" s="252"/>
      <c r="Y344" s="252">
        <v>0</v>
      </c>
    </row>
    <row r="345" spans="1:25" x14ac:dyDescent="0.3">
      <c r="A345" s="253" t="s">
        <v>18</v>
      </c>
      <c r="B345" s="252">
        <v>3</v>
      </c>
      <c r="C345" s="252">
        <v>2</v>
      </c>
      <c r="D345" s="252">
        <v>1</v>
      </c>
      <c r="E345" s="252">
        <v>3</v>
      </c>
      <c r="F345" s="252">
        <v>3</v>
      </c>
      <c r="G345" s="252">
        <v>0</v>
      </c>
      <c r="H345" s="252">
        <v>2</v>
      </c>
      <c r="I345" s="252">
        <v>0</v>
      </c>
      <c r="J345" s="252">
        <v>3</v>
      </c>
      <c r="K345" s="252">
        <v>2</v>
      </c>
      <c r="L345" s="252">
        <v>1</v>
      </c>
      <c r="M345" s="252">
        <v>0</v>
      </c>
      <c r="N345" s="252">
        <v>3</v>
      </c>
      <c r="O345" s="252">
        <v>3</v>
      </c>
      <c r="P345" s="252">
        <v>3</v>
      </c>
      <c r="Q345" s="252">
        <v>4</v>
      </c>
      <c r="R345" s="252">
        <v>0</v>
      </c>
      <c r="S345" s="252">
        <v>3</v>
      </c>
      <c r="T345" s="252">
        <v>2</v>
      </c>
      <c r="U345" s="252">
        <v>1</v>
      </c>
      <c r="V345" s="252">
        <v>0</v>
      </c>
      <c r="W345" s="252">
        <v>3</v>
      </c>
      <c r="X345" s="252">
        <v>2</v>
      </c>
      <c r="Y345" s="252">
        <v>44</v>
      </c>
    </row>
    <row r="346" spans="1:25" x14ac:dyDescent="0.3">
      <c r="A346" s="253" t="s">
        <v>4</v>
      </c>
      <c r="B346" s="252">
        <v>2</v>
      </c>
      <c r="C346" s="252">
        <v>3</v>
      </c>
      <c r="D346" s="252">
        <v>0</v>
      </c>
      <c r="E346" s="252">
        <v>3</v>
      </c>
      <c r="F346" s="252">
        <v>3</v>
      </c>
      <c r="G346" s="252">
        <v>2</v>
      </c>
      <c r="H346" s="252">
        <v>2</v>
      </c>
      <c r="I346" s="252">
        <v>0</v>
      </c>
      <c r="J346" s="252">
        <v>3</v>
      </c>
      <c r="K346" s="252">
        <v>1</v>
      </c>
      <c r="L346" s="252">
        <v>1</v>
      </c>
      <c r="M346" s="252">
        <v>2</v>
      </c>
      <c r="N346" s="252">
        <v>2</v>
      </c>
      <c r="O346" s="252">
        <v>1</v>
      </c>
      <c r="P346" s="252">
        <v>2</v>
      </c>
      <c r="Q346" s="252">
        <v>3</v>
      </c>
      <c r="R346" s="252">
        <v>3</v>
      </c>
      <c r="S346" s="252">
        <v>1</v>
      </c>
      <c r="T346" s="252">
        <v>0</v>
      </c>
      <c r="U346" s="252">
        <v>1</v>
      </c>
      <c r="V346" s="252">
        <v>2</v>
      </c>
      <c r="W346" s="252">
        <v>3</v>
      </c>
      <c r="X346" s="252">
        <v>1</v>
      </c>
      <c r="Y346" s="252">
        <v>41</v>
      </c>
    </row>
    <row r="347" spans="1:25" x14ac:dyDescent="0.3">
      <c r="A347" s="253" t="s">
        <v>11</v>
      </c>
      <c r="B347" s="252">
        <v>3</v>
      </c>
      <c r="C347" s="252">
        <v>2</v>
      </c>
      <c r="D347" s="252">
        <v>0</v>
      </c>
      <c r="E347" s="252">
        <v>2</v>
      </c>
      <c r="F347" s="252">
        <v>2</v>
      </c>
      <c r="G347" s="252">
        <v>1</v>
      </c>
      <c r="H347" s="252">
        <v>3</v>
      </c>
      <c r="I347" s="252">
        <v>0</v>
      </c>
      <c r="J347" s="252">
        <v>2</v>
      </c>
      <c r="K347" s="252">
        <v>1</v>
      </c>
      <c r="L347" s="252">
        <v>1</v>
      </c>
      <c r="M347" s="252">
        <v>1</v>
      </c>
      <c r="N347" s="252">
        <v>1</v>
      </c>
      <c r="O347" s="252">
        <v>3</v>
      </c>
      <c r="P347" s="252">
        <v>1</v>
      </c>
      <c r="Q347" s="252">
        <v>4</v>
      </c>
      <c r="R347" s="252">
        <v>5</v>
      </c>
      <c r="S347" s="252">
        <v>3</v>
      </c>
      <c r="T347" s="252">
        <v>0</v>
      </c>
      <c r="U347" s="252">
        <v>0</v>
      </c>
      <c r="V347" s="252">
        <v>2</v>
      </c>
      <c r="W347" s="252">
        <v>2</v>
      </c>
      <c r="X347" s="252">
        <v>3</v>
      </c>
      <c r="Y347" s="252">
        <v>42</v>
      </c>
    </row>
    <row r="348" spans="1:25" x14ac:dyDescent="0.3">
      <c r="A348" s="253" t="s">
        <v>1079</v>
      </c>
      <c r="B348" s="252">
        <v>0</v>
      </c>
      <c r="C348" s="252">
        <v>0</v>
      </c>
      <c r="D348" s="252">
        <v>0</v>
      </c>
      <c r="E348" s="252">
        <v>0</v>
      </c>
      <c r="F348" s="252">
        <v>0</v>
      </c>
      <c r="G348" s="252">
        <v>0</v>
      </c>
      <c r="H348" s="252">
        <v>0</v>
      </c>
      <c r="I348" s="252">
        <v>0</v>
      </c>
      <c r="J348" s="252">
        <v>0</v>
      </c>
      <c r="K348" s="252">
        <v>0</v>
      </c>
      <c r="L348" s="252">
        <v>0</v>
      </c>
      <c r="M348" s="252">
        <v>0</v>
      </c>
      <c r="N348" s="252">
        <v>0</v>
      </c>
      <c r="O348" s="252">
        <v>0</v>
      </c>
      <c r="P348" s="252">
        <v>0</v>
      </c>
      <c r="Q348" s="252">
        <v>0</v>
      </c>
      <c r="R348" s="252">
        <v>0</v>
      </c>
      <c r="S348" s="252">
        <v>0</v>
      </c>
      <c r="T348" s="252">
        <v>0</v>
      </c>
      <c r="U348" s="252">
        <v>0</v>
      </c>
      <c r="V348" s="252">
        <v>0</v>
      </c>
      <c r="W348" s="252">
        <v>0</v>
      </c>
      <c r="X348" s="252">
        <v>0</v>
      </c>
      <c r="Y348" s="252">
        <v>0</v>
      </c>
    </row>
    <row r="349" spans="1:25" x14ac:dyDescent="0.3">
      <c r="A349" s="253" t="s">
        <v>1080</v>
      </c>
      <c r="B349" s="252">
        <v>0</v>
      </c>
      <c r="C349" s="252">
        <v>0</v>
      </c>
      <c r="D349" s="252">
        <v>0</v>
      </c>
      <c r="E349" s="252">
        <v>0</v>
      </c>
      <c r="F349" s="252">
        <v>0</v>
      </c>
      <c r="G349" s="252">
        <v>0</v>
      </c>
      <c r="H349" s="252">
        <v>0</v>
      </c>
      <c r="I349" s="252">
        <v>0</v>
      </c>
      <c r="J349" s="252">
        <v>0</v>
      </c>
      <c r="K349" s="252">
        <v>0</v>
      </c>
      <c r="L349" s="252">
        <v>0</v>
      </c>
      <c r="M349" s="252">
        <v>0</v>
      </c>
      <c r="N349" s="252">
        <v>0</v>
      </c>
      <c r="O349" s="252">
        <v>0</v>
      </c>
      <c r="P349" s="252">
        <v>0</v>
      </c>
      <c r="Q349" s="252">
        <v>0</v>
      </c>
      <c r="R349" s="252">
        <v>0</v>
      </c>
      <c r="S349" s="252">
        <v>0</v>
      </c>
      <c r="T349" s="252">
        <v>0</v>
      </c>
      <c r="U349" s="252">
        <v>0</v>
      </c>
      <c r="V349" s="252">
        <v>0</v>
      </c>
      <c r="W349" s="252">
        <v>0</v>
      </c>
      <c r="X349" s="252">
        <v>0</v>
      </c>
      <c r="Y349" s="252">
        <v>0</v>
      </c>
    </row>
    <row r="350" spans="1:25" x14ac:dyDescent="0.3">
      <c r="A350" s="253" t="s">
        <v>1125</v>
      </c>
      <c r="B350" s="252">
        <v>2</v>
      </c>
      <c r="C350" s="252">
        <v>0</v>
      </c>
      <c r="D350" s="252">
        <v>0</v>
      </c>
      <c r="E350" s="252">
        <v>7</v>
      </c>
      <c r="F350" s="252">
        <v>0</v>
      </c>
      <c r="G350" s="252">
        <v>1</v>
      </c>
      <c r="H350" s="252">
        <v>0</v>
      </c>
      <c r="I350" s="252">
        <v>0</v>
      </c>
      <c r="J350" s="252">
        <v>0</v>
      </c>
      <c r="K350" s="252">
        <v>1</v>
      </c>
      <c r="L350" s="252">
        <v>0</v>
      </c>
      <c r="M350" s="252">
        <v>2</v>
      </c>
      <c r="N350" s="252">
        <v>1</v>
      </c>
      <c r="O350" s="252">
        <v>1</v>
      </c>
      <c r="P350" s="252">
        <v>0</v>
      </c>
      <c r="Q350" s="252">
        <v>0</v>
      </c>
      <c r="R350" s="252">
        <v>0</v>
      </c>
      <c r="S350" s="252">
        <v>0</v>
      </c>
      <c r="T350" s="252">
        <v>0</v>
      </c>
      <c r="U350" s="252">
        <v>1</v>
      </c>
      <c r="V350" s="252">
        <v>1</v>
      </c>
      <c r="W350" s="252">
        <v>2</v>
      </c>
      <c r="X350" s="252">
        <v>1</v>
      </c>
      <c r="Y350" s="252">
        <v>20</v>
      </c>
    </row>
    <row r="351" spans="1:25" x14ac:dyDescent="0.3">
      <c r="A351" s="253" t="s">
        <v>1016</v>
      </c>
      <c r="B351" s="252">
        <v>5</v>
      </c>
      <c r="C351" s="252">
        <v>5</v>
      </c>
      <c r="D351" s="252">
        <v>0</v>
      </c>
      <c r="E351" s="252">
        <v>5</v>
      </c>
      <c r="F351" s="252">
        <v>3</v>
      </c>
      <c r="G351" s="252">
        <v>6</v>
      </c>
      <c r="H351" s="252">
        <v>3</v>
      </c>
      <c r="I351" s="252">
        <v>0</v>
      </c>
      <c r="J351" s="252">
        <v>10</v>
      </c>
      <c r="K351" s="252">
        <v>8</v>
      </c>
      <c r="L351" s="252">
        <v>1</v>
      </c>
      <c r="M351" s="252">
        <v>10</v>
      </c>
      <c r="N351" s="252">
        <v>0</v>
      </c>
      <c r="O351" s="252">
        <v>0</v>
      </c>
      <c r="P351" s="252">
        <v>6</v>
      </c>
      <c r="Q351" s="252">
        <v>10</v>
      </c>
      <c r="R351" s="252">
        <v>12</v>
      </c>
      <c r="S351" s="252">
        <v>0</v>
      </c>
      <c r="T351" s="252">
        <v>0</v>
      </c>
      <c r="U351" s="252">
        <v>0</v>
      </c>
      <c r="V351" s="252">
        <v>5</v>
      </c>
      <c r="W351" s="252">
        <v>10</v>
      </c>
      <c r="X351" s="252">
        <v>1</v>
      </c>
      <c r="Y351" s="252">
        <v>100</v>
      </c>
    </row>
    <row r="352" spans="1:25" x14ac:dyDescent="0.3">
      <c r="A352" s="253" t="s">
        <v>1017</v>
      </c>
      <c r="B352" s="252">
        <v>5</v>
      </c>
      <c r="C352" s="252">
        <v>10</v>
      </c>
      <c r="D352" s="252">
        <v>0</v>
      </c>
      <c r="E352" s="252">
        <v>10</v>
      </c>
      <c r="F352" s="252">
        <v>2</v>
      </c>
      <c r="G352" s="252">
        <v>10</v>
      </c>
      <c r="H352" s="252">
        <v>2</v>
      </c>
      <c r="I352" s="252">
        <v>0</v>
      </c>
      <c r="J352" s="252">
        <v>10</v>
      </c>
      <c r="K352" s="252">
        <v>5</v>
      </c>
      <c r="L352" s="252">
        <v>0</v>
      </c>
      <c r="M352" s="252">
        <v>10</v>
      </c>
      <c r="N352" s="252">
        <v>4</v>
      </c>
      <c r="O352" s="252">
        <v>0</v>
      </c>
      <c r="P352" s="252">
        <v>1</v>
      </c>
      <c r="Q352" s="252">
        <v>6</v>
      </c>
      <c r="R352" s="252">
        <v>10</v>
      </c>
      <c r="S352" s="252">
        <v>4</v>
      </c>
      <c r="T352" s="252">
        <v>1</v>
      </c>
      <c r="U352" s="252">
        <v>2</v>
      </c>
      <c r="V352" s="252">
        <v>10</v>
      </c>
      <c r="W352" s="252">
        <v>3</v>
      </c>
      <c r="X352" s="252">
        <v>1</v>
      </c>
      <c r="Y352" s="252">
        <v>106</v>
      </c>
    </row>
    <row r="353" spans="1:25" x14ac:dyDescent="0.3">
      <c r="A353" s="253" t="s">
        <v>1015</v>
      </c>
      <c r="B353" s="252">
        <v>5</v>
      </c>
      <c r="C353" s="252">
        <v>5</v>
      </c>
      <c r="D353" s="252">
        <v>0</v>
      </c>
      <c r="E353" s="252">
        <v>5</v>
      </c>
      <c r="F353" s="252">
        <v>4</v>
      </c>
      <c r="G353" s="252">
        <v>3</v>
      </c>
      <c r="H353" s="252">
        <v>3</v>
      </c>
      <c r="I353" s="252">
        <v>0</v>
      </c>
      <c r="J353" s="252">
        <v>12</v>
      </c>
      <c r="K353" s="252">
        <v>5</v>
      </c>
      <c r="L353" s="252">
        <v>0</v>
      </c>
      <c r="M353" s="252">
        <v>10</v>
      </c>
      <c r="N353" s="252">
        <v>4</v>
      </c>
      <c r="O353" s="252">
        <v>0</v>
      </c>
      <c r="P353" s="252">
        <v>7</v>
      </c>
      <c r="Q353" s="252">
        <v>5</v>
      </c>
      <c r="R353" s="252">
        <v>1</v>
      </c>
      <c r="S353" s="252">
        <v>0</v>
      </c>
      <c r="T353" s="252">
        <v>3</v>
      </c>
      <c r="U353" s="252">
        <v>14</v>
      </c>
      <c r="V353" s="252">
        <v>10</v>
      </c>
      <c r="W353" s="252">
        <v>0</v>
      </c>
      <c r="X353" s="252">
        <v>3</v>
      </c>
      <c r="Y353" s="252">
        <v>99</v>
      </c>
    </row>
    <row r="354" spans="1:25" x14ac:dyDescent="0.3">
      <c r="A354" s="253" t="s">
        <v>938</v>
      </c>
      <c r="B354" s="252">
        <v>0</v>
      </c>
      <c r="C354" s="252">
        <v>0</v>
      </c>
      <c r="D354" s="252">
        <v>0</v>
      </c>
      <c r="E354" s="252">
        <v>0</v>
      </c>
      <c r="F354" s="252">
        <v>0</v>
      </c>
      <c r="G354" s="252">
        <v>0</v>
      </c>
      <c r="H354" s="252">
        <v>0</v>
      </c>
      <c r="I354" s="252">
        <v>0</v>
      </c>
      <c r="J354" s="252">
        <v>0</v>
      </c>
      <c r="K354" s="252">
        <v>0</v>
      </c>
      <c r="L354" s="252"/>
      <c r="M354" s="252">
        <v>0</v>
      </c>
      <c r="N354" s="252">
        <v>0</v>
      </c>
      <c r="O354" s="252">
        <v>0</v>
      </c>
      <c r="P354" s="252"/>
      <c r="Q354" s="252">
        <v>0</v>
      </c>
      <c r="R354" s="252">
        <v>0</v>
      </c>
      <c r="S354" s="252">
        <v>0</v>
      </c>
      <c r="T354" s="252">
        <v>0</v>
      </c>
      <c r="U354" s="252">
        <v>0</v>
      </c>
      <c r="V354" s="252">
        <v>0</v>
      </c>
      <c r="W354" s="252">
        <v>0</v>
      </c>
      <c r="X354" s="252"/>
      <c r="Y354" s="252">
        <v>0</v>
      </c>
    </row>
    <row r="355" spans="1:25" x14ac:dyDescent="0.3">
      <c r="A355" s="253" t="s">
        <v>939</v>
      </c>
      <c r="B355" s="252">
        <v>0</v>
      </c>
      <c r="C355" s="252">
        <v>0</v>
      </c>
      <c r="D355" s="252">
        <v>0</v>
      </c>
      <c r="E355" s="252">
        <v>0</v>
      </c>
      <c r="F355" s="252">
        <v>0</v>
      </c>
      <c r="G355" s="252">
        <v>0</v>
      </c>
      <c r="H355" s="252">
        <v>0</v>
      </c>
      <c r="I355" s="252">
        <v>0</v>
      </c>
      <c r="J355" s="252">
        <v>0</v>
      </c>
      <c r="K355" s="252">
        <v>0</v>
      </c>
      <c r="L355" s="252"/>
      <c r="M355" s="252">
        <v>0</v>
      </c>
      <c r="N355" s="252">
        <v>0</v>
      </c>
      <c r="O355" s="252">
        <v>0</v>
      </c>
      <c r="P355" s="252"/>
      <c r="Q355" s="252">
        <v>0</v>
      </c>
      <c r="R355" s="252">
        <v>0</v>
      </c>
      <c r="S355" s="252">
        <v>0</v>
      </c>
      <c r="T355" s="252">
        <v>0</v>
      </c>
      <c r="U355" s="252">
        <v>0</v>
      </c>
      <c r="V355" s="252">
        <v>0</v>
      </c>
      <c r="W355" s="252">
        <v>0</v>
      </c>
      <c r="X355" s="252"/>
      <c r="Y355" s="252">
        <v>0</v>
      </c>
    </row>
    <row r="356" spans="1:25" x14ac:dyDescent="0.3">
      <c r="A356" s="253" t="s">
        <v>1126</v>
      </c>
      <c r="B356" s="252">
        <v>1</v>
      </c>
      <c r="C356" s="252">
        <v>0</v>
      </c>
      <c r="D356" s="252">
        <v>0</v>
      </c>
      <c r="E356" s="252">
        <v>0</v>
      </c>
      <c r="F356" s="252">
        <v>1</v>
      </c>
      <c r="G356" s="252">
        <v>2</v>
      </c>
      <c r="H356" s="252">
        <v>1</v>
      </c>
      <c r="I356" s="252">
        <v>0</v>
      </c>
      <c r="J356" s="252">
        <v>0</v>
      </c>
      <c r="K356" s="252">
        <v>1</v>
      </c>
      <c r="L356" s="252">
        <v>0</v>
      </c>
      <c r="M356" s="252">
        <v>2</v>
      </c>
      <c r="N356" s="252">
        <v>1</v>
      </c>
      <c r="O356" s="252">
        <v>0</v>
      </c>
      <c r="P356" s="252">
        <v>0</v>
      </c>
      <c r="Q356" s="252">
        <v>0</v>
      </c>
      <c r="R356" s="252">
        <v>0</v>
      </c>
      <c r="S356" s="252">
        <v>2</v>
      </c>
      <c r="T356" s="252">
        <v>1</v>
      </c>
      <c r="U356" s="252">
        <v>0</v>
      </c>
      <c r="V356" s="252">
        <v>0</v>
      </c>
      <c r="W356" s="252">
        <v>1</v>
      </c>
      <c r="X356" s="252">
        <v>0</v>
      </c>
      <c r="Y356" s="252">
        <v>13</v>
      </c>
    </row>
    <row r="357" spans="1:25" x14ac:dyDescent="0.3">
      <c r="A357" s="253" t="s">
        <v>364</v>
      </c>
      <c r="B357" s="252">
        <v>0</v>
      </c>
      <c r="C357" s="252">
        <v>0</v>
      </c>
      <c r="D357" s="252">
        <v>0</v>
      </c>
      <c r="E357" s="252"/>
      <c r="F357" s="252">
        <v>0</v>
      </c>
      <c r="G357" s="252">
        <v>0</v>
      </c>
      <c r="H357" s="252">
        <v>0</v>
      </c>
      <c r="I357" s="252"/>
      <c r="J357" s="252"/>
      <c r="K357" s="252">
        <v>0</v>
      </c>
      <c r="L357" s="252"/>
      <c r="M357" s="252">
        <v>0</v>
      </c>
      <c r="N357" s="252">
        <v>0</v>
      </c>
      <c r="O357" s="252">
        <v>0</v>
      </c>
      <c r="P357" s="252"/>
      <c r="Q357" s="252">
        <v>0</v>
      </c>
      <c r="R357" s="252"/>
      <c r="S357" s="252">
        <v>0</v>
      </c>
      <c r="T357" s="252">
        <v>0</v>
      </c>
      <c r="U357" s="252"/>
      <c r="V357" s="252">
        <v>0</v>
      </c>
      <c r="W357" s="252">
        <v>0</v>
      </c>
      <c r="X357" s="252"/>
      <c r="Y357" s="252">
        <v>0</v>
      </c>
    </row>
    <row r="358" spans="1:25" x14ac:dyDescent="0.3">
      <c r="A358" s="253" t="s">
        <v>365</v>
      </c>
      <c r="B358" s="252">
        <v>0</v>
      </c>
      <c r="C358" s="252"/>
      <c r="D358" s="252">
        <v>0</v>
      </c>
      <c r="E358" s="252">
        <v>0</v>
      </c>
      <c r="F358" s="252">
        <v>0</v>
      </c>
      <c r="G358" s="252">
        <v>0</v>
      </c>
      <c r="H358" s="252">
        <v>0</v>
      </c>
      <c r="I358" s="252"/>
      <c r="J358" s="252"/>
      <c r="K358" s="252">
        <v>0</v>
      </c>
      <c r="L358" s="252"/>
      <c r="M358" s="252">
        <v>0</v>
      </c>
      <c r="N358" s="252">
        <v>0</v>
      </c>
      <c r="O358" s="252">
        <v>0</v>
      </c>
      <c r="P358" s="252"/>
      <c r="Q358" s="252">
        <v>0</v>
      </c>
      <c r="R358" s="252"/>
      <c r="S358" s="252"/>
      <c r="T358" s="252">
        <v>0</v>
      </c>
      <c r="U358" s="252"/>
      <c r="V358" s="252">
        <v>0</v>
      </c>
      <c r="W358" s="252">
        <v>0</v>
      </c>
      <c r="X358" s="252"/>
      <c r="Y358" s="252">
        <v>0</v>
      </c>
    </row>
    <row r="359" spans="1:25" x14ac:dyDescent="0.3">
      <c r="A359" s="253" t="s">
        <v>1014</v>
      </c>
      <c r="B359" s="252">
        <v>5</v>
      </c>
      <c r="C359" s="252">
        <v>10</v>
      </c>
      <c r="D359" s="252">
        <v>0</v>
      </c>
      <c r="E359" s="252">
        <v>10</v>
      </c>
      <c r="F359" s="252">
        <v>2</v>
      </c>
      <c r="G359" s="252">
        <v>3</v>
      </c>
      <c r="H359" s="252">
        <v>4</v>
      </c>
      <c r="I359" s="252">
        <v>0</v>
      </c>
      <c r="J359" s="252">
        <v>11</v>
      </c>
      <c r="K359" s="252">
        <v>10</v>
      </c>
      <c r="L359" s="252">
        <v>0</v>
      </c>
      <c r="M359" s="252">
        <v>9</v>
      </c>
      <c r="N359" s="252">
        <v>0</v>
      </c>
      <c r="O359" s="252">
        <v>0</v>
      </c>
      <c r="P359" s="252">
        <v>0</v>
      </c>
      <c r="Q359" s="252">
        <v>5</v>
      </c>
      <c r="R359" s="252">
        <v>10</v>
      </c>
      <c r="S359" s="252">
        <v>4</v>
      </c>
      <c r="T359" s="252">
        <v>0</v>
      </c>
      <c r="U359" s="252">
        <v>4</v>
      </c>
      <c r="V359" s="252">
        <v>4</v>
      </c>
      <c r="W359" s="252">
        <v>4</v>
      </c>
      <c r="X359" s="252">
        <v>2</v>
      </c>
      <c r="Y359" s="252">
        <v>97</v>
      </c>
    </row>
    <row r="360" spans="1:25" x14ac:dyDescent="0.3">
      <c r="A360" s="253" t="s">
        <v>366</v>
      </c>
      <c r="B360" s="252">
        <v>0</v>
      </c>
      <c r="C360" s="252"/>
      <c r="D360" s="252">
        <v>0</v>
      </c>
      <c r="E360" s="252"/>
      <c r="F360" s="252">
        <v>0</v>
      </c>
      <c r="G360" s="252"/>
      <c r="H360" s="252">
        <v>0</v>
      </c>
      <c r="I360" s="252"/>
      <c r="J360" s="252"/>
      <c r="K360" s="252"/>
      <c r="L360" s="252"/>
      <c r="M360" s="252">
        <v>0</v>
      </c>
      <c r="N360" s="252"/>
      <c r="O360" s="252">
        <v>0</v>
      </c>
      <c r="P360" s="252"/>
      <c r="Q360" s="252">
        <v>0</v>
      </c>
      <c r="R360" s="252"/>
      <c r="S360" s="252"/>
      <c r="T360" s="252"/>
      <c r="U360" s="252"/>
      <c r="V360" s="252">
        <v>0</v>
      </c>
      <c r="W360" s="252">
        <v>0</v>
      </c>
      <c r="X360" s="252"/>
      <c r="Y360" s="252">
        <v>0</v>
      </c>
    </row>
    <row r="361" spans="1:25" x14ac:dyDescent="0.3">
      <c r="A361" s="253" t="s">
        <v>367</v>
      </c>
      <c r="B361" s="252">
        <v>0</v>
      </c>
      <c r="C361" s="252">
        <v>0</v>
      </c>
      <c r="D361" s="252">
        <v>0</v>
      </c>
      <c r="E361" s="252">
        <v>0</v>
      </c>
      <c r="F361" s="252">
        <v>0</v>
      </c>
      <c r="G361" s="252">
        <v>0</v>
      </c>
      <c r="H361" s="252">
        <v>0</v>
      </c>
      <c r="I361" s="252"/>
      <c r="J361" s="252"/>
      <c r="K361" s="252">
        <v>0</v>
      </c>
      <c r="L361" s="252"/>
      <c r="M361" s="252">
        <v>0</v>
      </c>
      <c r="N361" s="252">
        <v>0</v>
      </c>
      <c r="O361" s="252">
        <v>0</v>
      </c>
      <c r="P361" s="252"/>
      <c r="Q361" s="252">
        <v>0</v>
      </c>
      <c r="R361" s="252"/>
      <c r="S361" s="252">
        <v>0</v>
      </c>
      <c r="T361" s="252">
        <v>0</v>
      </c>
      <c r="U361" s="252"/>
      <c r="V361" s="252">
        <v>0</v>
      </c>
      <c r="W361" s="252">
        <v>0</v>
      </c>
      <c r="X361" s="252"/>
      <c r="Y361" s="252">
        <v>0</v>
      </c>
    </row>
    <row r="362" spans="1:25" x14ac:dyDescent="0.3">
      <c r="A362" s="253" t="s">
        <v>368</v>
      </c>
      <c r="B362" s="252">
        <v>0</v>
      </c>
      <c r="C362" s="252">
        <v>0</v>
      </c>
      <c r="D362" s="252">
        <v>0</v>
      </c>
      <c r="E362" s="252">
        <v>0</v>
      </c>
      <c r="F362" s="252">
        <v>0</v>
      </c>
      <c r="G362" s="252">
        <v>0</v>
      </c>
      <c r="H362" s="252">
        <v>0</v>
      </c>
      <c r="I362" s="252"/>
      <c r="J362" s="252"/>
      <c r="K362" s="252">
        <v>0</v>
      </c>
      <c r="L362" s="252"/>
      <c r="M362" s="252">
        <v>0</v>
      </c>
      <c r="N362" s="252">
        <v>0</v>
      </c>
      <c r="O362" s="252">
        <v>0</v>
      </c>
      <c r="P362" s="252"/>
      <c r="Q362" s="252">
        <v>0</v>
      </c>
      <c r="R362" s="252"/>
      <c r="S362" s="252">
        <v>0</v>
      </c>
      <c r="T362" s="252">
        <v>0</v>
      </c>
      <c r="U362" s="252"/>
      <c r="V362" s="252">
        <v>0</v>
      </c>
      <c r="W362" s="252">
        <v>0</v>
      </c>
      <c r="X362" s="252"/>
      <c r="Y362" s="252">
        <v>0</v>
      </c>
    </row>
    <row r="363" spans="1:25" x14ac:dyDescent="0.3">
      <c r="A363" s="253" t="s">
        <v>369</v>
      </c>
      <c r="B363" s="252">
        <v>0</v>
      </c>
      <c r="C363" s="252"/>
      <c r="D363" s="252">
        <v>0</v>
      </c>
      <c r="E363" s="252">
        <v>0</v>
      </c>
      <c r="F363" s="252">
        <v>0</v>
      </c>
      <c r="G363" s="252">
        <v>0</v>
      </c>
      <c r="H363" s="252">
        <v>0</v>
      </c>
      <c r="I363" s="252"/>
      <c r="J363" s="252"/>
      <c r="K363" s="252"/>
      <c r="L363" s="252"/>
      <c r="M363" s="252">
        <v>0</v>
      </c>
      <c r="N363" s="252">
        <v>0</v>
      </c>
      <c r="O363" s="252">
        <v>0</v>
      </c>
      <c r="P363" s="252"/>
      <c r="Q363" s="252">
        <v>0</v>
      </c>
      <c r="R363" s="252"/>
      <c r="S363" s="252"/>
      <c r="T363" s="252">
        <v>0</v>
      </c>
      <c r="U363" s="252"/>
      <c r="V363" s="252">
        <v>0</v>
      </c>
      <c r="W363" s="252">
        <v>0</v>
      </c>
      <c r="X363" s="252"/>
      <c r="Y363" s="252">
        <v>0</v>
      </c>
    </row>
    <row r="364" spans="1:25" x14ac:dyDescent="0.3">
      <c r="A364" s="253" t="s">
        <v>370</v>
      </c>
      <c r="B364" s="252">
        <v>0</v>
      </c>
      <c r="C364" s="252">
        <v>0</v>
      </c>
      <c r="D364" s="252">
        <v>0</v>
      </c>
      <c r="E364" s="252">
        <v>0</v>
      </c>
      <c r="F364" s="252">
        <v>0</v>
      </c>
      <c r="G364" s="252">
        <v>0</v>
      </c>
      <c r="H364" s="252">
        <v>0</v>
      </c>
      <c r="I364" s="252">
        <v>0</v>
      </c>
      <c r="J364" s="252">
        <v>0</v>
      </c>
      <c r="K364" s="252">
        <v>0</v>
      </c>
      <c r="L364" s="252"/>
      <c r="M364" s="252">
        <v>0</v>
      </c>
      <c r="N364" s="252">
        <v>0</v>
      </c>
      <c r="O364" s="252">
        <v>0</v>
      </c>
      <c r="P364" s="252"/>
      <c r="Q364" s="252">
        <v>0</v>
      </c>
      <c r="R364" s="252"/>
      <c r="S364" s="252">
        <v>0</v>
      </c>
      <c r="T364" s="252">
        <v>0</v>
      </c>
      <c r="U364" s="252"/>
      <c r="V364" s="252">
        <v>0</v>
      </c>
      <c r="W364" s="252">
        <v>0</v>
      </c>
      <c r="X364" s="252"/>
      <c r="Y364" s="252">
        <v>0</v>
      </c>
    </row>
    <row r="365" spans="1:25" x14ac:dyDescent="0.3">
      <c r="A365" s="253" t="s">
        <v>371</v>
      </c>
      <c r="B365" s="252">
        <v>0</v>
      </c>
      <c r="C365" s="252">
        <v>0</v>
      </c>
      <c r="D365" s="252">
        <v>0</v>
      </c>
      <c r="E365" s="252">
        <v>0</v>
      </c>
      <c r="F365" s="252">
        <v>0</v>
      </c>
      <c r="G365" s="252">
        <v>0</v>
      </c>
      <c r="H365" s="252">
        <v>0</v>
      </c>
      <c r="I365" s="252">
        <v>0</v>
      </c>
      <c r="J365" s="252">
        <v>0</v>
      </c>
      <c r="K365" s="252">
        <v>0</v>
      </c>
      <c r="L365" s="252"/>
      <c r="M365" s="252">
        <v>0</v>
      </c>
      <c r="N365" s="252">
        <v>0</v>
      </c>
      <c r="O365" s="252">
        <v>0</v>
      </c>
      <c r="P365" s="252"/>
      <c r="Q365" s="252">
        <v>0</v>
      </c>
      <c r="R365" s="252"/>
      <c r="S365" s="252">
        <v>0</v>
      </c>
      <c r="T365" s="252">
        <v>0</v>
      </c>
      <c r="U365" s="252"/>
      <c r="V365" s="252">
        <v>0</v>
      </c>
      <c r="W365" s="252">
        <v>0</v>
      </c>
      <c r="X365" s="252"/>
      <c r="Y365" s="252">
        <v>0</v>
      </c>
    </row>
    <row r="366" spans="1:25" x14ac:dyDescent="0.3">
      <c r="A366" s="253" t="s">
        <v>372</v>
      </c>
      <c r="B366" s="252">
        <v>0</v>
      </c>
      <c r="C366" s="252">
        <v>0</v>
      </c>
      <c r="D366" s="252">
        <v>0</v>
      </c>
      <c r="E366" s="252">
        <v>0</v>
      </c>
      <c r="F366" s="252">
        <v>0</v>
      </c>
      <c r="G366" s="252">
        <v>0</v>
      </c>
      <c r="H366" s="252">
        <v>0</v>
      </c>
      <c r="I366" s="252"/>
      <c r="J366" s="252"/>
      <c r="K366" s="252">
        <v>0</v>
      </c>
      <c r="L366" s="252"/>
      <c r="M366" s="252">
        <v>0</v>
      </c>
      <c r="N366" s="252">
        <v>0</v>
      </c>
      <c r="O366" s="252">
        <v>0</v>
      </c>
      <c r="P366" s="252"/>
      <c r="Q366" s="252">
        <v>0</v>
      </c>
      <c r="R366" s="252"/>
      <c r="S366" s="252">
        <v>0</v>
      </c>
      <c r="T366" s="252">
        <v>0</v>
      </c>
      <c r="U366" s="252"/>
      <c r="V366" s="252">
        <v>0</v>
      </c>
      <c r="W366" s="252">
        <v>0</v>
      </c>
      <c r="X366" s="252"/>
      <c r="Y366" s="252">
        <v>0</v>
      </c>
    </row>
    <row r="367" spans="1:25" x14ac:dyDescent="0.3">
      <c r="A367" s="253" t="s">
        <v>1002</v>
      </c>
      <c r="B367" s="252">
        <v>0</v>
      </c>
      <c r="C367" s="252">
        <v>0</v>
      </c>
      <c r="D367" s="252">
        <v>0</v>
      </c>
      <c r="E367" s="252">
        <v>0</v>
      </c>
      <c r="F367" s="252">
        <v>0</v>
      </c>
      <c r="G367" s="252">
        <v>0</v>
      </c>
      <c r="H367" s="252">
        <v>0</v>
      </c>
      <c r="I367" s="252">
        <v>0</v>
      </c>
      <c r="J367" s="252">
        <v>0</v>
      </c>
      <c r="K367" s="252">
        <v>0</v>
      </c>
      <c r="L367" s="252"/>
      <c r="M367" s="252">
        <v>0</v>
      </c>
      <c r="N367" s="252">
        <v>0</v>
      </c>
      <c r="O367" s="252">
        <v>0</v>
      </c>
      <c r="P367" s="252">
        <v>0</v>
      </c>
      <c r="Q367" s="252">
        <v>0</v>
      </c>
      <c r="R367" s="252">
        <v>0</v>
      </c>
      <c r="S367" s="252">
        <v>0</v>
      </c>
      <c r="T367" s="252">
        <v>0</v>
      </c>
      <c r="U367" s="252">
        <v>0</v>
      </c>
      <c r="V367" s="252">
        <v>0</v>
      </c>
      <c r="W367" s="252">
        <v>0</v>
      </c>
      <c r="X367" s="252">
        <v>0</v>
      </c>
      <c r="Y367" s="252">
        <v>0</v>
      </c>
    </row>
    <row r="368" spans="1:25" x14ac:dyDescent="0.3">
      <c r="A368" s="253" t="s">
        <v>373</v>
      </c>
      <c r="B368" s="252">
        <v>0</v>
      </c>
      <c r="C368" s="252">
        <v>0</v>
      </c>
      <c r="D368" s="252">
        <v>0</v>
      </c>
      <c r="E368" s="252">
        <v>0</v>
      </c>
      <c r="F368" s="252">
        <v>0</v>
      </c>
      <c r="G368" s="252">
        <v>0</v>
      </c>
      <c r="H368" s="252">
        <v>0</v>
      </c>
      <c r="I368" s="252">
        <v>0</v>
      </c>
      <c r="J368" s="252">
        <v>0</v>
      </c>
      <c r="K368" s="252">
        <v>0</v>
      </c>
      <c r="L368" s="252"/>
      <c r="M368" s="252">
        <v>0</v>
      </c>
      <c r="N368" s="252">
        <v>0</v>
      </c>
      <c r="O368" s="252">
        <v>0</v>
      </c>
      <c r="P368" s="252"/>
      <c r="Q368" s="252">
        <v>0</v>
      </c>
      <c r="R368" s="252">
        <v>0</v>
      </c>
      <c r="S368" s="252">
        <v>0</v>
      </c>
      <c r="T368" s="252">
        <v>0</v>
      </c>
      <c r="U368" s="252"/>
      <c r="V368" s="252">
        <v>0</v>
      </c>
      <c r="W368" s="252">
        <v>0</v>
      </c>
      <c r="X368" s="252"/>
      <c r="Y368" s="252">
        <v>0</v>
      </c>
    </row>
    <row r="369" spans="1:25" x14ac:dyDescent="0.3">
      <c r="A369" s="253" t="s">
        <v>1023</v>
      </c>
      <c r="B369" s="252">
        <v>0</v>
      </c>
      <c r="C369" s="252">
        <v>0</v>
      </c>
      <c r="D369" s="252">
        <v>0</v>
      </c>
      <c r="E369" s="252">
        <v>0</v>
      </c>
      <c r="F369" s="252">
        <v>0</v>
      </c>
      <c r="G369" s="252">
        <v>1</v>
      </c>
      <c r="H369" s="252">
        <v>0</v>
      </c>
      <c r="I369" s="252">
        <v>0</v>
      </c>
      <c r="J369" s="252">
        <v>0</v>
      </c>
      <c r="K369" s="252">
        <v>0</v>
      </c>
      <c r="L369" s="252">
        <v>0</v>
      </c>
      <c r="M369" s="252">
        <v>1</v>
      </c>
      <c r="N369" s="252">
        <v>0</v>
      </c>
      <c r="O369" s="252">
        <v>0</v>
      </c>
      <c r="P369" s="252">
        <v>0</v>
      </c>
      <c r="Q369" s="252">
        <v>0</v>
      </c>
      <c r="R369" s="252">
        <v>0</v>
      </c>
      <c r="S369" s="252">
        <v>0</v>
      </c>
      <c r="T369" s="252">
        <v>0</v>
      </c>
      <c r="U369" s="252">
        <v>0</v>
      </c>
      <c r="V369" s="252">
        <v>0</v>
      </c>
      <c r="W369" s="252">
        <v>0</v>
      </c>
      <c r="X369" s="252">
        <v>0</v>
      </c>
      <c r="Y369" s="252">
        <v>2</v>
      </c>
    </row>
    <row r="370" spans="1:25" x14ac:dyDescent="0.3">
      <c r="A370" s="253" t="s">
        <v>1092</v>
      </c>
      <c r="B370" s="252">
        <v>0</v>
      </c>
      <c r="C370" s="252">
        <v>0</v>
      </c>
      <c r="D370" s="252">
        <v>0</v>
      </c>
      <c r="E370" s="252">
        <v>0</v>
      </c>
      <c r="F370" s="252">
        <v>0</v>
      </c>
      <c r="G370" s="252">
        <v>0</v>
      </c>
      <c r="H370" s="252">
        <v>0</v>
      </c>
      <c r="I370" s="252">
        <v>0</v>
      </c>
      <c r="J370" s="252">
        <v>0</v>
      </c>
      <c r="K370" s="252">
        <v>0</v>
      </c>
      <c r="L370" s="252">
        <v>0</v>
      </c>
      <c r="M370" s="252">
        <v>0</v>
      </c>
      <c r="N370" s="252">
        <v>0</v>
      </c>
      <c r="O370" s="252">
        <v>0</v>
      </c>
      <c r="P370" s="252">
        <v>0</v>
      </c>
      <c r="Q370" s="252">
        <v>0</v>
      </c>
      <c r="R370" s="252">
        <v>0</v>
      </c>
      <c r="S370" s="252">
        <v>0</v>
      </c>
      <c r="T370" s="252">
        <v>0</v>
      </c>
      <c r="U370" s="252">
        <v>0</v>
      </c>
      <c r="V370" s="252">
        <v>0</v>
      </c>
      <c r="W370" s="252">
        <v>0</v>
      </c>
      <c r="X370" s="252">
        <v>0</v>
      </c>
      <c r="Y370" s="252">
        <v>0</v>
      </c>
    </row>
    <row r="371" spans="1:25" x14ac:dyDescent="0.3">
      <c r="A371" s="253" t="s">
        <v>374</v>
      </c>
      <c r="B371" s="252">
        <v>0</v>
      </c>
      <c r="C371" s="252">
        <v>0</v>
      </c>
      <c r="D371" s="252">
        <v>0</v>
      </c>
      <c r="E371" s="252">
        <v>0</v>
      </c>
      <c r="F371" s="252">
        <v>0</v>
      </c>
      <c r="G371" s="252">
        <v>0</v>
      </c>
      <c r="H371" s="252">
        <v>0</v>
      </c>
      <c r="I371" s="252"/>
      <c r="J371" s="252"/>
      <c r="K371" s="252">
        <v>0</v>
      </c>
      <c r="L371" s="252"/>
      <c r="M371" s="252">
        <v>0</v>
      </c>
      <c r="N371" s="252">
        <v>0</v>
      </c>
      <c r="O371" s="252">
        <v>0</v>
      </c>
      <c r="P371" s="252"/>
      <c r="Q371" s="252">
        <v>0</v>
      </c>
      <c r="R371" s="252"/>
      <c r="S371" s="252">
        <v>0</v>
      </c>
      <c r="T371" s="252">
        <v>0</v>
      </c>
      <c r="U371" s="252"/>
      <c r="V371" s="252">
        <v>0</v>
      </c>
      <c r="W371" s="252">
        <v>0</v>
      </c>
      <c r="X371" s="252"/>
      <c r="Y371" s="252">
        <v>0</v>
      </c>
    </row>
    <row r="372" spans="1:25" x14ac:dyDescent="0.3">
      <c r="A372" s="253" t="s">
        <v>375</v>
      </c>
      <c r="B372" s="252">
        <v>0</v>
      </c>
      <c r="C372" s="252">
        <v>0</v>
      </c>
      <c r="D372" s="252">
        <v>0</v>
      </c>
      <c r="E372" s="252">
        <v>0</v>
      </c>
      <c r="F372" s="252">
        <v>0</v>
      </c>
      <c r="G372" s="252">
        <v>0</v>
      </c>
      <c r="H372" s="252">
        <v>0</v>
      </c>
      <c r="I372" s="252"/>
      <c r="J372" s="252"/>
      <c r="K372" s="252">
        <v>0</v>
      </c>
      <c r="L372" s="252"/>
      <c r="M372" s="252">
        <v>0</v>
      </c>
      <c r="N372" s="252">
        <v>0</v>
      </c>
      <c r="O372" s="252">
        <v>0</v>
      </c>
      <c r="P372" s="252"/>
      <c r="Q372" s="252">
        <v>0</v>
      </c>
      <c r="R372" s="252"/>
      <c r="S372" s="252">
        <v>0</v>
      </c>
      <c r="T372" s="252">
        <v>0</v>
      </c>
      <c r="U372" s="252"/>
      <c r="V372" s="252">
        <v>0</v>
      </c>
      <c r="W372" s="252">
        <v>0</v>
      </c>
      <c r="X372" s="252"/>
      <c r="Y372" s="252">
        <v>0</v>
      </c>
    </row>
    <row r="373" spans="1:25" x14ac:dyDescent="0.3">
      <c r="A373" s="253" t="s">
        <v>376</v>
      </c>
      <c r="B373" s="252">
        <v>0</v>
      </c>
      <c r="C373" s="252">
        <v>0</v>
      </c>
      <c r="D373" s="252">
        <v>0</v>
      </c>
      <c r="E373" s="252">
        <v>0</v>
      </c>
      <c r="F373" s="252">
        <v>0</v>
      </c>
      <c r="G373" s="252">
        <v>0</v>
      </c>
      <c r="H373" s="252">
        <v>0</v>
      </c>
      <c r="I373" s="252"/>
      <c r="J373" s="252">
        <v>0</v>
      </c>
      <c r="K373" s="252">
        <v>0</v>
      </c>
      <c r="L373" s="252">
        <v>0</v>
      </c>
      <c r="M373" s="252">
        <v>0</v>
      </c>
      <c r="N373" s="252">
        <v>0</v>
      </c>
      <c r="O373" s="252">
        <v>0</v>
      </c>
      <c r="P373" s="252">
        <v>0</v>
      </c>
      <c r="Q373" s="252">
        <v>0</v>
      </c>
      <c r="R373" s="252">
        <v>0</v>
      </c>
      <c r="S373" s="252">
        <v>0</v>
      </c>
      <c r="T373" s="252">
        <v>0</v>
      </c>
      <c r="U373" s="252">
        <v>0</v>
      </c>
      <c r="V373" s="252">
        <v>0</v>
      </c>
      <c r="W373" s="252">
        <v>0</v>
      </c>
      <c r="X373" s="252">
        <v>0</v>
      </c>
      <c r="Y373" s="252">
        <v>0</v>
      </c>
    </row>
    <row r="374" spans="1:25" x14ac:dyDescent="0.3">
      <c r="A374" s="253" t="s">
        <v>377</v>
      </c>
      <c r="B374" s="252">
        <v>0</v>
      </c>
      <c r="C374" s="252">
        <v>0</v>
      </c>
      <c r="D374" s="252">
        <v>0</v>
      </c>
      <c r="E374" s="252">
        <v>0</v>
      </c>
      <c r="F374" s="252">
        <v>0</v>
      </c>
      <c r="G374" s="252">
        <v>0</v>
      </c>
      <c r="H374" s="252">
        <v>0</v>
      </c>
      <c r="I374" s="252">
        <v>0</v>
      </c>
      <c r="J374" s="252">
        <v>0</v>
      </c>
      <c r="K374" s="252">
        <v>0</v>
      </c>
      <c r="L374" s="252">
        <v>0</v>
      </c>
      <c r="M374" s="252">
        <v>0</v>
      </c>
      <c r="N374" s="252">
        <v>0</v>
      </c>
      <c r="O374" s="252">
        <v>0</v>
      </c>
      <c r="P374" s="252">
        <v>0</v>
      </c>
      <c r="Q374" s="252">
        <v>0</v>
      </c>
      <c r="R374" s="252">
        <v>0</v>
      </c>
      <c r="S374" s="252">
        <v>0</v>
      </c>
      <c r="T374" s="252">
        <v>0</v>
      </c>
      <c r="U374" s="252">
        <v>0</v>
      </c>
      <c r="V374" s="252">
        <v>0</v>
      </c>
      <c r="W374" s="252">
        <v>0</v>
      </c>
      <c r="X374" s="252">
        <v>0</v>
      </c>
      <c r="Y374" s="252">
        <v>0</v>
      </c>
    </row>
    <row r="375" spans="1:25" x14ac:dyDescent="0.3">
      <c r="A375" s="253" t="s">
        <v>378</v>
      </c>
      <c r="B375" s="252">
        <v>13</v>
      </c>
      <c r="C375" s="252">
        <v>21</v>
      </c>
      <c r="D375" s="252">
        <v>0</v>
      </c>
      <c r="E375" s="252">
        <v>32</v>
      </c>
      <c r="F375" s="252">
        <v>11</v>
      </c>
      <c r="G375" s="252">
        <v>19</v>
      </c>
      <c r="H375" s="252">
        <v>14</v>
      </c>
      <c r="I375" s="252">
        <v>0</v>
      </c>
      <c r="J375" s="252">
        <v>28</v>
      </c>
      <c r="K375" s="252">
        <v>3</v>
      </c>
      <c r="L375" s="252">
        <v>16</v>
      </c>
      <c r="M375" s="252">
        <v>7</v>
      </c>
      <c r="N375" s="252">
        <v>21</v>
      </c>
      <c r="O375" s="252">
        <v>20</v>
      </c>
      <c r="P375" s="252">
        <v>25</v>
      </c>
      <c r="Q375" s="252">
        <v>31</v>
      </c>
      <c r="R375" s="252">
        <v>27</v>
      </c>
      <c r="S375" s="252">
        <v>24</v>
      </c>
      <c r="T375" s="252">
        <v>11</v>
      </c>
      <c r="U375" s="252">
        <v>0</v>
      </c>
      <c r="V375" s="252">
        <v>7</v>
      </c>
      <c r="W375" s="252">
        <v>16</v>
      </c>
      <c r="X375" s="252">
        <v>25</v>
      </c>
      <c r="Y375" s="252">
        <v>371</v>
      </c>
    </row>
    <row r="376" spans="1:25" x14ac:dyDescent="0.3">
      <c r="A376" s="253" t="s">
        <v>379</v>
      </c>
      <c r="B376" s="252">
        <v>0</v>
      </c>
      <c r="C376" s="252">
        <v>0</v>
      </c>
      <c r="D376" s="252">
        <v>0</v>
      </c>
      <c r="E376" s="252">
        <v>0</v>
      </c>
      <c r="F376" s="252">
        <v>0</v>
      </c>
      <c r="G376" s="252">
        <v>0</v>
      </c>
      <c r="H376" s="252">
        <v>0</v>
      </c>
      <c r="I376" s="252"/>
      <c r="J376" s="252"/>
      <c r="K376" s="252">
        <v>0</v>
      </c>
      <c r="L376" s="252"/>
      <c r="M376" s="252">
        <v>0</v>
      </c>
      <c r="N376" s="252">
        <v>0</v>
      </c>
      <c r="O376" s="252">
        <v>0</v>
      </c>
      <c r="P376" s="252"/>
      <c r="Q376" s="252">
        <v>0</v>
      </c>
      <c r="R376" s="252"/>
      <c r="S376" s="252"/>
      <c r="T376" s="252">
        <v>0</v>
      </c>
      <c r="U376" s="252"/>
      <c r="V376" s="252">
        <v>0</v>
      </c>
      <c r="W376" s="252">
        <v>0</v>
      </c>
      <c r="X376" s="252"/>
      <c r="Y376" s="252">
        <v>0</v>
      </c>
    </row>
    <row r="377" spans="1:25" x14ac:dyDescent="0.3">
      <c r="A377" s="253" t="s">
        <v>380</v>
      </c>
      <c r="B377" s="252">
        <v>0</v>
      </c>
      <c r="C377" s="252">
        <v>0</v>
      </c>
      <c r="D377" s="252">
        <v>0</v>
      </c>
      <c r="E377" s="252">
        <v>0</v>
      </c>
      <c r="F377" s="252">
        <v>0</v>
      </c>
      <c r="G377" s="252">
        <v>0</v>
      </c>
      <c r="H377" s="252">
        <v>0</v>
      </c>
      <c r="I377" s="252"/>
      <c r="J377" s="252"/>
      <c r="K377" s="252">
        <v>0</v>
      </c>
      <c r="L377" s="252"/>
      <c r="M377" s="252">
        <v>0</v>
      </c>
      <c r="N377" s="252">
        <v>0</v>
      </c>
      <c r="O377" s="252">
        <v>0</v>
      </c>
      <c r="P377" s="252"/>
      <c r="Q377" s="252">
        <v>0</v>
      </c>
      <c r="R377" s="252"/>
      <c r="S377" s="252"/>
      <c r="T377" s="252">
        <v>0</v>
      </c>
      <c r="U377" s="252"/>
      <c r="V377" s="252">
        <v>0</v>
      </c>
      <c r="W377" s="252">
        <v>0</v>
      </c>
      <c r="X377" s="252"/>
      <c r="Y377" s="252">
        <v>0</v>
      </c>
    </row>
    <row r="378" spans="1:25" x14ac:dyDescent="0.3">
      <c r="A378" s="253" t="s">
        <v>847</v>
      </c>
      <c r="B378" s="252">
        <v>0</v>
      </c>
      <c r="C378" s="252">
        <v>0</v>
      </c>
      <c r="D378" s="252">
        <v>0</v>
      </c>
      <c r="E378" s="252">
        <v>0</v>
      </c>
      <c r="F378" s="252">
        <v>0</v>
      </c>
      <c r="G378" s="252">
        <v>0</v>
      </c>
      <c r="H378" s="252">
        <v>0</v>
      </c>
      <c r="I378" s="252">
        <v>0</v>
      </c>
      <c r="J378" s="252">
        <v>0</v>
      </c>
      <c r="K378" s="252">
        <v>0</v>
      </c>
      <c r="L378" s="252"/>
      <c r="M378" s="252">
        <v>0</v>
      </c>
      <c r="N378" s="252">
        <v>0</v>
      </c>
      <c r="O378" s="252">
        <v>0</v>
      </c>
      <c r="P378" s="252"/>
      <c r="Q378" s="252">
        <v>0</v>
      </c>
      <c r="R378" s="252">
        <v>0</v>
      </c>
      <c r="S378" s="252">
        <v>0</v>
      </c>
      <c r="T378" s="252">
        <v>0</v>
      </c>
      <c r="U378" s="252">
        <v>0</v>
      </c>
      <c r="V378" s="252">
        <v>0</v>
      </c>
      <c r="W378" s="252">
        <v>0</v>
      </c>
      <c r="X378" s="252"/>
      <c r="Y378" s="252">
        <v>0</v>
      </c>
    </row>
    <row r="379" spans="1:25" x14ac:dyDescent="0.3">
      <c r="A379" s="253" t="s">
        <v>835</v>
      </c>
      <c r="B379" s="252">
        <v>2</v>
      </c>
      <c r="C379" s="252">
        <v>3</v>
      </c>
      <c r="D379" s="252">
        <v>0</v>
      </c>
      <c r="E379" s="252">
        <v>3</v>
      </c>
      <c r="F379" s="252">
        <v>2</v>
      </c>
      <c r="G379" s="252">
        <v>0</v>
      </c>
      <c r="H379" s="252">
        <v>1</v>
      </c>
      <c r="I379" s="252">
        <v>0</v>
      </c>
      <c r="J379" s="252">
        <v>3</v>
      </c>
      <c r="K379" s="252">
        <v>1</v>
      </c>
      <c r="L379" s="252">
        <v>0</v>
      </c>
      <c r="M379" s="252">
        <v>2</v>
      </c>
      <c r="N379" s="252">
        <v>2</v>
      </c>
      <c r="O379" s="252">
        <v>0</v>
      </c>
      <c r="P379" s="252">
        <v>3</v>
      </c>
      <c r="Q379" s="252">
        <v>3</v>
      </c>
      <c r="R379" s="252">
        <v>2</v>
      </c>
      <c r="S379" s="252">
        <v>0</v>
      </c>
      <c r="T379" s="252">
        <v>2</v>
      </c>
      <c r="U379" s="252">
        <v>0</v>
      </c>
      <c r="V379" s="252">
        <v>3</v>
      </c>
      <c r="W379" s="252">
        <v>2</v>
      </c>
      <c r="X379" s="252">
        <v>2</v>
      </c>
      <c r="Y379" s="252">
        <v>36</v>
      </c>
    </row>
    <row r="380" spans="1:25" x14ac:dyDescent="0.3">
      <c r="A380" s="253" t="s">
        <v>67</v>
      </c>
      <c r="B380" s="252">
        <v>0</v>
      </c>
      <c r="C380" s="252">
        <v>0</v>
      </c>
      <c r="D380" s="252">
        <v>0</v>
      </c>
      <c r="E380" s="252">
        <v>0</v>
      </c>
      <c r="F380" s="252">
        <v>0</v>
      </c>
      <c r="G380" s="252">
        <v>0</v>
      </c>
      <c r="H380" s="252">
        <v>0</v>
      </c>
      <c r="I380" s="252">
        <v>0</v>
      </c>
      <c r="J380" s="252">
        <v>0</v>
      </c>
      <c r="K380" s="252">
        <v>0</v>
      </c>
      <c r="L380" s="252"/>
      <c r="M380" s="252">
        <v>0</v>
      </c>
      <c r="N380" s="252">
        <v>0</v>
      </c>
      <c r="O380" s="252">
        <v>0</v>
      </c>
      <c r="P380" s="252"/>
      <c r="Q380" s="252">
        <v>0</v>
      </c>
      <c r="R380" s="252">
        <v>0</v>
      </c>
      <c r="S380" s="252">
        <v>0</v>
      </c>
      <c r="T380" s="252">
        <v>0</v>
      </c>
      <c r="U380" s="252"/>
      <c r="V380" s="252">
        <v>0</v>
      </c>
      <c r="W380" s="252">
        <v>0</v>
      </c>
      <c r="X380" s="252"/>
      <c r="Y380" s="252">
        <v>0</v>
      </c>
    </row>
    <row r="381" spans="1:25" x14ac:dyDescent="0.3">
      <c r="A381" s="253" t="s">
        <v>65</v>
      </c>
      <c r="B381" s="252">
        <v>1</v>
      </c>
      <c r="C381" s="252">
        <v>2</v>
      </c>
      <c r="D381" s="252">
        <v>0</v>
      </c>
      <c r="E381" s="252">
        <v>3</v>
      </c>
      <c r="F381" s="252">
        <v>1</v>
      </c>
      <c r="G381" s="252">
        <v>1</v>
      </c>
      <c r="H381" s="252">
        <v>2</v>
      </c>
      <c r="I381" s="252">
        <v>0</v>
      </c>
      <c r="J381" s="252">
        <v>3</v>
      </c>
      <c r="K381" s="252">
        <v>1</v>
      </c>
      <c r="L381" s="252">
        <v>0</v>
      </c>
      <c r="M381" s="252">
        <v>1</v>
      </c>
      <c r="N381" s="252">
        <v>0</v>
      </c>
      <c r="O381" s="252">
        <v>0</v>
      </c>
      <c r="P381" s="252">
        <v>1</v>
      </c>
      <c r="Q381" s="252">
        <v>0</v>
      </c>
      <c r="R381" s="252">
        <v>1</v>
      </c>
      <c r="S381" s="252">
        <v>0</v>
      </c>
      <c r="T381" s="252">
        <v>0</v>
      </c>
      <c r="U381" s="252">
        <v>0</v>
      </c>
      <c r="V381" s="252">
        <v>2</v>
      </c>
      <c r="W381" s="252">
        <v>2</v>
      </c>
      <c r="X381" s="252">
        <v>0</v>
      </c>
      <c r="Y381" s="252">
        <v>21</v>
      </c>
    </row>
    <row r="382" spans="1:25" x14ac:dyDescent="0.3">
      <c r="A382" s="253" t="s">
        <v>993</v>
      </c>
      <c r="B382" s="252">
        <v>0</v>
      </c>
      <c r="C382" s="252">
        <v>0</v>
      </c>
      <c r="D382" s="252">
        <v>0</v>
      </c>
      <c r="E382" s="252">
        <v>0</v>
      </c>
      <c r="F382" s="252">
        <v>0</v>
      </c>
      <c r="G382" s="252">
        <v>0</v>
      </c>
      <c r="H382" s="252">
        <v>0</v>
      </c>
      <c r="I382" s="252"/>
      <c r="J382" s="252">
        <v>0</v>
      </c>
      <c r="K382" s="252">
        <v>0</v>
      </c>
      <c r="L382" s="252"/>
      <c r="M382" s="252">
        <v>0</v>
      </c>
      <c r="N382" s="252">
        <v>0</v>
      </c>
      <c r="O382" s="252">
        <v>0</v>
      </c>
      <c r="P382" s="252">
        <v>0</v>
      </c>
      <c r="Q382" s="252">
        <v>0</v>
      </c>
      <c r="R382" s="252">
        <v>0</v>
      </c>
      <c r="S382" s="252">
        <v>0</v>
      </c>
      <c r="T382" s="252">
        <v>0</v>
      </c>
      <c r="U382" s="252">
        <v>0</v>
      </c>
      <c r="V382" s="252">
        <v>0</v>
      </c>
      <c r="W382" s="252">
        <v>0</v>
      </c>
      <c r="X382" s="252">
        <v>0</v>
      </c>
      <c r="Y382" s="252">
        <v>0</v>
      </c>
    </row>
    <row r="383" spans="1:25" x14ac:dyDescent="0.3">
      <c r="A383" s="253" t="s">
        <v>69</v>
      </c>
      <c r="B383" s="252">
        <v>5</v>
      </c>
      <c r="C383" s="252">
        <v>7</v>
      </c>
      <c r="D383" s="252">
        <v>1</v>
      </c>
      <c r="E383" s="252">
        <v>8</v>
      </c>
      <c r="F383" s="252">
        <v>4</v>
      </c>
      <c r="G383" s="252">
        <v>7</v>
      </c>
      <c r="H383" s="252">
        <v>0</v>
      </c>
      <c r="I383" s="252">
        <v>0</v>
      </c>
      <c r="J383" s="252">
        <v>10</v>
      </c>
      <c r="K383" s="252">
        <v>5</v>
      </c>
      <c r="L383" s="252">
        <v>0</v>
      </c>
      <c r="M383" s="252">
        <v>7</v>
      </c>
      <c r="N383" s="252">
        <v>5</v>
      </c>
      <c r="O383" s="252">
        <v>8</v>
      </c>
      <c r="P383" s="252">
        <v>8</v>
      </c>
      <c r="Q383" s="252">
        <v>6</v>
      </c>
      <c r="R383" s="252">
        <v>10</v>
      </c>
      <c r="S383" s="252">
        <v>4</v>
      </c>
      <c r="T383" s="252">
        <v>5</v>
      </c>
      <c r="U383" s="252">
        <v>0</v>
      </c>
      <c r="V383" s="252">
        <v>6</v>
      </c>
      <c r="W383" s="252">
        <v>3</v>
      </c>
      <c r="X383" s="252">
        <v>3</v>
      </c>
      <c r="Y383" s="252">
        <v>112</v>
      </c>
    </row>
    <row r="384" spans="1:25" x14ac:dyDescent="0.3">
      <c r="A384" s="253" t="s">
        <v>1031</v>
      </c>
      <c r="B384" s="252">
        <v>0</v>
      </c>
      <c r="C384" s="252">
        <v>0</v>
      </c>
      <c r="D384" s="252">
        <v>0</v>
      </c>
      <c r="E384" s="252">
        <v>0</v>
      </c>
      <c r="F384" s="252">
        <v>0</v>
      </c>
      <c r="G384" s="252">
        <v>0</v>
      </c>
      <c r="H384" s="252">
        <v>0</v>
      </c>
      <c r="I384" s="252"/>
      <c r="J384" s="252">
        <v>0</v>
      </c>
      <c r="K384" s="252">
        <v>0</v>
      </c>
      <c r="L384" s="252"/>
      <c r="M384" s="252">
        <v>0</v>
      </c>
      <c r="N384" s="252">
        <v>0</v>
      </c>
      <c r="O384" s="252">
        <v>0</v>
      </c>
      <c r="P384" s="252">
        <v>0</v>
      </c>
      <c r="Q384" s="252">
        <v>0</v>
      </c>
      <c r="R384" s="252">
        <v>0</v>
      </c>
      <c r="S384" s="252">
        <v>0</v>
      </c>
      <c r="T384" s="252">
        <v>0</v>
      </c>
      <c r="U384" s="252"/>
      <c r="V384" s="252">
        <v>0</v>
      </c>
      <c r="W384" s="252">
        <v>0</v>
      </c>
      <c r="X384" s="252"/>
      <c r="Y384" s="252">
        <v>0</v>
      </c>
    </row>
    <row r="385" spans="1:25" x14ac:dyDescent="0.3">
      <c r="A385" s="253" t="s">
        <v>70</v>
      </c>
      <c r="B385" s="252">
        <v>3</v>
      </c>
      <c r="C385" s="252">
        <v>6</v>
      </c>
      <c r="D385" s="252">
        <v>0</v>
      </c>
      <c r="E385" s="252">
        <v>6</v>
      </c>
      <c r="F385" s="252">
        <v>4</v>
      </c>
      <c r="G385" s="252">
        <v>2</v>
      </c>
      <c r="H385" s="252">
        <v>2</v>
      </c>
      <c r="I385" s="252">
        <v>0</v>
      </c>
      <c r="J385" s="252">
        <v>5</v>
      </c>
      <c r="K385" s="252">
        <v>1</v>
      </c>
      <c r="L385" s="252">
        <v>2</v>
      </c>
      <c r="M385" s="252">
        <v>5</v>
      </c>
      <c r="N385" s="252">
        <v>5</v>
      </c>
      <c r="O385" s="252">
        <v>8</v>
      </c>
      <c r="P385" s="252">
        <v>4</v>
      </c>
      <c r="Q385" s="252">
        <v>0</v>
      </c>
      <c r="R385" s="252">
        <v>7</v>
      </c>
      <c r="S385" s="252">
        <v>5</v>
      </c>
      <c r="T385" s="252">
        <v>0</v>
      </c>
      <c r="U385" s="252">
        <v>0</v>
      </c>
      <c r="V385" s="252">
        <v>6</v>
      </c>
      <c r="W385" s="252">
        <v>1</v>
      </c>
      <c r="X385" s="252">
        <v>4</v>
      </c>
      <c r="Y385" s="252">
        <v>76</v>
      </c>
    </row>
    <row r="386" spans="1:25" x14ac:dyDescent="0.3">
      <c r="A386" s="253" t="s">
        <v>381</v>
      </c>
      <c r="B386" s="252">
        <v>0</v>
      </c>
      <c r="C386" s="252">
        <v>0</v>
      </c>
      <c r="D386" s="252">
        <v>0</v>
      </c>
      <c r="E386" s="252">
        <v>0</v>
      </c>
      <c r="F386" s="252">
        <v>0</v>
      </c>
      <c r="G386" s="252">
        <v>0</v>
      </c>
      <c r="H386" s="252">
        <v>0</v>
      </c>
      <c r="I386" s="252"/>
      <c r="J386" s="252"/>
      <c r="K386" s="252">
        <v>0</v>
      </c>
      <c r="L386" s="252"/>
      <c r="M386" s="252">
        <v>0</v>
      </c>
      <c r="N386" s="252">
        <v>0</v>
      </c>
      <c r="O386" s="252">
        <v>0</v>
      </c>
      <c r="P386" s="252"/>
      <c r="Q386" s="252">
        <v>0</v>
      </c>
      <c r="R386" s="252"/>
      <c r="S386" s="252"/>
      <c r="T386" s="252">
        <v>0</v>
      </c>
      <c r="U386" s="252"/>
      <c r="V386" s="252">
        <v>0</v>
      </c>
      <c r="W386" s="252">
        <v>0</v>
      </c>
      <c r="X386" s="252"/>
      <c r="Y386" s="252">
        <v>0</v>
      </c>
    </row>
    <row r="387" spans="1:25" x14ac:dyDescent="0.3">
      <c r="A387" s="253" t="s">
        <v>1100</v>
      </c>
      <c r="B387" s="252">
        <v>0</v>
      </c>
      <c r="C387" s="252">
        <v>0</v>
      </c>
      <c r="D387" s="252">
        <v>0</v>
      </c>
      <c r="E387" s="252">
        <v>0</v>
      </c>
      <c r="F387" s="252">
        <v>0</v>
      </c>
      <c r="G387" s="252">
        <v>0</v>
      </c>
      <c r="H387" s="252">
        <v>0</v>
      </c>
      <c r="I387" s="252">
        <v>0</v>
      </c>
      <c r="J387" s="252">
        <v>0</v>
      </c>
      <c r="K387" s="252">
        <v>0</v>
      </c>
      <c r="L387" s="252">
        <v>0</v>
      </c>
      <c r="M387" s="252">
        <v>0</v>
      </c>
      <c r="N387" s="252">
        <v>0</v>
      </c>
      <c r="O387" s="252">
        <v>0</v>
      </c>
      <c r="P387" s="252">
        <v>0</v>
      </c>
      <c r="Q387" s="252">
        <v>0</v>
      </c>
      <c r="R387" s="252">
        <v>0</v>
      </c>
      <c r="S387" s="252">
        <v>0</v>
      </c>
      <c r="T387" s="252">
        <v>0</v>
      </c>
      <c r="U387" s="252">
        <v>0</v>
      </c>
      <c r="V387" s="252">
        <v>0</v>
      </c>
      <c r="W387" s="252">
        <v>0</v>
      </c>
      <c r="X387" s="252">
        <v>0</v>
      </c>
      <c r="Y387" s="252">
        <v>0</v>
      </c>
    </row>
    <row r="388" spans="1:25" x14ac:dyDescent="0.3">
      <c r="A388" s="253" t="s">
        <v>1101</v>
      </c>
      <c r="B388" s="252">
        <v>0</v>
      </c>
      <c r="C388" s="252">
        <v>0</v>
      </c>
      <c r="D388" s="252">
        <v>0</v>
      </c>
      <c r="E388" s="252">
        <v>0</v>
      </c>
      <c r="F388" s="252">
        <v>0</v>
      </c>
      <c r="G388" s="252">
        <v>0</v>
      </c>
      <c r="H388" s="252">
        <v>0</v>
      </c>
      <c r="I388" s="252">
        <v>0</v>
      </c>
      <c r="J388" s="252">
        <v>0</v>
      </c>
      <c r="K388" s="252">
        <v>0</v>
      </c>
      <c r="L388" s="252">
        <v>0</v>
      </c>
      <c r="M388" s="252">
        <v>0</v>
      </c>
      <c r="N388" s="252">
        <v>0</v>
      </c>
      <c r="O388" s="252">
        <v>0</v>
      </c>
      <c r="P388" s="252">
        <v>0</v>
      </c>
      <c r="Q388" s="252">
        <v>0</v>
      </c>
      <c r="R388" s="252">
        <v>0</v>
      </c>
      <c r="S388" s="252">
        <v>0</v>
      </c>
      <c r="T388" s="252">
        <v>0</v>
      </c>
      <c r="U388" s="252">
        <v>0</v>
      </c>
      <c r="V388" s="252">
        <v>0</v>
      </c>
      <c r="W388" s="252">
        <v>0</v>
      </c>
      <c r="X388" s="252">
        <v>0</v>
      </c>
      <c r="Y388" s="252">
        <v>0</v>
      </c>
    </row>
    <row r="389" spans="1:25" x14ac:dyDescent="0.3">
      <c r="A389" s="253" t="s">
        <v>382</v>
      </c>
      <c r="B389" s="252">
        <v>0</v>
      </c>
      <c r="C389" s="252">
        <v>0</v>
      </c>
      <c r="D389" s="252">
        <v>0</v>
      </c>
      <c r="E389" s="252">
        <v>0</v>
      </c>
      <c r="F389" s="252">
        <v>0</v>
      </c>
      <c r="G389" s="252">
        <v>0</v>
      </c>
      <c r="H389" s="252">
        <v>0</v>
      </c>
      <c r="I389" s="252">
        <v>0</v>
      </c>
      <c r="J389" s="252">
        <v>0</v>
      </c>
      <c r="K389" s="252">
        <v>0</v>
      </c>
      <c r="L389" s="252"/>
      <c r="M389" s="252">
        <v>0</v>
      </c>
      <c r="N389" s="252">
        <v>0</v>
      </c>
      <c r="O389" s="252">
        <v>0</v>
      </c>
      <c r="P389" s="252"/>
      <c r="Q389" s="252">
        <v>0</v>
      </c>
      <c r="R389" s="252"/>
      <c r="S389" s="252">
        <v>0</v>
      </c>
      <c r="T389" s="252">
        <v>0</v>
      </c>
      <c r="U389" s="252"/>
      <c r="V389" s="252">
        <v>0</v>
      </c>
      <c r="W389" s="252">
        <v>0</v>
      </c>
      <c r="X389" s="252"/>
      <c r="Y389" s="252">
        <v>0</v>
      </c>
    </row>
    <row r="390" spans="1:25" x14ac:dyDescent="0.3">
      <c r="A390" s="253" t="s">
        <v>68</v>
      </c>
      <c r="B390" s="252">
        <v>1</v>
      </c>
      <c r="C390" s="252">
        <v>0</v>
      </c>
      <c r="D390" s="252">
        <v>0</v>
      </c>
      <c r="E390" s="252">
        <v>2</v>
      </c>
      <c r="F390" s="252">
        <v>0</v>
      </c>
      <c r="G390" s="252">
        <v>0</v>
      </c>
      <c r="H390" s="252">
        <v>1</v>
      </c>
      <c r="I390" s="252">
        <v>0</v>
      </c>
      <c r="J390" s="252">
        <v>2</v>
      </c>
      <c r="K390" s="252">
        <v>1</v>
      </c>
      <c r="L390" s="252">
        <v>1</v>
      </c>
      <c r="M390" s="252">
        <v>1</v>
      </c>
      <c r="N390" s="252">
        <v>0</v>
      </c>
      <c r="O390" s="252">
        <v>0</v>
      </c>
      <c r="P390" s="252">
        <v>0</v>
      </c>
      <c r="Q390" s="252">
        <v>2</v>
      </c>
      <c r="R390" s="252">
        <v>1</v>
      </c>
      <c r="S390" s="252">
        <v>0</v>
      </c>
      <c r="T390" s="252">
        <v>1</v>
      </c>
      <c r="U390" s="252">
        <v>0</v>
      </c>
      <c r="V390" s="252">
        <v>2</v>
      </c>
      <c r="W390" s="252">
        <v>0</v>
      </c>
      <c r="X390" s="252">
        <v>0</v>
      </c>
      <c r="Y390" s="252">
        <v>15</v>
      </c>
    </row>
    <row r="391" spans="1:25" x14ac:dyDescent="0.3">
      <c r="A391" s="253" t="s">
        <v>383</v>
      </c>
      <c r="B391" s="252">
        <v>0</v>
      </c>
      <c r="C391" s="252">
        <v>0</v>
      </c>
      <c r="D391" s="252">
        <v>0</v>
      </c>
      <c r="E391" s="252">
        <v>0</v>
      </c>
      <c r="F391" s="252">
        <v>0</v>
      </c>
      <c r="G391" s="252">
        <v>0</v>
      </c>
      <c r="H391" s="252">
        <v>0</v>
      </c>
      <c r="I391" s="252">
        <v>0</v>
      </c>
      <c r="J391" s="252">
        <v>0</v>
      </c>
      <c r="K391" s="252">
        <v>0</v>
      </c>
      <c r="L391" s="252">
        <v>0</v>
      </c>
      <c r="M391" s="252">
        <v>0</v>
      </c>
      <c r="N391" s="252">
        <v>0</v>
      </c>
      <c r="O391" s="252">
        <v>0</v>
      </c>
      <c r="P391" s="252">
        <v>0</v>
      </c>
      <c r="Q391" s="252">
        <v>0</v>
      </c>
      <c r="R391" s="252">
        <v>0</v>
      </c>
      <c r="S391" s="252">
        <v>0</v>
      </c>
      <c r="T391" s="252">
        <v>0</v>
      </c>
      <c r="U391" s="252">
        <v>0</v>
      </c>
      <c r="V391" s="252">
        <v>0</v>
      </c>
      <c r="W391" s="252">
        <v>0</v>
      </c>
      <c r="X391" s="252">
        <v>0</v>
      </c>
      <c r="Y391" s="252">
        <v>0</v>
      </c>
    </row>
    <row r="392" spans="1:25" x14ac:dyDescent="0.3">
      <c r="A392" s="253" t="s">
        <v>384</v>
      </c>
      <c r="B392" s="252">
        <v>0</v>
      </c>
      <c r="C392" s="252">
        <v>0</v>
      </c>
      <c r="D392" s="252">
        <v>0</v>
      </c>
      <c r="E392" s="252">
        <v>0</v>
      </c>
      <c r="F392" s="252">
        <v>0</v>
      </c>
      <c r="G392" s="252">
        <v>0</v>
      </c>
      <c r="H392" s="252">
        <v>0</v>
      </c>
      <c r="I392" s="252"/>
      <c r="J392" s="252"/>
      <c r="K392" s="252">
        <v>0</v>
      </c>
      <c r="L392" s="252"/>
      <c r="M392" s="252">
        <v>0</v>
      </c>
      <c r="N392" s="252">
        <v>0</v>
      </c>
      <c r="O392" s="252">
        <v>0</v>
      </c>
      <c r="P392" s="252"/>
      <c r="Q392" s="252">
        <v>0</v>
      </c>
      <c r="R392" s="252"/>
      <c r="S392" s="252"/>
      <c r="T392" s="252">
        <v>0</v>
      </c>
      <c r="U392" s="252"/>
      <c r="V392" s="252">
        <v>0</v>
      </c>
      <c r="W392" s="252">
        <v>0</v>
      </c>
      <c r="X392" s="252"/>
      <c r="Y392" s="252">
        <v>0</v>
      </c>
    </row>
    <row r="393" spans="1:25" x14ac:dyDescent="0.3">
      <c r="A393" s="253" t="s">
        <v>66</v>
      </c>
      <c r="B393" s="252">
        <v>1</v>
      </c>
      <c r="C393" s="252">
        <v>2</v>
      </c>
      <c r="D393" s="252">
        <v>0</v>
      </c>
      <c r="E393" s="252">
        <v>2</v>
      </c>
      <c r="F393" s="252">
        <v>2</v>
      </c>
      <c r="G393" s="252">
        <v>1</v>
      </c>
      <c r="H393" s="252">
        <v>2</v>
      </c>
      <c r="I393" s="252">
        <v>0</v>
      </c>
      <c r="J393" s="252">
        <v>3</v>
      </c>
      <c r="K393" s="252">
        <v>1</v>
      </c>
      <c r="L393" s="252">
        <v>1</v>
      </c>
      <c r="M393" s="252">
        <v>1</v>
      </c>
      <c r="N393" s="252">
        <v>0</v>
      </c>
      <c r="O393" s="252">
        <v>0</v>
      </c>
      <c r="P393" s="252">
        <v>0</v>
      </c>
      <c r="Q393" s="252">
        <v>0</v>
      </c>
      <c r="R393" s="252">
        <v>1</v>
      </c>
      <c r="S393" s="252">
        <v>0</v>
      </c>
      <c r="T393" s="252">
        <v>0</v>
      </c>
      <c r="U393" s="252">
        <v>1</v>
      </c>
      <c r="V393" s="252">
        <v>2</v>
      </c>
      <c r="W393" s="252">
        <v>0</v>
      </c>
      <c r="X393" s="252">
        <v>0</v>
      </c>
      <c r="Y393" s="252">
        <v>20</v>
      </c>
    </row>
    <row r="394" spans="1:25" x14ac:dyDescent="0.3">
      <c r="A394" s="253" t="s">
        <v>1041</v>
      </c>
      <c r="B394" s="252">
        <v>0</v>
      </c>
      <c r="C394" s="252">
        <v>0</v>
      </c>
      <c r="D394" s="252">
        <v>0</v>
      </c>
      <c r="E394" s="252">
        <v>0</v>
      </c>
      <c r="F394" s="252">
        <v>0</v>
      </c>
      <c r="G394" s="252">
        <v>0</v>
      </c>
      <c r="H394" s="252">
        <v>0</v>
      </c>
      <c r="I394" s="252">
        <v>0</v>
      </c>
      <c r="J394" s="252">
        <v>0</v>
      </c>
      <c r="K394" s="252">
        <v>0</v>
      </c>
      <c r="L394" s="252">
        <v>0</v>
      </c>
      <c r="M394" s="252">
        <v>0</v>
      </c>
      <c r="N394" s="252">
        <v>0</v>
      </c>
      <c r="O394" s="252">
        <v>0</v>
      </c>
      <c r="P394" s="252">
        <v>0</v>
      </c>
      <c r="Q394" s="252">
        <v>0</v>
      </c>
      <c r="R394" s="252">
        <v>0</v>
      </c>
      <c r="S394" s="252">
        <v>0</v>
      </c>
      <c r="T394" s="252">
        <v>0</v>
      </c>
      <c r="U394" s="252">
        <v>0</v>
      </c>
      <c r="V394" s="252">
        <v>0</v>
      </c>
      <c r="W394" s="252">
        <v>0</v>
      </c>
      <c r="X394" s="252">
        <v>0</v>
      </c>
      <c r="Y394" s="252">
        <v>0</v>
      </c>
    </row>
    <row r="395" spans="1:25" x14ac:dyDescent="0.3">
      <c r="A395" s="253" t="s">
        <v>385</v>
      </c>
      <c r="B395" s="252">
        <v>0</v>
      </c>
      <c r="C395" s="252"/>
      <c r="D395" s="252">
        <v>0</v>
      </c>
      <c r="E395" s="252">
        <v>0</v>
      </c>
      <c r="F395" s="252">
        <v>0</v>
      </c>
      <c r="G395" s="252">
        <v>0</v>
      </c>
      <c r="H395" s="252">
        <v>0</v>
      </c>
      <c r="I395" s="252"/>
      <c r="J395" s="252"/>
      <c r="K395" s="252">
        <v>0</v>
      </c>
      <c r="L395" s="252"/>
      <c r="M395" s="252">
        <v>0</v>
      </c>
      <c r="N395" s="252">
        <v>0</v>
      </c>
      <c r="O395" s="252">
        <v>0</v>
      </c>
      <c r="P395" s="252"/>
      <c r="Q395" s="252">
        <v>0</v>
      </c>
      <c r="R395" s="252"/>
      <c r="S395" s="252"/>
      <c r="T395" s="252">
        <v>0</v>
      </c>
      <c r="U395" s="252"/>
      <c r="V395" s="252">
        <v>0</v>
      </c>
      <c r="W395" s="252">
        <v>0</v>
      </c>
      <c r="X395" s="252"/>
      <c r="Y395" s="252">
        <v>0</v>
      </c>
    </row>
    <row r="396" spans="1:25" x14ac:dyDescent="0.3">
      <c r="A396" s="253" t="s">
        <v>905</v>
      </c>
      <c r="B396" s="252">
        <v>0</v>
      </c>
      <c r="C396" s="252">
        <v>0</v>
      </c>
      <c r="D396" s="252">
        <v>0</v>
      </c>
      <c r="E396" s="252">
        <v>0</v>
      </c>
      <c r="F396" s="252">
        <v>0</v>
      </c>
      <c r="G396" s="252">
        <v>0</v>
      </c>
      <c r="H396" s="252">
        <v>0</v>
      </c>
      <c r="I396" s="252">
        <v>0</v>
      </c>
      <c r="J396" s="252">
        <v>0</v>
      </c>
      <c r="K396" s="252">
        <v>0</v>
      </c>
      <c r="L396" s="252"/>
      <c r="M396" s="252">
        <v>0</v>
      </c>
      <c r="N396" s="252">
        <v>0</v>
      </c>
      <c r="O396" s="252">
        <v>0</v>
      </c>
      <c r="P396" s="252">
        <v>0</v>
      </c>
      <c r="Q396" s="252">
        <v>0</v>
      </c>
      <c r="R396" s="252">
        <v>0</v>
      </c>
      <c r="S396" s="252">
        <v>0</v>
      </c>
      <c r="T396" s="252">
        <v>0</v>
      </c>
      <c r="U396" s="252">
        <v>0</v>
      </c>
      <c r="V396" s="252">
        <v>0</v>
      </c>
      <c r="W396" s="252">
        <v>0</v>
      </c>
      <c r="X396" s="252"/>
      <c r="Y396" s="252">
        <v>0</v>
      </c>
    </row>
    <row r="397" spans="1:25" x14ac:dyDescent="0.3">
      <c r="A397" s="253" t="s">
        <v>857</v>
      </c>
      <c r="B397" s="252">
        <v>4</v>
      </c>
      <c r="C397" s="252">
        <v>0</v>
      </c>
      <c r="D397" s="252">
        <v>0</v>
      </c>
      <c r="E397" s="252">
        <v>7</v>
      </c>
      <c r="F397" s="252">
        <v>1</v>
      </c>
      <c r="G397" s="252">
        <v>1</v>
      </c>
      <c r="H397" s="252">
        <v>6</v>
      </c>
      <c r="I397" s="252">
        <v>0</v>
      </c>
      <c r="J397" s="252">
        <v>10</v>
      </c>
      <c r="K397" s="252">
        <v>4</v>
      </c>
      <c r="L397" s="252">
        <v>8</v>
      </c>
      <c r="M397" s="252">
        <v>5</v>
      </c>
      <c r="N397" s="252">
        <v>4</v>
      </c>
      <c r="O397" s="252">
        <v>5</v>
      </c>
      <c r="P397" s="252">
        <v>7</v>
      </c>
      <c r="Q397" s="252">
        <v>5</v>
      </c>
      <c r="R397" s="252">
        <v>10</v>
      </c>
      <c r="S397" s="252">
        <v>2</v>
      </c>
      <c r="T397" s="252">
        <v>0</v>
      </c>
      <c r="U397" s="252">
        <v>0</v>
      </c>
      <c r="V397" s="252">
        <v>3</v>
      </c>
      <c r="W397" s="252">
        <v>5</v>
      </c>
      <c r="X397" s="252">
        <v>8</v>
      </c>
      <c r="Y397" s="252">
        <v>95</v>
      </c>
    </row>
    <row r="398" spans="1:25" x14ac:dyDescent="0.3">
      <c r="A398" s="253" t="s">
        <v>386</v>
      </c>
      <c r="B398" s="252">
        <v>0</v>
      </c>
      <c r="C398" s="252">
        <v>0</v>
      </c>
      <c r="D398" s="252">
        <v>0</v>
      </c>
      <c r="E398" s="252">
        <v>0</v>
      </c>
      <c r="F398" s="252">
        <v>0</v>
      </c>
      <c r="G398" s="252">
        <v>0</v>
      </c>
      <c r="H398" s="252">
        <v>0</v>
      </c>
      <c r="I398" s="252"/>
      <c r="J398" s="252"/>
      <c r="K398" s="252">
        <v>0</v>
      </c>
      <c r="L398" s="252"/>
      <c r="M398" s="252">
        <v>0</v>
      </c>
      <c r="N398" s="252">
        <v>0</v>
      </c>
      <c r="O398" s="252">
        <v>0</v>
      </c>
      <c r="P398" s="252"/>
      <c r="Q398" s="252">
        <v>0</v>
      </c>
      <c r="R398" s="252"/>
      <c r="S398" s="252"/>
      <c r="T398" s="252">
        <v>0</v>
      </c>
      <c r="U398" s="252"/>
      <c r="V398" s="252">
        <v>0</v>
      </c>
      <c r="W398" s="252">
        <v>0</v>
      </c>
      <c r="X398" s="252"/>
      <c r="Y398" s="252">
        <v>0</v>
      </c>
    </row>
    <row r="399" spans="1:25" x14ac:dyDescent="0.3">
      <c r="A399" s="253" t="s">
        <v>1082</v>
      </c>
      <c r="B399" s="252">
        <v>0</v>
      </c>
      <c r="C399" s="252">
        <v>0</v>
      </c>
      <c r="D399" s="252">
        <v>0</v>
      </c>
      <c r="E399" s="252">
        <v>0</v>
      </c>
      <c r="F399" s="252">
        <v>0</v>
      </c>
      <c r="G399" s="252">
        <v>0</v>
      </c>
      <c r="H399" s="252">
        <v>0</v>
      </c>
      <c r="I399" s="252">
        <v>0</v>
      </c>
      <c r="J399" s="252">
        <v>0</v>
      </c>
      <c r="K399" s="252">
        <v>0</v>
      </c>
      <c r="L399" s="252">
        <v>0</v>
      </c>
      <c r="M399" s="252">
        <v>0</v>
      </c>
      <c r="N399" s="252">
        <v>0</v>
      </c>
      <c r="O399" s="252">
        <v>0</v>
      </c>
      <c r="P399" s="252">
        <v>0</v>
      </c>
      <c r="Q399" s="252">
        <v>0</v>
      </c>
      <c r="R399" s="252">
        <v>0</v>
      </c>
      <c r="S399" s="252">
        <v>0</v>
      </c>
      <c r="T399" s="252">
        <v>0</v>
      </c>
      <c r="U399" s="252">
        <v>0</v>
      </c>
      <c r="V399" s="252">
        <v>0</v>
      </c>
      <c r="W399" s="252">
        <v>0</v>
      </c>
      <c r="X399" s="252">
        <v>0</v>
      </c>
      <c r="Y399" s="252">
        <v>0</v>
      </c>
    </row>
    <row r="400" spans="1:25" x14ac:dyDescent="0.3">
      <c r="A400" s="253" t="s">
        <v>970</v>
      </c>
      <c r="B400" s="252">
        <v>0</v>
      </c>
      <c r="C400" s="252">
        <v>0</v>
      </c>
      <c r="D400" s="252">
        <v>0</v>
      </c>
      <c r="E400" s="252">
        <v>0</v>
      </c>
      <c r="F400" s="252">
        <v>0</v>
      </c>
      <c r="G400" s="252">
        <v>0</v>
      </c>
      <c r="H400" s="252">
        <v>0</v>
      </c>
      <c r="I400" s="252">
        <v>0</v>
      </c>
      <c r="J400" s="252">
        <v>0</v>
      </c>
      <c r="K400" s="252">
        <v>0</v>
      </c>
      <c r="L400" s="252"/>
      <c r="M400" s="252">
        <v>0</v>
      </c>
      <c r="N400" s="252">
        <v>0</v>
      </c>
      <c r="O400" s="252">
        <v>0</v>
      </c>
      <c r="P400" s="252">
        <v>0</v>
      </c>
      <c r="Q400" s="252">
        <v>0</v>
      </c>
      <c r="R400" s="252">
        <v>0</v>
      </c>
      <c r="S400" s="252">
        <v>0</v>
      </c>
      <c r="T400" s="252">
        <v>0</v>
      </c>
      <c r="U400" s="252">
        <v>0</v>
      </c>
      <c r="V400" s="252">
        <v>0</v>
      </c>
      <c r="W400" s="252">
        <v>0</v>
      </c>
      <c r="X400" s="252"/>
      <c r="Y400" s="252">
        <v>0</v>
      </c>
    </row>
    <row r="401" spans="1:25" x14ac:dyDescent="0.3">
      <c r="A401" s="253" t="s">
        <v>387</v>
      </c>
      <c r="B401" s="252">
        <v>0</v>
      </c>
      <c r="C401" s="252">
        <v>0</v>
      </c>
      <c r="D401" s="252">
        <v>0</v>
      </c>
      <c r="E401" s="252">
        <v>0</v>
      </c>
      <c r="F401" s="252">
        <v>0</v>
      </c>
      <c r="G401" s="252">
        <v>0</v>
      </c>
      <c r="H401" s="252">
        <v>0</v>
      </c>
      <c r="I401" s="252"/>
      <c r="J401" s="252"/>
      <c r="K401" s="252">
        <v>0</v>
      </c>
      <c r="L401" s="252"/>
      <c r="M401" s="252">
        <v>0</v>
      </c>
      <c r="N401" s="252">
        <v>0</v>
      </c>
      <c r="O401" s="252">
        <v>0</v>
      </c>
      <c r="P401" s="252"/>
      <c r="Q401" s="252">
        <v>0</v>
      </c>
      <c r="R401" s="252"/>
      <c r="S401" s="252">
        <v>0</v>
      </c>
      <c r="T401" s="252">
        <v>0</v>
      </c>
      <c r="U401" s="252"/>
      <c r="V401" s="252">
        <v>0</v>
      </c>
      <c r="W401" s="252">
        <v>0</v>
      </c>
      <c r="X401" s="252"/>
      <c r="Y401" s="252">
        <v>0</v>
      </c>
    </row>
    <row r="402" spans="1:25" x14ac:dyDescent="0.3">
      <c r="A402" s="253" t="s">
        <v>388</v>
      </c>
      <c r="B402" s="252">
        <v>0</v>
      </c>
      <c r="C402" s="252">
        <v>0</v>
      </c>
      <c r="D402" s="252">
        <v>0</v>
      </c>
      <c r="E402" s="252">
        <v>0</v>
      </c>
      <c r="F402" s="252">
        <v>0</v>
      </c>
      <c r="G402" s="252">
        <v>0</v>
      </c>
      <c r="H402" s="252">
        <v>0</v>
      </c>
      <c r="I402" s="252"/>
      <c r="J402" s="252"/>
      <c r="K402" s="252">
        <v>0</v>
      </c>
      <c r="L402" s="252"/>
      <c r="M402" s="252">
        <v>0</v>
      </c>
      <c r="N402" s="252">
        <v>0</v>
      </c>
      <c r="O402" s="252">
        <v>0</v>
      </c>
      <c r="P402" s="252"/>
      <c r="Q402" s="252">
        <v>0</v>
      </c>
      <c r="R402" s="252"/>
      <c r="S402" s="252">
        <v>0</v>
      </c>
      <c r="T402" s="252">
        <v>0</v>
      </c>
      <c r="U402" s="252"/>
      <c r="V402" s="252">
        <v>0</v>
      </c>
      <c r="W402" s="252">
        <v>0</v>
      </c>
      <c r="X402" s="252"/>
      <c r="Y402" s="252">
        <v>0</v>
      </c>
    </row>
    <row r="403" spans="1:25" x14ac:dyDescent="0.3">
      <c r="A403" s="253" t="s">
        <v>389</v>
      </c>
      <c r="B403" s="252">
        <v>0</v>
      </c>
      <c r="C403" s="252">
        <v>0</v>
      </c>
      <c r="D403" s="252">
        <v>0</v>
      </c>
      <c r="E403" s="252">
        <v>0</v>
      </c>
      <c r="F403" s="252">
        <v>0</v>
      </c>
      <c r="G403" s="252">
        <v>0</v>
      </c>
      <c r="H403" s="252">
        <v>0</v>
      </c>
      <c r="I403" s="252"/>
      <c r="J403" s="252"/>
      <c r="K403" s="252">
        <v>0</v>
      </c>
      <c r="L403" s="252"/>
      <c r="M403" s="252">
        <v>0</v>
      </c>
      <c r="N403" s="252">
        <v>0</v>
      </c>
      <c r="O403" s="252">
        <v>0</v>
      </c>
      <c r="P403" s="252"/>
      <c r="Q403" s="252">
        <v>0</v>
      </c>
      <c r="R403" s="252"/>
      <c r="S403" s="252"/>
      <c r="T403" s="252">
        <v>0</v>
      </c>
      <c r="U403" s="252"/>
      <c r="V403" s="252">
        <v>0</v>
      </c>
      <c r="W403" s="252">
        <v>0</v>
      </c>
      <c r="X403" s="252"/>
      <c r="Y403" s="252">
        <v>0</v>
      </c>
    </row>
    <row r="404" spans="1:25" x14ac:dyDescent="0.3">
      <c r="A404" s="253" t="s">
        <v>390</v>
      </c>
      <c r="B404" s="252">
        <v>0</v>
      </c>
      <c r="C404" s="252">
        <v>0</v>
      </c>
      <c r="D404" s="252">
        <v>0</v>
      </c>
      <c r="E404" s="252">
        <v>0</v>
      </c>
      <c r="F404" s="252">
        <v>0</v>
      </c>
      <c r="G404" s="252">
        <v>0</v>
      </c>
      <c r="H404" s="252">
        <v>0</v>
      </c>
      <c r="I404" s="252"/>
      <c r="J404" s="252"/>
      <c r="K404" s="252">
        <v>0</v>
      </c>
      <c r="L404" s="252"/>
      <c r="M404" s="252">
        <v>0</v>
      </c>
      <c r="N404" s="252">
        <v>0</v>
      </c>
      <c r="O404" s="252">
        <v>0</v>
      </c>
      <c r="P404" s="252"/>
      <c r="Q404" s="252">
        <v>0</v>
      </c>
      <c r="R404" s="252"/>
      <c r="S404" s="252"/>
      <c r="T404" s="252">
        <v>0</v>
      </c>
      <c r="U404" s="252"/>
      <c r="V404" s="252">
        <v>0</v>
      </c>
      <c r="W404" s="252">
        <v>0</v>
      </c>
      <c r="X404" s="252"/>
      <c r="Y404" s="252">
        <v>0</v>
      </c>
    </row>
    <row r="405" spans="1:25" x14ac:dyDescent="0.3">
      <c r="A405" s="253" t="s">
        <v>391</v>
      </c>
      <c r="B405" s="252">
        <v>0</v>
      </c>
      <c r="C405" s="252">
        <v>0</v>
      </c>
      <c r="D405" s="252">
        <v>0</v>
      </c>
      <c r="E405" s="252">
        <v>0</v>
      </c>
      <c r="F405" s="252">
        <v>0</v>
      </c>
      <c r="G405" s="252">
        <v>0</v>
      </c>
      <c r="H405" s="252">
        <v>0</v>
      </c>
      <c r="I405" s="252"/>
      <c r="J405" s="252"/>
      <c r="K405" s="252">
        <v>0</v>
      </c>
      <c r="L405" s="252"/>
      <c r="M405" s="252">
        <v>0</v>
      </c>
      <c r="N405" s="252">
        <v>0</v>
      </c>
      <c r="O405" s="252">
        <v>0</v>
      </c>
      <c r="P405" s="252"/>
      <c r="Q405" s="252">
        <v>0</v>
      </c>
      <c r="R405" s="252"/>
      <c r="S405" s="252">
        <v>0</v>
      </c>
      <c r="T405" s="252">
        <v>0</v>
      </c>
      <c r="U405" s="252"/>
      <c r="V405" s="252">
        <v>0</v>
      </c>
      <c r="W405" s="252">
        <v>0</v>
      </c>
      <c r="X405" s="252"/>
      <c r="Y405" s="252">
        <v>0</v>
      </c>
    </row>
    <row r="406" spans="1:25" x14ac:dyDescent="0.3">
      <c r="A406" s="253" t="s">
        <v>924</v>
      </c>
      <c r="B406" s="252">
        <v>0</v>
      </c>
      <c r="C406" s="252">
        <v>0</v>
      </c>
      <c r="D406" s="252">
        <v>0</v>
      </c>
      <c r="E406" s="252">
        <v>0</v>
      </c>
      <c r="F406" s="252">
        <v>0</v>
      </c>
      <c r="G406" s="252">
        <v>0</v>
      </c>
      <c r="H406" s="252">
        <v>0</v>
      </c>
      <c r="I406" s="252">
        <v>0</v>
      </c>
      <c r="J406" s="252">
        <v>0</v>
      </c>
      <c r="K406" s="252">
        <v>0</v>
      </c>
      <c r="L406" s="252"/>
      <c r="M406" s="252">
        <v>0</v>
      </c>
      <c r="N406" s="252">
        <v>0</v>
      </c>
      <c r="O406" s="252">
        <v>0</v>
      </c>
      <c r="P406" s="252"/>
      <c r="Q406" s="252">
        <v>0</v>
      </c>
      <c r="R406" s="252">
        <v>0</v>
      </c>
      <c r="S406" s="252">
        <v>0</v>
      </c>
      <c r="T406" s="252">
        <v>0</v>
      </c>
      <c r="U406" s="252">
        <v>0</v>
      </c>
      <c r="V406" s="252">
        <v>0</v>
      </c>
      <c r="W406" s="252">
        <v>0</v>
      </c>
      <c r="X406" s="252"/>
      <c r="Y406" s="252">
        <v>0</v>
      </c>
    </row>
    <row r="407" spans="1:25" x14ac:dyDescent="0.3">
      <c r="A407" s="253" t="s">
        <v>392</v>
      </c>
      <c r="B407" s="252">
        <v>0</v>
      </c>
      <c r="C407" s="252">
        <v>0</v>
      </c>
      <c r="D407" s="252">
        <v>0</v>
      </c>
      <c r="E407" s="252"/>
      <c r="F407" s="252">
        <v>0</v>
      </c>
      <c r="G407" s="252">
        <v>0</v>
      </c>
      <c r="H407" s="252">
        <v>0</v>
      </c>
      <c r="I407" s="252"/>
      <c r="J407" s="252"/>
      <c r="K407" s="252">
        <v>0</v>
      </c>
      <c r="L407" s="252"/>
      <c r="M407" s="252">
        <v>0</v>
      </c>
      <c r="N407" s="252">
        <v>0</v>
      </c>
      <c r="O407" s="252">
        <v>0</v>
      </c>
      <c r="P407" s="252"/>
      <c r="Q407" s="252">
        <v>0</v>
      </c>
      <c r="R407" s="252"/>
      <c r="S407" s="252"/>
      <c r="T407" s="252">
        <v>0</v>
      </c>
      <c r="U407" s="252"/>
      <c r="V407" s="252">
        <v>0</v>
      </c>
      <c r="W407" s="252">
        <v>0</v>
      </c>
      <c r="X407" s="252"/>
      <c r="Y407" s="252">
        <v>0</v>
      </c>
    </row>
    <row r="408" spans="1:25" x14ac:dyDescent="0.3">
      <c r="A408" s="253" t="s">
        <v>393</v>
      </c>
      <c r="B408" s="252">
        <v>0</v>
      </c>
      <c r="C408" s="252">
        <v>0</v>
      </c>
      <c r="D408" s="252">
        <v>0</v>
      </c>
      <c r="E408" s="252"/>
      <c r="F408" s="252">
        <v>0</v>
      </c>
      <c r="G408" s="252">
        <v>0</v>
      </c>
      <c r="H408" s="252">
        <v>0</v>
      </c>
      <c r="I408" s="252"/>
      <c r="J408" s="252"/>
      <c r="K408" s="252">
        <v>0</v>
      </c>
      <c r="L408" s="252"/>
      <c r="M408" s="252">
        <v>0</v>
      </c>
      <c r="N408" s="252">
        <v>0</v>
      </c>
      <c r="O408" s="252">
        <v>0</v>
      </c>
      <c r="P408" s="252"/>
      <c r="Q408" s="252">
        <v>0</v>
      </c>
      <c r="R408" s="252"/>
      <c r="S408" s="252"/>
      <c r="T408" s="252">
        <v>0</v>
      </c>
      <c r="U408" s="252"/>
      <c r="V408" s="252">
        <v>0</v>
      </c>
      <c r="W408" s="252">
        <v>0</v>
      </c>
      <c r="X408" s="252"/>
      <c r="Y408" s="252">
        <v>0</v>
      </c>
    </row>
    <row r="409" spans="1:25" x14ac:dyDescent="0.3">
      <c r="A409" s="253" t="s">
        <v>394</v>
      </c>
      <c r="B409" s="252">
        <v>0</v>
      </c>
      <c r="C409" s="252">
        <v>0</v>
      </c>
      <c r="D409" s="252">
        <v>0</v>
      </c>
      <c r="E409" s="252"/>
      <c r="F409" s="252">
        <v>0</v>
      </c>
      <c r="G409" s="252">
        <v>0</v>
      </c>
      <c r="H409" s="252">
        <v>0</v>
      </c>
      <c r="I409" s="252"/>
      <c r="J409" s="252"/>
      <c r="K409" s="252">
        <v>0</v>
      </c>
      <c r="L409" s="252"/>
      <c r="M409" s="252">
        <v>0</v>
      </c>
      <c r="N409" s="252">
        <v>0</v>
      </c>
      <c r="O409" s="252">
        <v>0</v>
      </c>
      <c r="P409" s="252"/>
      <c r="Q409" s="252">
        <v>0</v>
      </c>
      <c r="R409" s="252"/>
      <c r="S409" s="252"/>
      <c r="T409" s="252">
        <v>0</v>
      </c>
      <c r="U409" s="252"/>
      <c r="V409" s="252">
        <v>0</v>
      </c>
      <c r="W409" s="252">
        <v>0</v>
      </c>
      <c r="X409" s="252"/>
      <c r="Y409" s="252">
        <v>0</v>
      </c>
    </row>
    <row r="410" spans="1:25" x14ac:dyDescent="0.3">
      <c r="A410" s="253" t="s">
        <v>395</v>
      </c>
      <c r="B410" s="252">
        <v>0</v>
      </c>
      <c r="C410" s="252">
        <v>0</v>
      </c>
      <c r="D410" s="252">
        <v>0</v>
      </c>
      <c r="E410" s="252"/>
      <c r="F410" s="252">
        <v>0</v>
      </c>
      <c r="G410" s="252">
        <v>0</v>
      </c>
      <c r="H410" s="252">
        <v>0</v>
      </c>
      <c r="I410" s="252"/>
      <c r="J410" s="252"/>
      <c r="K410" s="252">
        <v>0</v>
      </c>
      <c r="L410" s="252"/>
      <c r="M410" s="252">
        <v>0</v>
      </c>
      <c r="N410" s="252">
        <v>0</v>
      </c>
      <c r="O410" s="252">
        <v>0</v>
      </c>
      <c r="P410" s="252"/>
      <c r="Q410" s="252">
        <v>0</v>
      </c>
      <c r="R410" s="252"/>
      <c r="S410" s="252"/>
      <c r="T410" s="252">
        <v>0</v>
      </c>
      <c r="U410" s="252"/>
      <c r="V410" s="252">
        <v>0</v>
      </c>
      <c r="W410" s="252">
        <v>0</v>
      </c>
      <c r="X410" s="252"/>
      <c r="Y410" s="252">
        <v>0</v>
      </c>
    </row>
    <row r="411" spans="1:25" x14ac:dyDescent="0.3">
      <c r="A411" s="253" t="s">
        <v>396</v>
      </c>
      <c r="B411" s="252">
        <v>0</v>
      </c>
      <c r="C411" s="252">
        <v>0</v>
      </c>
      <c r="D411" s="252">
        <v>0</v>
      </c>
      <c r="E411" s="252"/>
      <c r="F411" s="252">
        <v>0</v>
      </c>
      <c r="G411" s="252">
        <v>0</v>
      </c>
      <c r="H411" s="252">
        <v>0</v>
      </c>
      <c r="I411" s="252"/>
      <c r="J411" s="252"/>
      <c r="K411" s="252">
        <v>0</v>
      </c>
      <c r="L411" s="252"/>
      <c r="M411" s="252">
        <v>0</v>
      </c>
      <c r="N411" s="252">
        <v>0</v>
      </c>
      <c r="O411" s="252">
        <v>0</v>
      </c>
      <c r="P411" s="252"/>
      <c r="Q411" s="252">
        <v>0</v>
      </c>
      <c r="R411" s="252"/>
      <c r="S411" s="252"/>
      <c r="T411" s="252">
        <v>0</v>
      </c>
      <c r="U411" s="252"/>
      <c r="V411" s="252">
        <v>0</v>
      </c>
      <c r="W411" s="252">
        <v>0</v>
      </c>
      <c r="X411" s="252"/>
      <c r="Y411" s="252">
        <v>0</v>
      </c>
    </row>
    <row r="412" spans="1:25" x14ac:dyDescent="0.3">
      <c r="A412" s="253" t="s">
        <v>397</v>
      </c>
      <c r="B412" s="252">
        <v>0</v>
      </c>
      <c r="C412" s="252">
        <v>0</v>
      </c>
      <c r="D412" s="252">
        <v>0</v>
      </c>
      <c r="E412" s="252"/>
      <c r="F412" s="252">
        <v>0</v>
      </c>
      <c r="G412" s="252">
        <v>0</v>
      </c>
      <c r="H412" s="252">
        <v>0</v>
      </c>
      <c r="I412" s="252"/>
      <c r="J412" s="252"/>
      <c r="K412" s="252">
        <v>0</v>
      </c>
      <c r="L412" s="252"/>
      <c r="M412" s="252">
        <v>0</v>
      </c>
      <c r="N412" s="252">
        <v>0</v>
      </c>
      <c r="O412" s="252">
        <v>0</v>
      </c>
      <c r="P412" s="252"/>
      <c r="Q412" s="252">
        <v>0</v>
      </c>
      <c r="R412" s="252"/>
      <c r="S412" s="252"/>
      <c r="T412" s="252">
        <v>0</v>
      </c>
      <c r="U412" s="252"/>
      <c r="V412" s="252">
        <v>0</v>
      </c>
      <c r="W412" s="252">
        <v>0</v>
      </c>
      <c r="X412" s="252"/>
      <c r="Y412" s="252">
        <v>0</v>
      </c>
    </row>
    <row r="413" spans="1:25" x14ac:dyDescent="0.3">
      <c r="A413" s="253" t="s">
        <v>398</v>
      </c>
      <c r="B413" s="252">
        <v>0</v>
      </c>
      <c r="C413" s="252">
        <v>0</v>
      </c>
      <c r="D413" s="252">
        <v>0</v>
      </c>
      <c r="E413" s="252"/>
      <c r="F413" s="252">
        <v>0</v>
      </c>
      <c r="G413" s="252">
        <v>0</v>
      </c>
      <c r="H413" s="252">
        <v>0</v>
      </c>
      <c r="I413" s="252"/>
      <c r="J413" s="252"/>
      <c r="K413" s="252">
        <v>0</v>
      </c>
      <c r="L413" s="252"/>
      <c r="M413" s="252">
        <v>0</v>
      </c>
      <c r="N413" s="252">
        <v>0</v>
      </c>
      <c r="O413" s="252">
        <v>0</v>
      </c>
      <c r="P413" s="252"/>
      <c r="Q413" s="252">
        <v>0</v>
      </c>
      <c r="R413" s="252"/>
      <c r="S413" s="252"/>
      <c r="T413" s="252">
        <v>0</v>
      </c>
      <c r="U413" s="252"/>
      <c r="V413" s="252">
        <v>0</v>
      </c>
      <c r="W413" s="252">
        <v>0</v>
      </c>
      <c r="X413" s="252"/>
      <c r="Y413" s="252">
        <v>0</v>
      </c>
    </row>
    <row r="414" spans="1:25" x14ac:dyDescent="0.3">
      <c r="A414" s="253" t="s">
        <v>399</v>
      </c>
      <c r="B414" s="252">
        <v>0</v>
      </c>
      <c r="C414" s="252">
        <v>0</v>
      </c>
      <c r="D414" s="252">
        <v>0</v>
      </c>
      <c r="E414" s="252"/>
      <c r="F414" s="252">
        <v>0</v>
      </c>
      <c r="G414" s="252">
        <v>0</v>
      </c>
      <c r="H414" s="252">
        <v>0</v>
      </c>
      <c r="I414" s="252"/>
      <c r="J414" s="252"/>
      <c r="K414" s="252">
        <v>0</v>
      </c>
      <c r="L414" s="252"/>
      <c r="M414" s="252">
        <v>0</v>
      </c>
      <c r="N414" s="252">
        <v>0</v>
      </c>
      <c r="O414" s="252">
        <v>0</v>
      </c>
      <c r="P414" s="252"/>
      <c r="Q414" s="252">
        <v>0</v>
      </c>
      <c r="R414" s="252"/>
      <c r="S414" s="252"/>
      <c r="T414" s="252">
        <v>0</v>
      </c>
      <c r="U414" s="252"/>
      <c r="V414" s="252">
        <v>0</v>
      </c>
      <c r="W414" s="252">
        <v>0</v>
      </c>
      <c r="X414" s="252"/>
      <c r="Y414" s="252">
        <v>0</v>
      </c>
    </row>
    <row r="415" spans="1:25" x14ac:dyDescent="0.3">
      <c r="A415" s="253" t="s">
        <v>400</v>
      </c>
      <c r="B415" s="252">
        <v>0</v>
      </c>
      <c r="C415" s="252">
        <v>0</v>
      </c>
      <c r="D415" s="252">
        <v>0</v>
      </c>
      <c r="E415" s="252"/>
      <c r="F415" s="252">
        <v>0</v>
      </c>
      <c r="G415" s="252">
        <v>0</v>
      </c>
      <c r="H415" s="252">
        <v>0</v>
      </c>
      <c r="I415" s="252"/>
      <c r="J415" s="252"/>
      <c r="K415" s="252">
        <v>0</v>
      </c>
      <c r="L415" s="252"/>
      <c r="M415" s="252">
        <v>0</v>
      </c>
      <c r="N415" s="252">
        <v>0</v>
      </c>
      <c r="O415" s="252">
        <v>0</v>
      </c>
      <c r="P415" s="252"/>
      <c r="Q415" s="252">
        <v>0</v>
      </c>
      <c r="R415" s="252"/>
      <c r="S415" s="252"/>
      <c r="T415" s="252">
        <v>0</v>
      </c>
      <c r="U415" s="252"/>
      <c r="V415" s="252">
        <v>0</v>
      </c>
      <c r="W415" s="252">
        <v>0</v>
      </c>
      <c r="X415" s="252"/>
      <c r="Y415" s="252">
        <v>0</v>
      </c>
    </row>
    <row r="416" spans="1:25" x14ac:dyDescent="0.3">
      <c r="A416" s="253" t="s">
        <v>401</v>
      </c>
      <c r="B416" s="252">
        <v>0</v>
      </c>
      <c r="C416" s="252">
        <v>0</v>
      </c>
      <c r="D416" s="252">
        <v>0</v>
      </c>
      <c r="E416" s="252"/>
      <c r="F416" s="252">
        <v>0</v>
      </c>
      <c r="G416" s="252">
        <v>0</v>
      </c>
      <c r="H416" s="252">
        <v>0</v>
      </c>
      <c r="I416" s="252"/>
      <c r="J416" s="252"/>
      <c r="K416" s="252">
        <v>0</v>
      </c>
      <c r="L416" s="252"/>
      <c r="M416" s="252">
        <v>0</v>
      </c>
      <c r="N416" s="252">
        <v>0</v>
      </c>
      <c r="O416" s="252">
        <v>0</v>
      </c>
      <c r="P416" s="252"/>
      <c r="Q416" s="252">
        <v>0</v>
      </c>
      <c r="R416" s="252"/>
      <c r="S416" s="252"/>
      <c r="T416" s="252">
        <v>0</v>
      </c>
      <c r="U416" s="252"/>
      <c r="V416" s="252">
        <v>0</v>
      </c>
      <c r="W416" s="252">
        <v>0</v>
      </c>
      <c r="X416" s="252"/>
      <c r="Y416" s="252">
        <v>0</v>
      </c>
    </row>
    <row r="417" spans="1:25" x14ac:dyDescent="0.3">
      <c r="A417" s="253" t="s">
        <v>402</v>
      </c>
      <c r="B417" s="252">
        <v>0</v>
      </c>
      <c r="C417" s="252">
        <v>0</v>
      </c>
      <c r="D417" s="252">
        <v>0</v>
      </c>
      <c r="E417" s="252"/>
      <c r="F417" s="252">
        <v>0</v>
      </c>
      <c r="G417" s="252">
        <v>0</v>
      </c>
      <c r="H417" s="252">
        <v>0</v>
      </c>
      <c r="I417" s="252"/>
      <c r="J417" s="252"/>
      <c r="K417" s="252">
        <v>0</v>
      </c>
      <c r="L417" s="252"/>
      <c r="M417" s="252">
        <v>0</v>
      </c>
      <c r="N417" s="252">
        <v>0</v>
      </c>
      <c r="O417" s="252">
        <v>0</v>
      </c>
      <c r="P417" s="252"/>
      <c r="Q417" s="252">
        <v>0</v>
      </c>
      <c r="R417" s="252"/>
      <c r="S417" s="252"/>
      <c r="T417" s="252">
        <v>0</v>
      </c>
      <c r="U417" s="252"/>
      <c r="V417" s="252">
        <v>0</v>
      </c>
      <c r="W417" s="252">
        <v>0</v>
      </c>
      <c r="X417" s="252"/>
      <c r="Y417" s="252">
        <v>0</v>
      </c>
    </row>
    <row r="418" spans="1:25" x14ac:dyDescent="0.3">
      <c r="A418" s="253" t="s">
        <v>403</v>
      </c>
      <c r="B418" s="252">
        <v>0</v>
      </c>
      <c r="C418" s="252">
        <v>0</v>
      </c>
      <c r="D418" s="252">
        <v>0</v>
      </c>
      <c r="E418" s="252"/>
      <c r="F418" s="252">
        <v>0</v>
      </c>
      <c r="G418" s="252">
        <v>0</v>
      </c>
      <c r="H418" s="252">
        <v>0</v>
      </c>
      <c r="I418" s="252"/>
      <c r="J418" s="252"/>
      <c r="K418" s="252">
        <v>0</v>
      </c>
      <c r="L418" s="252"/>
      <c r="M418" s="252">
        <v>0</v>
      </c>
      <c r="N418" s="252">
        <v>0</v>
      </c>
      <c r="O418" s="252">
        <v>0</v>
      </c>
      <c r="P418" s="252"/>
      <c r="Q418" s="252">
        <v>0</v>
      </c>
      <c r="R418" s="252"/>
      <c r="S418" s="252"/>
      <c r="T418" s="252">
        <v>0</v>
      </c>
      <c r="U418" s="252"/>
      <c r="V418" s="252">
        <v>0</v>
      </c>
      <c r="W418" s="252">
        <v>0</v>
      </c>
      <c r="X418" s="252"/>
      <c r="Y418" s="252">
        <v>0</v>
      </c>
    </row>
    <row r="419" spans="1:25" x14ac:dyDescent="0.3">
      <c r="A419" s="253" t="s">
        <v>404</v>
      </c>
      <c r="B419" s="252">
        <v>0</v>
      </c>
      <c r="C419" s="252">
        <v>0</v>
      </c>
      <c r="D419" s="252">
        <v>0</v>
      </c>
      <c r="E419" s="252"/>
      <c r="F419" s="252">
        <v>0</v>
      </c>
      <c r="G419" s="252">
        <v>0</v>
      </c>
      <c r="H419" s="252">
        <v>0</v>
      </c>
      <c r="I419" s="252"/>
      <c r="J419" s="252"/>
      <c r="K419" s="252">
        <v>0</v>
      </c>
      <c r="L419" s="252"/>
      <c r="M419" s="252">
        <v>0</v>
      </c>
      <c r="N419" s="252">
        <v>0</v>
      </c>
      <c r="O419" s="252">
        <v>0</v>
      </c>
      <c r="P419" s="252"/>
      <c r="Q419" s="252">
        <v>0</v>
      </c>
      <c r="R419" s="252"/>
      <c r="S419" s="252"/>
      <c r="T419" s="252">
        <v>0</v>
      </c>
      <c r="U419" s="252"/>
      <c r="V419" s="252">
        <v>0</v>
      </c>
      <c r="W419" s="252">
        <v>0</v>
      </c>
      <c r="X419" s="252"/>
      <c r="Y419" s="252">
        <v>0</v>
      </c>
    </row>
    <row r="420" spans="1:25" x14ac:dyDescent="0.3">
      <c r="A420" s="253" t="s">
        <v>405</v>
      </c>
      <c r="B420" s="252">
        <v>0</v>
      </c>
      <c r="C420" s="252">
        <v>0</v>
      </c>
      <c r="D420" s="252">
        <v>0</v>
      </c>
      <c r="E420" s="252"/>
      <c r="F420" s="252">
        <v>0</v>
      </c>
      <c r="G420" s="252">
        <v>0</v>
      </c>
      <c r="H420" s="252">
        <v>0</v>
      </c>
      <c r="I420" s="252"/>
      <c r="J420" s="252"/>
      <c r="K420" s="252">
        <v>0</v>
      </c>
      <c r="L420" s="252"/>
      <c r="M420" s="252">
        <v>0</v>
      </c>
      <c r="N420" s="252">
        <v>0</v>
      </c>
      <c r="O420" s="252">
        <v>0</v>
      </c>
      <c r="P420" s="252"/>
      <c r="Q420" s="252">
        <v>0</v>
      </c>
      <c r="R420" s="252"/>
      <c r="S420" s="252"/>
      <c r="T420" s="252">
        <v>0</v>
      </c>
      <c r="U420" s="252"/>
      <c r="V420" s="252">
        <v>0</v>
      </c>
      <c r="W420" s="252">
        <v>0</v>
      </c>
      <c r="X420" s="252"/>
      <c r="Y420" s="252">
        <v>0</v>
      </c>
    </row>
    <row r="421" spans="1:25" x14ac:dyDescent="0.3">
      <c r="A421" s="253" t="s">
        <v>406</v>
      </c>
      <c r="B421" s="252">
        <v>0</v>
      </c>
      <c r="C421" s="252">
        <v>0</v>
      </c>
      <c r="D421" s="252">
        <v>0</v>
      </c>
      <c r="E421" s="252"/>
      <c r="F421" s="252">
        <v>0</v>
      </c>
      <c r="G421" s="252">
        <v>0</v>
      </c>
      <c r="H421" s="252">
        <v>0</v>
      </c>
      <c r="I421" s="252"/>
      <c r="J421" s="252"/>
      <c r="K421" s="252">
        <v>0</v>
      </c>
      <c r="L421" s="252"/>
      <c r="M421" s="252">
        <v>0</v>
      </c>
      <c r="N421" s="252">
        <v>0</v>
      </c>
      <c r="O421" s="252">
        <v>0</v>
      </c>
      <c r="P421" s="252"/>
      <c r="Q421" s="252">
        <v>0</v>
      </c>
      <c r="R421" s="252"/>
      <c r="S421" s="252"/>
      <c r="T421" s="252">
        <v>0</v>
      </c>
      <c r="U421" s="252"/>
      <c r="V421" s="252">
        <v>0</v>
      </c>
      <c r="W421" s="252">
        <v>0</v>
      </c>
      <c r="X421" s="252"/>
      <c r="Y421" s="252">
        <v>0</v>
      </c>
    </row>
    <row r="422" spans="1:25" x14ac:dyDescent="0.3">
      <c r="A422" s="253" t="s">
        <v>407</v>
      </c>
      <c r="B422" s="252">
        <v>0</v>
      </c>
      <c r="C422" s="252">
        <v>0</v>
      </c>
      <c r="D422" s="252">
        <v>0</v>
      </c>
      <c r="E422" s="252"/>
      <c r="F422" s="252">
        <v>0</v>
      </c>
      <c r="G422" s="252">
        <v>0</v>
      </c>
      <c r="H422" s="252">
        <v>0</v>
      </c>
      <c r="I422" s="252"/>
      <c r="J422" s="252"/>
      <c r="K422" s="252">
        <v>0</v>
      </c>
      <c r="L422" s="252"/>
      <c r="M422" s="252">
        <v>0</v>
      </c>
      <c r="N422" s="252">
        <v>0</v>
      </c>
      <c r="O422" s="252">
        <v>0</v>
      </c>
      <c r="P422" s="252"/>
      <c r="Q422" s="252">
        <v>0</v>
      </c>
      <c r="R422" s="252"/>
      <c r="S422" s="252"/>
      <c r="T422" s="252">
        <v>0</v>
      </c>
      <c r="U422" s="252"/>
      <c r="V422" s="252">
        <v>0</v>
      </c>
      <c r="W422" s="252">
        <v>0</v>
      </c>
      <c r="X422" s="252"/>
      <c r="Y422" s="252">
        <v>0</v>
      </c>
    </row>
    <row r="423" spans="1:25" x14ac:dyDescent="0.3">
      <c r="A423" s="253" t="s">
        <v>408</v>
      </c>
      <c r="B423" s="252">
        <v>0</v>
      </c>
      <c r="C423" s="252">
        <v>0</v>
      </c>
      <c r="D423" s="252">
        <v>0</v>
      </c>
      <c r="E423" s="252"/>
      <c r="F423" s="252">
        <v>0</v>
      </c>
      <c r="G423" s="252">
        <v>0</v>
      </c>
      <c r="H423" s="252">
        <v>0</v>
      </c>
      <c r="I423" s="252"/>
      <c r="J423" s="252"/>
      <c r="K423" s="252">
        <v>0</v>
      </c>
      <c r="L423" s="252"/>
      <c r="M423" s="252">
        <v>0</v>
      </c>
      <c r="N423" s="252">
        <v>0</v>
      </c>
      <c r="O423" s="252">
        <v>0</v>
      </c>
      <c r="P423" s="252"/>
      <c r="Q423" s="252">
        <v>0</v>
      </c>
      <c r="R423" s="252"/>
      <c r="S423" s="252"/>
      <c r="T423" s="252">
        <v>0</v>
      </c>
      <c r="U423" s="252"/>
      <c r="V423" s="252">
        <v>0</v>
      </c>
      <c r="W423" s="252">
        <v>0</v>
      </c>
      <c r="X423" s="252"/>
      <c r="Y423" s="252">
        <v>0</v>
      </c>
    </row>
    <row r="424" spans="1:25" x14ac:dyDescent="0.3">
      <c r="A424" s="253" t="s">
        <v>409</v>
      </c>
      <c r="B424" s="252">
        <v>0</v>
      </c>
      <c r="C424" s="252">
        <v>0</v>
      </c>
      <c r="D424" s="252">
        <v>0</v>
      </c>
      <c r="E424" s="252"/>
      <c r="F424" s="252">
        <v>0</v>
      </c>
      <c r="G424" s="252">
        <v>0</v>
      </c>
      <c r="H424" s="252">
        <v>0</v>
      </c>
      <c r="I424" s="252"/>
      <c r="J424" s="252"/>
      <c r="K424" s="252">
        <v>0</v>
      </c>
      <c r="L424" s="252"/>
      <c r="M424" s="252">
        <v>0</v>
      </c>
      <c r="N424" s="252">
        <v>0</v>
      </c>
      <c r="O424" s="252">
        <v>0</v>
      </c>
      <c r="P424" s="252"/>
      <c r="Q424" s="252">
        <v>0</v>
      </c>
      <c r="R424" s="252"/>
      <c r="S424" s="252"/>
      <c r="T424" s="252">
        <v>0</v>
      </c>
      <c r="U424" s="252"/>
      <c r="V424" s="252">
        <v>0</v>
      </c>
      <c r="W424" s="252">
        <v>0</v>
      </c>
      <c r="X424" s="252"/>
      <c r="Y424" s="252">
        <v>0</v>
      </c>
    </row>
    <row r="425" spans="1:25" x14ac:dyDescent="0.3">
      <c r="A425" s="253" t="s">
        <v>410</v>
      </c>
      <c r="B425" s="252">
        <v>0</v>
      </c>
      <c r="C425" s="252">
        <v>0</v>
      </c>
      <c r="D425" s="252">
        <v>0</v>
      </c>
      <c r="E425" s="252"/>
      <c r="F425" s="252">
        <v>0</v>
      </c>
      <c r="G425" s="252">
        <v>0</v>
      </c>
      <c r="H425" s="252">
        <v>0</v>
      </c>
      <c r="I425" s="252"/>
      <c r="J425" s="252"/>
      <c r="K425" s="252">
        <v>0</v>
      </c>
      <c r="L425" s="252"/>
      <c r="M425" s="252">
        <v>0</v>
      </c>
      <c r="N425" s="252">
        <v>0</v>
      </c>
      <c r="O425" s="252">
        <v>0</v>
      </c>
      <c r="P425" s="252"/>
      <c r="Q425" s="252">
        <v>0</v>
      </c>
      <c r="R425" s="252"/>
      <c r="S425" s="252"/>
      <c r="T425" s="252">
        <v>0</v>
      </c>
      <c r="U425" s="252"/>
      <c r="V425" s="252">
        <v>0</v>
      </c>
      <c r="W425" s="252">
        <v>0</v>
      </c>
      <c r="X425" s="252"/>
      <c r="Y425" s="252">
        <v>0</v>
      </c>
    </row>
    <row r="426" spans="1:25" x14ac:dyDescent="0.3">
      <c r="A426" s="253" t="s">
        <v>411</v>
      </c>
      <c r="B426" s="252">
        <v>0</v>
      </c>
      <c r="C426" s="252">
        <v>0</v>
      </c>
      <c r="D426" s="252">
        <v>0</v>
      </c>
      <c r="E426" s="252"/>
      <c r="F426" s="252">
        <v>0</v>
      </c>
      <c r="G426" s="252">
        <v>0</v>
      </c>
      <c r="H426" s="252">
        <v>0</v>
      </c>
      <c r="I426" s="252"/>
      <c r="J426" s="252"/>
      <c r="K426" s="252">
        <v>0</v>
      </c>
      <c r="L426" s="252"/>
      <c r="M426" s="252">
        <v>0</v>
      </c>
      <c r="N426" s="252">
        <v>0</v>
      </c>
      <c r="O426" s="252">
        <v>0</v>
      </c>
      <c r="P426" s="252"/>
      <c r="Q426" s="252">
        <v>0</v>
      </c>
      <c r="R426" s="252"/>
      <c r="S426" s="252"/>
      <c r="T426" s="252">
        <v>0</v>
      </c>
      <c r="U426" s="252"/>
      <c r="V426" s="252">
        <v>0</v>
      </c>
      <c r="W426" s="252">
        <v>0</v>
      </c>
      <c r="X426" s="252"/>
      <c r="Y426" s="252">
        <v>0</v>
      </c>
    </row>
    <row r="427" spans="1:25" x14ac:dyDescent="0.3">
      <c r="A427" s="253" t="s">
        <v>412</v>
      </c>
      <c r="B427" s="252">
        <v>0</v>
      </c>
      <c r="C427" s="252">
        <v>0</v>
      </c>
      <c r="D427" s="252">
        <v>0</v>
      </c>
      <c r="E427" s="252"/>
      <c r="F427" s="252">
        <v>0</v>
      </c>
      <c r="G427" s="252">
        <v>0</v>
      </c>
      <c r="H427" s="252">
        <v>0</v>
      </c>
      <c r="I427" s="252"/>
      <c r="J427" s="252"/>
      <c r="K427" s="252">
        <v>0</v>
      </c>
      <c r="L427" s="252"/>
      <c r="M427" s="252">
        <v>0</v>
      </c>
      <c r="N427" s="252">
        <v>0</v>
      </c>
      <c r="O427" s="252">
        <v>0</v>
      </c>
      <c r="P427" s="252"/>
      <c r="Q427" s="252">
        <v>0</v>
      </c>
      <c r="R427" s="252"/>
      <c r="S427" s="252"/>
      <c r="T427" s="252">
        <v>0</v>
      </c>
      <c r="U427" s="252"/>
      <c r="V427" s="252">
        <v>0</v>
      </c>
      <c r="W427" s="252">
        <v>0</v>
      </c>
      <c r="X427" s="252"/>
      <c r="Y427" s="252">
        <v>0</v>
      </c>
    </row>
    <row r="428" spans="1:25" x14ac:dyDescent="0.3">
      <c r="A428" s="253" t="s">
        <v>413</v>
      </c>
      <c r="B428" s="252">
        <v>0</v>
      </c>
      <c r="C428" s="252">
        <v>0</v>
      </c>
      <c r="D428" s="252">
        <v>0</v>
      </c>
      <c r="E428" s="252"/>
      <c r="F428" s="252">
        <v>0</v>
      </c>
      <c r="G428" s="252">
        <v>0</v>
      </c>
      <c r="H428" s="252">
        <v>0</v>
      </c>
      <c r="I428" s="252"/>
      <c r="J428" s="252"/>
      <c r="K428" s="252">
        <v>0</v>
      </c>
      <c r="L428" s="252"/>
      <c r="M428" s="252">
        <v>0</v>
      </c>
      <c r="N428" s="252">
        <v>0</v>
      </c>
      <c r="O428" s="252">
        <v>0</v>
      </c>
      <c r="P428" s="252"/>
      <c r="Q428" s="252">
        <v>0</v>
      </c>
      <c r="R428" s="252"/>
      <c r="S428" s="252"/>
      <c r="T428" s="252">
        <v>0</v>
      </c>
      <c r="U428" s="252"/>
      <c r="V428" s="252">
        <v>0</v>
      </c>
      <c r="W428" s="252">
        <v>0</v>
      </c>
      <c r="X428" s="252"/>
      <c r="Y428" s="252">
        <v>0</v>
      </c>
    </row>
    <row r="429" spans="1:25" x14ac:dyDescent="0.3">
      <c r="A429" s="253" t="s">
        <v>414</v>
      </c>
      <c r="B429" s="252">
        <v>0</v>
      </c>
      <c r="C429" s="252">
        <v>0</v>
      </c>
      <c r="D429" s="252">
        <v>0</v>
      </c>
      <c r="E429" s="252"/>
      <c r="F429" s="252">
        <v>0</v>
      </c>
      <c r="G429" s="252">
        <v>0</v>
      </c>
      <c r="H429" s="252">
        <v>0</v>
      </c>
      <c r="I429" s="252"/>
      <c r="J429" s="252"/>
      <c r="K429" s="252">
        <v>0</v>
      </c>
      <c r="L429" s="252"/>
      <c r="M429" s="252">
        <v>0</v>
      </c>
      <c r="N429" s="252">
        <v>0</v>
      </c>
      <c r="O429" s="252">
        <v>0</v>
      </c>
      <c r="P429" s="252"/>
      <c r="Q429" s="252">
        <v>0</v>
      </c>
      <c r="R429" s="252"/>
      <c r="S429" s="252"/>
      <c r="T429" s="252">
        <v>0</v>
      </c>
      <c r="U429" s="252"/>
      <c r="V429" s="252">
        <v>0</v>
      </c>
      <c r="W429" s="252">
        <v>0</v>
      </c>
      <c r="X429" s="252"/>
      <c r="Y429" s="252">
        <v>0</v>
      </c>
    </row>
    <row r="430" spans="1:25" x14ac:dyDescent="0.3">
      <c r="A430" s="253" t="s">
        <v>415</v>
      </c>
      <c r="B430" s="252">
        <v>0</v>
      </c>
      <c r="C430" s="252">
        <v>0</v>
      </c>
      <c r="D430" s="252">
        <v>0</v>
      </c>
      <c r="E430" s="252"/>
      <c r="F430" s="252">
        <v>0</v>
      </c>
      <c r="G430" s="252">
        <v>0</v>
      </c>
      <c r="H430" s="252">
        <v>0</v>
      </c>
      <c r="I430" s="252"/>
      <c r="J430" s="252"/>
      <c r="K430" s="252">
        <v>0</v>
      </c>
      <c r="L430" s="252"/>
      <c r="M430" s="252">
        <v>0</v>
      </c>
      <c r="N430" s="252">
        <v>0</v>
      </c>
      <c r="O430" s="252">
        <v>0</v>
      </c>
      <c r="P430" s="252"/>
      <c r="Q430" s="252">
        <v>0</v>
      </c>
      <c r="R430" s="252"/>
      <c r="S430" s="252"/>
      <c r="T430" s="252">
        <v>0</v>
      </c>
      <c r="U430" s="252"/>
      <c r="V430" s="252">
        <v>0</v>
      </c>
      <c r="W430" s="252">
        <v>0</v>
      </c>
      <c r="X430" s="252"/>
      <c r="Y430" s="252">
        <v>0</v>
      </c>
    </row>
    <row r="431" spans="1:25" x14ac:dyDescent="0.3">
      <c r="A431" s="253" t="s">
        <v>416</v>
      </c>
      <c r="B431" s="252">
        <v>0</v>
      </c>
      <c r="C431" s="252">
        <v>0</v>
      </c>
      <c r="D431" s="252">
        <v>0</v>
      </c>
      <c r="E431" s="252"/>
      <c r="F431" s="252">
        <v>0</v>
      </c>
      <c r="G431" s="252">
        <v>0</v>
      </c>
      <c r="H431" s="252">
        <v>0</v>
      </c>
      <c r="I431" s="252"/>
      <c r="J431" s="252"/>
      <c r="K431" s="252">
        <v>0</v>
      </c>
      <c r="L431" s="252"/>
      <c r="M431" s="252">
        <v>0</v>
      </c>
      <c r="N431" s="252">
        <v>0</v>
      </c>
      <c r="O431" s="252">
        <v>0</v>
      </c>
      <c r="P431" s="252"/>
      <c r="Q431" s="252">
        <v>0</v>
      </c>
      <c r="R431" s="252"/>
      <c r="S431" s="252"/>
      <c r="T431" s="252">
        <v>0</v>
      </c>
      <c r="U431" s="252"/>
      <c r="V431" s="252">
        <v>0</v>
      </c>
      <c r="W431" s="252">
        <v>0</v>
      </c>
      <c r="X431" s="252"/>
      <c r="Y431" s="252">
        <v>0</v>
      </c>
    </row>
    <row r="432" spans="1:25" x14ac:dyDescent="0.3">
      <c r="A432" s="253" t="s">
        <v>417</v>
      </c>
      <c r="B432" s="252">
        <v>0</v>
      </c>
      <c r="C432" s="252">
        <v>0</v>
      </c>
      <c r="D432" s="252">
        <v>0</v>
      </c>
      <c r="E432" s="252"/>
      <c r="F432" s="252">
        <v>0</v>
      </c>
      <c r="G432" s="252">
        <v>0</v>
      </c>
      <c r="H432" s="252">
        <v>0</v>
      </c>
      <c r="I432" s="252"/>
      <c r="J432" s="252"/>
      <c r="K432" s="252">
        <v>0</v>
      </c>
      <c r="L432" s="252"/>
      <c r="M432" s="252">
        <v>0</v>
      </c>
      <c r="N432" s="252">
        <v>0</v>
      </c>
      <c r="O432" s="252">
        <v>0</v>
      </c>
      <c r="P432" s="252"/>
      <c r="Q432" s="252">
        <v>0</v>
      </c>
      <c r="R432" s="252"/>
      <c r="S432" s="252"/>
      <c r="T432" s="252">
        <v>0</v>
      </c>
      <c r="U432" s="252"/>
      <c r="V432" s="252">
        <v>0</v>
      </c>
      <c r="W432" s="252">
        <v>0</v>
      </c>
      <c r="X432" s="252"/>
      <c r="Y432" s="252">
        <v>0</v>
      </c>
    </row>
    <row r="433" spans="1:25" x14ac:dyDescent="0.3">
      <c r="A433" s="253" t="s">
        <v>418</v>
      </c>
      <c r="B433" s="252">
        <v>0</v>
      </c>
      <c r="C433" s="252">
        <v>0</v>
      </c>
      <c r="D433" s="252">
        <v>0</v>
      </c>
      <c r="E433" s="252"/>
      <c r="F433" s="252">
        <v>0</v>
      </c>
      <c r="G433" s="252">
        <v>0</v>
      </c>
      <c r="H433" s="252">
        <v>0</v>
      </c>
      <c r="I433" s="252"/>
      <c r="J433" s="252"/>
      <c r="K433" s="252">
        <v>0</v>
      </c>
      <c r="L433" s="252"/>
      <c r="M433" s="252">
        <v>0</v>
      </c>
      <c r="N433" s="252">
        <v>0</v>
      </c>
      <c r="O433" s="252">
        <v>0</v>
      </c>
      <c r="P433" s="252"/>
      <c r="Q433" s="252">
        <v>0</v>
      </c>
      <c r="R433" s="252"/>
      <c r="S433" s="252"/>
      <c r="T433" s="252">
        <v>0</v>
      </c>
      <c r="U433" s="252"/>
      <c r="V433" s="252">
        <v>0</v>
      </c>
      <c r="W433" s="252">
        <v>0</v>
      </c>
      <c r="X433" s="252"/>
      <c r="Y433" s="252">
        <v>0</v>
      </c>
    </row>
    <row r="434" spans="1:25" x14ac:dyDescent="0.3">
      <c r="A434" s="253" t="s">
        <v>419</v>
      </c>
      <c r="B434" s="252">
        <v>0</v>
      </c>
      <c r="C434" s="252">
        <v>0</v>
      </c>
      <c r="D434" s="252">
        <v>0</v>
      </c>
      <c r="E434" s="252"/>
      <c r="F434" s="252">
        <v>0</v>
      </c>
      <c r="G434" s="252">
        <v>0</v>
      </c>
      <c r="H434" s="252">
        <v>0</v>
      </c>
      <c r="I434" s="252"/>
      <c r="J434" s="252"/>
      <c r="K434" s="252">
        <v>0</v>
      </c>
      <c r="L434" s="252"/>
      <c r="M434" s="252">
        <v>0</v>
      </c>
      <c r="N434" s="252">
        <v>0</v>
      </c>
      <c r="O434" s="252">
        <v>0</v>
      </c>
      <c r="P434" s="252"/>
      <c r="Q434" s="252">
        <v>0</v>
      </c>
      <c r="R434" s="252"/>
      <c r="S434" s="252"/>
      <c r="T434" s="252">
        <v>0</v>
      </c>
      <c r="U434" s="252"/>
      <c r="V434" s="252">
        <v>0</v>
      </c>
      <c r="W434" s="252">
        <v>0</v>
      </c>
      <c r="X434" s="252"/>
      <c r="Y434" s="252">
        <v>0</v>
      </c>
    </row>
    <row r="435" spans="1:25" x14ac:dyDescent="0.3">
      <c r="A435" s="253" t="s">
        <v>420</v>
      </c>
      <c r="B435" s="252">
        <v>0</v>
      </c>
      <c r="C435" s="252">
        <v>0</v>
      </c>
      <c r="D435" s="252">
        <v>0</v>
      </c>
      <c r="E435" s="252"/>
      <c r="F435" s="252">
        <v>0</v>
      </c>
      <c r="G435" s="252">
        <v>0</v>
      </c>
      <c r="H435" s="252">
        <v>0</v>
      </c>
      <c r="I435" s="252"/>
      <c r="J435" s="252"/>
      <c r="K435" s="252">
        <v>0</v>
      </c>
      <c r="L435" s="252"/>
      <c r="M435" s="252">
        <v>0</v>
      </c>
      <c r="N435" s="252">
        <v>0</v>
      </c>
      <c r="O435" s="252">
        <v>0</v>
      </c>
      <c r="P435" s="252"/>
      <c r="Q435" s="252">
        <v>0</v>
      </c>
      <c r="R435" s="252"/>
      <c r="S435" s="252"/>
      <c r="T435" s="252">
        <v>0</v>
      </c>
      <c r="U435" s="252"/>
      <c r="V435" s="252">
        <v>0</v>
      </c>
      <c r="W435" s="252">
        <v>0</v>
      </c>
      <c r="X435" s="252"/>
      <c r="Y435" s="252">
        <v>0</v>
      </c>
    </row>
    <row r="436" spans="1:25" x14ac:dyDescent="0.3">
      <c r="A436" s="253" t="s">
        <v>421</v>
      </c>
      <c r="B436" s="252">
        <v>2</v>
      </c>
      <c r="C436" s="252">
        <v>2</v>
      </c>
      <c r="D436" s="252">
        <v>0</v>
      </c>
      <c r="E436" s="252">
        <v>2</v>
      </c>
      <c r="F436" s="252">
        <v>2</v>
      </c>
      <c r="G436" s="252">
        <v>1</v>
      </c>
      <c r="H436" s="252">
        <v>4</v>
      </c>
      <c r="I436" s="252">
        <v>0</v>
      </c>
      <c r="J436" s="252">
        <v>1</v>
      </c>
      <c r="K436" s="252">
        <v>3</v>
      </c>
      <c r="L436" s="252">
        <v>1</v>
      </c>
      <c r="M436" s="252">
        <v>3</v>
      </c>
      <c r="N436" s="252">
        <v>2</v>
      </c>
      <c r="O436" s="252">
        <v>2</v>
      </c>
      <c r="P436" s="252">
        <v>2</v>
      </c>
      <c r="Q436" s="252">
        <v>2</v>
      </c>
      <c r="R436" s="252">
        <v>2</v>
      </c>
      <c r="S436" s="252">
        <v>2</v>
      </c>
      <c r="T436" s="252">
        <v>0</v>
      </c>
      <c r="U436" s="252">
        <v>2</v>
      </c>
      <c r="V436" s="252">
        <v>1</v>
      </c>
      <c r="W436" s="252">
        <v>2</v>
      </c>
      <c r="X436" s="252">
        <v>2</v>
      </c>
      <c r="Y436" s="252">
        <v>40</v>
      </c>
    </row>
    <row r="437" spans="1:25" x14ac:dyDescent="0.3">
      <c r="A437" s="253" t="s">
        <v>891</v>
      </c>
      <c r="B437" s="252">
        <v>0</v>
      </c>
      <c r="C437" s="252">
        <v>0</v>
      </c>
      <c r="D437" s="252">
        <v>0</v>
      </c>
      <c r="E437" s="252">
        <v>0</v>
      </c>
      <c r="F437" s="252">
        <v>0</v>
      </c>
      <c r="G437" s="252">
        <v>0</v>
      </c>
      <c r="H437" s="252">
        <v>0</v>
      </c>
      <c r="I437" s="252">
        <v>0</v>
      </c>
      <c r="J437" s="252">
        <v>0</v>
      </c>
      <c r="K437" s="252">
        <v>0</v>
      </c>
      <c r="L437" s="252"/>
      <c r="M437" s="252">
        <v>0</v>
      </c>
      <c r="N437" s="252">
        <v>0</v>
      </c>
      <c r="O437" s="252">
        <v>0</v>
      </c>
      <c r="P437" s="252">
        <v>0</v>
      </c>
      <c r="Q437" s="252">
        <v>0</v>
      </c>
      <c r="R437" s="252">
        <v>0</v>
      </c>
      <c r="S437" s="252">
        <v>0</v>
      </c>
      <c r="T437" s="252">
        <v>0</v>
      </c>
      <c r="U437" s="252">
        <v>0</v>
      </c>
      <c r="V437" s="252">
        <v>0</v>
      </c>
      <c r="W437" s="252">
        <v>0</v>
      </c>
      <c r="X437" s="252"/>
      <c r="Y437" s="252">
        <v>0</v>
      </c>
    </row>
    <row r="438" spans="1:25" x14ac:dyDescent="0.3">
      <c r="A438" s="253" t="s">
        <v>892</v>
      </c>
      <c r="B438" s="252">
        <v>0</v>
      </c>
      <c r="C438" s="252">
        <v>0</v>
      </c>
      <c r="D438" s="252">
        <v>0</v>
      </c>
      <c r="E438" s="252">
        <v>0</v>
      </c>
      <c r="F438" s="252">
        <v>0</v>
      </c>
      <c r="G438" s="252">
        <v>0</v>
      </c>
      <c r="H438" s="252">
        <v>0</v>
      </c>
      <c r="I438" s="252">
        <v>0</v>
      </c>
      <c r="J438" s="252">
        <v>0</v>
      </c>
      <c r="K438" s="252">
        <v>0</v>
      </c>
      <c r="L438" s="252"/>
      <c r="M438" s="252">
        <v>0</v>
      </c>
      <c r="N438" s="252">
        <v>0</v>
      </c>
      <c r="O438" s="252">
        <v>0</v>
      </c>
      <c r="P438" s="252">
        <v>0</v>
      </c>
      <c r="Q438" s="252">
        <v>0</v>
      </c>
      <c r="R438" s="252">
        <v>0</v>
      </c>
      <c r="S438" s="252">
        <v>0</v>
      </c>
      <c r="T438" s="252">
        <v>0</v>
      </c>
      <c r="U438" s="252">
        <v>0</v>
      </c>
      <c r="V438" s="252">
        <v>0</v>
      </c>
      <c r="W438" s="252">
        <v>0</v>
      </c>
      <c r="X438" s="252"/>
      <c r="Y438" s="252">
        <v>0</v>
      </c>
    </row>
    <row r="439" spans="1:25" x14ac:dyDescent="0.3">
      <c r="A439" s="253" t="s">
        <v>893</v>
      </c>
      <c r="B439" s="252">
        <v>0</v>
      </c>
      <c r="C439" s="252">
        <v>0</v>
      </c>
      <c r="D439" s="252">
        <v>0</v>
      </c>
      <c r="E439" s="252">
        <v>0</v>
      </c>
      <c r="F439" s="252">
        <v>0</v>
      </c>
      <c r="G439" s="252">
        <v>0</v>
      </c>
      <c r="H439" s="252">
        <v>0</v>
      </c>
      <c r="I439" s="252">
        <v>0</v>
      </c>
      <c r="J439" s="252">
        <v>0</v>
      </c>
      <c r="K439" s="252">
        <v>0</v>
      </c>
      <c r="L439" s="252"/>
      <c r="M439" s="252">
        <v>0</v>
      </c>
      <c r="N439" s="252">
        <v>0</v>
      </c>
      <c r="O439" s="252">
        <v>0</v>
      </c>
      <c r="P439" s="252">
        <v>0</v>
      </c>
      <c r="Q439" s="252">
        <v>0</v>
      </c>
      <c r="R439" s="252">
        <v>0</v>
      </c>
      <c r="S439" s="252">
        <v>0</v>
      </c>
      <c r="T439" s="252">
        <v>0</v>
      </c>
      <c r="U439" s="252">
        <v>0</v>
      </c>
      <c r="V439" s="252">
        <v>0</v>
      </c>
      <c r="W439" s="252">
        <v>0</v>
      </c>
      <c r="X439" s="252"/>
      <c r="Y439" s="252">
        <v>0</v>
      </c>
    </row>
    <row r="440" spans="1:25" x14ac:dyDescent="0.3">
      <c r="A440" s="253" t="s">
        <v>880</v>
      </c>
      <c r="B440" s="252">
        <v>0</v>
      </c>
      <c r="C440" s="252">
        <v>0</v>
      </c>
      <c r="D440" s="252">
        <v>0</v>
      </c>
      <c r="E440" s="252">
        <v>0</v>
      </c>
      <c r="F440" s="252">
        <v>0</v>
      </c>
      <c r="G440" s="252">
        <v>0</v>
      </c>
      <c r="H440" s="252">
        <v>0</v>
      </c>
      <c r="I440" s="252">
        <v>0</v>
      </c>
      <c r="J440" s="252">
        <v>0</v>
      </c>
      <c r="K440" s="252">
        <v>0</v>
      </c>
      <c r="L440" s="252"/>
      <c r="M440" s="252">
        <v>0</v>
      </c>
      <c r="N440" s="252">
        <v>0</v>
      </c>
      <c r="O440" s="252">
        <v>0</v>
      </c>
      <c r="P440" s="252"/>
      <c r="Q440" s="252">
        <v>0</v>
      </c>
      <c r="R440" s="252">
        <v>0</v>
      </c>
      <c r="S440" s="252">
        <v>0</v>
      </c>
      <c r="T440" s="252">
        <v>0</v>
      </c>
      <c r="U440" s="252">
        <v>0</v>
      </c>
      <c r="V440" s="252">
        <v>0</v>
      </c>
      <c r="W440" s="252">
        <v>0</v>
      </c>
      <c r="X440" s="252"/>
      <c r="Y440" s="252">
        <v>0</v>
      </c>
    </row>
    <row r="441" spans="1:25" x14ac:dyDescent="0.3">
      <c r="A441" s="253" t="s">
        <v>881</v>
      </c>
      <c r="B441" s="252">
        <v>1</v>
      </c>
      <c r="C441" s="252">
        <v>4</v>
      </c>
      <c r="D441" s="252">
        <v>0</v>
      </c>
      <c r="E441" s="252">
        <v>3</v>
      </c>
      <c r="F441" s="252">
        <v>0</v>
      </c>
      <c r="G441" s="252">
        <v>3</v>
      </c>
      <c r="H441" s="252">
        <v>0</v>
      </c>
      <c r="I441" s="252">
        <v>0</v>
      </c>
      <c r="J441" s="252">
        <v>3</v>
      </c>
      <c r="K441" s="252">
        <v>1</v>
      </c>
      <c r="L441" s="252">
        <v>0</v>
      </c>
      <c r="M441" s="252">
        <v>2</v>
      </c>
      <c r="N441" s="252">
        <v>0</v>
      </c>
      <c r="O441" s="252">
        <v>2</v>
      </c>
      <c r="P441" s="252">
        <v>4</v>
      </c>
      <c r="Q441" s="252">
        <v>3</v>
      </c>
      <c r="R441" s="252">
        <v>8</v>
      </c>
      <c r="S441" s="252">
        <v>2</v>
      </c>
      <c r="T441" s="252">
        <v>1</v>
      </c>
      <c r="U441" s="252">
        <v>0</v>
      </c>
      <c r="V441" s="252">
        <v>2</v>
      </c>
      <c r="W441" s="252">
        <v>0</v>
      </c>
      <c r="X441" s="252">
        <v>5</v>
      </c>
      <c r="Y441" s="252">
        <v>44</v>
      </c>
    </row>
    <row r="442" spans="1:25" x14ac:dyDescent="0.3">
      <c r="A442" s="253" t="s">
        <v>1088</v>
      </c>
      <c r="B442" s="252">
        <v>0</v>
      </c>
      <c r="C442" s="252">
        <v>0</v>
      </c>
      <c r="D442" s="252">
        <v>0</v>
      </c>
      <c r="E442" s="252">
        <v>0</v>
      </c>
      <c r="F442" s="252">
        <v>0</v>
      </c>
      <c r="G442" s="252">
        <v>0</v>
      </c>
      <c r="H442" s="252">
        <v>0</v>
      </c>
      <c r="I442" s="252">
        <v>0</v>
      </c>
      <c r="J442" s="252">
        <v>0</v>
      </c>
      <c r="K442" s="252">
        <v>0</v>
      </c>
      <c r="L442" s="252">
        <v>0</v>
      </c>
      <c r="M442" s="252">
        <v>0</v>
      </c>
      <c r="N442" s="252">
        <v>0</v>
      </c>
      <c r="O442" s="252">
        <v>0</v>
      </c>
      <c r="P442" s="252">
        <v>0</v>
      </c>
      <c r="Q442" s="252">
        <v>0</v>
      </c>
      <c r="R442" s="252">
        <v>0</v>
      </c>
      <c r="S442" s="252">
        <v>0</v>
      </c>
      <c r="T442" s="252">
        <v>0</v>
      </c>
      <c r="U442" s="252">
        <v>0</v>
      </c>
      <c r="V442" s="252">
        <v>0</v>
      </c>
      <c r="W442" s="252">
        <v>0</v>
      </c>
      <c r="X442" s="252">
        <v>0</v>
      </c>
      <c r="Y442" s="252">
        <v>0</v>
      </c>
    </row>
    <row r="443" spans="1:25" x14ac:dyDescent="0.3">
      <c r="A443" s="253" t="s">
        <v>422</v>
      </c>
      <c r="B443" s="252">
        <v>0</v>
      </c>
      <c r="C443" s="252">
        <v>0</v>
      </c>
      <c r="D443" s="252">
        <v>0</v>
      </c>
      <c r="E443" s="252">
        <v>0</v>
      </c>
      <c r="F443" s="252">
        <v>0</v>
      </c>
      <c r="G443" s="252">
        <v>0</v>
      </c>
      <c r="H443" s="252">
        <v>0</v>
      </c>
      <c r="I443" s="252"/>
      <c r="J443" s="252"/>
      <c r="K443" s="252">
        <v>0</v>
      </c>
      <c r="L443" s="252"/>
      <c r="M443" s="252">
        <v>0</v>
      </c>
      <c r="N443" s="252">
        <v>0</v>
      </c>
      <c r="O443" s="252">
        <v>0</v>
      </c>
      <c r="P443" s="252"/>
      <c r="Q443" s="252">
        <v>0</v>
      </c>
      <c r="R443" s="252"/>
      <c r="S443" s="252"/>
      <c r="T443" s="252">
        <v>0</v>
      </c>
      <c r="U443" s="252"/>
      <c r="V443" s="252">
        <v>0</v>
      </c>
      <c r="W443" s="252">
        <v>0</v>
      </c>
      <c r="X443" s="252"/>
      <c r="Y443" s="252">
        <v>0</v>
      </c>
    </row>
    <row r="444" spans="1:25" x14ac:dyDescent="0.3">
      <c r="A444" s="253" t="s">
        <v>423</v>
      </c>
      <c r="B444" s="252">
        <v>17</v>
      </c>
      <c r="C444" s="252">
        <v>10</v>
      </c>
      <c r="D444" s="252">
        <v>0</v>
      </c>
      <c r="E444" s="252">
        <v>16</v>
      </c>
      <c r="F444" s="252">
        <v>1</v>
      </c>
      <c r="G444" s="252">
        <v>11</v>
      </c>
      <c r="H444" s="252">
        <v>15</v>
      </c>
      <c r="I444" s="252">
        <v>6</v>
      </c>
      <c r="J444" s="252">
        <v>14</v>
      </c>
      <c r="K444" s="252">
        <v>17</v>
      </c>
      <c r="L444" s="252">
        <v>16</v>
      </c>
      <c r="M444" s="252">
        <v>16</v>
      </c>
      <c r="N444" s="252">
        <v>12</v>
      </c>
      <c r="O444" s="252">
        <v>20</v>
      </c>
      <c r="P444" s="252">
        <v>12</v>
      </c>
      <c r="Q444" s="252">
        <v>16</v>
      </c>
      <c r="R444" s="252">
        <v>18</v>
      </c>
      <c r="S444" s="252">
        <v>11</v>
      </c>
      <c r="T444" s="252">
        <v>9</v>
      </c>
      <c r="U444" s="252">
        <v>27</v>
      </c>
      <c r="V444" s="252">
        <v>16</v>
      </c>
      <c r="W444" s="252">
        <v>19</v>
      </c>
      <c r="X444" s="252">
        <v>17</v>
      </c>
      <c r="Y444" s="252">
        <v>316</v>
      </c>
    </row>
    <row r="445" spans="1:25" x14ac:dyDescent="0.3">
      <c r="A445" s="253" t="s">
        <v>424</v>
      </c>
      <c r="B445" s="252">
        <v>0</v>
      </c>
      <c r="C445" s="252">
        <v>0</v>
      </c>
      <c r="D445" s="252">
        <v>0</v>
      </c>
      <c r="E445" s="252">
        <v>0</v>
      </c>
      <c r="F445" s="252">
        <v>0</v>
      </c>
      <c r="G445" s="252">
        <v>0</v>
      </c>
      <c r="H445" s="252">
        <v>0</v>
      </c>
      <c r="I445" s="252"/>
      <c r="J445" s="252"/>
      <c r="K445" s="252">
        <v>0</v>
      </c>
      <c r="L445" s="252"/>
      <c r="M445" s="252">
        <v>0</v>
      </c>
      <c r="N445" s="252">
        <v>0</v>
      </c>
      <c r="O445" s="252">
        <v>0</v>
      </c>
      <c r="P445" s="252"/>
      <c r="Q445" s="252">
        <v>0</v>
      </c>
      <c r="R445" s="252"/>
      <c r="S445" s="252">
        <v>0</v>
      </c>
      <c r="T445" s="252">
        <v>0</v>
      </c>
      <c r="U445" s="252"/>
      <c r="V445" s="252">
        <v>0</v>
      </c>
      <c r="W445" s="252">
        <v>0</v>
      </c>
      <c r="X445" s="252"/>
      <c r="Y445" s="252">
        <v>0</v>
      </c>
    </row>
    <row r="446" spans="1:25" x14ac:dyDescent="0.3">
      <c r="A446" s="253" t="s">
        <v>425</v>
      </c>
      <c r="B446" s="252">
        <v>0</v>
      </c>
      <c r="C446" s="252">
        <v>0</v>
      </c>
      <c r="D446" s="252">
        <v>0</v>
      </c>
      <c r="E446" s="252">
        <v>0</v>
      </c>
      <c r="F446" s="252">
        <v>0</v>
      </c>
      <c r="G446" s="252">
        <v>0</v>
      </c>
      <c r="H446" s="252">
        <v>0</v>
      </c>
      <c r="I446" s="252"/>
      <c r="J446" s="252">
        <v>0</v>
      </c>
      <c r="K446" s="252">
        <v>0</v>
      </c>
      <c r="L446" s="252"/>
      <c r="M446" s="252">
        <v>0</v>
      </c>
      <c r="N446" s="252">
        <v>0</v>
      </c>
      <c r="O446" s="252">
        <v>0</v>
      </c>
      <c r="P446" s="252"/>
      <c r="Q446" s="252">
        <v>0</v>
      </c>
      <c r="R446" s="252"/>
      <c r="S446" s="252">
        <v>0</v>
      </c>
      <c r="T446" s="252">
        <v>0</v>
      </c>
      <c r="U446" s="252"/>
      <c r="V446" s="252">
        <v>0</v>
      </c>
      <c r="W446" s="252">
        <v>0</v>
      </c>
      <c r="X446" s="252"/>
      <c r="Y446" s="252">
        <v>0</v>
      </c>
    </row>
    <row r="447" spans="1:25" x14ac:dyDescent="0.3">
      <c r="A447" s="253" t="s">
        <v>426</v>
      </c>
      <c r="B447" s="252">
        <v>0</v>
      </c>
      <c r="C447" s="252">
        <v>0</v>
      </c>
      <c r="D447" s="252">
        <v>0</v>
      </c>
      <c r="E447" s="252">
        <v>0</v>
      </c>
      <c r="F447" s="252">
        <v>0</v>
      </c>
      <c r="G447" s="252">
        <v>0</v>
      </c>
      <c r="H447" s="252">
        <v>0</v>
      </c>
      <c r="I447" s="252">
        <v>0</v>
      </c>
      <c r="J447" s="252">
        <v>0</v>
      </c>
      <c r="K447" s="252">
        <v>0</v>
      </c>
      <c r="L447" s="252"/>
      <c r="M447" s="252">
        <v>0</v>
      </c>
      <c r="N447" s="252">
        <v>0</v>
      </c>
      <c r="O447" s="252">
        <v>0</v>
      </c>
      <c r="P447" s="252"/>
      <c r="Q447" s="252">
        <v>0</v>
      </c>
      <c r="R447" s="252"/>
      <c r="S447" s="252">
        <v>0</v>
      </c>
      <c r="T447" s="252">
        <v>0</v>
      </c>
      <c r="U447" s="252"/>
      <c r="V447" s="252">
        <v>0</v>
      </c>
      <c r="W447" s="252">
        <v>0</v>
      </c>
      <c r="X447" s="252"/>
      <c r="Y447" s="252">
        <v>0</v>
      </c>
    </row>
    <row r="448" spans="1:25" x14ac:dyDescent="0.3">
      <c r="A448" s="253" t="s">
        <v>427</v>
      </c>
      <c r="B448" s="252">
        <v>0</v>
      </c>
      <c r="C448" s="252">
        <v>0</v>
      </c>
      <c r="D448" s="252">
        <v>0</v>
      </c>
      <c r="E448" s="252"/>
      <c r="F448" s="252">
        <v>0</v>
      </c>
      <c r="G448" s="252">
        <v>0</v>
      </c>
      <c r="H448" s="252">
        <v>0</v>
      </c>
      <c r="I448" s="252"/>
      <c r="J448" s="252"/>
      <c r="K448" s="252">
        <v>0</v>
      </c>
      <c r="L448" s="252"/>
      <c r="M448" s="252">
        <v>0</v>
      </c>
      <c r="N448" s="252">
        <v>0</v>
      </c>
      <c r="O448" s="252">
        <v>0</v>
      </c>
      <c r="P448" s="252"/>
      <c r="Q448" s="252">
        <v>0</v>
      </c>
      <c r="R448" s="252"/>
      <c r="S448" s="252"/>
      <c r="T448" s="252">
        <v>0</v>
      </c>
      <c r="U448" s="252"/>
      <c r="V448" s="252">
        <v>0</v>
      </c>
      <c r="W448" s="252">
        <v>0</v>
      </c>
      <c r="X448" s="252"/>
      <c r="Y448" s="252">
        <v>0</v>
      </c>
    </row>
    <row r="449" spans="1:25" x14ac:dyDescent="0.3">
      <c r="A449" s="253" t="s">
        <v>428</v>
      </c>
      <c r="B449" s="252">
        <v>0</v>
      </c>
      <c r="C449" s="252">
        <v>0</v>
      </c>
      <c r="D449" s="252">
        <v>0</v>
      </c>
      <c r="E449" s="252">
        <v>0</v>
      </c>
      <c r="F449" s="252">
        <v>0</v>
      </c>
      <c r="G449" s="252">
        <v>0</v>
      </c>
      <c r="H449" s="252">
        <v>0</v>
      </c>
      <c r="I449" s="252"/>
      <c r="J449" s="252">
        <v>0</v>
      </c>
      <c r="K449" s="252">
        <v>0</v>
      </c>
      <c r="L449" s="252">
        <v>0</v>
      </c>
      <c r="M449" s="252">
        <v>0</v>
      </c>
      <c r="N449" s="252">
        <v>0</v>
      </c>
      <c r="O449" s="252">
        <v>0</v>
      </c>
      <c r="P449" s="252">
        <v>0</v>
      </c>
      <c r="Q449" s="252">
        <v>0</v>
      </c>
      <c r="R449" s="252">
        <v>0</v>
      </c>
      <c r="S449" s="252">
        <v>0</v>
      </c>
      <c r="T449" s="252">
        <v>0</v>
      </c>
      <c r="U449" s="252">
        <v>0</v>
      </c>
      <c r="V449" s="252">
        <v>0</v>
      </c>
      <c r="W449" s="252">
        <v>0</v>
      </c>
      <c r="X449" s="252">
        <v>0</v>
      </c>
      <c r="Y449" s="252">
        <v>0</v>
      </c>
    </row>
    <row r="450" spans="1:25" x14ac:dyDescent="0.3">
      <c r="A450" s="253" t="s">
        <v>958</v>
      </c>
      <c r="B450" s="252">
        <v>0</v>
      </c>
      <c r="C450" s="252">
        <v>0</v>
      </c>
      <c r="D450" s="252">
        <v>2</v>
      </c>
      <c r="E450" s="252">
        <v>0</v>
      </c>
      <c r="F450" s="252">
        <v>0</v>
      </c>
      <c r="G450" s="252">
        <v>0</v>
      </c>
      <c r="H450" s="252">
        <v>0</v>
      </c>
      <c r="I450" s="252"/>
      <c r="J450" s="252">
        <v>0</v>
      </c>
      <c r="K450" s="252">
        <v>0</v>
      </c>
      <c r="L450" s="252"/>
      <c r="M450" s="252">
        <v>0</v>
      </c>
      <c r="N450" s="252">
        <v>0</v>
      </c>
      <c r="O450" s="252">
        <v>0</v>
      </c>
      <c r="P450" s="252"/>
      <c r="Q450" s="252">
        <v>0</v>
      </c>
      <c r="R450" s="252"/>
      <c r="S450" s="252">
        <v>0</v>
      </c>
      <c r="T450" s="252">
        <v>0</v>
      </c>
      <c r="U450" s="252"/>
      <c r="V450" s="252">
        <v>0</v>
      </c>
      <c r="W450" s="252">
        <v>0</v>
      </c>
      <c r="X450" s="252"/>
      <c r="Y450" s="252">
        <v>2</v>
      </c>
    </row>
    <row r="451" spans="1:25" x14ac:dyDescent="0.3">
      <c r="A451" s="253" t="s">
        <v>429</v>
      </c>
      <c r="B451" s="252">
        <v>0</v>
      </c>
      <c r="C451" s="252">
        <v>0</v>
      </c>
      <c r="D451" s="252">
        <v>0</v>
      </c>
      <c r="E451" s="252">
        <v>0</v>
      </c>
      <c r="F451" s="252">
        <v>0</v>
      </c>
      <c r="G451" s="252">
        <v>0</v>
      </c>
      <c r="H451" s="252">
        <v>0</v>
      </c>
      <c r="I451" s="252"/>
      <c r="J451" s="252"/>
      <c r="K451" s="252">
        <v>0</v>
      </c>
      <c r="L451" s="252"/>
      <c r="M451" s="252">
        <v>0</v>
      </c>
      <c r="N451" s="252">
        <v>0</v>
      </c>
      <c r="O451" s="252">
        <v>0</v>
      </c>
      <c r="P451" s="252"/>
      <c r="Q451" s="252">
        <v>0</v>
      </c>
      <c r="R451" s="252"/>
      <c r="S451" s="252">
        <v>0</v>
      </c>
      <c r="T451" s="252">
        <v>0</v>
      </c>
      <c r="U451" s="252"/>
      <c r="V451" s="252">
        <v>0</v>
      </c>
      <c r="W451" s="252">
        <v>0</v>
      </c>
      <c r="X451" s="252"/>
      <c r="Y451" s="252">
        <v>0</v>
      </c>
    </row>
    <row r="452" spans="1:25" x14ac:dyDescent="0.3">
      <c r="A452" s="253" t="s">
        <v>430</v>
      </c>
      <c r="B452" s="252">
        <v>1</v>
      </c>
      <c r="C452" s="252">
        <v>2</v>
      </c>
      <c r="D452" s="252">
        <v>0</v>
      </c>
      <c r="E452" s="252">
        <v>16</v>
      </c>
      <c r="F452" s="252">
        <v>0</v>
      </c>
      <c r="G452" s="252">
        <v>1</v>
      </c>
      <c r="H452" s="252">
        <v>3</v>
      </c>
      <c r="I452" s="252">
        <v>0</v>
      </c>
      <c r="J452" s="252">
        <v>13</v>
      </c>
      <c r="K452" s="252">
        <v>2</v>
      </c>
      <c r="L452" s="252">
        <v>2</v>
      </c>
      <c r="M452" s="252">
        <v>5</v>
      </c>
      <c r="N452" s="252">
        <v>14</v>
      </c>
      <c r="O452" s="252">
        <v>13</v>
      </c>
      <c r="P452" s="252">
        <v>2</v>
      </c>
      <c r="Q452" s="252">
        <v>15</v>
      </c>
      <c r="R452" s="252">
        <v>3</v>
      </c>
      <c r="S452" s="252">
        <v>0</v>
      </c>
      <c r="T452" s="252">
        <v>4</v>
      </c>
      <c r="U452" s="252">
        <v>8</v>
      </c>
      <c r="V452" s="252">
        <v>3</v>
      </c>
      <c r="W452" s="252">
        <v>6</v>
      </c>
      <c r="X452" s="252">
        <v>12</v>
      </c>
      <c r="Y452" s="252">
        <v>125</v>
      </c>
    </row>
    <row r="453" spans="1:25" x14ac:dyDescent="0.3">
      <c r="A453" s="253" t="s">
        <v>431</v>
      </c>
      <c r="B453" s="252">
        <v>0</v>
      </c>
      <c r="C453" s="252"/>
      <c r="D453" s="252">
        <v>0</v>
      </c>
      <c r="E453" s="252">
        <v>0</v>
      </c>
      <c r="F453" s="252">
        <v>0</v>
      </c>
      <c r="G453" s="252">
        <v>0</v>
      </c>
      <c r="H453" s="252">
        <v>0</v>
      </c>
      <c r="I453" s="252"/>
      <c r="J453" s="252"/>
      <c r="K453" s="252">
        <v>0</v>
      </c>
      <c r="L453" s="252"/>
      <c r="M453" s="252">
        <v>0</v>
      </c>
      <c r="N453" s="252">
        <v>0</v>
      </c>
      <c r="O453" s="252">
        <v>0</v>
      </c>
      <c r="P453" s="252"/>
      <c r="Q453" s="252">
        <v>0</v>
      </c>
      <c r="R453" s="252"/>
      <c r="S453" s="252"/>
      <c r="T453" s="252">
        <v>0</v>
      </c>
      <c r="U453" s="252"/>
      <c r="V453" s="252">
        <v>0</v>
      </c>
      <c r="W453" s="252">
        <v>0</v>
      </c>
      <c r="X453" s="252"/>
      <c r="Y453" s="252">
        <v>0</v>
      </c>
    </row>
    <row r="454" spans="1:25" x14ac:dyDescent="0.3">
      <c r="A454" s="253" t="s">
        <v>25</v>
      </c>
      <c r="B454" s="252">
        <v>1</v>
      </c>
      <c r="C454" s="252">
        <v>3</v>
      </c>
      <c r="D454" s="252">
        <v>0</v>
      </c>
      <c r="E454" s="252">
        <v>2</v>
      </c>
      <c r="F454" s="252">
        <v>0</v>
      </c>
      <c r="G454" s="252">
        <v>2</v>
      </c>
      <c r="H454" s="252">
        <v>1</v>
      </c>
      <c r="I454" s="252">
        <v>0</v>
      </c>
      <c r="J454" s="252">
        <v>1</v>
      </c>
      <c r="K454" s="252">
        <v>2</v>
      </c>
      <c r="L454" s="252">
        <v>2</v>
      </c>
      <c r="M454" s="252">
        <v>0</v>
      </c>
      <c r="N454" s="252">
        <v>1</v>
      </c>
      <c r="O454" s="252">
        <v>2</v>
      </c>
      <c r="P454" s="252">
        <v>0</v>
      </c>
      <c r="Q454" s="252">
        <v>2</v>
      </c>
      <c r="R454" s="252">
        <v>3</v>
      </c>
      <c r="S454" s="252">
        <v>1</v>
      </c>
      <c r="T454" s="252">
        <v>1</v>
      </c>
      <c r="U454" s="252">
        <v>1</v>
      </c>
      <c r="V454" s="252">
        <v>2</v>
      </c>
      <c r="W454" s="252">
        <v>1</v>
      </c>
      <c r="X454" s="252">
        <v>2</v>
      </c>
      <c r="Y454" s="252">
        <v>30</v>
      </c>
    </row>
    <row r="455" spans="1:25" x14ac:dyDescent="0.3">
      <c r="A455" s="253" t="s">
        <v>9</v>
      </c>
      <c r="B455" s="252">
        <v>2</v>
      </c>
      <c r="C455" s="252">
        <v>2</v>
      </c>
      <c r="D455" s="252">
        <v>0</v>
      </c>
      <c r="E455" s="252">
        <v>2</v>
      </c>
      <c r="F455" s="252">
        <v>1</v>
      </c>
      <c r="G455" s="252">
        <v>1</v>
      </c>
      <c r="H455" s="252">
        <v>0</v>
      </c>
      <c r="I455" s="252">
        <v>0</v>
      </c>
      <c r="J455" s="252">
        <v>2</v>
      </c>
      <c r="K455" s="252">
        <v>0</v>
      </c>
      <c r="L455" s="252">
        <v>2</v>
      </c>
      <c r="M455" s="252">
        <v>0</v>
      </c>
      <c r="N455" s="252">
        <v>1</v>
      </c>
      <c r="O455" s="252">
        <v>0</v>
      </c>
      <c r="P455" s="252">
        <v>0</v>
      </c>
      <c r="Q455" s="252">
        <v>3</v>
      </c>
      <c r="R455" s="252">
        <v>3</v>
      </c>
      <c r="S455" s="252">
        <v>3</v>
      </c>
      <c r="T455" s="252">
        <v>1</v>
      </c>
      <c r="U455" s="252">
        <v>0</v>
      </c>
      <c r="V455" s="252">
        <v>1</v>
      </c>
      <c r="W455" s="252">
        <v>0</v>
      </c>
      <c r="X455" s="252">
        <v>1</v>
      </c>
      <c r="Y455" s="252">
        <v>25</v>
      </c>
    </row>
    <row r="456" spans="1:25" x14ac:dyDescent="0.3">
      <c r="A456" s="253" t="s">
        <v>432</v>
      </c>
      <c r="B456" s="252">
        <v>2</v>
      </c>
      <c r="C456" s="252">
        <v>4</v>
      </c>
      <c r="D456" s="252">
        <v>0</v>
      </c>
      <c r="E456" s="252">
        <v>1</v>
      </c>
      <c r="F456" s="252">
        <v>0</v>
      </c>
      <c r="G456" s="252">
        <v>1</v>
      </c>
      <c r="H456" s="252">
        <v>0</v>
      </c>
      <c r="I456" s="252">
        <v>0</v>
      </c>
      <c r="J456" s="252">
        <v>0</v>
      </c>
      <c r="K456" s="252">
        <v>0</v>
      </c>
      <c r="L456" s="252">
        <v>2</v>
      </c>
      <c r="M456" s="252">
        <v>0</v>
      </c>
      <c r="N456" s="252">
        <v>0</v>
      </c>
      <c r="O456" s="252">
        <v>0</v>
      </c>
      <c r="P456" s="252">
        <v>0</v>
      </c>
      <c r="Q456" s="252">
        <v>1</v>
      </c>
      <c r="R456" s="252">
        <v>3</v>
      </c>
      <c r="S456" s="252">
        <v>3</v>
      </c>
      <c r="T456" s="252">
        <v>0</v>
      </c>
      <c r="U456" s="252">
        <v>1</v>
      </c>
      <c r="V456" s="252">
        <v>0</v>
      </c>
      <c r="W456" s="252">
        <v>0</v>
      </c>
      <c r="X456" s="252">
        <v>0</v>
      </c>
      <c r="Y456" s="252">
        <v>18</v>
      </c>
    </row>
    <row r="457" spans="1:25" x14ac:dyDescent="0.3">
      <c r="A457" s="253" t="s">
        <v>433</v>
      </c>
      <c r="B457" s="252">
        <v>0</v>
      </c>
      <c r="C457" s="252">
        <v>0</v>
      </c>
      <c r="D457" s="252">
        <v>0</v>
      </c>
      <c r="E457" s="252">
        <v>0</v>
      </c>
      <c r="F457" s="252">
        <v>0</v>
      </c>
      <c r="G457" s="252">
        <v>0</v>
      </c>
      <c r="H457" s="252">
        <v>0</v>
      </c>
      <c r="I457" s="252">
        <v>0</v>
      </c>
      <c r="J457" s="252">
        <v>0</v>
      </c>
      <c r="K457" s="252">
        <v>0</v>
      </c>
      <c r="L457" s="252"/>
      <c r="M457" s="252">
        <v>0</v>
      </c>
      <c r="N457" s="252">
        <v>0</v>
      </c>
      <c r="O457" s="252">
        <v>0</v>
      </c>
      <c r="P457" s="252"/>
      <c r="Q457" s="252">
        <v>0</v>
      </c>
      <c r="R457" s="252"/>
      <c r="S457" s="252">
        <v>0</v>
      </c>
      <c r="T457" s="252">
        <v>0</v>
      </c>
      <c r="U457" s="252"/>
      <c r="V457" s="252">
        <v>0</v>
      </c>
      <c r="W457" s="252">
        <v>0</v>
      </c>
      <c r="X457" s="252"/>
      <c r="Y457" s="252">
        <v>0</v>
      </c>
    </row>
    <row r="458" spans="1:25" x14ac:dyDescent="0.3">
      <c r="A458" s="253" t="s">
        <v>434</v>
      </c>
      <c r="B458" s="252">
        <v>0</v>
      </c>
      <c r="C458" s="252">
        <v>0</v>
      </c>
      <c r="D458" s="252">
        <v>0</v>
      </c>
      <c r="E458" s="252">
        <v>0</v>
      </c>
      <c r="F458" s="252">
        <v>0</v>
      </c>
      <c r="G458" s="252">
        <v>0</v>
      </c>
      <c r="H458" s="252">
        <v>0</v>
      </c>
      <c r="I458" s="252">
        <v>0</v>
      </c>
      <c r="J458" s="252">
        <v>0</v>
      </c>
      <c r="K458" s="252">
        <v>0</v>
      </c>
      <c r="L458" s="252"/>
      <c r="M458" s="252">
        <v>0</v>
      </c>
      <c r="N458" s="252">
        <v>0</v>
      </c>
      <c r="O458" s="252">
        <v>0</v>
      </c>
      <c r="P458" s="252"/>
      <c r="Q458" s="252">
        <v>0</v>
      </c>
      <c r="R458" s="252">
        <v>0</v>
      </c>
      <c r="S458" s="252">
        <v>0</v>
      </c>
      <c r="T458" s="252">
        <v>0</v>
      </c>
      <c r="U458" s="252">
        <v>0</v>
      </c>
      <c r="V458" s="252">
        <v>0</v>
      </c>
      <c r="W458" s="252">
        <v>0</v>
      </c>
      <c r="X458" s="252"/>
      <c r="Y458" s="252">
        <v>0</v>
      </c>
    </row>
    <row r="459" spans="1:25" x14ac:dyDescent="0.3">
      <c r="A459" s="253" t="s">
        <v>911</v>
      </c>
      <c r="B459" s="252">
        <v>0</v>
      </c>
      <c r="C459" s="252">
        <v>0</v>
      </c>
      <c r="D459" s="252">
        <v>0</v>
      </c>
      <c r="E459" s="252">
        <v>0</v>
      </c>
      <c r="F459" s="252">
        <v>0</v>
      </c>
      <c r="G459" s="252">
        <v>0</v>
      </c>
      <c r="H459" s="252">
        <v>0</v>
      </c>
      <c r="I459" s="252">
        <v>0</v>
      </c>
      <c r="J459" s="252">
        <v>0</v>
      </c>
      <c r="K459" s="252">
        <v>0</v>
      </c>
      <c r="L459" s="252"/>
      <c r="M459" s="252">
        <v>0</v>
      </c>
      <c r="N459" s="252">
        <v>0</v>
      </c>
      <c r="O459" s="252">
        <v>0</v>
      </c>
      <c r="P459" s="252"/>
      <c r="Q459" s="252">
        <v>0</v>
      </c>
      <c r="R459" s="252">
        <v>0</v>
      </c>
      <c r="S459" s="252">
        <v>0</v>
      </c>
      <c r="T459" s="252">
        <v>0</v>
      </c>
      <c r="U459" s="252">
        <v>0</v>
      </c>
      <c r="V459" s="252">
        <v>0</v>
      </c>
      <c r="W459" s="252">
        <v>0</v>
      </c>
      <c r="X459" s="252"/>
      <c r="Y459" s="252">
        <v>0</v>
      </c>
    </row>
    <row r="460" spans="1:25" x14ac:dyDescent="0.3">
      <c r="A460" s="253" t="s">
        <v>435</v>
      </c>
      <c r="B460" s="252">
        <v>7</v>
      </c>
      <c r="C460" s="252">
        <v>5</v>
      </c>
      <c r="D460" s="252">
        <v>5</v>
      </c>
      <c r="E460" s="252">
        <v>18</v>
      </c>
      <c r="F460" s="252">
        <v>7</v>
      </c>
      <c r="G460" s="252">
        <v>6</v>
      </c>
      <c r="H460" s="252">
        <v>5</v>
      </c>
      <c r="I460" s="252">
        <v>0</v>
      </c>
      <c r="J460" s="252">
        <v>10</v>
      </c>
      <c r="K460" s="252">
        <v>4</v>
      </c>
      <c r="L460" s="252">
        <v>2</v>
      </c>
      <c r="M460" s="252">
        <v>12</v>
      </c>
      <c r="N460" s="252">
        <v>6</v>
      </c>
      <c r="O460" s="252">
        <v>11</v>
      </c>
      <c r="P460" s="252">
        <v>8</v>
      </c>
      <c r="Q460" s="252">
        <v>5</v>
      </c>
      <c r="R460" s="252">
        <v>4</v>
      </c>
      <c r="S460" s="252">
        <v>12</v>
      </c>
      <c r="T460" s="252">
        <v>3</v>
      </c>
      <c r="U460" s="252">
        <v>3</v>
      </c>
      <c r="V460" s="252">
        <v>2</v>
      </c>
      <c r="W460" s="252">
        <v>8</v>
      </c>
      <c r="X460" s="252">
        <v>9</v>
      </c>
      <c r="Y460" s="252">
        <v>152</v>
      </c>
    </row>
    <row r="461" spans="1:25" x14ac:dyDescent="0.3">
      <c r="A461" s="253" t="s">
        <v>1089</v>
      </c>
      <c r="B461" s="252">
        <v>0</v>
      </c>
      <c r="C461" s="252">
        <v>0</v>
      </c>
      <c r="D461" s="252">
        <v>0</v>
      </c>
      <c r="E461" s="252">
        <v>0</v>
      </c>
      <c r="F461" s="252">
        <v>0</v>
      </c>
      <c r="G461" s="252">
        <v>0</v>
      </c>
      <c r="H461" s="252">
        <v>0</v>
      </c>
      <c r="I461" s="252">
        <v>0</v>
      </c>
      <c r="J461" s="252">
        <v>0</v>
      </c>
      <c r="K461" s="252">
        <v>0</v>
      </c>
      <c r="L461" s="252">
        <v>0</v>
      </c>
      <c r="M461" s="252">
        <v>0</v>
      </c>
      <c r="N461" s="252">
        <v>0</v>
      </c>
      <c r="O461" s="252">
        <v>0</v>
      </c>
      <c r="P461" s="252">
        <v>0</v>
      </c>
      <c r="Q461" s="252">
        <v>0</v>
      </c>
      <c r="R461" s="252">
        <v>0</v>
      </c>
      <c r="S461" s="252">
        <v>0</v>
      </c>
      <c r="T461" s="252">
        <v>0</v>
      </c>
      <c r="U461" s="252">
        <v>0</v>
      </c>
      <c r="V461" s="252">
        <v>0</v>
      </c>
      <c r="W461" s="252">
        <v>0</v>
      </c>
      <c r="X461" s="252">
        <v>0</v>
      </c>
      <c r="Y461" s="252">
        <v>0</v>
      </c>
    </row>
    <row r="462" spans="1:25" x14ac:dyDescent="0.3">
      <c r="A462" s="253" t="s">
        <v>31</v>
      </c>
      <c r="B462" s="252">
        <v>3</v>
      </c>
      <c r="C462" s="252">
        <v>11</v>
      </c>
      <c r="D462" s="252">
        <v>1</v>
      </c>
      <c r="E462" s="252">
        <v>5</v>
      </c>
      <c r="F462" s="252">
        <v>3</v>
      </c>
      <c r="G462" s="252">
        <v>0</v>
      </c>
      <c r="H462" s="252">
        <v>3</v>
      </c>
      <c r="I462" s="252">
        <v>0</v>
      </c>
      <c r="J462" s="252">
        <v>7</v>
      </c>
      <c r="K462" s="252">
        <v>3</v>
      </c>
      <c r="L462" s="252">
        <v>0</v>
      </c>
      <c r="M462" s="252">
        <v>4</v>
      </c>
      <c r="N462" s="252">
        <v>5</v>
      </c>
      <c r="O462" s="252">
        <v>8</v>
      </c>
      <c r="P462" s="252">
        <v>5</v>
      </c>
      <c r="Q462" s="252">
        <v>7</v>
      </c>
      <c r="R462" s="252">
        <v>9</v>
      </c>
      <c r="S462" s="252">
        <v>5</v>
      </c>
      <c r="T462" s="252">
        <v>3</v>
      </c>
      <c r="U462" s="252">
        <v>3</v>
      </c>
      <c r="V462" s="252">
        <v>6</v>
      </c>
      <c r="W462" s="252">
        <v>3</v>
      </c>
      <c r="X462" s="252">
        <v>3</v>
      </c>
      <c r="Y462" s="252">
        <v>97</v>
      </c>
    </row>
    <row r="463" spans="1:25" x14ac:dyDescent="0.3">
      <c r="A463" s="253" t="s">
        <v>436</v>
      </c>
      <c r="B463" s="252">
        <v>0</v>
      </c>
      <c r="C463" s="252">
        <v>0</v>
      </c>
      <c r="D463" s="252">
        <v>0</v>
      </c>
      <c r="E463" s="252"/>
      <c r="F463" s="252">
        <v>0</v>
      </c>
      <c r="G463" s="252">
        <v>0</v>
      </c>
      <c r="H463" s="252">
        <v>0</v>
      </c>
      <c r="I463" s="252"/>
      <c r="J463" s="252"/>
      <c r="K463" s="252">
        <v>0</v>
      </c>
      <c r="L463" s="252"/>
      <c r="M463" s="252">
        <v>0</v>
      </c>
      <c r="N463" s="252">
        <v>0</v>
      </c>
      <c r="O463" s="252">
        <v>0</v>
      </c>
      <c r="P463" s="252"/>
      <c r="Q463" s="252">
        <v>0</v>
      </c>
      <c r="R463" s="252">
        <v>0</v>
      </c>
      <c r="S463" s="252">
        <v>0</v>
      </c>
      <c r="T463" s="252">
        <v>0</v>
      </c>
      <c r="U463" s="252"/>
      <c r="V463" s="252">
        <v>0</v>
      </c>
      <c r="W463" s="252">
        <v>0</v>
      </c>
      <c r="X463" s="252"/>
      <c r="Y463" s="252">
        <v>0</v>
      </c>
    </row>
    <row r="464" spans="1:25" x14ac:dyDescent="0.3">
      <c r="A464" s="253" t="s">
        <v>437</v>
      </c>
      <c r="B464" s="252">
        <v>0</v>
      </c>
      <c r="C464" s="252">
        <v>0</v>
      </c>
      <c r="D464" s="252">
        <v>0</v>
      </c>
      <c r="E464" s="252">
        <v>0</v>
      </c>
      <c r="F464" s="252">
        <v>0</v>
      </c>
      <c r="G464" s="252">
        <v>0</v>
      </c>
      <c r="H464" s="252">
        <v>0</v>
      </c>
      <c r="I464" s="252"/>
      <c r="J464" s="252"/>
      <c r="K464" s="252">
        <v>0</v>
      </c>
      <c r="L464" s="252"/>
      <c r="M464" s="252">
        <v>0</v>
      </c>
      <c r="N464" s="252">
        <v>0</v>
      </c>
      <c r="O464" s="252">
        <v>0</v>
      </c>
      <c r="P464" s="252"/>
      <c r="Q464" s="252">
        <v>0</v>
      </c>
      <c r="R464" s="252"/>
      <c r="S464" s="252"/>
      <c r="T464" s="252">
        <v>0</v>
      </c>
      <c r="U464" s="252"/>
      <c r="V464" s="252">
        <v>0</v>
      </c>
      <c r="W464" s="252">
        <v>0</v>
      </c>
      <c r="X464" s="252"/>
      <c r="Y464" s="252">
        <v>0</v>
      </c>
    </row>
    <row r="465" spans="1:25" x14ac:dyDescent="0.3">
      <c r="A465" s="253" t="s">
        <v>438</v>
      </c>
      <c r="B465" s="252">
        <v>0</v>
      </c>
      <c r="C465" s="252">
        <v>0</v>
      </c>
      <c r="D465" s="252">
        <v>0</v>
      </c>
      <c r="E465" s="252"/>
      <c r="F465" s="252">
        <v>0</v>
      </c>
      <c r="G465" s="252">
        <v>0</v>
      </c>
      <c r="H465" s="252">
        <v>0</v>
      </c>
      <c r="I465" s="252"/>
      <c r="J465" s="252"/>
      <c r="K465" s="252">
        <v>0</v>
      </c>
      <c r="L465" s="252"/>
      <c r="M465" s="252">
        <v>0</v>
      </c>
      <c r="N465" s="252">
        <v>0</v>
      </c>
      <c r="O465" s="252">
        <v>0</v>
      </c>
      <c r="P465" s="252"/>
      <c r="Q465" s="252">
        <v>0</v>
      </c>
      <c r="R465" s="252"/>
      <c r="S465" s="252"/>
      <c r="T465" s="252">
        <v>0</v>
      </c>
      <c r="U465" s="252"/>
      <c r="V465" s="252">
        <v>0</v>
      </c>
      <c r="W465" s="252">
        <v>0</v>
      </c>
      <c r="X465" s="252"/>
      <c r="Y465" s="252">
        <v>0</v>
      </c>
    </row>
    <row r="466" spans="1:25" x14ac:dyDescent="0.3">
      <c r="A466" s="253" t="s">
        <v>30</v>
      </c>
      <c r="B466" s="252">
        <v>6</v>
      </c>
      <c r="C466" s="252">
        <v>9</v>
      </c>
      <c r="D466" s="252">
        <v>2</v>
      </c>
      <c r="E466" s="252">
        <v>6</v>
      </c>
      <c r="F466" s="252">
        <v>1</v>
      </c>
      <c r="G466" s="252">
        <v>5</v>
      </c>
      <c r="H466" s="252">
        <v>4</v>
      </c>
      <c r="I466" s="252">
        <v>0</v>
      </c>
      <c r="J466" s="252">
        <v>7</v>
      </c>
      <c r="K466" s="252">
        <v>3</v>
      </c>
      <c r="L466" s="252">
        <v>2</v>
      </c>
      <c r="M466" s="252">
        <v>4</v>
      </c>
      <c r="N466" s="252">
        <v>3</v>
      </c>
      <c r="O466" s="252">
        <v>8</v>
      </c>
      <c r="P466" s="252">
        <v>6</v>
      </c>
      <c r="Q466" s="252">
        <v>5</v>
      </c>
      <c r="R466" s="252">
        <v>9</v>
      </c>
      <c r="S466" s="252">
        <v>3</v>
      </c>
      <c r="T466" s="252">
        <v>3</v>
      </c>
      <c r="U466" s="252">
        <v>0</v>
      </c>
      <c r="V466" s="252">
        <v>7</v>
      </c>
      <c r="W466" s="252">
        <v>3</v>
      </c>
      <c r="X466" s="252">
        <v>6</v>
      </c>
      <c r="Y466" s="252">
        <v>102</v>
      </c>
    </row>
    <row r="467" spans="1:25" x14ac:dyDescent="0.3">
      <c r="A467" s="253" t="s">
        <v>1070</v>
      </c>
      <c r="B467" s="252">
        <v>0</v>
      </c>
      <c r="C467" s="252">
        <v>0</v>
      </c>
      <c r="D467" s="252">
        <v>0</v>
      </c>
      <c r="E467" s="252">
        <v>0</v>
      </c>
      <c r="F467" s="252">
        <v>0</v>
      </c>
      <c r="G467" s="252">
        <v>0</v>
      </c>
      <c r="H467" s="252">
        <v>0</v>
      </c>
      <c r="I467" s="252">
        <v>0</v>
      </c>
      <c r="J467" s="252">
        <v>0</v>
      </c>
      <c r="K467" s="252">
        <v>0</v>
      </c>
      <c r="L467" s="252">
        <v>0</v>
      </c>
      <c r="M467" s="252">
        <v>0</v>
      </c>
      <c r="N467" s="252">
        <v>0</v>
      </c>
      <c r="O467" s="252">
        <v>0</v>
      </c>
      <c r="P467" s="252">
        <v>0</v>
      </c>
      <c r="Q467" s="252">
        <v>0</v>
      </c>
      <c r="R467" s="252">
        <v>0</v>
      </c>
      <c r="S467" s="252">
        <v>0</v>
      </c>
      <c r="T467" s="252">
        <v>0</v>
      </c>
      <c r="U467" s="252">
        <v>0</v>
      </c>
      <c r="V467" s="252">
        <v>0</v>
      </c>
      <c r="W467" s="252">
        <v>0</v>
      </c>
      <c r="X467" s="252">
        <v>0</v>
      </c>
      <c r="Y467" s="252">
        <v>0</v>
      </c>
    </row>
    <row r="468" spans="1:25" x14ac:dyDescent="0.3">
      <c r="A468" s="253" t="s">
        <v>1026</v>
      </c>
      <c r="B468" s="252">
        <v>0</v>
      </c>
      <c r="C468" s="252">
        <v>0</v>
      </c>
      <c r="D468" s="252">
        <v>0</v>
      </c>
      <c r="E468" s="252">
        <v>0</v>
      </c>
      <c r="F468" s="252">
        <v>0</v>
      </c>
      <c r="G468" s="252">
        <v>0</v>
      </c>
      <c r="H468" s="252">
        <v>0</v>
      </c>
      <c r="I468" s="252">
        <v>0</v>
      </c>
      <c r="J468" s="252">
        <v>0</v>
      </c>
      <c r="K468" s="252">
        <v>0</v>
      </c>
      <c r="L468" s="252"/>
      <c r="M468" s="252">
        <v>0</v>
      </c>
      <c r="N468" s="252">
        <v>0</v>
      </c>
      <c r="O468" s="252">
        <v>0</v>
      </c>
      <c r="P468" s="252">
        <v>0</v>
      </c>
      <c r="Q468" s="252">
        <v>0</v>
      </c>
      <c r="R468" s="252">
        <v>0</v>
      </c>
      <c r="S468" s="252">
        <v>0</v>
      </c>
      <c r="T468" s="252">
        <v>0</v>
      </c>
      <c r="U468" s="252">
        <v>0</v>
      </c>
      <c r="V468" s="252">
        <v>0</v>
      </c>
      <c r="W468" s="252">
        <v>0</v>
      </c>
      <c r="X468" s="252">
        <v>0</v>
      </c>
      <c r="Y468" s="252">
        <v>0</v>
      </c>
    </row>
    <row r="469" spans="1:25" x14ac:dyDescent="0.3">
      <c r="A469" s="253" t="s">
        <v>994</v>
      </c>
      <c r="B469" s="252">
        <v>0</v>
      </c>
      <c r="C469" s="252">
        <v>0</v>
      </c>
      <c r="D469" s="252">
        <v>0</v>
      </c>
      <c r="E469" s="252">
        <v>0</v>
      </c>
      <c r="F469" s="252">
        <v>0</v>
      </c>
      <c r="G469" s="252">
        <v>0</v>
      </c>
      <c r="H469" s="252">
        <v>0</v>
      </c>
      <c r="I469" s="252">
        <v>0</v>
      </c>
      <c r="J469" s="252">
        <v>0</v>
      </c>
      <c r="K469" s="252">
        <v>0</v>
      </c>
      <c r="L469" s="252"/>
      <c r="M469" s="252">
        <v>0</v>
      </c>
      <c r="N469" s="252">
        <v>0</v>
      </c>
      <c r="O469" s="252">
        <v>0</v>
      </c>
      <c r="P469" s="252">
        <v>0</v>
      </c>
      <c r="Q469" s="252">
        <v>0</v>
      </c>
      <c r="R469" s="252">
        <v>0</v>
      </c>
      <c r="S469" s="252">
        <v>0</v>
      </c>
      <c r="T469" s="252">
        <v>0</v>
      </c>
      <c r="U469" s="252">
        <v>0</v>
      </c>
      <c r="V469" s="252">
        <v>0</v>
      </c>
      <c r="W469" s="252">
        <v>0</v>
      </c>
      <c r="X469" s="252">
        <v>0</v>
      </c>
      <c r="Y469" s="252">
        <v>0</v>
      </c>
    </row>
    <row r="470" spans="1:25" x14ac:dyDescent="0.3">
      <c r="A470" s="253" t="s">
        <v>439</v>
      </c>
      <c r="B470" s="252">
        <v>0</v>
      </c>
      <c r="C470" s="252">
        <v>0</v>
      </c>
      <c r="D470" s="252">
        <v>0</v>
      </c>
      <c r="E470" s="252">
        <v>0</v>
      </c>
      <c r="F470" s="252">
        <v>0</v>
      </c>
      <c r="G470" s="252">
        <v>0</v>
      </c>
      <c r="H470" s="252">
        <v>0</v>
      </c>
      <c r="I470" s="252"/>
      <c r="J470" s="252"/>
      <c r="K470" s="252">
        <v>0</v>
      </c>
      <c r="L470" s="252"/>
      <c r="M470" s="252">
        <v>0</v>
      </c>
      <c r="N470" s="252">
        <v>0</v>
      </c>
      <c r="O470" s="252">
        <v>0</v>
      </c>
      <c r="P470" s="252"/>
      <c r="Q470" s="252">
        <v>0</v>
      </c>
      <c r="R470" s="252"/>
      <c r="S470" s="252"/>
      <c r="T470" s="252">
        <v>0</v>
      </c>
      <c r="U470" s="252"/>
      <c r="V470" s="252">
        <v>0</v>
      </c>
      <c r="W470" s="252">
        <v>0</v>
      </c>
      <c r="X470" s="252"/>
      <c r="Y470" s="252">
        <v>0</v>
      </c>
    </row>
    <row r="471" spans="1:25" x14ac:dyDescent="0.3">
      <c r="A471" s="253" t="s">
        <v>34</v>
      </c>
      <c r="B471" s="252">
        <v>3</v>
      </c>
      <c r="C471" s="252">
        <v>1</v>
      </c>
      <c r="D471" s="252">
        <v>1</v>
      </c>
      <c r="E471" s="252">
        <v>6</v>
      </c>
      <c r="F471" s="252">
        <v>1</v>
      </c>
      <c r="G471" s="252">
        <v>2</v>
      </c>
      <c r="H471" s="252">
        <v>4</v>
      </c>
      <c r="I471" s="252">
        <v>0</v>
      </c>
      <c r="J471" s="252">
        <v>7</v>
      </c>
      <c r="K471" s="252">
        <v>4</v>
      </c>
      <c r="L471" s="252">
        <v>3</v>
      </c>
      <c r="M471" s="252">
        <v>1</v>
      </c>
      <c r="N471" s="252">
        <v>4</v>
      </c>
      <c r="O471" s="252">
        <v>8</v>
      </c>
      <c r="P471" s="252">
        <v>5</v>
      </c>
      <c r="Q471" s="252">
        <v>10</v>
      </c>
      <c r="R471" s="252">
        <v>9</v>
      </c>
      <c r="S471" s="252">
        <v>3</v>
      </c>
      <c r="T471" s="252">
        <v>3</v>
      </c>
      <c r="U471" s="252">
        <v>2</v>
      </c>
      <c r="V471" s="252">
        <v>6</v>
      </c>
      <c r="W471" s="252">
        <v>0</v>
      </c>
      <c r="X471" s="252">
        <v>5</v>
      </c>
      <c r="Y471" s="252">
        <v>88</v>
      </c>
    </row>
    <row r="472" spans="1:25" x14ac:dyDescent="0.3">
      <c r="A472" s="253" t="s">
        <v>33</v>
      </c>
      <c r="B472" s="252">
        <v>2</v>
      </c>
      <c r="C472" s="252">
        <v>1</v>
      </c>
      <c r="D472" s="252">
        <v>0</v>
      </c>
      <c r="E472" s="252">
        <v>6</v>
      </c>
      <c r="F472" s="252">
        <v>3</v>
      </c>
      <c r="G472" s="252">
        <v>5</v>
      </c>
      <c r="H472" s="252">
        <v>8</v>
      </c>
      <c r="I472" s="252">
        <v>0</v>
      </c>
      <c r="J472" s="252">
        <v>7</v>
      </c>
      <c r="K472" s="252">
        <v>5</v>
      </c>
      <c r="L472" s="252">
        <v>3</v>
      </c>
      <c r="M472" s="252">
        <v>1</v>
      </c>
      <c r="N472" s="252">
        <v>4</v>
      </c>
      <c r="O472" s="252">
        <v>10</v>
      </c>
      <c r="P472" s="252">
        <v>2</v>
      </c>
      <c r="Q472" s="252">
        <v>13</v>
      </c>
      <c r="R472" s="252">
        <v>9</v>
      </c>
      <c r="S472" s="252">
        <v>5</v>
      </c>
      <c r="T472" s="252">
        <v>5</v>
      </c>
      <c r="U472" s="252">
        <v>2</v>
      </c>
      <c r="V472" s="252">
        <v>7</v>
      </c>
      <c r="W472" s="252">
        <v>2</v>
      </c>
      <c r="X472" s="252">
        <v>4</v>
      </c>
      <c r="Y472" s="252">
        <v>104</v>
      </c>
    </row>
    <row r="473" spans="1:25" x14ac:dyDescent="0.3">
      <c r="A473" s="253" t="s">
        <v>440</v>
      </c>
      <c r="B473" s="252">
        <v>0</v>
      </c>
      <c r="C473" s="252">
        <v>0</v>
      </c>
      <c r="D473" s="252">
        <v>0</v>
      </c>
      <c r="E473" s="252">
        <v>0</v>
      </c>
      <c r="F473" s="252">
        <v>0</v>
      </c>
      <c r="G473" s="252">
        <v>0</v>
      </c>
      <c r="H473" s="252">
        <v>0</v>
      </c>
      <c r="I473" s="252"/>
      <c r="J473" s="252"/>
      <c r="K473" s="252">
        <v>0</v>
      </c>
      <c r="L473" s="252"/>
      <c r="M473" s="252">
        <v>0</v>
      </c>
      <c r="N473" s="252">
        <v>0</v>
      </c>
      <c r="O473" s="252">
        <v>0</v>
      </c>
      <c r="P473" s="252"/>
      <c r="Q473" s="252">
        <v>0</v>
      </c>
      <c r="R473" s="252"/>
      <c r="S473" s="252"/>
      <c r="T473" s="252">
        <v>0</v>
      </c>
      <c r="U473" s="252"/>
      <c r="V473" s="252">
        <v>0</v>
      </c>
      <c r="W473" s="252">
        <v>0</v>
      </c>
      <c r="X473" s="252"/>
      <c r="Y473" s="252">
        <v>0</v>
      </c>
    </row>
    <row r="474" spans="1:25" x14ac:dyDescent="0.3">
      <c r="A474" s="253" t="s">
        <v>824</v>
      </c>
      <c r="B474" s="252">
        <v>0</v>
      </c>
      <c r="C474" s="252">
        <v>0</v>
      </c>
      <c r="D474" s="252">
        <v>0</v>
      </c>
      <c r="E474" s="252">
        <v>0</v>
      </c>
      <c r="F474" s="252">
        <v>0</v>
      </c>
      <c r="G474" s="252">
        <v>0</v>
      </c>
      <c r="H474" s="252">
        <v>0</v>
      </c>
      <c r="I474" s="252">
        <v>0</v>
      </c>
      <c r="J474" s="252">
        <v>0</v>
      </c>
      <c r="K474" s="252">
        <v>0</v>
      </c>
      <c r="L474" s="252"/>
      <c r="M474" s="252">
        <v>0</v>
      </c>
      <c r="N474" s="252">
        <v>0</v>
      </c>
      <c r="O474" s="252">
        <v>0</v>
      </c>
      <c r="P474" s="252"/>
      <c r="Q474" s="252">
        <v>0</v>
      </c>
      <c r="R474" s="252">
        <v>0</v>
      </c>
      <c r="S474" s="252">
        <v>0</v>
      </c>
      <c r="T474" s="252">
        <v>0</v>
      </c>
      <c r="U474" s="252"/>
      <c r="V474" s="252">
        <v>0</v>
      </c>
      <c r="W474" s="252">
        <v>0</v>
      </c>
      <c r="X474" s="252"/>
      <c r="Y474" s="252">
        <v>0</v>
      </c>
    </row>
    <row r="475" spans="1:25" x14ac:dyDescent="0.3">
      <c r="A475" s="253" t="s">
        <v>441</v>
      </c>
      <c r="B475" s="252">
        <v>0</v>
      </c>
      <c r="C475" s="252">
        <v>0</v>
      </c>
      <c r="D475" s="252">
        <v>0</v>
      </c>
      <c r="E475" s="252">
        <v>0</v>
      </c>
      <c r="F475" s="252">
        <v>0</v>
      </c>
      <c r="G475" s="252">
        <v>0</v>
      </c>
      <c r="H475" s="252">
        <v>0</v>
      </c>
      <c r="I475" s="252"/>
      <c r="J475" s="252"/>
      <c r="K475" s="252">
        <v>0</v>
      </c>
      <c r="L475" s="252"/>
      <c r="M475" s="252">
        <v>0</v>
      </c>
      <c r="N475" s="252">
        <v>0</v>
      </c>
      <c r="O475" s="252">
        <v>0</v>
      </c>
      <c r="P475" s="252"/>
      <c r="Q475" s="252">
        <v>0</v>
      </c>
      <c r="R475" s="252"/>
      <c r="S475" s="252"/>
      <c r="T475" s="252">
        <v>0</v>
      </c>
      <c r="U475" s="252"/>
      <c r="V475" s="252">
        <v>0</v>
      </c>
      <c r="W475" s="252">
        <v>0</v>
      </c>
      <c r="X475" s="252"/>
      <c r="Y475" s="252">
        <v>0</v>
      </c>
    </row>
    <row r="476" spans="1:25" x14ac:dyDescent="0.3">
      <c r="A476" s="253" t="s">
        <v>825</v>
      </c>
      <c r="B476" s="252">
        <v>0</v>
      </c>
      <c r="C476" s="252">
        <v>0</v>
      </c>
      <c r="D476" s="252">
        <v>0</v>
      </c>
      <c r="E476" s="252">
        <v>0</v>
      </c>
      <c r="F476" s="252">
        <v>0</v>
      </c>
      <c r="G476" s="252">
        <v>0</v>
      </c>
      <c r="H476" s="252">
        <v>0</v>
      </c>
      <c r="I476" s="252">
        <v>0</v>
      </c>
      <c r="J476" s="252">
        <v>0</v>
      </c>
      <c r="K476" s="252">
        <v>0</v>
      </c>
      <c r="L476" s="252"/>
      <c r="M476" s="252">
        <v>0</v>
      </c>
      <c r="N476" s="252">
        <v>0</v>
      </c>
      <c r="O476" s="252">
        <v>0</v>
      </c>
      <c r="P476" s="252"/>
      <c r="Q476" s="252">
        <v>0</v>
      </c>
      <c r="R476" s="252">
        <v>0</v>
      </c>
      <c r="S476" s="252">
        <v>0</v>
      </c>
      <c r="T476" s="252">
        <v>0</v>
      </c>
      <c r="U476" s="252"/>
      <c r="V476" s="252">
        <v>0</v>
      </c>
      <c r="W476" s="252">
        <v>0</v>
      </c>
      <c r="X476" s="252"/>
      <c r="Y476" s="252">
        <v>0</v>
      </c>
    </row>
    <row r="477" spans="1:25" x14ac:dyDescent="0.3">
      <c r="A477" s="253" t="s">
        <v>821</v>
      </c>
      <c r="B477" s="252">
        <v>0</v>
      </c>
      <c r="C477" s="252">
        <v>0</v>
      </c>
      <c r="D477" s="252">
        <v>0</v>
      </c>
      <c r="E477" s="252">
        <v>0</v>
      </c>
      <c r="F477" s="252">
        <v>0</v>
      </c>
      <c r="G477" s="252">
        <v>0</v>
      </c>
      <c r="H477" s="252">
        <v>0</v>
      </c>
      <c r="I477" s="252">
        <v>0</v>
      </c>
      <c r="J477" s="252">
        <v>0</v>
      </c>
      <c r="K477" s="252">
        <v>0</v>
      </c>
      <c r="L477" s="252"/>
      <c r="M477" s="252">
        <v>0</v>
      </c>
      <c r="N477" s="252">
        <v>0</v>
      </c>
      <c r="O477" s="252">
        <v>0</v>
      </c>
      <c r="P477" s="252"/>
      <c r="Q477" s="252">
        <v>0</v>
      </c>
      <c r="R477" s="252"/>
      <c r="S477" s="252">
        <v>0</v>
      </c>
      <c r="T477" s="252">
        <v>0</v>
      </c>
      <c r="U477" s="252"/>
      <c r="V477" s="252">
        <v>0</v>
      </c>
      <c r="W477" s="252">
        <v>0</v>
      </c>
      <c r="X477" s="252"/>
      <c r="Y477" s="252">
        <v>0</v>
      </c>
    </row>
    <row r="478" spans="1:25" x14ac:dyDescent="0.3">
      <c r="A478" s="253" t="s">
        <v>442</v>
      </c>
      <c r="B478" s="252">
        <v>0</v>
      </c>
      <c r="C478" s="252">
        <v>0</v>
      </c>
      <c r="D478" s="252">
        <v>0</v>
      </c>
      <c r="E478" s="252"/>
      <c r="F478" s="252">
        <v>0</v>
      </c>
      <c r="G478" s="252">
        <v>0</v>
      </c>
      <c r="H478" s="252">
        <v>0</v>
      </c>
      <c r="I478" s="252"/>
      <c r="J478" s="252"/>
      <c r="K478" s="252">
        <v>0</v>
      </c>
      <c r="L478" s="252"/>
      <c r="M478" s="252">
        <v>0</v>
      </c>
      <c r="N478" s="252">
        <v>0</v>
      </c>
      <c r="O478" s="252">
        <v>0</v>
      </c>
      <c r="P478" s="252"/>
      <c r="Q478" s="252">
        <v>0</v>
      </c>
      <c r="R478" s="252"/>
      <c r="S478" s="252"/>
      <c r="T478" s="252">
        <v>0</v>
      </c>
      <c r="U478" s="252"/>
      <c r="V478" s="252">
        <v>0</v>
      </c>
      <c r="W478" s="252">
        <v>0</v>
      </c>
      <c r="X478" s="252"/>
      <c r="Y478" s="252">
        <v>0</v>
      </c>
    </row>
    <row r="479" spans="1:25" x14ac:dyDescent="0.3">
      <c r="A479" s="253" t="s">
        <v>443</v>
      </c>
      <c r="B479" s="252">
        <v>0</v>
      </c>
      <c r="C479" s="252">
        <v>0</v>
      </c>
      <c r="D479" s="252">
        <v>0</v>
      </c>
      <c r="E479" s="252"/>
      <c r="F479" s="252">
        <v>0</v>
      </c>
      <c r="G479" s="252">
        <v>0</v>
      </c>
      <c r="H479" s="252">
        <v>0</v>
      </c>
      <c r="I479" s="252"/>
      <c r="J479" s="252"/>
      <c r="K479" s="252">
        <v>0</v>
      </c>
      <c r="L479" s="252"/>
      <c r="M479" s="252">
        <v>0</v>
      </c>
      <c r="N479" s="252">
        <v>0</v>
      </c>
      <c r="O479" s="252">
        <v>0</v>
      </c>
      <c r="P479" s="252"/>
      <c r="Q479" s="252">
        <v>0</v>
      </c>
      <c r="R479" s="252"/>
      <c r="S479" s="252"/>
      <c r="T479" s="252">
        <v>0</v>
      </c>
      <c r="U479" s="252"/>
      <c r="V479" s="252">
        <v>0</v>
      </c>
      <c r="W479" s="252">
        <v>0</v>
      </c>
      <c r="X479" s="252"/>
      <c r="Y479" s="252">
        <v>0</v>
      </c>
    </row>
    <row r="480" spans="1:25" x14ac:dyDescent="0.3">
      <c r="A480" s="253" t="s">
        <v>444</v>
      </c>
      <c r="B480" s="252">
        <v>0</v>
      </c>
      <c r="C480" s="252">
        <v>0</v>
      </c>
      <c r="D480" s="252">
        <v>0</v>
      </c>
      <c r="E480" s="252"/>
      <c r="F480" s="252">
        <v>0</v>
      </c>
      <c r="G480" s="252">
        <v>0</v>
      </c>
      <c r="H480" s="252">
        <v>0</v>
      </c>
      <c r="I480" s="252"/>
      <c r="J480" s="252"/>
      <c r="K480" s="252">
        <v>0</v>
      </c>
      <c r="L480" s="252"/>
      <c r="M480" s="252">
        <v>0</v>
      </c>
      <c r="N480" s="252">
        <v>0</v>
      </c>
      <c r="O480" s="252">
        <v>0</v>
      </c>
      <c r="P480" s="252"/>
      <c r="Q480" s="252">
        <v>0</v>
      </c>
      <c r="R480" s="252"/>
      <c r="S480" s="252"/>
      <c r="T480" s="252">
        <v>0</v>
      </c>
      <c r="U480" s="252"/>
      <c r="V480" s="252">
        <v>0</v>
      </c>
      <c r="W480" s="252">
        <v>0</v>
      </c>
      <c r="X480" s="252"/>
      <c r="Y480" s="252">
        <v>0</v>
      </c>
    </row>
    <row r="481" spans="1:25" x14ac:dyDescent="0.3">
      <c r="A481" s="253" t="s">
        <v>445</v>
      </c>
      <c r="B481" s="252">
        <v>0</v>
      </c>
      <c r="C481" s="252">
        <v>0</v>
      </c>
      <c r="D481" s="252">
        <v>0</v>
      </c>
      <c r="E481" s="252"/>
      <c r="F481" s="252">
        <v>0</v>
      </c>
      <c r="G481" s="252">
        <v>0</v>
      </c>
      <c r="H481" s="252">
        <v>0</v>
      </c>
      <c r="I481" s="252"/>
      <c r="J481" s="252"/>
      <c r="K481" s="252">
        <v>0</v>
      </c>
      <c r="L481" s="252"/>
      <c r="M481" s="252">
        <v>0</v>
      </c>
      <c r="N481" s="252">
        <v>0</v>
      </c>
      <c r="O481" s="252">
        <v>0</v>
      </c>
      <c r="P481" s="252"/>
      <c r="Q481" s="252">
        <v>0</v>
      </c>
      <c r="R481" s="252"/>
      <c r="S481" s="252"/>
      <c r="T481" s="252">
        <v>0</v>
      </c>
      <c r="U481" s="252"/>
      <c r="V481" s="252">
        <v>0</v>
      </c>
      <c r="W481" s="252">
        <v>0</v>
      </c>
      <c r="X481" s="252"/>
      <c r="Y481" s="252">
        <v>0</v>
      </c>
    </row>
    <row r="482" spans="1:25" x14ac:dyDescent="0.3">
      <c r="A482" s="253" t="s">
        <v>446</v>
      </c>
      <c r="B482" s="252">
        <v>0</v>
      </c>
      <c r="C482" s="252">
        <v>0</v>
      </c>
      <c r="D482" s="252">
        <v>0</v>
      </c>
      <c r="E482" s="252"/>
      <c r="F482" s="252">
        <v>0</v>
      </c>
      <c r="G482" s="252">
        <v>0</v>
      </c>
      <c r="H482" s="252">
        <v>0</v>
      </c>
      <c r="I482" s="252"/>
      <c r="J482" s="252"/>
      <c r="K482" s="252">
        <v>0</v>
      </c>
      <c r="L482" s="252"/>
      <c r="M482" s="252">
        <v>0</v>
      </c>
      <c r="N482" s="252">
        <v>0</v>
      </c>
      <c r="O482" s="252">
        <v>0</v>
      </c>
      <c r="P482" s="252"/>
      <c r="Q482" s="252">
        <v>0</v>
      </c>
      <c r="R482" s="252"/>
      <c r="S482" s="252"/>
      <c r="T482" s="252">
        <v>0</v>
      </c>
      <c r="U482" s="252"/>
      <c r="V482" s="252">
        <v>0</v>
      </c>
      <c r="W482" s="252">
        <v>0</v>
      </c>
      <c r="X482" s="252"/>
      <c r="Y482" s="252">
        <v>0</v>
      </c>
    </row>
    <row r="483" spans="1:25" x14ac:dyDescent="0.3">
      <c r="A483" s="253" t="s">
        <v>447</v>
      </c>
      <c r="B483" s="252">
        <v>0</v>
      </c>
      <c r="C483" s="252">
        <v>0</v>
      </c>
      <c r="D483" s="252">
        <v>0</v>
      </c>
      <c r="E483" s="252"/>
      <c r="F483" s="252">
        <v>0</v>
      </c>
      <c r="G483" s="252">
        <v>0</v>
      </c>
      <c r="H483" s="252">
        <v>0</v>
      </c>
      <c r="I483" s="252"/>
      <c r="J483" s="252"/>
      <c r="K483" s="252">
        <v>0</v>
      </c>
      <c r="L483" s="252"/>
      <c r="M483" s="252">
        <v>0</v>
      </c>
      <c r="N483" s="252">
        <v>0</v>
      </c>
      <c r="O483" s="252">
        <v>0</v>
      </c>
      <c r="P483" s="252"/>
      <c r="Q483" s="252">
        <v>0</v>
      </c>
      <c r="R483" s="252"/>
      <c r="S483" s="252"/>
      <c r="T483" s="252">
        <v>0</v>
      </c>
      <c r="U483" s="252"/>
      <c r="V483" s="252">
        <v>0</v>
      </c>
      <c r="W483" s="252">
        <v>0</v>
      </c>
      <c r="X483" s="252"/>
      <c r="Y483" s="252">
        <v>0</v>
      </c>
    </row>
    <row r="484" spans="1:25" x14ac:dyDescent="0.3">
      <c r="A484" s="253" t="s">
        <v>448</v>
      </c>
      <c r="B484" s="252">
        <v>0</v>
      </c>
      <c r="C484" s="252">
        <v>0</v>
      </c>
      <c r="D484" s="252">
        <v>0</v>
      </c>
      <c r="E484" s="252"/>
      <c r="F484" s="252">
        <v>0</v>
      </c>
      <c r="G484" s="252">
        <v>0</v>
      </c>
      <c r="H484" s="252">
        <v>0</v>
      </c>
      <c r="I484" s="252"/>
      <c r="J484" s="252"/>
      <c r="K484" s="252">
        <v>0</v>
      </c>
      <c r="L484" s="252"/>
      <c r="M484" s="252">
        <v>0</v>
      </c>
      <c r="N484" s="252">
        <v>0</v>
      </c>
      <c r="O484" s="252">
        <v>0</v>
      </c>
      <c r="P484" s="252"/>
      <c r="Q484" s="252">
        <v>0</v>
      </c>
      <c r="R484" s="252"/>
      <c r="S484" s="252"/>
      <c r="T484" s="252">
        <v>0</v>
      </c>
      <c r="U484" s="252"/>
      <c r="V484" s="252">
        <v>0</v>
      </c>
      <c r="W484" s="252">
        <v>0</v>
      </c>
      <c r="X484" s="252"/>
      <c r="Y484" s="252">
        <v>0</v>
      </c>
    </row>
    <row r="485" spans="1:25" x14ac:dyDescent="0.3">
      <c r="A485" s="253" t="s">
        <v>449</v>
      </c>
      <c r="B485" s="252">
        <v>0</v>
      </c>
      <c r="C485" s="252">
        <v>0</v>
      </c>
      <c r="D485" s="252">
        <v>0</v>
      </c>
      <c r="E485" s="252"/>
      <c r="F485" s="252">
        <v>0</v>
      </c>
      <c r="G485" s="252">
        <v>0</v>
      </c>
      <c r="H485" s="252">
        <v>0</v>
      </c>
      <c r="I485" s="252"/>
      <c r="J485" s="252"/>
      <c r="K485" s="252">
        <v>0</v>
      </c>
      <c r="L485" s="252"/>
      <c r="M485" s="252">
        <v>0</v>
      </c>
      <c r="N485" s="252">
        <v>0</v>
      </c>
      <c r="O485" s="252">
        <v>0</v>
      </c>
      <c r="P485" s="252"/>
      <c r="Q485" s="252">
        <v>0</v>
      </c>
      <c r="R485" s="252"/>
      <c r="S485" s="252"/>
      <c r="T485" s="252">
        <v>0</v>
      </c>
      <c r="U485" s="252"/>
      <c r="V485" s="252">
        <v>0</v>
      </c>
      <c r="W485" s="252">
        <v>0</v>
      </c>
      <c r="X485" s="252"/>
      <c r="Y485" s="252">
        <v>0</v>
      </c>
    </row>
    <row r="486" spans="1:25" x14ac:dyDescent="0.3">
      <c r="A486" s="253" t="s">
        <v>450</v>
      </c>
      <c r="B486" s="252">
        <v>0</v>
      </c>
      <c r="C486" s="252">
        <v>0</v>
      </c>
      <c r="D486" s="252">
        <v>0</v>
      </c>
      <c r="E486" s="252"/>
      <c r="F486" s="252">
        <v>0</v>
      </c>
      <c r="G486" s="252">
        <v>0</v>
      </c>
      <c r="H486" s="252">
        <v>0</v>
      </c>
      <c r="I486" s="252"/>
      <c r="J486" s="252"/>
      <c r="K486" s="252">
        <v>0</v>
      </c>
      <c r="L486" s="252"/>
      <c r="M486" s="252">
        <v>0</v>
      </c>
      <c r="N486" s="252">
        <v>0</v>
      </c>
      <c r="O486" s="252">
        <v>0</v>
      </c>
      <c r="P486" s="252"/>
      <c r="Q486" s="252">
        <v>0</v>
      </c>
      <c r="R486" s="252"/>
      <c r="S486" s="252"/>
      <c r="T486" s="252">
        <v>0</v>
      </c>
      <c r="U486" s="252"/>
      <c r="V486" s="252">
        <v>0</v>
      </c>
      <c r="W486" s="252">
        <v>0</v>
      </c>
      <c r="X486" s="252"/>
      <c r="Y486" s="252">
        <v>0</v>
      </c>
    </row>
    <row r="487" spans="1:25" x14ac:dyDescent="0.3">
      <c r="A487" s="253" t="s">
        <v>451</v>
      </c>
      <c r="B487" s="252">
        <v>0</v>
      </c>
      <c r="C487" s="252">
        <v>0</v>
      </c>
      <c r="D487" s="252">
        <v>0</v>
      </c>
      <c r="E487" s="252"/>
      <c r="F487" s="252">
        <v>0</v>
      </c>
      <c r="G487" s="252">
        <v>0</v>
      </c>
      <c r="H487" s="252">
        <v>0</v>
      </c>
      <c r="I487" s="252"/>
      <c r="J487" s="252"/>
      <c r="K487" s="252">
        <v>0</v>
      </c>
      <c r="L487" s="252"/>
      <c r="M487" s="252">
        <v>0</v>
      </c>
      <c r="N487" s="252">
        <v>0</v>
      </c>
      <c r="O487" s="252">
        <v>0</v>
      </c>
      <c r="P487" s="252"/>
      <c r="Q487" s="252">
        <v>0</v>
      </c>
      <c r="R487" s="252"/>
      <c r="S487" s="252"/>
      <c r="T487" s="252">
        <v>0</v>
      </c>
      <c r="U487" s="252"/>
      <c r="V487" s="252">
        <v>0</v>
      </c>
      <c r="W487" s="252">
        <v>0</v>
      </c>
      <c r="X487" s="252"/>
      <c r="Y487" s="252">
        <v>0</v>
      </c>
    </row>
    <row r="488" spans="1:25" x14ac:dyDescent="0.3">
      <c r="A488" s="253" t="s">
        <v>452</v>
      </c>
      <c r="B488" s="252">
        <v>0</v>
      </c>
      <c r="C488" s="252">
        <v>0</v>
      </c>
      <c r="D488" s="252">
        <v>0</v>
      </c>
      <c r="E488" s="252"/>
      <c r="F488" s="252">
        <v>0</v>
      </c>
      <c r="G488" s="252">
        <v>0</v>
      </c>
      <c r="H488" s="252">
        <v>0</v>
      </c>
      <c r="I488" s="252"/>
      <c r="J488" s="252"/>
      <c r="K488" s="252">
        <v>0</v>
      </c>
      <c r="L488" s="252"/>
      <c r="M488" s="252">
        <v>0</v>
      </c>
      <c r="N488" s="252">
        <v>0</v>
      </c>
      <c r="O488" s="252">
        <v>0</v>
      </c>
      <c r="P488" s="252"/>
      <c r="Q488" s="252">
        <v>0</v>
      </c>
      <c r="R488" s="252"/>
      <c r="S488" s="252"/>
      <c r="T488" s="252">
        <v>0</v>
      </c>
      <c r="U488" s="252"/>
      <c r="V488" s="252">
        <v>0</v>
      </c>
      <c r="W488" s="252">
        <v>0</v>
      </c>
      <c r="X488" s="252"/>
      <c r="Y488" s="252">
        <v>0</v>
      </c>
    </row>
    <row r="489" spans="1:25" x14ac:dyDescent="0.3">
      <c r="A489" s="253" t="s">
        <v>453</v>
      </c>
      <c r="B489" s="252">
        <v>0</v>
      </c>
      <c r="C489" s="252">
        <v>0</v>
      </c>
      <c r="D489" s="252">
        <v>0</v>
      </c>
      <c r="E489" s="252"/>
      <c r="F489" s="252">
        <v>0</v>
      </c>
      <c r="G489" s="252">
        <v>0</v>
      </c>
      <c r="H489" s="252">
        <v>0</v>
      </c>
      <c r="I489" s="252"/>
      <c r="J489" s="252"/>
      <c r="K489" s="252">
        <v>0</v>
      </c>
      <c r="L489" s="252"/>
      <c r="M489" s="252">
        <v>0</v>
      </c>
      <c r="N489" s="252">
        <v>0</v>
      </c>
      <c r="O489" s="252">
        <v>0</v>
      </c>
      <c r="P489" s="252"/>
      <c r="Q489" s="252">
        <v>0</v>
      </c>
      <c r="R489" s="252"/>
      <c r="S489" s="252"/>
      <c r="T489" s="252">
        <v>0</v>
      </c>
      <c r="U489" s="252"/>
      <c r="V489" s="252">
        <v>0</v>
      </c>
      <c r="W489" s="252">
        <v>0</v>
      </c>
      <c r="X489" s="252"/>
      <c r="Y489" s="252">
        <v>0</v>
      </c>
    </row>
    <row r="490" spans="1:25" x14ac:dyDescent="0.3">
      <c r="A490" s="253" t="s">
        <v>454</v>
      </c>
      <c r="B490" s="252">
        <v>0</v>
      </c>
      <c r="C490" s="252">
        <v>0</v>
      </c>
      <c r="D490" s="252">
        <v>0</v>
      </c>
      <c r="E490" s="252"/>
      <c r="F490" s="252">
        <v>0</v>
      </c>
      <c r="G490" s="252">
        <v>0</v>
      </c>
      <c r="H490" s="252">
        <v>0</v>
      </c>
      <c r="I490" s="252"/>
      <c r="J490" s="252"/>
      <c r="K490" s="252">
        <v>0</v>
      </c>
      <c r="L490" s="252"/>
      <c r="M490" s="252">
        <v>0</v>
      </c>
      <c r="N490" s="252">
        <v>0</v>
      </c>
      <c r="O490" s="252">
        <v>0</v>
      </c>
      <c r="P490" s="252"/>
      <c r="Q490" s="252">
        <v>0</v>
      </c>
      <c r="R490" s="252"/>
      <c r="S490" s="252"/>
      <c r="T490" s="252">
        <v>0</v>
      </c>
      <c r="U490" s="252"/>
      <c r="V490" s="252">
        <v>0</v>
      </c>
      <c r="W490" s="252">
        <v>0</v>
      </c>
      <c r="X490" s="252"/>
      <c r="Y490" s="252">
        <v>0</v>
      </c>
    </row>
    <row r="491" spans="1:25" x14ac:dyDescent="0.3">
      <c r="A491" s="253" t="s">
        <v>455</v>
      </c>
      <c r="B491" s="252">
        <v>0</v>
      </c>
      <c r="C491" s="252">
        <v>0</v>
      </c>
      <c r="D491" s="252">
        <v>0</v>
      </c>
      <c r="E491" s="252"/>
      <c r="F491" s="252">
        <v>0</v>
      </c>
      <c r="G491" s="252">
        <v>0</v>
      </c>
      <c r="H491" s="252">
        <v>0</v>
      </c>
      <c r="I491" s="252"/>
      <c r="J491" s="252"/>
      <c r="K491" s="252">
        <v>0</v>
      </c>
      <c r="L491" s="252"/>
      <c r="M491" s="252">
        <v>0</v>
      </c>
      <c r="N491" s="252">
        <v>0</v>
      </c>
      <c r="O491" s="252">
        <v>0</v>
      </c>
      <c r="P491" s="252"/>
      <c r="Q491" s="252">
        <v>0</v>
      </c>
      <c r="R491" s="252"/>
      <c r="S491" s="252"/>
      <c r="T491" s="252">
        <v>0</v>
      </c>
      <c r="U491" s="252"/>
      <c r="V491" s="252">
        <v>0</v>
      </c>
      <c r="W491" s="252">
        <v>0</v>
      </c>
      <c r="X491" s="252"/>
      <c r="Y491" s="252">
        <v>0</v>
      </c>
    </row>
    <row r="492" spans="1:25" x14ac:dyDescent="0.3">
      <c r="A492" s="253" t="s">
        <v>456</v>
      </c>
      <c r="B492" s="252">
        <v>0</v>
      </c>
      <c r="C492" s="252">
        <v>0</v>
      </c>
      <c r="D492" s="252">
        <v>0</v>
      </c>
      <c r="E492" s="252"/>
      <c r="F492" s="252">
        <v>0</v>
      </c>
      <c r="G492" s="252">
        <v>0</v>
      </c>
      <c r="H492" s="252">
        <v>0</v>
      </c>
      <c r="I492" s="252"/>
      <c r="J492" s="252"/>
      <c r="K492" s="252">
        <v>0</v>
      </c>
      <c r="L492" s="252"/>
      <c r="M492" s="252">
        <v>0</v>
      </c>
      <c r="N492" s="252">
        <v>0</v>
      </c>
      <c r="O492" s="252">
        <v>0</v>
      </c>
      <c r="P492" s="252"/>
      <c r="Q492" s="252">
        <v>0</v>
      </c>
      <c r="R492" s="252"/>
      <c r="S492" s="252"/>
      <c r="T492" s="252">
        <v>0</v>
      </c>
      <c r="U492" s="252"/>
      <c r="V492" s="252">
        <v>0</v>
      </c>
      <c r="W492" s="252">
        <v>0</v>
      </c>
      <c r="X492" s="252"/>
      <c r="Y492" s="252">
        <v>0</v>
      </c>
    </row>
    <row r="493" spans="1:25" x14ac:dyDescent="0.3">
      <c r="A493" s="253" t="s">
        <v>457</v>
      </c>
      <c r="B493" s="252">
        <v>0</v>
      </c>
      <c r="C493" s="252">
        <v>0</v>
      </c>
      <c r="D493" s="252">
        <v>0</v>
      </c>
      <c r="E493" s="252"/>
      <c r="F493" s="252">
        <v>0</v>
      </c>
      <c r="G493" s="252">
        <v>0</v>
      </c>
      <c r="H493" s="252">
        <v>0</v>
      </c>
      <c r="I493" s="252"/>
      <c r="J493" s="252"/>
      <c r="K493" s="252">
        <v>0</v>
      </c>
      <c r="L493" s="252"/>
      <c r="M493" s="252">
        <v>0</v>
      </c>
      <c r="N493" s="252">
        <v>0</v>
      </c>
      <c r="O493" s="252">
        <v>0</v>
      </c>
      <c r="P493" s="252"/>
      <c r="Q493" s="252">
        <v>0</v>
      </c>
      <c r="R493" s="252"/>
      <c r="S493" s="252"/>
      <c r="T493" s="252">
        <v>0</v>
      </c>
      <c r="U493" s="252"/>
      <c r="V493" s="252">
        <v>0</v>
      </c>
      <c r="W493" s="252">
        <v>0</v>
      </c>
      <c r="X493" s="252"/>
      <c r="Y493" s="252">
        <v>0</v>
      </c>
    </row>
    <row r="494" spans="1:25" x14ac:dyDescent="0.3">
      <c r="A494" s="253" t="s">
        <v>458</v>
      </c>
      <c r="B494" s="252">
        <v>0</v>
      </c>
      <c r="C494" s="252">
        <v>0</v>
      </c>
      <c r="D494" s="252">
        <v>0</v>
      </c>
      <c r="E494" s="252"/>
      <c r="F494" s="252">
        <v>0</v>
      </c>
      <c r="G494" s="252">
        <v>0</v>
      </c>
      <c r="H494" s="252">
        <v>0</v>
      </c>
      <c r="I494" s="252"/>
      <c r="J494" s="252"/>
      <c r="K494" s="252">
        <v>0</v>
      </c>
      <c r="L494" s="252"/>
      <c r="M494" s="252">
        <v>0</v>
      </c>
      <c r="N494" s="252">
        <v>0</v>
      </c>
      <c r="O494" s="252">
        <v>0</v>
      </c>
      <c r="P494" s="252"/>
      <c r="Q494" s="252">
        <v>0</v>
      </c>
      <c r="R494" s="252"/>
      <c r="S494" s="252"/>
      <c r="T494" s="252">
        <v>0</v>
      </c>
      <c r="U494" s="252"/>
      <c r="V494" s="252">
        <v>0</v>
      </c>
      <c r="W494" s="252">
        <v>0</v>
      </c>
      <c r="X494" s="252"/>
      <c r="Y494" s="252">
        <v>0</v>
      </c>
    </row>
    <row r="495" spans="1:25" x14ac:dyDescent="0.3">
      <c r="A495" s="253" t="s">
        <v>459</v>
      </c>
      <c r="B495" s="252">
        <v>0</v>
      </c>
      <c r="C495" s="252">
        <v>0</v>
      </c>
      <c r="D495" s="252">
        <v>0</v>
      </c>
      <c r="E495" s="252"/>
      <c r="F495" s="252">
        <v>0</v>
      </c>
      <c r="G495" s="252">
        <v>0</v>
      </c>
      <c r="H495" s="252">
        <v>0</v>
      </c>
      <c r="I495" s="252"/>
      <c r="J495" s="252"/>
      <c r="K495" s="252">
        <v>0</v>
      </c>
      <c r="L495" s="252"/>
      <c r="M495" s="252">
        <v>0</v>
      </c>
      <c r="N495" s="252">
        <v>0</v>
      </c>
      <c r="O495" s="252">
        <v>0</v>
      </c>
      <c r="P495" s="252"/>
      <c r="Q495" s="252">
        <v>0</v>
      </c>
      <c r="R495" s="252"/>
      <c r="S495" s="252"/>
      <c r="T495" s="252">
        <v>0</v>
      </c>
      <c r="U495" s="252"/>
      <c r="V495" s="252">
        <v>0</v>
      </c>
      <c r="W495" s="252">
        <v>0</v>
      </c>
      <c r="X495" s="252"/>
      <c r="Y495" s="252">
        <v>0</v>
      </c>
    </row>
    <row r="496" spans="1:25" x14ac:dyDescent="0.3">
      <c r="A496" s="253" t="s">
        <v>460</v>
      </c>
      <c r="B496" s="252">
        <v>0</v>
      </c>
      <c r="C496" s="252">
        <v>0</v>
      </c>
      <c r="D496" s="252">
        <v>0</v>
      </c>
      <c r="E496" s="252"/>
      <c r="F496" s="252">
        <v>0</v>
      </c>
      <c r="G496" s="252">
        <v>0</v>
      </c>
      <c r="H496" s="252">
        <v>0</v>
      </c>
      <c r="I496" s="252"/>
      <c r="J496" s="252"/>
      <c r="K496" s="252">
        <v>0</v>
      </c>
      <c r="L496" s="252"/>
      <c r="M496" s="252">
        <v>0</v>
      </c>
      <c r="N496" s="252">
        <v>0</v>
      </c>
      <c r="O496" s="252">
        <v>0</v>
      </c>
      <c r="P496" s="252"/>
      <c r="Q496" s="252">
        <v>0</v>
      </c>
      <c r="R496" s="252"/>
      <c r="S496" s="252"/>
      <c r="T496" s="252">
        <v>0</v>
      </c>
      <c r="U496" s="252"/>
      <c r="V496" s="252">
        <v>0</v>
      </c>
      <c r="W496" s="252">
        <v>0</v>
      </c>
      <c r="X496" s="252"/>
      <c r="Y496" s="252">
        <v>0</v>
      </c>
    </row>
    <row r="497" spans="1:25" x14ac:dyDescent="0.3">
      <c r="A497" s="253" t="s">
        <v>461</v>
      </c>
      <c r="B497" s="252">
        <v>0</v>
      </c>
      <c r="C497" s="252">
        <v>0</v>
      </c>
      <c r="D497" s="252">
        <v>0</v>
      </c>
      <c r="E497" s="252"/>
      <c r="F497" s="252">
        <v>0</v>
      </c>
      <c r="G497" s="252">
        <v>0</v>
      </c>
      <c r="H497" s="252">
        <v>0</v>
      </c>
      <c r="I497" s="252"/>
      <c r="J497" s="252"/>
      <c r="K497" s="252">
        <v>0</v>
      </c>
      <c r="L497" s="252"/>
      <c r="M497" s="252">
        <v>0</v>
      </c>
      <c r="N497" s="252">
        <v>0</v>
      </c>
      <c r="O497" s="252">
        <v>0</v>
      </c>
      <c r="P497" s="252"/>
      <c r="Q497" s="252">
        <v>0</v>
      </c>
      <c r="R497" s="252"/>
      <c r="S497" s="252"/>
      <c r="T497" s="252">
        <v>0</v>
      </c>
      <c r="U497" s="252"/>
      <c r="V497" s="252">
        <v>0</v>
      </c>
      <c r="W497" s="252">
        <v>0</v>
      </c>
      <c r="X497" s="252"/>
      <c r="Y497" s="252">
        <v>0</v>
      </c>
    </row>
    <row r="498" spans="1:25" x14ac:dyDescent="0.3">
      <c r="A498" s="253" t="s">
        <v>462</v>
      </c>
      <c r="B498" s="252">
        <v>0</v>
      </c>
      <c r="C498" s="252">
        <v>0</v>
      </c>
      <c r="D498" s="252">
        <v>0</v>
      </c>
      <c r="E498" s="252"/>
      <c r="F498" s="252">
        <v>0</v>
      </c>
      <c r="G498" s="252">
        <v>0</v>
      </c>
      <c r="H498" s="252">
        <v>0</v>
      </c>
      <c r="I498" s="252"/>
      <c r="J498" s="252"/>
      <c r="K498" s="252">
        <v>0</v>
      </c>
      <c r="L498" s="252"/>
      <c r="M498" s="252">
        <v>0</v>
      </c>
      <c r="N498" s="252">
        <v>0</v>
      </c>
      <c r="O498" s="252">
        <v>0</v>
      </c>
      <c r="P498" s="252"/>
      <c r="Q498" s="252">
        <v>0</v>
      </c>
      <c r="R498" s="252"/>
      <c r="S498" s="252"/>
      <c r="T498" s="252">
        <v>0</v>
      </c>
      <c r="U498" s="252"/>
      <c r="V498" s="252">
        <v>0</v>
      </c>
      <c r="W498" s="252">
        <v>0</v>
      </c>
      <c r="X498" s="252"/>
      <c r="Y498" s="252">
        <v>0</v>
      </c>
    </row>
    <row r="499" spans="1:25" x14ac:dyDescent="0.3">
      <c r="A499" s="253" t="s">
        <v>463</v>
      </c>
      <c r="B499" s="252">
        <v>0</v>
      </c>
      <c r="C499" s="252">
        <v>0</v>
      </c>
      <c r="D499" s="252">
        <v>0</v>
      </c>
      <c r="E499" s="252"/>
      <c r="F499" s="252">
        <v>0</v>
      </c>
      <c r="G499" s="252">
        <v>0</v>
      </c>
      <c r="H499" s="252">
        <v>0</v>
      </c>
      <c r="I499" s="252"/>
      <c r="J499" s="252"/>
      <c r="K499" s="252">
        <v>0</v>
      </c>
      <c r="L499" s="252"/>
      <c r="M499" s="252">
        <v>0</v>
      </c>
      <c r="N499" s="252">
        <v>0</v>
      </c>
      <c r="O499" s="252">
        <v>0</v>
      </c>
      <c r="P499" s="252"/>
      <c r="Q499" s="252">
        <v>0</v>
      </c>
      <c r="R499" s="252"/>
      <c r="S499" s="252"/>
      <c r="T499" s="252">
        <v>0</v>
      </c>
      <c r="U499" s="252"/>
      <c r="V499" s="252">
        <v>0</v>
      </c>
      <c r="W499" s="252">
        <v>0</v>
      </c>
      <c r="X499" s="252"/>
      <c r="Y499" s="252">
        <v>0</v>
      </c>
    </row>
    <row r="500" spans="1:25" x14ac:dyDescent="0.3">
      <c r="A500" s="253" t="s">
        <v>464</v>
      </c>
      <c r="B500" s="252">
        <v>0</v>
      </c>
      <c r="C500" s="252">
        <v>0</v>
      </c>
      <c r="D500" s="252">
        <v>0</v>
      </c>
      <c r="E500" s="252"/>
      <c r="F500" s="252">
        <v>0</v>
      </c>
      <c r="G500" s="252">
        <v>0</v>
      </c>
      <c r="H500" s="252">
        <v>0</v>
      </c>
      <c r="I500" s="252"/>
      <c r="J500" s="252"/>
      <c r="K500" s="252">
        <v>0</v>
      </c>
      <c r="L500" s="252"/>
      <c r="M500" s="252">
        <v>0</v>
      </c>
      <c r="N500" s="252">
        <v>0</v>
      </c>
      <c r="O500" s="252">
        <v>0</v>
      </c>
      <c r="P500" s="252"/>
      <c r="Q500" s="252">
        <v>0</v>
      </c>
      <c r="R500" s="252"/>
      <c r="S500" s="252"/>
      <c r="T500" s="252">
        <v>0</v>
      </c>
      <c r="U500" s="252"/>
      <c r="V500" s="252">
        <v>0</v>
      </c>
      <c r="W500" s="252">
        <v>0</v>
      </c>
      <c r="X500" s="252"/>
      <c r="Y500" s="252">
        <v>0</v>
      </c>
    </row>
    <row r="501" spans="1:25" x14ac:dyDescent="0.3">
      <c r="A501" s="253" t="s">
        <v>465</v>
      </c>
      <c r="B501" s="252">
        <v>0</v>
      </c>
      <c r="C501" s="252">
        <v>0</v>
      </c>
      <c r="D501" s="252">
        <v>0</v>
      </c>
      <c r="E501" s="252"/>
      <c r="F501" s="252">
        <v>0</v>
      </c>
      <c r="G501" s="252">
        <v>0</v>
      </c>
      <c r="H501" s="252">
        <v>0</v>
      </c>
      <c r="I501" s="252"/>
      <c r="J501" s="252"/>
      <c r="K501" s="252">
        <v>0</v>
      </c>
      <c r="L501" s="252"/>
      <c r="M501" s="252">
        <v>0</v>
      </c>
      <c r="N501" s="252">
        <v>0</v>
      </c>
      <c r="O501" s="252">
        <v>0</v>
      </c>
      <c r="P501" s="252"/>
      <c r="Q501" s="252">
        <v>0</v>
      </c>
      <c r="R501" s="252"/>
      <c r="S501" s="252"/>
      <c r="T501" s="252">
        <v>0</v>
      </c>
      <c r="U501" s="252"/>
      <c r="V501" s="252">
        <v>0</v>
      </c>
      <c r="W501" s="252">
        <v>0</v>
      </c>
      <c r="X501" s="252"/>
      <c r="Y501" s="252">
        <v>0</v>
      </c>
    </row>
    <row r="502" spans="1:25" x14ac:dyDescent="0.3">
      <c r="A502" s="253" t="s">
        <v>466</v>
      </c>
      <c r="B502" s="252">
        <v>0</v>
      </c>
      <c r="C502" s="252">
        <v>0</v>
      </c>
      <c r="D502" s="252">
        <v>0</v>
      </c>
      <c r="E502" s="252"/>
      <c r="F502" s="252">
        <v>0</v>
      </c>
      <c r="G502" s="252">
        <v>0</v>
      </c>
      <c r="H502" s="252">
        <v>0</v>
      </c>
      <c r="I502" s="252"/>
      <c r="J502" s="252"/>
      <c r="K502" s="252">
        <v>0</v>
      </c>
      <c r="L502" s="252"/>
      <c r="M502" s="252">
        <v>0</v>
      </c>
      <c r="N502" s="252">
        <v>0</v>
      </c>
      <c r="O502" s="252">
        <v>0</v>
      </c>
      <c r="P502" s="252"/>
      <c r="Q502" s="252">
        <v>0</v>
      </c>
      <c r="R502" s="252"/>
      <c r="S502" s="252"/>
      <c r="T502" s="252">
        <v>0</v>
      </c>
      <c r="U502" s="252"/>
      <c r="V502" s="252">
        <v>0</v>
      </c>
      <c r="W502" s="252">
        <v>0</v>
      </c>
      <c r="X502" s="252"/>
      <c r="Y502" s="252">
        <v>0</v>
      </c>
    </row>
    <row r="503" spans="1:25" x14ac:dyDescent="0.3">
      <c r="A503" s="253" t="s">
        <v>22</v>
      </c>
      <c r="B503" s="252">
        <v>3</v>
      </c>
      <c r="C503" s="252">
        <v>2</v>
      </c>
      <c r="D503" s="252">
        <v>0</v>
      </c>
      <c r="E503" s="252">
        <v>3</v>
      </c>
      <c r="F503" s="252">
        <v>2</v>
      </c>
      <c r="G503" s="252">
        <v>1</v>
      </c>
      <c r="H503" s="252">
        <v>1</v>
      </c>
      <c r="I503" s="252">
        <v>0</v>
      </c>
      <c r="J503" s="252">
        <v>3</v>
      </c>
      <c r="K503" s="252">
        <v>2</v>
      </c>
      <c r="L503" s="252">
        <v>2</v>
      </c>
      <c r="M503" s="252">
        <v>0</v>
      </c>
      <c r="N503" s="252">
        <v>3</v>
      </c>
      <c r="O503" s="252">
        <v>3</v>
      </c>
      <c r="P503" s="252">
        <v>2</v>
      </c>
      <c r="Q503" s="252">
        <v>4</v>
      </c>
      <c r="R503" s="252">
        <v>3</v>
      </c>
      <c r="S503" s="252">
        <v>3</v>
      </c>
      <c r="T503" s="252">
        <v>0</v>
      </c>
      <c r="U503" s="252">
        <v>3</v>
      </c>
      <c r="V503" s="252">
        <v>0</v>
      </c>
      <c r="W503" s="252">
        <v>2</v>
      </c>
      <c r="X503" s="252">
        <v>2</v>
      </c>
      <c r="Y503" s="252">
        <v>44</v>
      </c>
    </row>
    <row r="504" spans="1:25" x14ac:dyDescent="0.3">
      <c r="A504" s="253" t="s">
        <v>467</v>
      </c>
      <c r="B504" s="252">
        <v>0</v>
      </c>
      <c r="C504" s="252">
        <v>0</v>
      </c>
      <c r="D504" s="252">
        <v>0</v>
      </c>
      <c r="E504" s="252">
        <v>0</v>
      </c>
      <c r="F504" s="252">
        <v>0</v>
      </c>
      <c r="G504" s="252">
        <v>0</v>
      </c>
      <c r="H504" s="252">
        <v>0</v>
      </c>
      <c r="I504" s="252">
        <v>0</v>
      </c>
      <c r="J504" s="252">
        <v>0</v>
      </c>
      <c r="K504" s="252">
        <v>0</v>
      </c>
      <c r="L504" s="252"/>
      <c r="M504" s="252">
        <v>0</v>
      </c>
      <c r="N504" s="252">
        <v>0</v>
      </c>
      <c r="O504" s="252">
        <v>0</v>
      </c>
      <c r="P504" s="252"/>
      <c r="Q504" s="252">
        <v>0</v>
      </c>
      <c r="R504" s="252">
        <v>0</v>
      </c>
      <c r="S504" s="252">
        <v>0</v>
      </c>
      <c r="T504" s="252">
        <v>0</v>
      </c>
      <c r="U504" s="252"/>
      <c r="V504" s="252">
        <v>0</v>
      </c>
      <c r="W504" s="252">
        <v>0</v>
      </c>
      <c r="X504" s="252"/>
      <c r="Y504" s="252">
        <v>0</v>
      </c>
    </row>
    <row r="505" spans="1:25" x14ac:dyDescent="0.3">
      <c r="A505" s="253" t="s">
        <v>6</v>
      </c>
      <c r="B505" s="252">
        <v>2</v>
      </c>
      <c r="C505" s="252">
        <v>4</v>
      </c>
      <c r="D505" s="252">
        <v>0</v>
      </c>
      <c r="E505" s="252">
        <v>5</v>
      </c>
      <c r="F505" s="252">
        <v>2</v>
      </c>
      <c r="G505" s="252">
        <v>1</v>
      </c>
      <c r="H505" s="252">
        <v>2</v>
      </c>
      <c r="I505" s="252">
        <v>0</v>
      </c>
      <c r="J505" s="252">
        <v>3</v>
      </c>
      <c r="K505" s="252">
        <v>1</v>
      </c>
      <c r="L505" s="252">
        <v>2</v>
      </c>
      <c r="M505" s="252">
        <v>0</v>
      </c>
      <c r="N505" s="252">
        <v>0</v>
      </c>
      <c r="O505" s="252">
        <v>2</v>
      </c>
      <c r="P505" s="252">
        <v>1</v>
      </c>
      <c r="Q505" s="252">
        <v>2</v>
      </c>
      <c r="R505" s="252">
        <v>3</v>
      </c>
      <c r="S505" s="252">
        <v>3</v>
      </c>
      <c r="T505" s="252">
        <v>0</v>
      </c>
      <c r="U505" s="252">
        <v>2</v>
      </c>
      <c r="V505" s="252">
        <v>2</v>
      </c>
      <c r="W505" s="252">
        <v>3</v>
      </c>
      <c r="X505" s="252">
        <v>3</v>
      </c>
      <c r="Y505" s="252">
        <v>43</v>
      </c>
    </row>
    <row r="506" spans="1:25" x14ac:dyDescent="0.3">
      <c r="A506" s="253" t="s">
        <v>468</v>
      </c>
      <c r="B506" s="252">
        <v>2</v>
      </c>
      <c r="C506" s="252">
        <v>1</v>
      </c>
      <c r="D506" s="252">
        <v>0</v>
      </c>
      <c r="E506" s="252">
        <v>4</v>
      </c>
      <c r="F506" s="252">
        <v>0</v>
      </c>
      <c r="G506" s="252">
        <v>2</v>
      </c>
      <c r="H506" s="252">
        <v>0</v>
      </c>
      <c r="I506" s="252">
        <v>0</v>
      </c>
      <c r="J506" s="252">
        <v>4</v>
      </c>
      <c r="K506" s="252">
        <v>0</v>
      </c>
      <c r="L506" s="252">
        <v>3</v>
      </c>
      <c r="M506" s="252">
        <v>1</v>
      </c>
      <c r="N506" s="252">
        <v>2</v>
      </c>
      <c r="O506" s="252">
        <v>3</v>
      </c>
      <c r="P506" s="252">
        <v>0</v>
      </c>
      <c r="Q506" s="252">
        <v>1</v>
      </c>
      <c r="R506" s="252">
        <v>4</v>
      </c>
      <c r="S506" s="252">
        <v>1</v>
      </c>
      <c r="T506" s="252">
        <v>0</v>
      </c>
      <c r="U506" s="252">
        <v>0</v>
      </c>
      <c r="V506" s="252">
        <v>0</v>
      </c>
      <c r="W506" s="252">
        <v>0</v>
      </c>
      <c r="X506" s="252">
        <v>2</v>
      </c>
      <c r="Y506" s="252">
        <v>30</v>
      </c>
    </row>
    <row r="507" spans="1:25" x14ac:dyDescent="0.3">
      <c r="A507" s="253" t="s">
        <v>469</v>
      </c>
      <c r="B507" s="252">
        <v>0</v>
      </c>
      <c r="C507" s="252">
        <v>0</v>
      </c>
      <c r="D507" s="252">
        <v>0</v>
      </c>
      <c r="E507" s="252">
        <v>0</v>
      </c>
      <c r="F507" s="252">
        <v>0</v>
      </c>
      <c r="G507" s="252">
        <v>0</v>
      </c>
      <c r="H507" s="252">
        <v>0</v>
      </c>
      <c r="I507" s="252"/>
      <c r="J507" s="252"/>
      <c r="K507" s="252">
        <v>0</v>
      </c>
      <c r="L507" s="252"/>
      <c r="M507" s="252">
        <v>0</v>
      </c>
      <c r="N507" s="252">
        <v>0</v>
      </c>
      <c r="O507" s="252">
        <v>0</v>
      </c>
      <c r="P507" s="252"/>
      <c r="Q507" s="252">
        <v>0</v>
      </c>
      <c r="R507" s="252"/>
      <c r="S507" s="252"/>
      <c r="T507" s="252">
        <v>0</v>
      </c>
      <c r="U507" s="252"/>
      <c r="V507" s="252">
        <v>0</v>
      </c>
      <c r="W507" s="252">
        <v>0</v>
      </c>
      <c r="X507" s="252"/>
      <c r="Y507" s="252">
        <v>0</v>
      </c>
    </row>
    <row r="508" spans="1:25" x14ac:dyDescent="0.3">
      <c r="A508" s="253" t="s">
        <v>470</v>
      </c>
      <c r="B508" s="252">
        <v>0</v>
      </c>
      <c r="C508" s="252">
        <v>0</v>
      </c>
      <c r="D508" s="252">
        <v>0</v>
      </c>
      <c r="E508" s="252">
        <v>0</v>
      </c>
      <c r="F508" s="252">
        <v>0</v>
      </c>
      <c r="G508" s="252">
        <v>0</v>
      </c>
      <c r="H508" s="252">
        <v>0</v>
      </c>
      <c r="I508" s="252"/>
      <c r="J508" s="252"/>
      <c r="K508" s="252">
        <v>0</v>
      </c>
      <c r="L508" s="252"/>
      <c r="M508" s="252">
        <v>0</v>
      </c>
      <c r="N508" s="252">
        <v>0</v>
      </c>
      <c r="O508" s="252">
        <v>0</v>
      </c>
      <c r="P508" s="252"/>
      <c r="Q508" s="252">
        <v>0</v>
      </c>
      <c r="R508" s="252"/>
      <c r="S508" s="252"/>
      <c r="T508" s="252">
        <v>0</v>
      </c>
      <c r="U508" s="252"/>
      <c r="V508" s="252">
        <v>0</v>
      </c>
      <c r="W508" s="252">
        <v>0</v>
      </c>
      <c r="X508" s="252"/>
      <c r="Y508" s="252">
        <v>0</v>
      </c>
    </row>
    <row r="509" spans="1:25" x14ac:dyDescent="0.3">
      <c r="A509" s="253" t="s">
        <v>471</v>
      </c>
      <c r="B509" s="252">
        <v>0</v>
      </c>
      <c r="C509" s="252">
        <v>0</v>
      </c>
      <c r="D509" s="252">
        <v>0</v>
      </c>
      <c r="E509" s="252">
        <v>0</v>
      </c>
      <c r="F509" s="252">
        <v>0</v>
      </c>
      <c r="G509" s="252">
        <v>0</v>
      </c>
      <c r="H509" s="252">
        <v>0</v>
      </c>
      <c r="I509" s="252"/>
      <c r="J509" s="252"/>
      <c r="K509" s="252">
        <v>0</v>
      </c>
      <c r="L509" s="252"/>
      <c r="M509" s="252">
        <v>0</v>
      </c>
      <c r="N509" s="252">
        <v>0</v>
      </c>
      <c r="O509" s="252">
        <v>0</v>
      </c>
      <c r="P509" s="252"/>
      <c r="Q509" s="252">
        <v>0</v>
      </c>
      <c r="R509" s="252"/>
      <c r="S509" s="252"/>
      <c r="T509" s="252">
        <v>0</v>
      </c>
      <c r="U509" s="252"/>
      <c r="V509" s="252">
        <v>0</v>
      </c>
      <c r="W509" s="252">
        <v>0</v>
      </c>
      <c r="X509" s="252"/>
      <c r="Y509" s="252">
        <v>0</v>
      </c>
    </row>
    <row r="510" spans="1:25" x14ac:dyDescent="0.3">
      <c r="A510" s="253" t="s">
        <v>995</v>
      </c>
      <c r="B510" s="252">
        <v>0</v>
      </c>
      <c r="C510" s="252">
        <v>0</v>
      </c>
      <c r="D510" s="252">
        <v>0</v>
      </c>
      <c r="E510" s="252">
        <v>0</v>
      </c>
      <c r="F510" s="252">
        <v>0</v>
      </c>
      <c r="G510" s="252">
        <v>0</v>
      </c>
      <c r="H510" s="252">
        <v>0</v>
      </c>
      <c r="I510" s="252">
        <v>0</v>
      </c>
      <c r="J510" s="252">
        <v>0</v>
      </c>
      <c r="K510" s="252">
        <v>0</v>
      </c>
      <c r="L510" s="252"/>
      <c r="M510" s="252">
        <v>0</v>
      </c>
      <c r="N510" s="252">
        <v>0</v>
      </c>
      <c r="O510" s="252">
        <v>0</v>
      </c>
      <c r="P510" s="252">
        <v>0</v>
      </c>
      <c r="Q510" s="252">
        <v>0</v>
      </c>
      <c r="R510" s="252">
        <v>0</v>
      </c>
      <c r="S510" s="252">
        <v>0</v>
      </c>
      <c r="T510" s="252">
        <v>0</v>
      </c>
      <c r="U510" s="252">
        <v>0</v>
      </c>
      <c r="V510" s="252">
        <v>0</v>
      </c>
      <c r="W510" s="252">
        <v>0</v>
      </c>
      <c r="X510" s="252">
        <v>0</v>
      </c>
      <c r="Y510" s="252">
        <v>0</v>
      </c>
    </row>
    <row r="511" spans="1:25" x14ac:dyDescent="0.3">
      <c r="A511" s="253" t="s">
        <v>996</v>
      </c>
      <c r="B511" s="252">
        <v>0</v>
      </c>
      <c r="C511" s="252">
        <v>0</v>
      </c>
      <c r="D511" s="252">
        <v>0</v>
      </c>
      <c r="E511" s="252">
        <v>0</v>
      </c>
      <c r="F511" s="252">
        <v>0</v>
      </c>
      <c r="G511" s="252">
        <v>0</v>
      </c>
      <c r="H511" s="252">
        <v>0</v>
      </c>
      <c r="I511" s="252">
        <v>0</v>
      </c>
      <c r="J511" s="252">
        <v>0</v>
      </c>
      <c r="K511" s="252">
        <v>0</v>
      </c>
      <c r="L511" s="252"/>
      <c r="M511" s="252">
        <v>0</v>
      </c>
      <c r="N511" s="252">
        <v>0</v>
      </c>
      <c r="O511" s="252">
        <v>0</v>
      </c>
      <c r="P511" s="252">
        <v>0</v>
      </c>
      <c r="Q511" s="252">
        <v>0</v>
      </c>
      <c r="R511" s="252">
        <v>0</v>
      </c>
      <c r="S511" s="252">
        <v>0</v>
      </c>
      <c r="T511" s="252">
        <v>0</v>
      </c>
      <c r="U511" s="252">
        <v>0</v>
      </c>
      <c r="V511" s="252">
        <v>0</v>
      </c>
      <c r="W511" s="252">
        <v>0</v>
      </c>
      <c r="X511" s="252">
        <v>0</v>
      </c>
      <c r="Y511" s="252">
        <v>0</v>
      </c>
    </row>
    <row r="512" spans="1:25" x14ac:dyDescent="0.3">
      <c r="A512" s="253" t="s">
        <v>997</v>
      </c>
      <c r="B512" s="252">
        <v>0</v>
      </c>
      <c r="C512" s="252">
        <v>0</v>
      </c>
      <c r="D512" s="252">
        <v>0</v>
      </c>
      <c r="E512" s="252">
        <v>0</v>
      </c>
      <c r="F512" s="252">
        <v>0</v>
      </c>
      <c r="G512" s="252">
        <v>0</v>
      </c>
      <c r="H512" s="252">
        <v>0</v>
      </c>
      <c r="I512" s="252">
        <v>0</v>
      </c>
      <c r="J512" s="252">
        <v>0</v>
      </c>
      <c r="K512" s="252">
        <v>0</v>
      </c>
      <c r="L512" s="252"/>
      <c r="M512" s="252">
        <v>0</v>
      </c>
      <c r="N512" s="252">
        <v>0</v>
      </c>
      <c r="O512" s="252">
        <v>0</v>
      </c>
      <c r="P512" s="252">
        <v>0</v>
      </c>
      <c r="Q512" s="252">
        <v>0</v>
      </c>
      <c r="R512" s="252">
        <v>0</v>
      </c>
      <c r="S512" s="252">
        <v>0</v>
      </c>
      <c r="T512" s="252">
        <v>0</v>
      </c>
      <c r="U512" s="252">
        <v>0</v>
      </c>
      <c r="V512" s="252">
        <v>0</v>
      </c>
      <c r="W512" s="252">
        <v>0</v>
      </c>
      <c r="X512" s="252">
        <v>0</v>
      </c>
      <c r="Y512" s="252">
        <v>0</v>
      </c>
    </row>
    <row r="513" spans="1:25" x14ac:dyDescent="0.3">
      <c r="A513" s="253" t="s">
        <v>472</v>
      </c>
      <c r="B513" s="252">
        <v>0</v>
      </c>
      <c r="C513" s="252">
        <v>0</v>
      </c>
      <c r="D513" s="252">
        <v>0</v>
      </c>
      <c r="E513" s="252"/>
      <c r="F513" s="252">
        <v>0</v>
      </c>
      <c r="G513" s="252">
        <v>0</v>
      </c>
      <c r="H513" s="252">
        <v>0</v>
      </c>
      <c r="I513" s="252"/>
      <c r="J513" s="252"/>
      <c r="K513" s="252">
        <v>0</v>
      </c>
      <c r="L513" s="252"/>
      <c r="M513" s="252">
        <v>0</v>
      </c>
      <c r="N513" s="252">
        <v>0</v>
      </c>
      <c r="O513" s="252">
        <v>0</v>
      </c>
      <c r="P513" s="252"/>
      <c r="Q513" s="252">
        <v>0</v>
      </c>
      <c r="R513" s="252"/>
      <c r="S513" s="252"/>
      <c r="T513" s="252">
        <v>0</v>
      </c>
      <c r="U513" s="252"/>
      <c r="V513" s="252">
        <v>0</v>
      </c>
      <c r="W513" s="252">
        <v>0</v>
      </c>
      <c r="X513" s="252"/>
      <c r="Y513" s="252">
        <v>0</v>
      </c>
    </row>
    <row r="514" spans="1:25" x14ac:dyDescent="0.3">
      <c r="A514" s="253" t="s">
        <v>473</v>
      </c>
      <c r="B514" s="252">
        <v>0</v>
      </c>
      <c r="C514" s="252">
        <v>0</v>
      </c>
      <c r="D514" s="252">
        <v>0</v>
      </c>
      <c r="E514" s="252"/>
      <c r="F514" s="252">
        <v>0</v>
      </c>
      <c r="G514" s="252">
        <v>0</v>
      </c>
      <c r="H514" s="252">
        <v>0</v>
      </c>
      <c r="I514" s="252"/>
      <c r="J514" s="252"/>
      <c r="K514" s="252">
        <v>0</v>
      </c>
      <c r="L514" s="252"/>
      <c r="M514" s="252">
        <v>0</v>
      </c>
      <c r="N514" s="252">
        <v>0</v>
      </c>
      <c r="O514" s="252">
        <v>0</v>
      </c>
      <c r="P514" s="252"/>
      <c r="Q514" s="252">
        <v>0</v>
      </c>
      <c r="R514" s="252"/>
      <c r="S514" s="252"/>
      <c r="T514" s="252">
        <v>0</v>
      </c>
      <c r="U514" s="252"/>
      <c r="V514" s="252">
        <v>0</v>
      </c>
      <c r="W514" s="252">
        <v>0</v>
      </c>
      <c r="X514" s="252"/>
      <c r="Y514" s="252">
        <v>0</v>
      </c>
    </row>
    <row r="515" spans="1:25" x14ac:dyDescent="0.3">
      <c r="A515" s="253" t="s">
        <v>474</v>
      </c>
      <c r="B515" s="252">
        <v>0</v>
      </c>
      <c r="C515" s="252">
        <v>0</v>
      </c>
      <c r="D515" s="252">
        <v>0</v>
      </c>
      <c r="E515" s="252"/>
      <c r="F515" s="252">
        <v>0</v>
      </c>
      <c r="G515" s="252">
        <v>0</v>
      </c>
      <c r="H515" s="252">
        <v>0</v>
      </c>
      <c r="I515" s="252"/>
      <c r="J515" s="252"/>
      <c r="K515" s="252">
        <v>0</v>
      </c>
      <c r="L515" s="252"/>
      <c r="M515" s="252">
        <v>0</v>
      </c>
      <c r="N515" s="252">
        <v>0</v>
      </c>
      <c r="O515" s="252">
        <v>0</v>
      </c>
      <c r="P515" s="252"/>
      <c r="Q515" s="252">
        <v>0</v>
      </c>
      <c r="R515" s="252"/>
      <c r="S515" s="252"/>
      <c r="T515" s="252">
        <v>0</v>
      </c>
      <c r="U515" s="252"/>
      <c r="V515" s="252">
        <v>0</v>
      </c>
      <c r="W515" s="252">
        <v>0</v>
      </c>
      <c r="X515" s="252"/>
      <c r="Y515" s="252">
        <v>0</v>
      </c>
    </row>
    <row r="516" spans="1:25" x14ac:dyDescent="0.3">
      <c r="A516" s="253" t="s">
        <v>475</v>
      </c>
      <c r="B516" s="252">
        <v>0</v>
      </c>
      <c r="C516" s="252">
        <v>0</v>
      </c>
      <c r="D516" s="252">
        <v>0</v>
      </c>
      <c r="E516" s="252"/>
      <c r="F516" s="252">
        <v>0</v>
      </c>
      <c r="G516" s="252">
        <v>0</v>
      </c>
      <c r="H516" s="252">
        <v>0</v>
      </c>
      <c r="I516" s="252"/>
      <c r="J516" s="252"/>
      <c r="K516" s="252">
        <v>0</v>
      </c>
      <c r="L516" s="252"/>
      <c r="M516" s="252">
        <v>0</v>
      </c>
      <c r="N516" s="252">
        <v>0</v>
      </c>
      <c r="O516" s="252">
        <v>0</v>
      </c>
      <c r="P516" s="252"/>
      <c r="Q516" s="252">
        <v>0</v>
      </c>
      <c r="R516" s="252"/>
      <c r="S516" s="252"/>
      <c r="T516" s="252">
        <v>0</v>
      </c>
      <c r="U516" s="252"/>
      <c r="V516" s="252">
        <v>0</v>
      </c>
      <c r="W516" s="252">
        <v>0</v>
      </c>
      <c r="X516" s="252"/>
      <c r="Y516" s="252">
        <v>0</v>
      </c>
    </row>
    <row r="517" spans="1:25" x14ac:dyDescent="0.3">
      <c r="A517" s="253" t="s">
        <v>476</v>
      </c>
      <c r="B517" s="252">
        <v>0</v>
      </c>
      <c r="C517" s="252">
        <v>0</v>
      </c>
      <c r="D517" s="252">
        <v>0</v>
      </c>
      <c r="E517" s="252"/>
      <c r="F517" s="252">
        <v>0</v>
      </c>
      <c r="G517" s="252">
        <v>0</v>
      </c>
      <c r="H517" s="252">
        <v>0</v>
      </c>
      <c r="I517" s="252"/>
      <c r="J517" s="252"/>
      <c r="K517" s="252">
        <v>0</v>
      </c>
      <c r="L517" s="252"/>
      <c r="M517" s="252">
        <v>0</v>
      </c>
      <c r="N517" s="252">
        <v>0</v>
      </c>
      <c r="O517" s="252">
        <v>0</v>
      </c>
      <c r="P517" s="252"/>
      <c r="Q517" s="252">
        <v>0</v>
      </c>
      <c r="R517" s="252"/>
      <c r="S517" s="252"/>
      <c r="T517" s="252">
        <v>0</v>
      </c>
      <c r="U517" s="252"/>
      <c r="V517" s="252">
        <v>0</v>
      </c>
      <c r="W517" s="252">
        <v>0</v>
      </c>
      <c r="X517" s="252"/>
      <c r="Y517" s="252">
        <v>0</v>
      </c>
    </row>
    <row r="518" spans="1:25" x14ac:dyDescent="0.3">
      <c r="A518" s="253" t="s">
        <v>477</v>
      </c>
      <c r="B518" s="252">
        <v>0</v>
      </c>
      <c r="C518" s="252">
        <v>0</v>
      </c>
      <c r="D518" s="252">
        <v>0</v>
      </c>
      <c r="E518" s="252"/>
      <c r="F518" s="252">
        <v>0</v>
      </c>
      <c r="G518" s="252">
        <v>0</v>
      </c>
      <c r="H518" s="252">
        <v>0</v>
      </c>
      <c r="I518" s="252"/>
      <c r="J518" s="252"/>
      <c r="K518" s="252">
        <v>0</v>
      </c>
      <c r="L518" s="252"/>
      <c r="M518" s="252">
        <v>0</v>
      </c>
      <c r="N518" s="252">
        <v>0</v>
      </c>
      <c r="O518" s="252">
        <v>0</v>
      </c>
      <c r="P518" s="252"/>
      <c r="Q518" s="252">
        <v>0</v>
      </c>
      <c r="R518" s="252"/>
      <c r="S518" s="252"/>
      <c r="T518" s="252">
        <v>0</v>
      </c>
      <c r="U518" s="252"/>
      <c r="V518" s="252">
        <v>0</v>
      </c>
      <c r="W518" s="252">
        <v>0</v>
      </c>
      <c r="X518" s="252"/>
      <c r="Y518" s="252">
        <v>0</v>
      </c>
    </row>
    <row r="519" spans="1:25" x14ac:dyDescent="0.3">
      <c r="A519" s="253" t="s">
        <v>478</v>
      </c>
      <c r="B519" s="252">
        <v>0</v>
      </c>
      <c r="C519" s="252">
        <v>0</v>
      </c>
      <c r="D519" s="252">
        <v>0</v>
      </c>
      <c r="E519" s="252"/>
      <c r="F519" s="252">
        <v>0</v>
      </c>
      <c r="G519" s="252">
        <v>0</v>
      </c>
      <c r="H519" s="252">
        <v>0</v>
      </c>
      <c r="I519" s="252"/>
      <c r="J519" s="252"/>
      <c r="K519" s="252">
        <v>0</v>
      </c>
      <c r="L519" s="252"/>
      <c r="M519" s="252">
        <v>0</v>
      </c>
      <c r="N519" s="252">
        <v>0</v>
      </c>
      <c r="O519" s="252">
        <v>0</v>
      </c>
      <c r="P519" s="252"/>
      <c r="Q519" s="252">
        <v>0</v>
      </c>
      <c r="R519" s="252"/>
      <c r="S519" s="252"/>
      <c r="T519" s="252">
        <v>0</v>
      </c>
      <c r="U519" s="252"/>
      <c r="V519" s="252">
        <v>0</v>
      </c>
      <c r="W519" s="252">
        <v>0</v>
      </c>
      <c r="X519" s="252"/>
      <c r="Y519" s="252">
        <v>0</v>
      </c>
    </row>
    <row r="520" spans="1:25" x14ac:dyDescent="0.3">
      <c r="A520" s="253" t="s">
        <v>479</v>
      </c>
      <c r="B520" s="252">
        <v>0</v>
      </c>
      <c r="C520" s="252">
        <v>0</v>
      </c>
      <c r="D520" s="252">
        <v>0</v>
      </c>
      <c r="E520" s="252"/>
      <c r="F520" s="252">
        <v>0</v>
      </c>
      <c r="G520" s="252">
        <v>0</v>
      </c>
      <c r="H520" s="252">
        <v>0</v>
      </c>
      <c r="I520" s="252"/>
      <c r="J520" s="252"/>
      <c r="K520" s="252">
        <v>0</v>
      </c>
      <c r="L520" s="252"/>
      <c r="M520" s="252">
        <v>0</v>
      </c>
      <c r="N520" s="252">
        <v>0</v>
      </c>
      <c r="O520" s="252">
        <v>0</v>
      </c>
      <c r="P520" s="252"/>
      <c r="Q520" s="252">
        <v>0</v>
      </c>
      <c r="R520" s="252"/>
      <c r="S520" s="252"/>
      <c r="T520" s="252">
        <v>0</v>
      </c>
      <c r="U520" s="252"/>
      <c r="V520" s="252">
        <v>0</v>
      </c>
      <c r="W520" s="252">
        <v>0</v>
      </c>
      <c r="X520" s="252"/>
      <c r="Y520" s="252">
        <v>0</v>
      </c>
    </row>
    <row r="521" spans="1:25" x14ac:dyDescent="0.3">
      <c r="A521" s="253" t="s">
        <v>480</v>
      </c>
      <c r="B521" s="252">
        <v>0</v>
      </c>
      <c r="C521" s="252">
        <v>0</v>
      </c>
      <c r="D521" s="252">
        <v>0</v>
      </c>
      <c r="E521" s="252"/>
      <c r="F521" s="252">
        <v>0</v>
      </c>
      <c r="G521" s="252">
        <v>0</v>
      </c>
      <c r="H521" s="252">
        <v>0</v>
      </c>
      <c r="I521" s="252"/>
      <c r="J521" s="252"/>
      <c r="K521" s="252">
        <v>0</v>
      </c>
      <c r="L521" s="252"/>
      <c r="M521" s="252">
        <v>0</v>
      </c>
      <c r="N521" s="252">
        <v>0</v>
      </c>
      <c r="O521" s="252">
        <v>0</v>
      </c>
      <c r="P521" s="252"/>
      <c r="Q521" s="252">
        <v>0</v>
      </c>
      <c r="R521" s="252"/>
      <c r="S521" s="252"/>
      <c r="T521" s="252">
        <v>0</v>
      </c>
      <c r="U521" s="252"/>
      <c r="V521" s="252">
        <v>0</v>
      </c>
      <c r="W521" s="252">
        <v>0</v>
      </c>
      <c r="X521" s="252"/>
      <c r="Y521" s="252">
        <v>0</v>
      </c>
    </row>
    <row r="522" spans="1:25" x14ac:dyDescent="0.3">
      <c r="A522" s="253" t="s">
        <v>481</v>
      </c>
      <c r="B522" s="252">
        <v>0</v>
      </c>
      <c r="C522" s="252">
        <v>0</v>
      </c>
      <c r="D522" s="252">
        <v>0</v>
      </c>
      <c r="E522" s="252"/>
      <c r="F522" s="252">
        <v>0</v>
      </c>
      <c r="G522" s="252">
        <v>0</v>
      </c>
      <c r="H522" s="252">
        <v>0</v>
      </c>
      <c r="I522" s="252"/>
      <c r="J522" s="252"/>
      <c r="K522" s="252">
        <v>0</v>
      </c>
      <c r="L522" s="252"/>
      <c r="M522" s="252">
        <v>0</v>
      </c>
      <c r="N522" s="252">
        <v>0</v>
      </c>
      <c r="O522" s="252">
        <v>0</v>
      </c>
      <c r="P522" s="252"/>
      <c r="Q522" s="252">
        <v>0</v>
      </c>
      <c r="R522" s="252"/>
      <c r="S522" s="252"/>
      <c r="T522" s="252">
        <v>0</v>
      </c>
      <c r="U522" s="252"/>
      <c r="V522" s="252">
        <v>0</v>
      </c>
      <c r="W522" s="252">
        <v>0</v>
      </c>
      <c r="X522" s="252"/>
      <c r="Y522" s="252">
        <v>0</v>
      </c>
    </row>
    <row r="523" spans="1:25" x14ac:dyDescent="0.3">
      <c r="A523" s="253" t="s">
        <v>482</v>
      </c>
      <c r="B523" s="252">
        <v>0</v>
      </c>
      <c r="C523" s="252">
        <v>0</v>
      </c>
      <c r="D523" s="252">
        <v>0</v>
      </c>
      <c r="E523" s="252"/>
      <c r="F523" s="252">
        <v>0</v>
      </c>
      <c r="G523" s="252">
        <v>0</v>
      </c>
      <c r="H523" s="252">
        <v>0</v>
      </c>
      <c r="I523" s="252"/>
      <c r="J523" s="252"/>
      <c r="K523" s="252">
        <v>0</v>
      </c>
      <c r="L523" s="252"/>
      <c r="M523" s="252">
        <v>0</v>
      </c>
      <c r="N523" s="252">
        <v>0</v>
      </c>
      <c r="O523" s="252">
        <v>0</v>
      </c>
      <c r="P523" s="252"/>
      <c r="Q523" s="252">
        <v>0</v>
      </c>
      <c r="R523" s="252"/>
      <c r="S523" s="252"/>
      <c r="T523" s="252">
        <v>0</v>
      </c>
      <c r="U523" s="252"/>
      <c r="V523" s="252">
        <v>0</v>
      </c>
      <c r="W523" s="252">
        <v>0</v>
      </c>
      <c r="X523" s="252"/>
      <c r="Y523" s="252">
        <v>0</v>
      </c>
    </row>
    <row r="524" spans="1:25" x14ac:dyDescent="0.3">
      <c r="A524" s="253" t="s">
        <v>483</v>
      </c>
      <c r="B524" s="252">
        <v>0</v>
      </c>
      <c r="C524" s="252">
        <v>0</v>
      </c>
      <c r="D524" s="252">
        <v>0</v>
      </c>
      <c r="E524" s="252"/>
      <c r="F524" s="252">
        <v>0</v>
      </c>
      <c r="G524" s="252">
        <v>0</v>
      </c>
      <c r="H524" s="252">
        <v>0</v>
      </c>
      <c r="I524" s="252"/>
      <c r="J524" s="252"/>
      <c r="K524" s="252">
        <v>0</v>
      </c>
      <c r="L524" s="252"/>
      <c r="M524" s="252">
        <v>0</v>
      </c>
      <c r="N524" s="252">
        <v>0</v>
      </c>
      <c r="O524" s="252">
        <v>0</v>
      </c>
      <c r="P524" s="252"/>
      <c r="Q524" s="252">
        <v>0</v>
      </c>
      <c r="R524" s="252"/>
      <c r="S524" s="252"/>
      <c r="T524" s="252">
        <v>0</v>
      </c>
      <c r="U524" s="252"/>
      <c r="V524" s="252">
        <v>0</v>
      </c>
      <c r="W524" s="252">
        <v>0</v>
      </c>
      <c r="X524" s="252"/>
      <c r="Y524" s="252">
        <v>0</v>
      </c>
    </row>
    <row r="525" spans="1:25" x14ac:dyDescent="0.3">
      <c r="A525" s="253" t="s">
        <v>484</v>
      </c>
      <c r="B525" s="252">
        <v>0</v>
      </c>
      <c r="C525" s="252">
        <v>0</v>
      </c>
      <c r="D525" s="252">
        <v>0</v>
      </c>
      <c r="E525" s="252"/>
      <c r="F525" s="252">
        <v>0</v>
      </c>
      <c r="G525" s="252">
        <v>0</v>
      </c>
      <c r="H525" s="252">
        <v>0</v>
      </c>
      <c r="I525" s="252"/>
      <c r="J525" s="252"/>
      <c r="K525" s="252">
        <v>0</v>
      </c>
      <c r="L525" s="252"/>
      <c r="M525" s="252">
        <v>0</v>
      </c>
      <c r="N525" s="252">
        <v>0</v>
      </c>
      <c r="O525" s="252">
        <v>0</v>
      </c>
      <c r="P525" s="252"/>
      <c r="Q525" s="252">
        <v>0</v>
      </c>
      <c r="R525" s="252"/>
      <c r="S525" s="252"/>
      <c r="T525" s="252">
        <v>0</v>
      </c>
      <c r="U525" s="252"/>
      <c r="V525" s="252">
        <v>0</v>
      </c>
      <c r="W525" s="252">
        <v>0</v>
      </c>
      <c r="X525" s="252"/>
      <c r="Y525" s="252">
        <v>0</v>
      </c>
    </row>
    <row r="526" spans="1:25" x14ac:dyDescent="0.3">
      <c r="A526" s="253" t="s">
        <v>485</v>
      </c>
      <c r="B526" s="252">
        <v>0</v>
      </c>
      <c r="C526" s="252">
        <v>0</v>
      </c>
      <c r="D526" s="252">
        <v>0</v>
      </c>
      <c r="E526" s="252"/>
      <c r="F526" s="252">
        <v>0</v>
      </c>
      <c r="G526" s="252">
        <v>0</v>
      </c>
      <c r="H526" s="252">
        <v>0</v>
      </c>
      <c r="I526" s="252"/>
      <c r="J526" s="252"/>
      <c r="K526" s="252">
        <v>0</v>
      </c>
      <c r="L526" s="252"/>
      <c r="M526" s="252">
        <v>0</v>
      </c>
      <c r="N526" s="252">
        <v>0</v>
      </c>
      <c r="O526" s="252">
        <v>0</v>
      </c>
      <c r="P526" s="252"/>
      <c r="Q526" s="252">
        <v>0</v>
      </c>
      <c r="R526" s="252"/>
      <c r="S526" s="252"/>
      <c r="T526" s="252">
        <v>0</v>
      </c>
      <c r="U526" s="252"/>
      <c r="V526" s="252">
        <v>0</v>
      </c>
      <c r="W526" s="252">
        <v>0</v>
      </c>
      <c r="X526" s="252"/>
      <c r="Y526" s="252">
        <v>0</v>
      </c>
    </row>
    <row r="527" spans="1:25" x14ac:dyDescent="0.3">
      <c r="A527" s="253" t="s">
        <v>486</v>
      </c>
      <c r="B527" s="252">
        <v>0</v>
      </c>
      <c r="C527" s="252">
        <v>0</v>
      </c>
      <c r="D527" s="252">
        <v>0</v>
      </c>
      <c r="E527" s="252"/>
      <c r="F527" s="252">
        <v>0</v>
      </c>
      <c r="G527" s="252">
        <v>0</v>
      </c>
      <c r="H527" s="252">
        <v>0</v>
      </c>
      <c r="I527" s="252"/>
      <c r="J527" s="252"/>
      <c r="K527" s="252">
        <v>0</v>
      </c>
      <c r="L527" s="252"/>
      <c r="M527" s="252">
        <v>0</v>
      </c>
      <c r="N527" s="252">
        <v>0</v>
      </c>
      <c r="O527" s="252">
        <v>0</v>
      </c>
      <c r="P527" s="252"/>
      <c r="Q527" s="252">
        <v>0</v>
      </c>
      <c r="R527" s="252"/>
      <c r="S527" s="252"/>
      <c r="T527" s="252">
        <v>0</v>
      </c>
      <c r="U527" s="252"/>
      <c r="V527" s="252">
        <v>0</v>
      </c>
      <c r="W527" s="252">
        <v>0</v>
      </c>
      <c r="X527" s="252"/>
      <c r="Y527" s="252">
        <v>0</v>
      </c>
    </row>
    <row r="528" spans="1:25" x14ac:dyDescent="0.3">
      <c r="A528" s="253" t="s">
        <v>487</v>
      </c>
      <c r="B528" s="252">
        <v>0</v>
      </c>
      <c r="C528" s="252">
        <v>0</v>
      </c>
      <c r="D528" s="252">
        <v>0</v>
      </c>
      <c r="E528" s="252"/>
      <c r="F528" s="252">
        <v>0</v>
      </c>
      <c r="G528" s="252">
        <v>0</v>
      </c>
      <c r="H528" s="252">
        <v>0</v>
      </c>
      <c r="I528" s="252"/>
      <c r="J528" s="252"/>
      <c r="K528" s="252">
        <v>0</v>
      </c>
      <c r="L528" s="252"/>
      <c r="M528" s="252">
        <v>0</v>
      </c>
      <c r="N528" s="252">
        <v>0</v>
      </c>
      <c r="O528" s="252">
        <v>0</v>
      </c>
      <c r="P528" s="252"/>
      <c r="Q528" s="252">
        <v>0</v>
      </c>
      <c r="R528" s="252"/>
      <c r="S528" s="252"/>
      <c r="T528" s="252">
        <v>0</v>
      </c>
      <c r="U528" s="252"/>
      <c r="V528" s="252">
        <v>0</v>
      </c>
      <c r="W528" s="252">
        <v>0</v>
      </c>
      <c r="X528" s="252"/>
      <c r="Y528" s="252">
        <v>0</v>
      </c>
    </row>
    <row r="529" spans="1:25" x14ac:dyDescent="0.3">
      <c r="A529" s="253" t="s">
        <v>488</v>
      </c>
      <c r="B529" s="252">
        <v>0</v>
      </c>
      <c r="C529" s="252">
        <v>0</v>
      </c>
      <c r="D529" s="252">
        <v>0</v>
      </c>
      <c r="E529" s="252"/>
      <c r="F529" s="252">
        <v>0</v>
      </c>
      <c r="G529" s="252">
        <v>0</v>
      </c>
      <c r="H529" s="252">
        <v>0</v>
      </c>
      <c r="I529" s="252"/>
      <c r="J529" s="252"/>
      <c r="K529" s="252">
        <v>0</v>
      </c>
      <c r="L529" s="252"/>
      <c r="M529" s="252">
        <v>0</v>
      </c>
      <c r="N529" s="252">
        <v>0</v>
      </c>
      <c r="O529" s="252">
        <v>0</v>
      </c>
      <c r="P529" s="252"/>
      <c r="Q529" s="252">
        <v>0</v>
      </c>
      <c r="R529" s="252"/>
      <c r="S529" s="252"/>
      <c r="T529" s="252">
        <v>0</v>
      </c>
      <c r="U529" s="252"/>
      <c r="V529" s="252">
        <v>0</v>
      </c>
      <c r="W529" s="252">
        <v>0</v>
      </c>
      <c r="X529" s="252"/>
      <c r="Y529" s="252">
        <v>0</v>
      </c>
    </row>
    <row r="530" spans="1:25" x14ac:dyDescent="0.3">
      <c r="A530" s="253" t="s">
        <v>489</v>
      </c>
      <c r="B530" s="252">
        <v>0</v>
      </c>
      <c r="C530" s="252">
        <v>0</v>
      </c>
      <c r="D530" s="252">
        <v>0</v>
      </c>
      <c r="E530" s="252"/>
      <c r="F530" s="252">
        <v>0</v>
      </c>
      <c r="G530" s="252">
        <v>0</v>
      </c>
      <c r="H530" s="252">
        <v>0</v>
      </c>
      <c r="I530" s="252"/>
      <c r="J530" s="252"/>
      <c r="K530" s="252">
        <v>0</v>
      </c>
      <c r="L530" s="252"/>
      <c r="M530" s="252">
        <v>0</v>
      </c>
      <c r="N530" s="252">
        <v>0</v>
      </c>
      <c r="O530" s="252">
        <v>0</v>
      </c>
      <c r="P530" s="252"/>
      <c r="Q530" s="252">
        <v>0</v>
      </c>
      <c r="R530" s="252"/>
      <c r="S530" s="252"/>
      <c r="T530" s="252">
        <v>0</v>
      </c>
      <c r="U530" s="252"/>
      <c r="V530" s="252">
        <v>0</v>
      </c>
      <c r="W530" s="252">
        <v>0</v>
      </c>
      <c r="X530" s="252"/>
      <c r="Y530" s="252">
        <v>0</v>
      </c>
    </row>
    <row r="531" spans="1:25" x14ac:dyDescent="0.3">
      <c r="A531" s="253" t="s">
        <v>490</v>
      </c>
      <c r="B531" s="252">
        <v>0</v>
      </c>
      <c r="C531" s="252">
        <v>0</v>
      </c>
      <c r="D531" s="252">
        <v>0</v>
      </c>
      <c r="E531" s="252"/>
      <c r="F531" s="252">
        <v>0</v>
      </c>
      <c r="G531" s="252">
        <v>0</v>
      </c>
      <c r="H531" s="252">
        <v>0</v>
      </c>
      <c r="I531" s="252"/>
      <c r="J531" s="252"/>
      <c r="K531" s="252">
        <v>0</v>
      </c>
      <c r="L531" s="252"/>
      <c r="M531" s="252">
        <v>0</v>
      </c>
      <c r="N531" s="252">
        <v>0</v>
      </c>
      <c r="O531" s="252">
        <v>0</v>
      </c>
      <c r="P531" s="252"/>
      <c r="Q531" s="252">
        <v>0</v>
      </c>
      <c r="R531" s="252"/>
      <c r="S531" s="252"/>
      <c r="T531" s="252">
        <v>0</v>
      </c>
      <c r="U531" s="252"/>
      <c r="V531" s="252">
        <v>0</v>
      </c>
      <c r="W531" s="252">
        <v>0</v>
      </c>
      <c r="X531" s="252"/>
      <c r="Y531" s="252">
        <v>0</v>
      </c>
    </row>
    <row r="532" spans="1:25" x14ac:dyDescent="0.3">
      <c r="A532" s="253" t="s">
        <v>491</v>
      </c>
      <c r="B532" s="252">
        <v>0</v>
      </c>
      <c r="C532" s="252">
        <v>0</v>
      </c>
      <c r="D532" s="252">
        <v>0</v>
      </c>
      <c r="E532" s="252"/>
      <c r="F532" s="252">
        <v>0</v>
      </c>
      <c r="G532" s="252">
        <v>0</v>
      </c>
      <c r="H532" s="252">
        <v>0</v>
      </c>
      <c r="I532" s="252"/>
      <c r="J532" s="252"/>
      <c r="K532" s="252">
        <v>0</v>
      </c>
      <c r="L532" s="252"/>
      <c r="M532" s="252">
        <v>0</v>
      </c>
      <c r="N532" s="252">
        <v>0</v>
      </c>
      <c r="O532" s="252">
        <v>0</v>
      </c>
      <c r="P532" s="252"/>
      <c r="Q532" s="252">
        <v>0</v>
      </c>
      <c r="R532" s="252"/>
      <c r="S532" s="252"/>
      <c r="T532" s="252">
        <v>0</v>
      </c>
      <c r="U532" s="252"/>
      <c r="V532" s="252">
        <v>0</v>
      </c>
      <c r="W532" s="252">
        <v>0</v>
      </c>
      <c r="X532" s="252"/>
      <c r="Y532" s="252">
        <v>0</v>
      </c>
    </row>
    <row r="533" spans="1:25" x14ac:dyDescent="0.3">
      <c r="A533" s="253" t="s">
        <v>492</v>
      </c>
      <c r="B533" s="252">
        <v>0</v>
      </c>
      <c r="C533" s="252">
        <v>0</v>
      </c>
      <c r="D533" s="252">
        <v>0</v>
      </c>
      <c r="E533" s="252"/>
      <c r="F533" s="252">
        <v>0</v>
      </c>
      <c r="G533" s="252">
        <v>0</v>
      </c>
      <c r="H533" s="252">
        <v>0</v>
      </c>
      <c r="I533" s="252"/>
      <c r="J533" s="252"/>
      <c r="K533" s="252">
        <v>0</v>
      </c>
      <c r="L533" s="252"/>
      <c r="M533" s="252">
        <v>0</v>
      </c>
      <c r="N533" s="252">
        <v>0</v>
      </c>
      <c r="O533" s="252">
        <v>0</v>
      </c>
      <c r="P533" s="252"/>
      <c r="Q533" s="252">
        <v>0</v>
      </c>
      <c r="R533" s="252"/>
      <c r="S533" s="252"/>
      <c r="T533" s="252">
        <v>0</v>
      </c>
      <c r="U533" s="252"/>
      <c r="V533" s="252">
        <v>0</v>
      </c>
      <c r="W533" s="252">
        <v>0</v>
      </c>
      <c r="X533" s="252"/>
      <c r="Y533" s="252">
        <v>0</v>
      </c>
    </row>
    <row r="534" spans="1:25" x14ac:dyDescent="0.3">
      <c r="A534" s="253" t="s">
        <v>493</v>
      </c>
      <c r="B534" s="252">
        <v>0</v>
      </c>
      <c r="C534" s="252">
        <v>0</v>
      </c>
      <c r="D534" s="252">
        <v>0</v>
      </c>
      <c r="E534" s="252"/>
      <c r="F534" s="252">
        <v>0</v>
      </c>
      <c r="G534" s="252">
        <v>0</v>
      </c>
      <c r="H534" s="252">
        <v>0</v>
      </c>
      <c r="I534" s="252"/>
      <c r="J534" s="252"/>
      <c r="K534" s="252">
        <v>0</v>
      </c>
      <c r="L534" s="252"/>
      <c r="M534" s="252">
        <v>0</v>
      </c>
      <c r="N534" s="252">
        <v>0</v>
      </c>
      <c r="O534" s="252">
        <v>0</v>
      </c>
      <c r="P534" s="252"/>
      <c r="Q534" s="252">
        <v>0</v>
      </c>
      <c r="R534" s="252"/>
      <c r="S534" s="252"/>
      <c r="T534" s="252">
        <v>0</v>
      </c>
      <c r="U534" s="252"/>
      <c r="V534" s="252">
        <v>0</v>
      </c>
      <c r="W534" s="252">
        <v>0</v>
      </c>
      <c r="X534" s="252"/>
      <c r="Y534" s="252">
        <v>0</v>
      </c>
    </row>
    <row r="535" spans="1:25" x14ac:dyDescent="0.3">
      <c r="A535" s="253" t="s">
        <v>494</v>
      </c>
      <c r="B535" s="252">
        <v>0</v>
      </c>
      <c r="C535" s="252">
        <v>0</v>
      </c>
      <c r="D535" s="252">
        <v>0</v>
      </c>
      <c r="E535" s="252"/>
      <c r="F535" s="252">
        <v>0</v>
      </c>
      <c r="G535" s="252">
        <v>0</v>
      </c>
      <c r="H535" s="252">
        <v>0</v>
      </c>
      <c r="I535" s="252"/>
      <c r="J535" s="252"/>
      <c r="K535" s="252">
        <v>0</v>
      </c>
      <c r="L535" s="252"/>
      <c r="M535" s="252">
        <v>0</v>
      </c>
      <c r="N535" s="252">
        <v>0</v>
      </c>
      <c r="O535" s="252">
        <v>0</v>
      </c>
      <c r="P535" s="252"/>
      <c r="Q535" s="252">
        <v>0</v>
      </c>
      <c r="R535" s="252"/>
      <c r="S535" s="252"/>
      <c r="T535" s="252">
        <v>0</v>
      </c>
      <c r="U535" s="252"/>
      <c r="V535" s="252">
        <v>0</v>
      </c>
      <c r="W535" s="252">
        <v>0</v>
      </c>
      <c r="X535" s="252"/>
      <c r="Y535" s="252">
        <v>0</v>
      </c>
    </row>
    <row r="536" spans="1:25" x14ac:dyDescent="0.3">
      <c r="A536" s="253" t="s">
        <v>495</v>
      </c>
      <c r="B536" s="252">
        <v>0</v>
      </c>
      <c r="C536" s="252">
        <v>0</v>
      </c>
      <c r="D536" s="252">
        <v>0</v>
      </c>
      <c r="E536" s="252"/>
      <c r="F536" s="252">
        <v>0</v>
      </c>
      <c r="G536" s="252">
        <v>0</v>
      </c>
      <c r="H536" s="252">
        <v>0</v>
      </c>
      <c r="I536" s="252"/>
      <c r="J536" s="252"/>
      <c r="K536" s="252">
        <v>0</v>
      </c>
      <c r="L536" s="252"/>
      <c r="M536" s="252">
        <v>0</v>
      </c>
      <c r="N536" s="252">
        <v>0</v>
      </c>
      <c r="O536" s="252">
        <v>0</v>
      </c>
      <c r="P536" s="252"/>
      <c r="Q536" s="252">
        <v>0</v>
      </c>
      <c r="R536" s="252"/>
      <c r="S536" s="252"/>
      <c r="T536" s="252">
        <v>0</v>
      </c>
      <c r="U536" s="252"/>
      <c r="V536" s="252">
        <v>0</v>
      </c>
      <c r="W536" s="252">
        <v>0</v>
      </c>
      <c r="X536" s="252"/>
      <c r="Y536" s="252">
        <v>0</v>
      </c>
    </row>
    <row r="537" spans="1:25" x14ac:dyDescent="0.3">
      <c r="A537" s="253" t="s">
        <v>496</v>
      </c>
      <c r="B537" s="252">
        <v>0</v>
      </c>
      <c r="C537" s="252">
        <v>0</v>
      </c>
      <c r="D537" s="252">
        <v>0</v>
      </c>
      <c r="E537" s="252"/>
      <c r="F537" s="252">
        <v>0</v>
      </c>
      <c r="G537" s="252">
        <v>0</v>
      </c>
      <c r="H537" s="252">
        <v>0</v>
      </c>
      <c r="I537" s="252"/>
      <c r="J537" s="252"/>
      <c r="K537" s="252">
        <v>0</v>
      </c>
      <c r="L537" s="252"/>
      <c r="M537" s="252">
        <v>0</v>
      </c>
      <c r="N537" s="252">
        <v>0</v>
      </c>
      <c r="O537" s="252">
        <v>0</v>
      </c>
      <c r="P537" s="252"/>
      <c r="Q537" s="252">
        <v>0</v>
      </c>
      <c r="R537" s="252"/>
      <c r="S537" s="252"/>
      <c r="T537" s="252">
        <v>0</v>
      </c>
      <c r="U537" s="252"/>
      <c r="V537" s="252">
        <v>0</v>
      </c>
      <c r="W537" s="252">
        <v>0</v>
      </c>
      <c r="X537" s="252"/>
      <c r="Y537" s="252">
        <v>0</v>
      </c>
    </row>
    <row r="538" spans="1:25" x14ac:dyDescent="0.3">
      <c r="A538" s="253" t="s">
        <v>497</v>
      </c>
      <c r="B538" s="252">
        <v>0</v>
      </c>
      <c r="C538" s="252">
        <v>0</v>
      </c>
      <c r="D538" s="252">
        <v>0</v>
      </c>
      <c r="E538" s="252"/>
      <c r="F538" s="252">
        <v>0</v>
      </c>
      <c r="G538" s="252">
        <v>0</v>
      </c>
      <c r="H538" s="252">
        <v>0</v>
      </c>
      <c r="I538" s="252"/>
      <c r="J538" s="252"/>
      <c r="K538" s="252">
        <v>0</v>
      </c>
      <c r="L538" s="252"/>
      <c r="M538" s="252">
        <v>0</v>
      </c>
      <c r="N538" s="252">
        <v>0</v>
      </c>
      <c r="O538" s="252">
        <v>0</v>
      </c>
      <c r="P538" s="252"/>
      <c r="Q538" s="252">
        <v>0</v>
      </c>
      <c r="R538" s="252"/>
      <c r="S538" s="252"/>
      <c r="T538" s="252">
        <v>0</v>
      </c>
      <c r="U538" s="252"/>
      <c r="V538" s="252">
        <v>0</v>
      </c>
      <c r="W538" s="252">
        <v>0</v>
      </c>
      <c r="X538" s="252"/>
      <c r="Y538" s="252">
        <v>0</v>
      </c>
    </row>
    <row r="539" spans="1:25" x14ac:dyDescent="0.3">
      <c r="A539" s="253" t="s">
        <v>498</v>
      </c>
      <c r="B539" s="252">
        <v>0</v>
      </c>
      <c r="C539" s="252">
        <v>0</v>
      </c>
      <c r="D539" s="252">
        <v>0</v>
      </c>
      <c r="E539" s="252"/>
      <c r="F539" s="252">
        <v>0</v>
      </c>
      <c r="G539" s="252">
        <v>0</v>
      </c>
      <c r="H539" s="252">
        <v>0</v>
      </c>
      <c r="I539" s="252"/>
      <c r="J539" s="252"/>
      <c r="K539" s="252">
        <v>0</v>
      </c>
      <c r="L539" s="252"/>
      <c r="M539" s="252">
        <v>0</v>
      </c>
      <c r="N539" s="252">
        <v>0</v>
      </c>
      <c r="O539" s="252">
        <v>0</v>
      </c>
      <c r="P539" s="252"/>
      <c r="Q539" s="252">
        <v>0</v>
      </c>
      <c r="R539" s="252"/>
      <c r="S539" s="252"/>
      <c r="T539" s="252">
        <v>0</v>
      </c>
      <c r="U539" s="252"/>
      <c r="V539" s="252">
        <v>0</v>
      </c>
      <c r="W539" s="252">
        <v>0</v>
      </c>
      <c r="X539" s="252"/>
      <c r="Y539" s="252">
        <v>0</v>
      </c>
    </row>
    <row r="540" spans="1:25" x14ac:dyDescent="0.3">
      <c r="A540" s="253" t="s">
        <v>499</v>
      </c>
      <c r="B540" s="252">
        <v>0</v>
      </c>
      <c r="C540" s="252">
        <v>0</v>
      </c>
      <c r="D540" s="252">
        <v>0</v>
      </c>
      <c r="E540" s="252"/>
      <c r="F540" s="252">
        <v>0</v>
      </c>
      <c r="G540" s="252">
        <v>0</v>
      </c>
      <c r="H540" s="252">
        <v>0</v>
      </c>
      <c r="I540" s="252"/>
      <c r="J540" s="252"/>
      <c r="K540" s="252">
        <v>0</v>
      </c>
      <c r="L540" s="252"/>
      <c r="M540" s="252">
        <v>0</v>
      </c>
      <c r="N540" s="252">
        <v>0</v>
      </c>
      <c r="O540" s="252">
        <v>0</v>
      </c>
      <c r="P540" s="252"/>
      <c r="Q540" s="252">
        <v>0</v>
      </c>
      <c r="R540" s="252"/>
      <c r="S540" s="252"/>
      <c r="T540" s="252">
        <v>0</v>
      </c>
      <c r="U540" s="252"/>
      <c r="V540" s="252">
        <v>0</v>
      </c>
      <c r="W540" s="252">
        <v>0</v>
      </c>
      <c r="X540" s="252"/>
      <c r="Y540" s="252">
        <v>0</v>
      </c>
    </row>
    <row r="541" spans="1:25" x14ac:dyDescent="0.3">
      <c r="A541" s="253" t="s">
        <v>500</v>
      </c>
      <c r="B541" s="252">
        <v>0</v>
      </c>
      <c r="C541" s="252">
        <v>0</v>
      </c>
      <c r="D541" s="252">
        <v>0</v>
      </c>
      <c r="E541" s="252"/>
      <c r="F541" s="252">
        <v>0</v>
      </c>
      <c r="G541" s="252">
        <v>0</v>
      </c>
      <c r="H541" s="252">
        <v>0</v>
      </c>
      <c r="I541" s="252"/>
      <c r="J541" s="252"/>
      <c r="K541" s="252">
        <v>0</v>
      </c>
      <c r="L541" s="252"/>
      <c r="M541" s="252">
        <v>0</v>
      </c>
      <c r="N541" s="252">
        <v>0</v>
      </c>
      <c r="O541" s="252">
        <v>0</v>
      </c>
      <c r="P541" s="252"/>
      <c r="Q541" s="252">
        <v>0</v>
      </c>
      <c r="R541" s="252"/>
      <c r="S541" s="252"/>
      <c r="T541" s="252">
        <v>0</v>
      </c>
      <c r="U541" s="252"/>
      <c r="V541" s="252">
        <v>0</v>
      </c>
      <c r="W541" s="252">
        <v>0</v>
      </c>
      <c r="X541" s="252"/>
      <c r="Y541" s="252">
        <v>0</v>
      </c>
    </row>
    <row r="542" spans="1:25" x14ac:dyDescent="0.3">
      <c r="A542" s="253" t="s">
        <v>501</v>
      </c>
      <c r="B542" s="252">
        <v>0</v>
      </c>
      <c r="C542" s="252">
        <v>0</v>
      </c>
      <c r="D542" s="252">
        <v>0</v>
      </c>
      <c r="E542" s="252"/>
      <c r="F542" s="252">
        <v>0</v>
      </c>
      <c r="G542" s="252">
        <v>0</v>
      </c>
      <c r="H542" s="252">
        <v>0</v>
      </c>
      <c r="I542" s="252"/>
      <c r="J542" s="252"/>
      <c r="K542" s="252">
        <v>0</v>
      </c>
      <c r="L542" s="252"/>
      <c r="M542" s="252">
        <v>0</v>
      </c>
      <c r="N542" s="252">
        <v>0</v>
      </c>
      <c r="O542" s="252">
        <v>0</v>
      </c>
      <c r="P542" s="252"/>
      <c r="Q542" s="252">
        <v>0</v>
      </c>
      <c r="R542" s="252"/>
      <c r="S542" s="252"/>
      <c r="T542" s="252">
        <v>0</v>
      </c>
      <c r="U542" s="252"/>
      <c r="V542" s="252">
        <v>0</v>
      </c>
      <c r="W542" s="252">
        <v>0</v>
      </c>
      <c r="X542" s="252"/>
      <c r="Y542" s="252">
        <v>0</v>
      </c>
    </row>
    <row r="543" spans="1:25" x14ac:dyDescent="0.3">
      <c r="A543" s="253" t="s">
        <v>502</v>
      </c>
      <c r="B543" s="252">
        <v>0</v>
      </c>
      <c r="C543" s="252">
        <v>0</v>
      </c>
      <c r="D543" s="252">
        <v>0</v>
      </c>
      <c r="E543" s="252"/>
      <c r="F543" s="252">
        <v>0</v>
      </c>
      <c r="G543" s="252">
        <v>0</v>
      </c>
      <c r="H543" s="252">
        <v>0</v>
      </c>
      <c r="I543" s="252"/>
      <c r="J543" s="252"/>
      <c r="K543" s="252">
        <v>0</v>
      </c>
      <c r="L543" s="252"/>
      <c r="M543" s="252">
        <v>0</v>
      </c>
      <c r="N543" s="252">
        <v>0</v>
      </c>
      <c r="O543" s="252">
        <v>0</v>
      </c>
      <c r="P543" s="252"/>
      <c r="Q543" s="252">
        <v>0</v>
      </c>
      <c r="R543" s="252"/>
      <c r="S543" s="252"/>
      <c r="T543" s="252">
        <v>0</v>
      </c>
      <c r="U543" s="252"/>
      <c r="V543" s="252">
        <v>0</v>
      </c>
      <c r="W543" s="252">
        <v>0</v>
      </c>
      <c r="X543" s="252"/>
      <c r="Y543" s="252">
        <v>0</v>
      </c>
    </row>
    <row r="544" spans="1:25" x14ac:dyDescent="0.3">
      <c r="A544" s="253" t="s">
        <v>503</v>
      </c>
      <c r="B544" s="252">
        <v>0</v>
      </c>
      <c r="C544" s="252">
        <v>0</v>
      </c>
      <c r="D544" s="252">
        <v>0</v>
      </c>
      <c r="E544" s="252"/>
      <c r="F544" s="252">
        <v>0</v>
      </c>
      <c r="G544" s="252">
        <v>0</v>
      </c>
      <c r="H544" s="252">
        <v>0</v>
      </c>
      <c r="I544" s="252"/>
      <c r="J544" s="252"/>
      <c r="K544" s="252">
        <v>0</v>
      </c>
      <c r="L544" s="252"/>
      <c r="M544" s="252">
        <v>0</v>
      </c>
      <c r="N544" s="252">
        <v>0</v>
      </c>
      <c r="O544" s="252">
        <v>0</v>
      </c>
      <c r="P544" s="252"/>
      <c r="Q544" s="252">
        <v>0</v>
      </c>
      <c r="R544" s="252"/>
      <c r="S544" s="252"/>
      <c r="T544" s="252">
        <v>0</v>
      </c>
      <c r="U544" s="252"/>
      <c r="V544" s="252">
        <v>0</v>
      </c>
      <c r="W544" s="252">
        <v>0</v>
      </c>
      <c r="X544" s="252"/>
      <c r="Y544" s="252">
        <v>0</v>
      </c>
    </row>
    <row r="545" spans="1:25" x14ac:dyDescent="0.3">
      <c r="A545" s="253" t="s">
        <v>504</v>
      </c>
      <c r="B545" s="252">
        <v>0</v>
      </c>
      <c r="C545" s="252">
        <v>0</v>
      </c>
      <c r="D545" s="252">
        <v>0</v>
      </c>
      <c r="E545" s="252"/>
      <c r="F545" s="252">
        <v>0</v>
      </c>
      <c r="G545" s="252">
        <v>0</v>
      </c>
      <c r="H545" s="252">
        <v>0</v>
      </c>
      <c r="I545" s="252"/>
      <c r="J545" s="252"/>
      <c r="K545" s="252">
        <v>0</v>
      </c>
      <c r="L545" s="252"/>
      <c r="M545" s="252">
        <v>0</v>
      </c>
      <c r="N545" s="252">
        <v>0</v>
      </c>
      <c r="O545" s="252">
        <v>0</v>
      </c>
      <c r="P545" s="252"/>
      <c r="Q545" s="252">
        <v>0</v>
      </c>
      <c r="R545" s="252"/>
      <c r="S545" s="252"/>
      <c r="T545" s="252">
        <v>0</v>
      </c>
      <c r="U545" s="252"/>
      <c r="V545" s="252">
        <v>0</v>
      </c>
      <c r="W545" s="252">
        <v>0</v>
      </c>
      <c r="X545" s="252"/>
      <c r="Y545" s="252">
        <v>0</v>
      </c>
    </row>
    <row r="546" spans="1:25" x14ac:dyDescent="0.3">
      <c r="A546" s="253" t="s">
        <v>505</v>
      </c>
      <c r="B546" s="252">
        <v>0</v>
      </c>
      <c r="C546" s="252">
        <v>0</v>
      </c>
      <c r="D546" s="252">
        <v>0</v>
      </c>
      <c r="E546" s="252"/>
      <c r="F546" s="252">
        <v>0</v>
      </c>
      <c r="G546" s="252">
        <v>0</v>
      </c>
      <c r="H546" s="252">
        <v>0</v>
      </c>
      <c r="I546" s="252"/>
      <c r="J546" s="252"/>
      <c r="K546" s="252">
        <v>0</v>
      </c>
      <c r="L546" s="252"/>
      <c r="M546" s="252">
        <v>0</v>
      </c>
      <c r="N546" s="252">
        <v>0</v>
      </c>
      <c r="O546" s="252">
        <v>0</v>
      </c>
      <c r="P546" s="252"/>
      <c r="Q546" s="252">
        <v>0</v>
      </c>
      <c r="R546" s="252"/>
      <c r="S546" s="252"/>
      <c r="T546" s="252">
        <v>0</v>
      </c>
      <c r="U546" s="252"/>
      <c r="V546" s="252">
        <v>0</v>
      </c>
      <c r="W546" s="252">
        <v>0</v>
      </c>
      <c r="X546" s="252"/>
      <c r="Y546" s="252">
        <v>0</v>
      </c>
    </row>
    <row r="547" spans="1:25" x14ac:dyDescent="0.3">
      <c r="A547" s="253" t="s">
        <v>506</v>
      </c>
      <c r="B547" s="252">
        <v>0</v>
      </c>
      <c r="C547" s="252">
        <v>0</v>
      </c>
      <c r="D547" s="252">
        <v>0</v>
      </c>
      <c r="E547" s="252"/>
      <c r="F547" s="252">
        <v>0</v>
      </c>
      <c r="G547" s="252">
        <v>0</v>
      </c>
      <c r="H547" s="252">
        <v>0</v>
      </c>
      <c r="I547" s="252"/>
      <c r="J547" s="252"/>
      <c r="K547" s="252">
        <v>0</v>
      </c>
      <c r="L547" s="252"/>
      <c r="M547" s="252">
        <v>0</v>
      </c>
      <c r="N547" s="252">
        <v>0</v>
      </c>
      <c r="O547" s="252">
        <v>0</v>
      </c>
      <c r="P547" s="252"/>
      <c r="Q547" s="252">
        <v>0</v>
      </c>
      <c r="R547" s="252"/>
      <c r="S547" s="252"/>
      <c r="T547" s="252">
        <v>0</v>
      </c>
      <c r="U547" s="252"/>
      <c r="V547" s="252">
        <v>0</v>
      </c>
      <c r="W547" s="252">
        <v>0</v>
      </c>
      <c r="X547" s="252"/>
      <c r="Y547" s="252">
        <v>0</v>
      </c>
    </row>
    <row r="548" spans="1:25" x14ac:dyDescent="0.3">
      <c r="A548" s="253" t="s">
        <v>507</v>
      </c>
      <c r="B548" s="252">
        <v>0</v>
      </c>
      <c r="C548" s="252">
        <v>0</v>
      </c>
      <c r="D548" s="252">
        <v>0</v>
      </c>
      <c r="E548" s="252"/>
      <c r="F548" s="252">
        <v>0</v>
      </c>
      <c r="G548" s="252">
        <v>0</v>
      </c>
      <c r="H548" s="252">
        <v>0</v>
      </c>
      <c r="I548" s="252"/>
      <c r="J548" s="252"/>
      <c r="K548" s="252">
        <v>0</v>
      </c>
      <c r="L548" s="252"/>
      <c r="M548" s="252">
        <v>0</v>
      </c>
      <c r="N548" s="252">
        <v>0</v>
      </c>
      <c r="O548" s="252">
        <v>0</v>
      </c>
      <c r="P548" s="252"/>
      <c r="Q548" s="252">
        <v>0</v>
      </c>
      <c r="R548" s="252"/>
      <c r="S548" s="252"/>
      <c r="T548" s="252">
        <v>0</v>
      </c>
      <c r="U548" s="252"/>
      <c r="V548" s="252">
        <v>0</v>
      </c>
      <c r="W548" s="252">
        <v>0</v>
      </c>
      <c r="X548" s="252"/>
      <c r="Y548" s="252">
        <v>0</v>
      </c>
    </row>
    <row r="549" spans="1:25" x14ac:dyDescent="0.3">
      <c r="A549" s="253" t="s">
        <v>508</v>
      </c>
      <c r="B549" s="252">
        <v>0</v>
      </c>
      <c r="C549" s="252">
        <v>0</v>
      </c>
      <c r="D549" s="252">
        <v>0</v>
      </c>
      <c r="E549" s="252"/>
      <c r="F549" s="252">
        <v>0</v>
      </c>
      <c r="G549" s="252">
        <v>0</v>
      </c>
      <c r="H549" s="252">
        <v>0</v>
      </c>
      <c r="I549" s="252"/>
      <c r="J549" s="252"/>
      <c r="K549" s="252">
        <v>0</v>
      </c>
      <c r="L549" s="252"/>
      <c r="M549" s="252">
        <v>0</v>
      </c>
      <c r="N549" s="252">
        <v>0</v>
      </c>
      <c r="O549" s="252">
        <v>0</v>
      </c>
      <c r="P549" s="252"/>
      <c r="Q549" s="252">
        <v>0</v>
      </c>
      <c r="R549" s="252"/>
      <c r="S549" s="252"/>
      <c r="T549" s="252">
        <v>0</v>
      </c>
      <c r="U549" s="252"/>
      <c r="V549" s="252">
        <v>0</v>
      </c>
      <c r="W549" s="252">
        <v>0</v>
      </c>
      <c r="X549" s="252"/>
      <c r="Y549" s="252">
        <v>0</v>
      </c>
    </row>
    <row r="550" spans="1:25" x14ac:dyDescent="0.3">
      <c r="A550" s="253" t="s">
        <v>509</v>
      </c>
      <c r="B550" s="252">
        <v>0</v>
      </c>
      <c r="C550" s="252">
        <v>0</v>
      </c>
      <c r="D550" s="252">
        <v>0</v>
      </c>
      <c r="E550" s="252"/>
      <c r="F550" s="252">
        <v>0</v>
      </c>
      <c r="G550" s="252">
        <v>0</v>
      </c>
      <c r="H550" s="252">
        <v>0</v>
      </c>
      <c r="I550" s="252"/>
      <c r="J550" s="252"/>
      <c r="K550" s="252">
        <v>0</v>
      </c>
      <c r="L550" s="252"/>
      <c r="M550" s="252">
        <v>0</v>
      </c>
      <c r="N550" s="252">
        <v>0</v>
      </c>
      <c r="O550" s="252">
        <v>0</v>
      </c>
      <c r="P550" s="252"/>
      <c r="Q550" s="252">
        <v>0</v>
      </c>
      <c r="R550" s="252"/>
      <c r="S550" s="252"/>
      <c r="T550" s="252">
        <v>0</v>
      </c>
      <c r="U550" s="252"/>
      <c r="V550" s="252">
        <v>0</v>
      </c>
      <c r="W550" s="252">
        <v>0</v>
      </c>
      <c r="X550" s="252"/>
      <c r="Y550" s="252">
        <v>0</v>
      </c>
    </row>
    <row r="551" spans="1:25" x14ac:dyDescent="0.3">
      <c r="A551" s="253" t="s">
        <v>510</v>
      </c>
      <c r="B551" s="252">
        <v>0</v>
      </c>
      <c r="C551" s="252">
        <v>0</v>
      </c>
      <c r="D551" s="252">
        <v>0</v>
      </c>
      <c r="E551" s="252"/>
      <c r="F551" s="252">
        <v>0</v>
      </c>
      <c r="G551" s="252">
        <v>0</v>
      </c>
      <c r="H551" s="252">
        <v>0</v>
      </c>
      <c r="I551" s="252"/>
      <c r="J551" s="252"/>
      <c r="K551" s="252">
        <v>0</v>
      </c>
      <c r="L551" s="252"/>
      <c r="M551" s="252">
        <v>0</v>
      </c>
      <c r="N551" s="252">
        <v>0</v>
      </c>
      <c r="O551" s="252">
        <v>0</v>
      </c>
      <c r="P551" s="252"/>
      <c r="Q551" s="252">
        <v>0</v>
      </c>
      <c r="R551" s="252"/>
      <c r="S551" s="252"/>
      <c r="T551" s="252">
        <v>0</v>
      </c>
      <c r="U551" s="252"/>
      <c r="V551" s="252">
        <v>0</v>
      </c>
      <c r="W551" s="252">
        <v>0</v>
      </c>
      <c r="X551" s="252"/>
      <c r="Y551" s="252">
        <v>0</v>
      </c>
    </row>
    <row r="552" spans="1:25" x14ac:dyDescent="0.3">
      <c r="A552" s="253" t="s">
        <v>511</v>
      </c>
      <c r="B552" s="252">
        <v>0</v>
      </c>
      <c r="C552" s="252">
        <v>0</v>
      </c>
      <c r="D552" s="252">
        <v>0</v>
      </c>
      <c r="E552" s="252"/>
      <c r="F552" s="252">
        <v>0</v>
      </c>
      <c r="G552" s="252">
        <v>0</v>
      </c>
      <c r="H552" s="252">
        <v>0</v>
      </c>
      <c r="I552" s="252"/>
      <c r="J552" s="252"/>
      <c r="K552" s="252">
        <v>0</v>
      </c>
      <c r="L552" s="252"/>
      <c r="M552" s="252">
        <v>0</v>
      </c>
      <c r="N552" s="252">
        <v>0</v>
      </c>
      <c r="O552" s="252">
        <v>0</v>
      </c>
      <c r="P552" s="252"/>
      <c r="Q552" s="252">
        <v>0</v>
      </c>
      <c r="R552" s="252"/>
      <c r="S552" s="252"/>
      <c r="T552" s="252">
        <v>0</v>
      </c>
      <c r="U552" s="252"/>
      <c r="V552" s="252">
        <v>0</v>
      </c>
      <c r="W552" s="252">
        <v>0</v>
      </c>
      <c r="X552" s="252"/>
      <c r="Y552" s="252">
        <v>0</v>
      </c>
    </row>
    <row r="553" spans="1:25" x14ac:dyDescent="0.3">
      <c r="A553" s="253" t="s">
        <v>512</v>
      </c>
      <c r="B553" s="252">
        <v>0</v>
      </c>
      <c r="C553" s="252">
        <v>0</v>
      </c>
      <c r="D553" s="252">
        <v>0</v>
      </c>
      <c r="E553" s="252"/>
      <c r="F553" s="252">
        <v>0</v>
      </c>
      <c r="G553" s="252">
        <v>0</v>
      </c>
      <c r="H553" s="252">
        <v>0</v>
      </c>
      <c r="I553" s="252"/>
      <c r="J553" s="252"/>
      <c r="K553" s="252">
        <v>0</v>
      </c>
      <c r="L553" s="252"/>
      <c r="M553" s="252">
        <v>0</v>
      </c>
      <c r="N553" s="252">
        <v>0</v>
      </c>
      <c r="O553" s="252">
        <v>0</v>
      </c>
      <c r="P553" s="252"/>
      <c r="Q553" s="252">
        <v>0</v>
      </c>
      <c r="R553" s="252"/>
      <c r="S553" s="252"/>
      <c r="T553" s="252">
        <v>0</v>
      </c>
      <c r="U553" s="252"/>
      <c r="V553" s="252">
        <v>0</v>
      </c>
      <c r="W553" s="252">
        <v>0</v>
      </c>
      <c r="X553" s="252"/>
      <c r="Y553" s="252">
        <v>0</v>
      </c>
    </row>
    <row r="554" spans="1:25" x14ac:dyDescent="0.3">
      <c r="A554" s="253" t="s">
        <v>513</v>
      </c>
      <c r="B554" s="252">
        <v>0</v>
      </c>
      <c r="C554" s="252">
        <v>0</v>
      </c>
      <c r="D554" s="252">
        <v>0</v>
      </c>
      <c r="E554" s="252"/>
      <c r="F554" s="252">
        <v>0</v>
      </c>
      <c r="G554" s="252">
        <v>0</v>
      </c>
      <c r="H554" s="252">
        <v>0</v>
      </c>
      <c r="I554" s="252"/>
      <c r="J554" s="252"/>
      <c r="K554" s="252">
        <v>0</v>
      </c>
      <c r="L554" s="252"/>
      <c r="M554" s="252">
        <v>0</v>
      </c>
      <c r="N554" s="252">
        <v>0</v>
      </c>
      <c r="O554" s="252">
        <v>0</v>
      </c>
      <c r="P554" s="252"/>
      <c r="Q554" s="252">
        <v>0</v>
      </c>
      <c r="R554" s="252"/>
      <c r="S554" s="252"/>
      <c r="T554" s="252">
        <v>0</v>
      </c>
      <c r="U554" s="252"/>
      <c r="V554" s="252">
        <v>0</v>
      </c>
      <c r="W554" s="252">
        <v>0</v>
      </c>
      <c r="X554" s="252"/>
      <c r="Y554" s="252">
        <v>0</v>
      </c>
    </row>
    <row r="555" spans="1:25" x14ac:dyDescent="0.3">
      <c r="A555" s="253" t="s">
        <v>514</v>
      </c>
      <c r="B555" s="252">
        <v>0</v>
      </c>
      <c r="C555" s="252">
        <v>0</v>
      </c>
      <c r="D555" s="252">
        <v>0</v>
      </c>
      <c r="E555" s="252"/>
      <c r="F555" s="252">
        <v>0</v>
      </c>
      <c r="G555" s="252">
        <v>0</v>
      </c>
      <c r="H555" s="252">
        <v>0</v>
      </c>
      <c r="I555" s="252"/>
      <c r="J555" s="252"/>
      <c r="K555" s="252">
        <v>0</v>
      </c>
      <c r="L555" s="252"/>
      <c r="M555" s="252">
        <v>0</v>
      </c>
      <c r="N555" s="252">
        <v>0</v>
      </c>
      <c r="O555" s="252">
        <v>0</v>
      </c>
      <c r="P555" s="252"/>
      <c r="Q555" s="252">
        <v>0</v>
      </c>
      <c r="R555" s="252"/>
      <c r="S555" s="252"/>
      <c r="T555" s="252">
        <v>0</v>
      </c>
      <c r="U555" s="252"/>
      <c r="V555" s="252">
        <v>0</v>
      </c>
      <c r="W555" s="252">
        <v>0</v>
      </c>
      <c r="X555" s="252"/>
      <c r="Y555" s="252">
        <v>0</v>
      </c>
    </row>
    <row r="556" spans="1:25" x14ac:dyDescent="0.3">
      <c r="A556" s="253" t="s">
        <v>515</v>
      </c>
      <c r="B556" s="252">
        <v>0</v>
      </c>
      <c r="C556" s="252">
        <v>0</v>
      </c>
      <c r="D556" s="252">
        <v>0</v>
      </c>
      <c r="E556" s="252"/>
      <c r="F556" s="252">
        <v>0</v>
      </c>
      <c r="G556" s="252">
        <v>0</v>
      </c>
      <c r="H556" s="252">
        <v>0</v>
      </c>
      <c r="I556" s="252"/>
      <c r="J556" s="252"/>
      <c r="K556" s="252">
        <v>0</v>
      </c>
      <c r="L556" s="252"/>
      <c r="M556" s="252">
        <v>0</v>
      </c>
      <c r="N556" s="252">
        <v>0</v>
      </c>
      <c r="O556" s="252">
        <v>0</v>
      </c>
      <c r="P556" s="252"/>
      <c r="Q556" s="252">
        <v>0</v>
      </c>
      <c r="R556" s="252"/>
      <c r="S556" s="252"/>
      <c r="T556" s="252">
        <v>0</v>
      </c>
      <c r="U556" s="252"/>
      <c r="V556" s="252">
        <v>0</v>
      </c>
      <c r="W556" s="252">
        <v>0</v>
      </c>
      <c r="X556" s="252"/>
      <c r="Y556" s="252">
        <v>0</v>
      </c>
    </row>
    <row r="557" spans="1:25" x14ac:dyDescent="0.3">
      <c r="A557" s="253" t="s">
        <v>516</v>
      </c>
      <c r="B557" s="252">
        <v>0</v>
      </c>
      <c r="C557" s="252">
        <v>0</v>
      </c>
      <c r="D557" s="252">
        <v>0</v>
      </c>
      <c r="E557" s="252"/>
      <c r="F557" s="252">
        <v>0</v>
      </c>
      <c r="G557" s="252">
        <v>0</v>
      </c>
      <c r="H557" s="252">
        <v>0</v>
      </c>
      <c r="I557" s="252"/>
      <c r="J557" s="252"/>
      <c r="K557" s="252">
        <v>0</v>
      </c>
      <c r="L557" s="252"/>
      <c r="M557" s="252">
        <v>0</v>
      </c>
      <c r="N557" s="252">
        <v>0</v>
      </c>
      <c r="O557" s="252">
        <v>0</v>
      </c>
      <c r="P557" s="252"/>
      <c r="Q557" s="252">
        <v>0</v>
      </c>
      <c r="R557" s="252"/>
      <c r="S557" s="252"/>
      <c r="T557" s="252">
        <v>0</v>
      </c>
      <c r="U557" s="252"/>
      <c r="V557" s="252">
        <v>0</v>
      </c>
      <c r="W557" s="252">
        <v>0</v>
      </c>
      <c r="X557" s="252"/>
      <c r="Y557" s="252">
        <v>0</v>
      </c>
    </row>
    <row r="558" spans="1:25" x14ac:dyDescent="0.3">
      <c r="A558" s="253" t="s">
        <v>517</v>
      </c>
      <c r="B558" s="252">
        <v>0</v>
      </c>
      <c r="C558" s="252">
        <v>0</v>
      </c>
      <c r="D558" s="252">
        <v>0</v>
      </c>
      <c r="E558" s="252"/>
      <c r="F558" s="252">
        <v>0</v>
      </c>
      <c r="G558" s="252">
        <v>0</v>
      </c>
      <c r="H558" s="252">
        <v>0</v>
      </c>
      <c r="I558" s="252"/>
      <c r="J558" s="252"/>
      <c r="K558" s="252">
        <v>0</v>
      </c>
      <c r="L558" s="252"/>
      <c r="M558" s="252">
        <v>0</v>
      </c>
      <c r="N558" s="252">
        <v>0</v>
      </c>
      <c r="O558" s="252">
        <v>0</v>
      </c>
      <c r="P558" s="252"/>
      <c r="Q558" s="252">
        <v>0</v>
      </c>
      <c r="R558" s="252"/>
      <c r="S558" s="252"/>
      <c r="T558" s="252">
        <v>0</v>
      </c>
      <c r="U558" s="252"/>
      <c r="V558" s="252">
        <v>0</v>
      </c>
      <c r="W558" s="252">
        <v>0</v>
      </c>
      <c r="X558" s="252"/>
      <c r="Y558" s="252">
        <v>0</v>
      </c>
    </row>
    <row r="559" spans="1:25" x14ac:dyDescent="0.3">
      <c r="A559" s="253" t="s">
        <v>518</v>
      </c>
      <c r="B559" s="252">
        <v>0</v>
      </c>
      <c r="C559" s="252">
        <v>0</v>
      </c>
      <c r="D559" s="252">
        <v>0</v>
      </c>
      <c r="E559" s="252"/>
      <c r="F559" s="252">
        <v>0</v>
      </c>
      <c r="G559" s="252">
        <v>0</v>
      </c>
      <c r="H559" s="252">
        <v>0</v>
      </c>
      <c r="I559" s="252"/>
      <c r="J559" s="252"/>
      <c r="K559" s="252">
        <v>0</v>
      </c>
      <c r="L559" s="252"/>
      <c r="M559" s="252">
        <v>0</v>
      </c>
      <c r="N559" s="252">
        <v>0</v>
      </c>
      <c r="O559" s="252">
        <v>0</v>
      </c>
      <c r="P559" s="252"/>
      <c r="Q559" s="252">
        <v>0</v>
      </c>
      <c r="R559" s="252"/>
      <c r="S559" s="252"/>
      <c r="T559" s="252">
        <v>0</v>
      </c>
      <c r="U559" s="252"/>
      <c r="V559" s="252">
        <v>0</v>
      </c>
      <c r="W559" s="252">
        <v>0</v>
      </c>
      <c r="X559" s="252"/>
      <c r="Y559" s="252">
        <v>0</v>
      </c>
    </row>
    <row r="560" spans="1:25" x14ac:dyDescent="0.3">
      <c r="A560" s="253" t="s">
        <v>519</v>
      </c>
      <c r="B560" s="252">
        <v>0</v>
      </c>
      <c r="C560" s="252">
        <v>0</v>
      </c>
      <c r="D560" s="252">
        <v>0</v>
      </c>
      <c r="E560" s="252"/>
      <c r="F560" s="252">
        <v>0</v>
      </c>
      <c r="G560" s="252">
        <v>0</v>
      </c>
      <c r="H560" s="252">
        <v>0</v>
      </c>
      <c r="I560" s="252"/>
      <c r="J560" s="252"/>
      <c r="K560" s="252">
        <v>0</v>
      </c>
      <c r="L560" s="252"/>
      <c r="M560" s="252">
        <v>0</v>
      </c>
      <c r="N560" s="252">
        <v>0</v>
      </c>
      <c r="O560" s="252">
        <v>0</v>
      </c>
      <c r="P560" s="252"/>
      <c r="Q560" s="252">
        <v>0</v>
      </c>
      <c r="R560" s="252"/>
      <c r="S560" s="252"/>
      <c r="T560" s="252">
        <v>0</v>
      </c>
      <c r="U560" s="252"/>
      <c r="V560" s="252">
        <v>0</v>
      </c>
      <c r="W560" s="252">
        <v>0</v>
      </c>
      <c r="X560" s="252"/>
      <c r="Y560" s="252">
        <v>0</v>
      </c>
    </row>
    <row r="561" spans="1:25" x14ac:dyDescent="0.3">
      <c r="A561" s="253" t="s">
        <v>520</v>
      </c>
      <c r="B561" s="252">
        <v>0</v>
      </c>
      <c r="C561" s="252">
        <v>0</v>
      </c>
      <c r="D561" s="252">
        <v>0</v>
      </c>
      <c r="E561" s="252"/>
      <c r="F561" s="252">
        <v>0</v>
      </c>
      <c r="G561" s="252">
        <v>0</v>
      </c>
      <c r="H561" s="252">
        <v>0</v>
      </c>
      <c r="I561" s="252"/>
      <c r="J561" s="252"/>
      <c r="K561" s="252">
        <v>0</v>
      </c>
      <c r="L561" s="252"/>
      <c r="M561" s="252">
        <v>0</v>
      </c>
      <c r="N561" s="252">
        <v>0</v>
      </c>
      <c r="O561" s="252">
        <v>0</v>
      </c>
      <c r="P561" s="252"/>
      <c r="Q561" s="252">
        <v>0</v>
      </c>
      <c r="R561" s="252"/>
      <c r="S561" s="252"/>
      <c r="T561" s="252">
        <v>0</v>
      </c>
      <c r="U561" s="252"/>
      <c r="V561" s="252">
        <v>0</v>
      </c>
      <c r="W561" s="252">
        <v>0</v>
      </c>
      <c r="X561" s="252"/>
      <c r="Y561" s="252">
        <v>0</v>
      </c>
    </row>
    <row r="562" spans="1:25" x14ac:dyDescent="0.3">
      <c r="A562" s="253" t="s">
        <v>521</v>
      </c>
      <c r="B562" s="252">
        <v>0</v>
      </c>
      <c r="C562" s="252">
        <v>0</v>
      </c>
      <c r="D562" s="252">
        <v>0</v>
      </c>
      <c r="E562" s="252"/>
      <c r="F562" s="252">
        <v>0</v>
      </c>
      <c r="G562" s="252">
        <v>0</v>
      </c>
      <c r="H562" s="252">
        <v>0</v>
      </c>
      <c r="I562" s="252"/>
      <c r="J562" s="252"/>
      <c r="K562" s="252">
        <v>0</v>
      </c>
      <c r="L562" s="252"/>
      <c r="M562" s="252">
        <v>0</v>
      </c>
      <c r="N562" s="252">
        <v>0</v>
      </c>
      <c r="O562" s="252">
        <v>0</v>
      </c>
      <c r="P562" s="252"/>
      <c r="Q562" s="252">
        <v>0</v>
      </c>
      <c r="R562" s="252"/>
      <c r="S562" s="252"/>
      <c r="T562" s="252">
        <v>0</v>
      </c>
      <c r="U562" s="252"/>
      <c r="V562" s="252">
        <v>0</v>
      </c>
      <c r="W562" s="252">
        <v>0</v>
      </c>
      <c r="X562" s="252"/>
      <c r="Y562" s="252">
        <v>0</v>
      </c>
    </row>
    <row r="563" spans="1:25" x14ac:dyDescent="0.3">
      <c r="A563" s="253" t="s">
        <v>522</v>
      </c>
      <c r="B563" s="252">
        <v>0</v>
      </c>
      <c r="C563" s="252">
        <v>0</v>
      </c>
      <c r="D563" s="252">
        <v>0</v>
      </c>
      <c r="E563" s="252"/>
      <c r="F563" s="252">
        <v>0</v>
      </c>
      <c r="G563" s="252">
        <v>0</v>
      </c>
      <c r="H563" s="252">
        <v>0</v>
      </c>
      <c r="I563" s="252"/>
      <c r="J563" s="252"/>
      <c r="K563" s="252">
        <v>0</v>
      </c>
      <c r="L563" s="252"/>
      <c r="M563" s="252">
        <v>0</v>
      </c>
      <c r="N563" s="252">
        <v>0</v>
      </c>
      <c r="O563" s="252">
        <v>0</v>
      </c>
      <c r="P563" s="252"/>
      <c r="Q563" s="252">
        <v>0</v>
      </c>
      <c r="R563" s="252"/>
      <c r="S563" s="252"/>
      <c r="T563" s="252">
        <v>0</v>
      </c>
      <c r="U563" s="252"/>
      <c r="V563" s="252">
        <v>0</v>
      </c>
      <c r="W563" s="252">
        <v>0</v>
      </c>
      <c r="X563" s="252"/>
      <c r="Y563" s="252">
        <v>0</v>
      </c>
    </row>
    <row r="564" spans="1:25" x14ac:dyDescent="0.3">
      <c r="A564" s="253" t="s">
        <v>523</v>
      </c>
      <c r="B564" s="252">
        <v>0</v>
      </c>
      <c r="C564" s="252">
        <v>0</v>
      </c>
      <c r="D564" s="252">
        <v>0</v>
      </c>
      <c r="E564" s="252"/>
      <c r="F564" s="252">
        <v>0</v>
      </c>
      <c r="G564" s="252">
        <v>0</v>
      </c>
      <c r="H564" s="252">
        <v>0</v>
      </c>
      <c r="I564" s="252"/>
      <c r="J564" s="252"/>
      <c r="K564" s="252">
        <v>0</v>
      </c>
      <c r="L564" s="252"/>
      <c r="M564" s="252">
        <v>0</v>
      </c>
      <c r="N564" s="252">
        <v>0</v>
      </c>
      <c r="O564" s="252">
        <v>0</v>
      </c>
      <c r="P564" s="252"/>
      <c r="Q564" s="252">
        <v>0</v>
      </c>
      <c r="R564" s="252"/>
      <c r="S564" s="252"/>
      <c r="T564" s="252">
        <v>0</v>
      </c>
      <c r="U564" s="252"/>
      <c r="V564" s="252">
        <v>0</v>
      </c>
      <c r="W564" s="252">
        <v>0</v>
      </c>
      <c r="X564" s="252"/>
      <c r="Y564" s="252">
        <v>0</v>
      </c>
    </row>
    <row r="565" spans="1:25" x14ac:dyDescent="0.3">
      <c r="A565" s="253" t="s">
        <v>524</v>
      </c>
      <c r="B565" s="252">
        <v>0</v>
      </c>
      <c r="C565" s="252">
        <v>0</v>
      </c>
      <c r="D565" s="252">
        <v>0</v>
      </c>
      <c r="E565" s="252"/>
      <c r="F565" s="252">
        <v>0</v>
      </c>
      <c r="G565" s="252">
        <v>0</v>
      </c>
      <c r="H565" s="252">
        <v>0</v>
      </c>
      <c r="I565" s="252"/>
      <c r="J565" s="252"/>
      <c r="K565" s="252">
        <v>0</v>
      </c>
      <c r="L565" s="252"/>
      <c r="M565" s="252">
        <v>0</v>
      </c>
      <c r="N565" s="252">
        <v>0</v>
      </c>
      <c r="O565" s="252">
        <v>0</v>
      </c>
      <c r="P565" s="252"/>
      <c r="Q565" s="252">
        <v>0</v>
      </c>
      <c r="R565" s="252"/>
      <c r="S565" s="252"/>
      <c r="T565" s="252">
        <v>0</v>
      </c>
      <c r="U565" s="252"/>
      <c r="V565" s="252">
        <v>0</v>
      </c>
      <c r="W565" s="252">
        <v>0</v>
      </c>
      <c r="X565" s="252"/>
      <c r="Y565" s="252">
        <v>0</v>
      </c>
    </row>
    <row r="566" spans="1:25" x14ac:dyDescent="0.3">
      <c r="A566" s="253" t="s">
        <v>525</v>
      </c>
      <c r="B566" s="252">
        <v>0</v>
      </c>
      <c r="C566" s="252">
        <v>0</v>
      </c>
      <c r="D566" s="252">
        <v>0</v>
      </c>
      <c r="E566" s="252"/>
      <c r="F566" s="252">
        <v>0</v>
      </c>
      <c r="G566" s="252">
        <v>0</v>
      </c>
      <c r="H566" s="252">
        <v>0</v>
      </c>
      <c r="I566" s="252"/>
      <c r="J566" s="252"/>
      <c r="K566" s="252">
        <v>0</v>
      </c>
      <c r="L566" s="252"/>
      <c r="M566" s="252">
        <v>0</v>
      </c>
      <c r="N566" s="252">
        <v>0</v>
      </c>
      <c r="O566" s="252">
        <v>0</v>
      </c>
      <c r="P566" s="252"/>
      <c r="Q566" s="252">
        <v>0</v>
      </c>
      <c r="R566" s="252"/>
      <c r="S566" s="252"/>
      <c r="T566" s="252">
        <v>0</v>
      </c>
      <c r="U566" s="252"/>
      <c r="V566" s="252">
        <v>0</v>
      </c>
      <c r="W566" s="252">
        <v>0</v>
      </c>
      <c r="X566" s="252"/>
      <c r="Y566" s="252">
        <v>0</v>
      </c>
    </row>
    <row r="567" spans="1:25" x14ac:dyDescent="0.3">
      <c r="A567" s="253" t="s">
        <v>526</v>
      </c>
      <c r="B567" s="252">
        <v>0</v>
      </c>
      <c r="C567" s="252">
        <v>0</v>
      </c>
      <c r="D567" s="252">
        <v>0</v>
      </c>
      <c r="E567" s="252"/>
      <c r="F567" s="252">
        <v>0</v>
      </c>
      <c r="G567" s="252">
        <v>0</v>
      </c>
      <c r="H567" s="252">
        <v>0</v>
      </c>
      <c r="I567" s="252"/>
      <c r="J567" s="252"/>
      <c r="K567" s="252">
        <v>0</v>
      </c>
      <c r="L567" s="252"/>
      <c r="M567" s="252">
        <v>0</v>
      </c>
      <c r="N567" s="252">
        <v>0</v>
      </c>
      <c r="O567" s="252">
        <v>0</v>
      </c>
      <c r="P567" s="252"/>
      <c r="Q567" s="252">
        <v>0</v>
      </c>
      <c r="R567" s="252"/>
      <c r="S567" s="252"/>
      <c r="T567" s="252">
        <v>0</v>
      </c>
      <c r="U567" s="252"/>
      <c r="V567" s="252">
        <v>0</v>
      </c>
      <c r="W567" s="252">
        <v>0</v>
      </c>
      <c r="X567" s="252"/>
      <c r="Y567" s="252">
        <v>0</v>
      </c>
    </row>
    <row r="568" spans="1:25" x14ac:dyDescent="0.3">
      <c r="A568" s="253" t="s">
        <v>527</v>
      </c>
      <c r="B568" s="252">
        <v>0</v>
      </c>
      <c r="C568" s="252">
        <v>0</v>
      </c>
      <c r="D568" s="252">
        <v>0</v>
      </c>
      <c r="E568" s="252"/>
      <c r="F568" s="252">
        <v>0</v>
      </c>
      <c r="G568" s="252">
        <v>0</v>
      </c>
      <c r="H568" s="252">
        <v>0</v>
      </c>
      <c r="I568" s="252"/>
      <c r="J568" s="252"/>
      <c r="K568" s="252">
        <v>0</v>
      </c>
      <c r="L568" s="252"/>
      <c r="M568" s="252">
        <v>0</v>
      </c>
      <c r="N568" s="252">
        <v>0</v>
      </c>
      <c r="O568" s="252">
        <v>0</v>
      </c>
      <c r="P568" s="252"/>
      <c r="Q568" s="252">
        <v>0</v>
      </c>
      <c r="R568" s="252"/>
      <c r="S568" s="252"/>
      <c r="T568" s="252">
        <v>0</v>
      </c>
      <c r="U568" s="252"/>
      <c r="V568" s="252">
        <v>0</v>
      </c>
      <c r="W568" s="252">
        <v>0</v>
      </c>
      <c r="X568" s="252"/>
      <c r="Y568" s="252">
        <v>0</v>
      </c>
    </row>
    <row r="569" spans="1:25" x14ac:dyDescent="0.3">
      <c r="A569" s="253" t="s">
        <v>528</v>
      </c>
      <c r="B569" s="252">
        <v>0</v>
      </c>
      <c r="C569" s="252">
        <v>0</v>
      </c>
      <c r="D569" s="252">
        <v>0</v>
      </c>
      <c r="E569" s="252"/>
      <c r="F569" s="252">
        <v>0</v>
      </c>
      <c r="G569" s="252">
        <v>0</v>
      </c>
      <c r="H569" s="252">
        <v>0</v>
      </c>
      <c r="I569" s="252"/>
      <c r="J569" s="252"/>
      <c r="K569" s="252">
        <v>0</v>
      </c>
      <c r="L569" s="252"/>
      <c r="M569" s="252">
        <v>0</v>
      </c>
      <c r="N569" s="252">
        <v>0</v>
      </c>
      <c r="O569" s="252">
        <v>0</v>
      </c>
      <c r="P569" s="252"/>
      <c r="Q569" s="252">
        <v>0</v>
      </c>
      <c r="R569" s="252"/>
      <c r="S569" s="252"/>
      <c r="T569" s="252">
        <v>0</v>
      </c>
      <c r="U569" s="252"/>
      <c r="V569" s="252">
        <v>0</v>
      </c>
      <c r="W569" s="252">
        <v>0</v>
      </c>
      <c r="X569" s="252"/>
      <c r="Y569" s="252">
        <v>0</v>
      </c>
    </row>
    <row r="570" spans="1:25" x14ac:dyDescent="0.3">
      <c r="A570" s="253" t="s">
        <v>529</v>
      </c>
      <c r="B570" s="252">
        <v>0</v>
      </c>
      <c r="C570" s="252">
        <v>0</v>
      </c>
      <c r="D570" s="252">
        <v>0</v>
      </c>
      <c r="E570" s="252"/>
      <c r="F570" s="252">
        <v>0</v>
      </c>
      <c r="G570" s="252">
        <v>0</v>
      </c>
      <c r="H570" s="252">
        <v>0</v>
      </c>
      <c r="I570" s="252"/>
      <c r="J570" s="252"/>
      <c r="K570" s="252">
        <v>0</v>
      </c>
      <c r="L570" s="252"/>
      <c r="M570" s="252">
        <v>0</v>
      </c>
      <c r="N570" s="252">
        <v>0</v>
      </c>
      <c r="O570" s="252">
        <v>0</v>
      </c>
      <c r="P570" s="252"/>
      <c r="Q570" s="252">
        <v>0</v>
      </c>
      <c r="R570" s="252"/>
      <c r="S570" s="252"/>
      <c r="T570" s="252">
        <v>0</v>
      </c>
      <c r="U570" s="252"/>
      <c r="V570" s="252">
        <v>0</v>
      </c>
      <c r="W570" s="252">
        <v>0</v>
      </c>
      <c r="X570" s="252"/>
      <c r="Y570" s="252">
        <v>0</v>
      </c>
    </row>
    <row r="571" spans="1:25" x14ac:dyDescent="0.3">
      <c r="A571" s="253" t="s">
        <v>530</v>
      </c>
      <c r="B571" s="252">
        <v>0</v>
      </c>
      <c r="C571" s="252">
        <v>0</v>
      </c>
      <c r="D571" s="252">
        <v>0</v>
      </c>
      <c r="E571" s="252"/>
      <c r="F571" s="252">
        <v>0</v>
      </c>
      <c r="G571" s="252">
        <v>0</v>
      </c>
      <c r="H571" s="252">
        <v>0</v>
      </c>
      <c r="I571" s="252"/>
      <c r="J571" s="252"/>
      <c r="K571" s="252">
        <v>0</v>
      </c>
      <c r="L571" s="252"/>
      <c r="M571" s="252">
        <v>0</v>
      </c>
      <c r="N571" s="252">
        <v>0</v>
      </c>
      <c r="O571" s="252">
        <v>0</v>
      </c>
      <c r="P571" s="252"/>
      <c r="Q571" s="252">
        <v>0</v>
      </c>
      <c r="R571" s="252"/>
      <c r="S571" s="252"/>
      <c r="T571" s="252">
        <v>0</v>
      </c>
      <c r="U571" s="252"/>
      <c r="V571" s="252">
        <v>0</v>
      </c>
      <c r="W571" s="252">
        <v>0</v>
      </c>
      <c r="X571" s="252"/>
      <c r="Y571" s="252">
        <v>0</v>
      </c>
    </row>
    <row r="572" spans="1:25" x14ac:dyDescent="0.3">
      <c r="A572" s="253" t="s">
        <v>531</v>
      </c>
      <c r="B572" s="252">
        <v>0</v>
      </c>
      <c r="C572" s="252">
        <v>0</v>
      </c>
      <c r="D572" s="252">
        <v>0</v>
      </c>
      <c r="E572" s="252"/>
      <c r="F572" s="252">
        <v>0</v>
      </c>
      <c r="G572" s="252">
        <v>0</v>
      </c>
      <c r="H572" s="252">
        <v>0</v>
      </c>
      <c r="I572" s="252"/>
      <c r="J572" s="252"/>
      <c r="K572" s="252">
        <v>0</v>
      </c>
      <c r="L572" s="252"/>
      <c r="M572" s="252">
        <v>0</v>
      </c>
      <c r="N572" s="252">
        <v>0</v>
      </c>
      <c r="O572" s="252">
        <v>0</v>
      </c>
      <c r="P572" s="252"/>
      <c r="Q572" s="252">
        <v>0</v>
      </c>
      <c r="R572" s="252"/>
      <c r="S572" s="252"/>
      <c r="T572" s="252">
        <v>0</v>
      </c>
      <c r="U572" s="252"/>
      <c r="V572" s="252">
        <v>0</v>
      </c>
      <c r="W572" s="252">
        <v>0</v>
      </c>
      <c r="X572" s="252"/>
      <c r="Y572" s="252">
        <v>0</v>
      </c>
    </row>
    <row r="573" spans="1:25" x14ac:dyDescent="0.3">
      <c r="A573" s="253" t="s">
        <v>532</v>
      </c>
      <c r="B573" s="252">
        <v>0</v>
      </c>
      <c r="C573" s="252">
        <v>0</v>
      </c>
      <c r="D573" s="252">
        <v>0</v>
      </c>
      <c r="E573" s="252"/>
      <c r="F573" s="252">
        <v>0</v>
      </c>
      <c r="G573" s="252">
        <v>0</v>
      </c>
      <c r="H573" s="252">
        <v>0</v>
      </c>
      <c r="I573" s="252"/>
      <c r="J573" s="252"/>
      <c r="K573" s="252">
        <v>0</v>
      </c>
      <c r="L573" s="252"/>
      <c r="M573" s="252">
        <v>0</v>
      </c>
      <c r="N573" s="252">
        <v>0</v>
      </c>
      <c r="O573" s="252">
        <v>0</v>
      </c>
      <c r="P573" s="252"/>
      <c r="Q573" s="252">
        <v>0</v>
      </c>
      <c r="R573" s="252"/>
      <c r="S573" s="252"/>
      <c r="T573" s="252">
        <v>0</v>
      </c>
      <c r="U573" s="252"/>
      <c r="V573" s="252">
        <v>0</v>
      </c>
      <c r="W573" s="252">
        <v>0</v>
      </c>
      <c r="X573" s="252"/>
      <c r="Y573" s="252">
        <v>0</v>
      </c>
    </row>
    <row r="574" spans="1:25" x14ac:dyDescent="0.3">
      <c r="A574" s="253" t="s">
        <v>533</v>
      </c>
      <c r="B574" s="252">
        <v>0</v>
      </c>
      <c r="C574" s="252">
        <v>0</v>
      </c>
      <c r="D574" s="252">
        <v>0</v>
      </c>
      <c r="E574" s="252"/>
      <c r="F574" s="252">
        <v>0</v>
      </c>
      <c r="G574" s="252">
        <v>0</v>
      </c>
      <c r="H574" s="252">
        <v>0</v>
      </c>
      <c r="I574" s="252"/>
      <c r="J574" s="252"/>
      <c r="K574" s="252">
        <v>0</v>
      </c>
      <c r="L574" s="252"/>
      <c r="M574" s="252">
        <v>0</v>
      </c>
      <c r="N574" s="252">
        <v>0</v>
      </c>
      <c r="O574" s="252">
        <v>0</v>
      </c>
      <c r="P574" s="252"/>
      <c r="Q574" s="252">
        <v>0</v>
      </c>
      <c r="R574" s="252"/>
      <c r="S574" s="252"/>
      <c r="T574" s="252">
        <v>0</v>
      </c>
      <c r="U574" s="252"/>
      <c r="V574" s="252">
        <v>0</v>
      </c>
      <c r="W574" s="252">
        <v>0</v>
      </c>
      <c r="X574" s="252"/>
      <c r="Y574" s="252">
        <v>0</v>
      </c>
    </row>
    <row r="575" spans="1:25" x14ac:dyDescent="0.3">
      <c r="A575" s="253" t="s">
        <v>534</v>
      </c>
      <c r="B575" s="252">
        <v>0</v>
      </c>
      <c r="C575" s="252">
        <v>0</v>
      </c>
      <c r="D575" s="252">
        <v>0</v>
      </c>
      <c r="E575" s="252"/>
      <c r="F575" s="252">
        <v>0</v>
      </c>
      <c r="G575" s="252">
        <v>0</v>
      </c>
      <c r="H575" s="252">
        <v>0</v>
      </c>
      <c r="I575" s="252"/>
      <c r="J575" s="252"/>
      <c r="K575" s="252">
        <v>0</v>
      </c>
      <c r="L575" s="252"/>
      <c r="M575" s="252">
        <v>0</v>
      </c>
      <c r="N575" s="252">
        <v>0</v>
      </c>
      <c r="O575" s="252">
        <v>0</v>
      </c>
      <c r="P575" s="252"/>
      <c r="Q575" s="252">
        <v>0</v>
      </c>
      <c r="R575" s="252"/>
      <c r="S575" s="252"/>
      <c r="T575" s="252">
        <v>0</v>
      </c>
      <c r="U575" s="252"/>
      <c r="V575" s="252">
        <v>0</v>
      </c>
      <c r="W575" s="252">
        <v>0</v>
      </c>
      <c r="X575" s="252"/>
      <c r="Y575" s="252">
        <v>0</v>
      </c>
    </row>
    <row r="576" spans="1:25" x14ac:dyDescent="0.3">
      <c r="A576" s="253" t="s">
        <v>535</v>
      </c>
      <c r="B576" s="252">
        <v>0</v>
      </c>
      <c r="C576" s="252">
        <v>0</v>
      </c>
      <c r="D576" s="252">
        <v>0</v>
      </c>
      <c r="E576" s="252"/>
      <c r="F576" s="252">
        <v>0</v>
      </c>
      <c r="G576" s="252">
        <v>0</v>
      </c>
      <c r="H576" s="252">
        <v>0</v>
      </c>
      <c r="I576" s="252"/>
      <c r="J576" s="252"/>
      <c r="K576" s="252">
        <v>0</v>
      </c>
      <c r="L576" s="252"/>
      <c r="M576" s="252">
        <v>0</v>
      </c>
      <c r="N576" s="252">
        <v>0</v>
      </c>
      <c r="O576" s="252">
        <v>0</v>
      </c>
      <c r="P576" s="252"/>
      <c r="Q576" s="252">
        <v>0</v>
      </c>
      <c r="R576" s="252"/>
      <c r="S576" s="252"/>
      <c r="T576" s="252">
        <v>0</v>
      </c>
      <c r="U576" s="252"/>
      <c r="V576" s="252">
        <v>0</v>
      </c>
      <c r="W576" s="252">
        <v>0</v>
      </c>
      <c r="X576" s="252"/>
      <c r="Y576" s="252">
        <v>0</v>
      </c>
    </row>
    <row r="577" spans="1:25" x14ac:dyDescent="0.3">
      <c r="A577" s="253" t="s">
        <v>536</v>
      </c>
      <c r="B577" s="252">
        <v>0</v>
      </c>
      <c r="C577" s="252">
        <v>0</v>
      </c>
      <c r="D577" s="252">
        <v>0</v>
      </c>
      <c r="E577" s="252"/>
      <c r="F577" s="252">
        <v>0</v>
      </c>
      <c r="G577" s="252">
        <v>0</v>
      </c>
      <c r="H577" s="252">
        <v>0</v>
      </c>
      <c r="I577" s="252"/>
      <c r="J577" s="252"/>
      <c r="K577" s="252">
        <v>0</v>
      </c>
      <c r="L577" s="252"/>
      <c r="M577" s="252">
        <v>0</v>
      </c>
      <c r="N577" s="252">
        <v>0</v>
      </c>
      <c r="O577" s="252">
        <v>0</v>
      </c>
      <c r="P577" s="252"/>
      <c r="Q577" s="252">
        <v>0</v>
      </c>
      <c r="R577" s="252"/>
      <c r="S577" s="252"/>
      <c r="T577" s="252">
        <v>0</v>
      </c>
      <c r="U577" s="252"/>
      <c r="V577" s="252">
        <v>0</v>
      </c>
      <c r="W577" s="252">
        <v>0</v>
      </c>
      <c r="X577" s="252"/>
      <c r="Y577" s="252">
        <v>0</v>
      </c>
    </row>
    <row r="578" spans="1:25" x14ac:dyDescent="0.3">
      <c r="A578" s="253" t="s">
        <v>537</v>
      </c>
      <c r="B578" s="252">
        <v>0</v>
      </c>
      <c r="C578" s="252">
        <v>0</v>
      </c>
      <c r="D578" s="252">
        <v>0</v>
      </c>
      <c r="E578" s="252"/>
      <c r="F578" s="252">
        <v>0</v>
      </c>
      <c r="G578" s="252">
        <v>0</v>
      </c>
      <c r="H578" s="252">
        <v>0</v>
      </c>
      <c r="I578" s="252"/>
      <c r="J578" s="252"/>
      <c r="K578" s="252">
        <v>0</v>
      </c>
      <c r="L578" s="252"/>
      <c r="M578" s="252">
        <v>0</v>
      </c>
      <c r="N578" s="252">
        <v>0</v>
      </c>
      <c r="O578" s="252">
        <v>0</v>
      </c>
      <c r="P578" s="252"/>
      <c r="Q578" s="252">
        <v>0</v>
      </c>
      <c r="R578" s="252"/>
      <c r="S578" s="252"/>
      <c r="T578" s="252">
        <v>0</v>
      </c>
      <c r="U578" s="252"/>
      <c r="V578" s="252">
        <v>0</v>
      </c>
      <c r="W578" s="252">
        <v>0</v>
      </c>
      <c r="X578" s="252"/>
      <c r="Y578" s="252">
        <v>0</v>
      </c>
    </row>
    <row r="579" spans="1:25" x14ac:dyDescent="0.3">
      <c r="A579" s="253" t="s">
        <v>538</v>
      </c>
      <c r="B579" s="252">
        <v>0</v>
      </c>
      <c r="C579" s="252">
        <v>0</v>
      </c>
      <c r="D579" s="252">
        <v>0</v>
      </c>
      <c r="E579" s="252"/>
      <c r="F579" s="252">
        <v>0</v>
      </c>
      <c r="G579" s="252">
        <v>0</v>
      </c>
      <c r="H579" s="252">
        <v>0</v>
      </c>
      <c r="I579" s="252"/>
      <c r="J579" s="252"/>
      <c r="K579" s="252">
        <v>0</v>
      </c>
      <c r="L579" s="252"/>
      <c r="M579" s="252">
        <v>0</v>
      </c>
      <c r="N579" s="252">
        <v>0</v>
      </c>
      <c r="O579" s="252">
        <v>0</v>
      </c>
      <c r="P579" s="252"/>
      <c r="Q579" s="252">
        <v>0</v>
      </c>
      <c r="R579" s="252"/>
      <c r="S579" s="252"/>
      <c r="T579" s="252">
        <v>0</v>
      </c>
      <c r="U579" s="252"/>
      <c r="V579" s="252">
        <v>0</v>
      </c>
      <c r="W579" s="252">
        <v>0</v>
      </c>
      <c r="X579" s="252"/>
      <c r="Y579" s="252">
        <v>0</v>
      </c>
    </row>
    <row r="580" spans="1:25" x14ac:dyDescent="0.3">
      <c r="A580" s="253" t="s">
        <v>539</v>
      </c>
      <c r="B580" s="252">
        <v>0</v>
      </c>
      <c r="C580" s="252">
        <v>0</v>
      </c>
      <c r="D580" s="252">
        <v>0</v>
      </c>
      <c r="E580" s="252"/>
      <c r="F580" s="252">
        <v>0</v>
      </c>
      <c r="G580" s="252">
        <v>0</v>
      </c>
      <c r="H580" s="252">
        <v>0</v>
      </c>
      <c r="I580" s="252"/>
      <c r="J580" s="252"/>
      <c r="K580" s="252">
        <v>0</v>
      </c>
      <c r="L580" s="252"/>
      <c r="M580" s="252">
        <v>0</v>
      </c>
      <c r="N580" s="252">
        <v>0</v>
      </c>
      <c r="O580" s="252">
        <v>0</v>
      </c>
      <c r="P580" s="252"/>
      <c r="Q580" s="252">
        <v>0</v>
      </c>
      <c r="R580" s="252"/>
      <c r="S580" s="252"/>
      <c r="T580" s="252">
        <v>0</v>
      </c>
      <c r="U580" s="252"/>
      <c r="V580" s="252">
        <v>0</v>
      </c>
      <c r="W580" s="252">
        <v>0</v>
      </c>
      <c r="X580" s="252"/>
      <c r="Y580" s="252">
        <v>0</v>
      </c>
    </row>
    <row r="581" spans="1:25" x14ac:dyDescent="0.3">
      <c r="A581" s="253" t="s">
        <v>540</v>
      </c>
      <c r="B581" s="252">
        <v>0</v>
      </c>
      <c r="C581" s="252">
        <v>0</v>
      </c>
      <c r="D581" s="252">
        <v>0</v>
      </c>
      <c r="E581" s="252"/>
      <c r="F581" s="252">
        <v>0</v>
      </c>
      <c r="G581" s="252">
        <v>0</v>
      </c>
      <c r="H581" s="252">
        <v>0</v>
      </c>
      <c r="I581" s="252"/>
      <c r="J581" s="252"/>
      <c r="K581" s="252">
        <v>0</v>
      </c>
      <c r="L581" s="252"/>
      <c r="M581" s="252">
        <v>0</v>
      </c>
      <c r="N581" s="252">
        <v>0</v>
      </c>
      <c r="O581" s="252">
        <v>0</v>
      </c>
      <c r="P581" s="252"/>
      <c r="Q581" s="252">
        <v>0</v>
      </c>
      <c r="R581" s="252"/>
      <c r="S581" s="252"/>
      <c r="T581" s="252">
        <v>0</v>
      </c>
      <c r="U581" s="252"/>
      <c r="V581" s="252">
        <v>0</v>
      </c>
      <c r="W581" s="252">
        <v>0</v>
      </c>
      <c r="X581" s="252"/>
      <c r="Y581" s="252">
        <v>0</v>
      </c>
    </row>
    <row r="582" spans="1:25" x14ac:dyDescent="0.3">
      <c r="A582" s="253" t="s">
        <v>541</v>
      </c>
      <c r="B582" s="252">
        <v>0</v>
      </c>
      <c r="C582" s="252">
        <v>0</v>
      </c>
      <c r="D582" s="252">
        <v>0</v>
      </c>
      <c r="E582" s="252"/>
      <c r="F582" s="252">
        <v>0</v>
      </c>
      <c r="G582" s="252">
        <v>0</v>
      </c>
      <c r="H582" s="252">
        <v>0</v>
      </c>
      <c r="I582" s="252"/>
      <c r="J582" s="252"/>
      <c r="K582" s="252">
        <v>0</v>
      </c>
      <c r="L582" s="252"/>
      <c r="M582" s="252">
        <v>0</v>
      </c>
      <c r="N582" s="252">
        <v>0</v>
      </c>
      <c r="O582" s="252">
        <v>0</v>
      </c>
      <c r="P582" s="252"/>
      <c r="Q582" s="252">
        <v>0</v>
      </c>
      <c r="R582" s="252"/>
      <c r="S582" s="252"/>
      <c r="T582" s="252">
        <v>0</v>
      </c>
      <c r="U582" s="252"/>
      <c r="V582" s="252">
        <v>0</v>
      </c>
      <c r="W582" s="252">
        <v>0</v>
      </c>
      <c r="X582" s="252"/>
      <c r="Y582" s="252">
        <v>0</v>
      </c>
    </row>
    <row r="583" spans="1:25" x14ac:dyDescent="0.3">
      <c r="A583" s="253" t="s">
        <v>542</v>
      </c>
      <c r="B583" s="252">
        <v>0</v>
      </c>
      <c r="C583" s="252">
        <v>0</v>
      </c>
      <c r="D583" s="252">
        <v>0</v>
      </c>
      <c r="E583" s="252"/>
      <c r="F583" s="252">
        <v>0</v>
      </c>
      <c r="G583" s="252">
        <v>0</v>
      </c>
      <c r="H583" s="252">
        <v>0</v>
      </c>
      <c r="I583" s="252"/>
      <c r="J583" s="252"/>
      <c r="K583" s="252">
        <v>0</v>
      </c>
      <c r="L583" s="252"/>
      <c r="M583" s="252">
        <v>0</v>
      </c>
      <c r="N583" s="252">
        <v>0</v>
      </c>
      <c r="O583" s="252">
        <v>0</v>
      </c>
      <c r="P583" s="252"/>
      <c r="Q583" s="252">
        <v>0</v>
      </c>
      <c r="R583" s="252"/>
      <c r="S583" s="252"/>
      <c r="T583" s="252">
        <v>0</v>
      </c>
      <c r="U583" s="252"/>
      <c r="V583" s="252">
        <v>0</v>
      </c>
      <c r="W583" s="252">
        <v>0</v>
      </c>
      <c r="X583" s="252"/>
      <c r="Y583" s="252">
        <v>0</v>
      </c>
    </row>
    <row r="584" spans="1:25" x14ac:dyDescent="0.3">
      <c r="A584" s="253" t="s">
        <v>543</v>
      </c>
      <c r="B584" s="252">
        <v>0</v>
      </c>
      <c r="C584" s="252">
        <v>0</v>
      </c>
      <c r="D584" s="252">
        <v>0</v>
      </c>
      <c r="E584" s="252"/>
      <c r="F584" s="252">
        <v>0</v>
      </c>
      <c r="G584" s="252">
        <v>0</v>
      </c>
      <c r="H584" s="252">
        <v>0</v>
      </c>
      <c r="I584" s="252"/>
      <c r="J584" s="252"/>
      <c r="K584" s="252">
        <v>0</v>
      </c>
      <c r="L584" s="252"/>
      <c r="M584" s="252">
        <v>0</v>
      </c>
      <c r="N584" s="252">
        <v>0</v>
      </c>
      <c r="O584" s="252">
        <v>0</v>
      </c>
      <c r="P584" s="252"/>
      <c r="Q584" s="252">
        <v>0</v>
      </c>
      <c r="R584" s="252"/>
      <c r="S584" s="252"/>
      <c r="T584" s="252">
        <v>0</v>
      </c>
      <c r="U584" s="252"/>
      <c r="V584" s="252">
        <v>0</v>
      </c>
      <c r="W584" s="252">
        <v>0</v>
      </c>
      <c r="X584" s="252"/>
      <c r="Y584" s="252">
        <v>0</v>
      </c>
    </row>
    <row r="585" spans="1:25" x14ac:dyDescent="0.3">
      <c r="A585" s="253" t="s">
        <v>544</v>
      </c>
      <c r="B585" s="252">
        <v>0</v>
      </c>
      <c r="C585" s="252">
        <v>0</v>
      </c>
      <c r="D585" s="252">
        <v>0</v>
      </c>
      <c r="E585" s="252">
        <v>0</v>
      </c>
      <c r="F585" s="252">
        <v>0</v>
      </c>
      <c r="G585" s="252">
        <v>0</v>
      </c>
      <c r="H585" s="252">
        <v>0</v>
      </c>
      <c r="I585" s="252"/>
      <c r="J585" s="252"/>
      <c r="K585" s="252">
        <v>0</v>
      </c>
      <c r="L585" s="252"/>
      <c r="M585" s="252">
        <v>0</v>
      </c>
      <c r="N585" s="252">
        <v>0</v>
      </c>
      <c r="O585" s="252">
        <v>0</v>
      </c>
      <c r="P585" s="252"/>
      <c r="Q585" s="252">
        <v>0</v>
      </c>
      <c r="R585" s="252"/>
      <c r="S585" s="252">
        <v>0</v>
      </c>
      <c r="T585" s="252">
        <v>0</v>
      </c>
      <c r="U585" s="252"/>
      <c r="V585" s="252">
        <v>0</v>
      </c>
      <c r="W585" s="252">
        <v>0</v>
      </c>
      <c r="X585" s="252"/>
      <c r="Y585" s="252">
        <v>0</v>
      </c>
    </row>
    <row r="586" spans="1:25" x14ac:dyDescent="0.3">
      <c r="A586" s="253" t="s">
        <v>545</v>
      </c>
      <c r="B586" s="252">
        <v>0</v>
      </c>
      <c r="C586" s="252">
        <v>0</v>
      </c>
      <c r="D586" s="252">
        <v>0</v>
      </c>
      <c r="E586" s="252">
        <v>0</v>
      </c>
      <c r="F586" s="252">
        <v>0</v>
      </c>
      <c r="G586" s="252">
        <v>0</v>
      </c>
      <c r="H586" s="252">
        <v>0</v>
      </c>
      <c r="I586" s="252"/>
      <c r="J586" s="252">
        <v>0</v>
      </c>
      <c r="K586" s="252">
        <v>0</v>
      </c>
      <c r="L586" s="252"/>
      <c r="M586" s="252">
        <v>0</v>
      </c>
      <c r="N586" s="252">
        <v>0</v>
      </c>
      <c r="O586" s="252">
        <v>0</v>
      </c>
      <c r="P586" s="252"/>
      <c r="Q586" s="252">
        <v>0</v>
      </c>
      <c r="R586" s="252"/>
      <c r="S586" s="252">
        <v>0</v>
      </c>
      <c r="T586" s="252">
        <v>0</v>
      </c>
      <c r="U586" s="252"/>
      <c r="V586" s="252">
        <v>0</v>
      </c>
      <c r="W586" s="252">
        <v>0</v>
      </c>
      <c r="X586" s="252"/>
      <c r="Y586" s="252">
        <v>0</v>
      </c>
    </row>
    <row r="587" spans="1:25" x14ac:dyDescent="0.3">
      <c r="A587" s="253" t="s">
        <v>546</v>
      </c>
      <c r="B587" s="252">
        <v>0</v>
      </c>
      <c r="C587" s="252">
        <v>0</v>
      </c>
      <c r="D587" s="252">
        <v>0</v>
      </c>
      <c r="E587" s="252">
        <v>0</v>
      </c>
      <c r="F587" s="252">
        <v>0</v>
      </c>
      <c r="G587" s="252">
        <v>0</v>
      </c>
      <c r="H587" s="252">
        <v>0</v>
      </c>
      <c r="I587" s="252">
        <v>0</v>
      </c>
      <c r="J587" s="252">
        <v>0</v>
      </c>
      <c r="K587" s="252">
        <v>0</v>
      </c>
      <c r="L587" s="252"/>
      <c r="M587" s="252">
        <v>0</v>
      </c>
      <c r="N587" s="252">
        <v>0</v>
      </c>
      <c r="O587" s="252">
        <v>0</v>
      </c>
      <c r="P587" s="252"/>
      <c r="Q587" s="252">
        <v>0</v>
      </c>
      <c r="R587" s="252"/>
      <c r="S587" s="252">
        <v>0</v>
      </c>
      <c r="T587" s="252">
        <v>0</v>
      </c>
      <c r="U587" s="252"/>
      <c r="V587" s="252">
        <v>0</v>
      </c>
      <c r="W587" s="252">
        <v>0</v>
      </c>
      <c r="X587" s="252"/>
      <c r="Y587" s="252">
        <v>0</v>
      </c>
    </row>
    <row r="588" spans="1:25" x14ac:dyDescent="0.3">
      <c r="A588" s="253" t="s">
        <v>547</v>
      </c>
      <c r="B588" s="252">
        <v>0</v>
      </c>
      <c r="C588" s="252">
        <v>0</v>
      </c>
      <c r="D588" s="252">
        <v>0</v>
      </c>
      <c r="E588" s="252">
        <v>0</v>
      </c>
      <c r="F588" s="252">
        <v>0</v>
      </c>
      <c r="G588" s="252">
        <v>0</v>
      </c>
      <c r="H588" s="252">
        <v>0</v>
      </c>
      <c r="I588" s="252">
        <v>0</v>
      </c>
      <c r="J588" s="252">
        <v>0</v>
      </c>
      <c r="K588" s="252">
        <v>0</v>
      </c>
      <c r="L588" s="252"/>
      <c r="M588" s="252">
        <v>0</v>
      </c>
      <c r="N588" s="252">
        <v>0</v>
      </c>
      <c r="O588" s="252">
        <v>0</v>
      </c>
      <c r="P588" s="252"/>
      <c r="Q588" s="252">
        <v>0</v>
      </c>
      <c r="R588" s="252">
        <v>0</v>
      </c>
      <c r="S588" s="252">
        <v>0</v>
      </c>
      <c r="T588" s="252">
        <v>0</v>
      </c>
      <c r="U588" s="252"/>
      <c r="V588" s="252">
        <v>0</v>
      </c>
      <c r="W588" s="252">
        <v>0</v>
      </c>
      <c r="X588" s="252"/>
      <c r="Y588" s="252">
        <v>0</v>
      </c>
    </row>
    <row r="589" spans="1:25" x14ac:dyDescent="0.3">
      <c r="A589" s="253" t="s">
        <v>548</v>
      </c>
      <c r="B589" s="252">
        <v>0</v>
      </c>
      <c r="C589" s="252">
        <v>0</v>
      </c>
      <c r="D589" s="252">
        <v>0</v>
      </c>
      <c r="E589" s="252">
        <v>0</v>
      </c>
      <c r="F589" s="252">
        <v>0</v>
      </c>
      <c r="G589" s="252">
        <v>0</v>
      </c>
      <c r="H589" s="252">
        <v>0</v>
      </c>
      <c r="I589" s="252"/>
      <c r="J589" s="252"/>
      <c r="K589" s="252">
        <v>0</v>
      </c>
      <c r="L589" s="252"/>
      <c r="M589" s="252">
        <v>0</v>
      </c>
      <c r="N589" s="252">
        <v>0</v>
      </c>
      <c r="O589" s="252">
        <v>0</v>
      </c>
      <c r="P589" s="252"/>
      <c r="Q589" s="252">
        <v>0</v>
      </c>
      <c r="R589" s="252"/>
      <c r="S589" s="252"/>
      <c r="T589" s="252">
        <v>0</v>
      </c>
      <c r="U589" s="252"/>
      <c r="V589" s="252">
        <v>0</v>
      </c>
      <c r="W589" s="252">
        <v>0</v>
      </c>
      <c r="X589" s="252"/>
      <c r="Y589" s="252">
        <v>0</v>
      </c>
    </row>
    <row r="590" spans="1:25" x14ac:dyDescent="0.3">
      <c r="A590" s="253" t="s">
        <v>23</v>
      </c>
      <c r="B590" s="252">
        <v>2</v>
      </c>
      <c r="C590" s="252">
        <v>2</v>
      </c>
      <c r="D590" s="252">
        <v>0</v>
      </c>
      <c r="E590" s="252">
        <v>1</v>
      </c>
      <c r="F590" s="252">
        <v>1</v>
      </c>
      <c r="G590" s="252">
        <v>1</v>
      </c>
      <c r="H590" s="252">
        <v>1</v>
      </c>
      <c r="I590" s="252">
        <v>0</v>
      </c>
      <c r="J590" s="252">
        <v>2</v>
      </c>
      <c r="K590" s="252">
        <v>2</v>
      </c>
      <c r="L590" s="252">
        <v>3</v>
      </c>
      <c r="M590" s="252">
        <v>1</v>
      </c>
      <c r="N590" s="252">
        <v>2</v>
      </c>
      <c r="O590" s="252">
        <v>1</v>
      </c>
      <c r="P590" s="252">
        <v>0</v>
      </c>
      <c r="Q590" s="252">
        <v>4</v>
      </c>
      <c r="R590" s="252">
        <v>3</v>
      </c>
      <c r="S590" s="252">
        <v>2</v>
      </c>
      <c r="T590" s="252">
        <v>0</v>
      </c>
      <c r="U590" s="252">
        <v>0</v>
      </c>
      <c r="V590" s="252">
        <v>1</v>
      </c>
      <c r="W590" s="252">
        <v>1</v>
      </c>
      <c r="X590" s="252">
        <v>1</v>
      </c>
      <c r="Y590" s="252">
        <v>31</v>
      </c>
    </row>
    <row r="591" spans="1:25" x14ac:dyDescent="0.3">
      <c r="A591" s="253" t="s">
        <v>7</v>
      </c>
      <c r="B591" s="252">
        <v>2</v>
      </c>
      <c r="C591" s="252">
        <v>2</v>
      </c>
      <c r="D591" s="252">
        <v>0</v>
      </c>
      <c r="E591" s="252">
        <v>2</v>
      </c>
      <c r="F591" s="252">
        <v>2</v>
      </c>
      <c r="G591" s="252">
        <v>2</v>
      </c>
      <c r="H591" s="252">
        <v>0</v>
      </c>
      <c r="I591" s="252">
        <v>0</v>
      </c>
      <c r="J591" s="252">
        <v>2</v>
      </c>
      <c r="K591" s="252">
        <v>1</v>
      </c>
      <c r="L591" s="252">
        <v>1</v>
      </c>
      <c r="M591" s="252">
        <v>0</v>
      </c>
      <c r="N591" s="252">
        <v>0</v>
      </c>
      <c r="O591" s="252">
        <v>2</v>
      </c>
      <c r="P591" s="252">
        <v>1</v>
      </c>
      <c r="Q591" s="252">
        <v>2</v>
      </c>
      <c r="R591" s="252">
        <v>0</v>
      </c>
      <c r="S591" s="252">
        <v>2</v>
      </c>
      <c r="T591" s="252">
        <v>0</v>
      </c>
      <c r="U591" s="252">
        <v>1</v>
      </c>
      <c r="V591" s="252">
        <v>1</v>
      </c>
      <c r="W591" s="252">
        <v>2</v>
      </c>
      <c r="X591" s="252">
        <v>2</v>
      </c>
      <c r="Y591" s="252">
        <v>27</v>
      </c>
    </row>
    <row r="592" spans="1:25" x14ac:dyDescent="0.3">
      <c r="A592" s="253" t="s">
        <v>549</v>
      </c>
      <c r="B592" s="252">
        <v>0</v>
      </c>
      <c r="C592" s="252">
        <v>0</v>
      </c>
      <c r="D592" s="252">
        <v>0</v>
      </c>
      <c r="E592" s="252"/>
      <c r="F592" s="252">
        <v>0</v>
      </c>
      <c r="G592" s="252">
        <v>0</v>
      </c>
      <c r="H592" s="252">
        <v>0</v>
      </c>
      <c r="I592" s="252">
        <v>0</v>
      </c>
      <c r="J592" s="252">
        <v>0</v>
      </c>
      <c r="K592" s="252">
        <v>0</v>
      </c>
      <c r="L592" s="252"/>
      <c r="M592" s="252">
        <v>0</v>
      </c>
      <c r="N592" s="252">
        <v>0</v>
      </c>
      <c r="O592" s="252">
        <v>0</v>
      </c>
      <c r="P592" s="252"/>
      <c r="Q592" s="252">
        <v>0</v>
      </c>
      <c r="R592" s="252"/>
      <c r="S592" s="252">
        <v>0</v>
      </c>
      <c r="T592" s="252">
        <v>0</v>
      </c>
      <c r="U592" s="252"/>
      <c r="V592" s="252">
        <v>0</v>
      </c>
      <c r="W592" s="252">
        <v>0</v>
      </c>
      <c r="X592" s="252"/>
      <c r="Y592" s="252">
        <v>0</v>
      </c>
    </row>
    <row r="593" spans="1:25" x14ac:dyDescent="0.3">
      <c r="A593" s="253" t="s">
        <v>26</v>
      </c>
      <c r="B593" s="252">
        <v>0</v>
      </c>
      <c r="C593" s="252">
        <v>0</v>
      </c>
      <c r="D593" s="252">
        <v>0</v>
      </c>
      <c r="E593" s="252">
        <v>0</v>
      </c>
      <c r="F593" s="252">
        <v>0</v>
      </c>
      <c r="G593" s="252">
        <v>0</v>
      </c>
      <c r="H593" s="252">
        <v>0</v>
      </c>
      <c r="I593" s="252">
        <v>0</v>
      </c>
      <c r="J593" s="252">
        <v>0</v>
      </c>
      <c r="K593" s="252">
        <v>0</v>
      </c>
      <c r="L593" s="252"/>
      <c r="M593" s="252">
        <v>0</v>
      </c>
      <c r="N593" s="252">
        <v>0</v>
      </c>
      <c r="O593" s="252">
        <v>0</v>
      </c>
      <c r="P593" s="252"/>
      <c r="Q593" s="252">
        <v>0</v>
      </c>
      <c r="R593" s="252">
        <v>0</v>
      </c>
      <c r="S593" s="252">
        <v>0</v>
      </c>
      <c r="T593" s="252">
        <v>0</v>
      </c>
      <c r="U593" s="252"/>
      <c r="V593" s="252">
        <v>0</v>
      </c>
      <c r="W593" s="252">
        <v>0</v>
      </c>
      <c r="X593" s="252"/>
      <c r="Y593" s="252">
        <v>0</v>
      </c>
    </row>
    <row r="594" spans="1:25" x14ac:dyDescent="0.3">
      <c r="A594" s="253" t="s">
        <v>550</v>
      </c>
      <c r="B594" s="252">
        <v>0</v>
      </c>
      <c r="C594" s="252">
        <v>0</v>
      </c>
      <c r="D594" s="252">
        <v>0</v>
      </c>
      <c r="E594" s="252">
        <v>0</v>
      </c>
      <c r="F594" s="252">
        <v>0</v>
      </c>
      <c r="G594" s="252">
        <v>0</v>
      </c>
      <c r="H594" s="252">
        <v>0</v>
      </c>
      <c r="I594" s="252"/>
      <c r="J594" s="252"/>
      <c r="K594" s="252">
        <v>0</v>
      </c>
      <c r="L594" s="252"/>
      <c r="M594" s="252">
        <v>0</v>
      </c>
      <c r="N594" s="252">
        <v>0</v>
      </c>
      <c r="O594" s="252">
        <v>0</v>
      </c>
      <c r="P594" s="252"/>
      <c r="Q594" s="252">
        <v>0</v>
      </c>
      <c r="R594" s="252"/>
      <c r="S594" s="252">
        <v>0</v>
      </c>
      <c r="T594" s="252">
        <v>0</v>
      </c>
      <c r="U594" s="252"/>
      <c r="V594" s="252">
        <v>0</v>
      </c>
      <c r="W594" s="252">
        <v>0</v>
      </c>
      <c r="X594" s="252"/>
      <c r="Y594" s="252">
        <v>0</v>
      </c>
    </row>
    <row r="595" spans="1:25" x14ac:dyDescent="0.3">
      <c r="A595" s="253" t="s">
        <v>551</v>
      </c>
      <c r="B595" s="252">
        <v>1</v>
      </c>
      <c r="C595" s="252">
        <v>0</v>
      </c>
      <c r="D595" s="252">
        <v>0</v>
      </c>
      <c r="E595" s="252">
        <v>4</v>
      </c>
      <c r="F595" s="252">
        <v>0</v>
      </c>
      <c r="G595" s="252">
        <v>0</v>
      </c>
      <c r="H595" s="252">
        <v>1</v>
      </c>
      <c r="I595" s="252">
        <v>1</v>
      </c>
      <c r="J595" s="252">
        <v>6</v>
      </c>
      <c r="K595" s="252">
        <v>1</v>
      </c>
      <c r="L595" s="252">
        <v>0</v>
      </c>
      <c r="M595" s="252">
        <v>1</v>
      </c>
      <c r="N595" s="252">
        <v>0</v>
      </c>
      <c r="O595" s="252">
        <v>3</v>
      </c>
      <c r="P595" s="252">
        <v>0</v>
      </c>
      <c r="Q595" s="252">
        <v>2</v>
      </c>
      <c r="R595" s="252">
        <v>1</v>
      </c>
      <c r="S595" s="252">
        <v>1</v>
      </c>
      <c r="T595" s="252">
        <v>0</v>
      </c>
      <c r="U595" s="252">
        <v>0</v>
      </c>
      <c r="V595" s="252">
        <v>2</v>
      </c>
      <c r="W595" s="252">
        <v>1</v>
      </c>
      <c r="X595" s="252">
        <v>1</v>
      </c>
      <c r="Y595" s="252">
        <v>26</v>
      </c>
    </row>
    <row r="596" spans="1:25" x14ac:dyDescent="0.3">
      <c r="A596" s="253" t="s">
        <v>1042</v>
      </c>
      <c r="B596" s="252">
        <v>0</v>
      </c>
      <c r="C596" s="252">
        <v>0</v>
      </c>
      <c r="D596" s="252">
        <v>0</v>
      </c>
      <c r="E596" s="252">
        <v>0</v>
      </c>
      <c r="F596" s="252">
        <v>0</v>
      </c>
      <c r="G596" s="252">
        <v>0</v>
      </c>
      <c r="H596" s="252">
        <v>0</v>
      </c>
      <c r="I596" s="252">
        <v>0</v>
      </c>
      <c r="J596" s="252">
        <v>0</v>
      </c>
      <c r="K596" s="252">
        <v>0</v>
      </c>
      <c r="L596" s="252"/>
      <c r="M596" s="252">
        <v>0</v>
      </c>
      <c r="N596" s="252">
        <v>0</v>
      </c>
      <c r="O596" s="252">
        <v>0</v>
      </c>
      <c r="P596" s="252">
        <v>0</v>
      </c>
      <c r="Q596" s="252">
        <v>0</v>
      </c>
      <c r="R596" s="252">
        <v>0</v>
      </c>
      <c r="S596" s="252">
        <v>0</v>
      </c>
      <c r="T596" s="252">
        <v>0</v>
      </c>
      <c r="U596" s="252">
        <v>0</v>
      </c>
      <c r="V596" s="252">
        <v>0</v>
      </c>
      <c r="W596" s="252">
        <v>0</v>
      </c>
      <c r="X596" s="252">
        <v>0</v>
      </c>
      <c r="Y596" s="252">
        <v>0</v>
      </c>
    </row>
    <row r="597" spans="1:25" x14ac:dyDescent="0.3">
      <c r="A597" s="253" t="s">
        <v>1076</v>
      </c>
      <c r="B597" s="252">
        <v>2</v>
      </c>
      <c r="C597" s="252">
        <v>1</v>
      </c>
      <c r="D597" s="252">
        <v>0</v>
      </c>
      <c r="E597" s="252">
        <v>0</v>
      </c>
      <c r="F597" s="252">
        <v>0</v>
      </c>
      <c r="G597" s="252">
        <v>0</v>
      </c>
      <c r="H597" s="252">
        <v>1</v>
      </c>
      <c r="I597" s="252"/>
      <c r="J597" s="252">
        <v>0</v>
      </c>
      <c r="K597" s="252">
        <v>0</v>
      </c>
      <c r="L597" s="252">
        <v>0</v>
      </c>
      <c r="M597" s="252">
        <v>0</v>
      </c>
      <c r="N597" s="252">
        <v>0</v>
      </c>
      <c r="O597" s="252">
        <v>0</v>
      </c>
      <c r="P597" s="252">
        <v>0</v>
      </c>
      <c r="Q597" s="252">
        <v>0</v>
      </c>
      <c r="R597" s="252">
        <v>0</v>
      </c>
      <c r="S597" s="252">
        <v>1</v>
      </c>
      <c r="T597" s="252">
        <v>0</v>
      </c>
      <c r="U597" s="252">
        <v>0</v>
      </c>
      <c r="V597" s="252">
        <v>0</v>
      </c>
      <c r="W597" s="252">
        <v>1</v>
      </c>
      <c r="X597" s="252">
        <v>0</v>
      </c>
      <c r="Y597" s="252">
        <v>6</v>
      </c>
    </row>
    <row r="598" spans="1:25" x14ac:dyDescent="0.3">
      <c r="A598" s="253" t="s">
        <v>1077</v>
      </c>
      <c r="B598" s="252">
        <v>2</v>
      </c>
      <c r="C598" s="252">
        <v>0</v>
      </c>
      <c r="D598" s="252">
        <v>0</v>
      </c>
      <c r="E598" s="252">
        <v>0</v>
      </c>
      <c r="F598" s="252">
        <v>0</v>
      </c>
      <c r="G598" s="252">
        <v>0</v>
      </c>
      <c r="H598" s="252">
        <v>0</v>
      </c>
      <c r="I598" s="252">
        <v>0</v>
      </c>
      <c r="J598" s="252">
        <v>0</v>
      </c>
      <c r="K598" s="252">
        <v>0</v>
      </c>
      <c r="L598" s="252">
        <v>0</v>
      </c>
      <c r="M598" s="252">
        <v>0</v>
      </c>
      <c r="N598" s="252">
        <v>0</v>
      </c>
      <c r="O598" s="252">
        <v>0</v>
      </c>
      <c r="P598" s="252">
        <v>1</v>
      </c>
      <c r="Q598" s="252">
        <v>0</v>
      </c>
      <c r="R598" s="252">
        <v>0</v>
      </c>
      <c r="S598" s="252">
        <v>0</v>
      </c>
      <c r="T598" s="252">
        <v>0</v>
      </c>
      <c r="U598" s="252">
        <v>0</v>
      </c>
      <c r="V598" s="252">
        <v>0</v>
      </c>
      <c r="W598" s="252">
        <v>0</v>
      </c>
      <c r="X598" s="252">
        <v>0</v>
      </c>
      <c r="Y598" s="252">
        <v>3</v>
      </c>
    </row>
    <row r="599" spans="1:25" x14ac:dyDescent="0.3">
      <c r="A599" s="253" t="s">
        <v>848</v>
      </c>
      <c r="B599" s="252">
        <v>0</v>
      </c>
      <c r="C599" s="252">
        <v>0</v>
      </c>
      <c r="D599" s="252">
        <v>0</v>
      </c>
      <c r="E599" s="252">
        <v>0</v>
      </c>
      <c r="F599" s="252">
        <v>0</v>
      </c>
      <c r="G599" s="252">
        <v>0</v>
      </c>
      <c r="H599" s="252">
        <v>0</v>
      </c>
      <c r="I599" s="252">
        <v>0</v>
      </c>
      <c r="J599" s="252">
        <v>0</v>
      </c>
      <c r="K599" s="252">
        <v>0</v>
      </c>
      <c r="L599" s="252"/>
      <c r="M599" s="252">
        <v>0</v>
      </c>
      <c r="N599" s="252">
        <v>0</v>
      </c>
      <c r="O599" s="252">
        <v>0</v>
      </c>
      <c r="P599" s="252"/>
      <c r="Q599" s="252">
        <v>0</v>
      </c>
      <c r="R599" s="252">
        <v>0</v>
      </c>
      <c r="S599" s="252">
        <v>0</v>
      </c>
      <c r="T599" s="252">
        <v>0</v>
      </c>
      <c r="U599" s="252">
        <v>0</v>
      </c>
      <c r="V599" s="252">
        <v>0</v>
      </c>
      <c r="W599" s="252">
        <v>0</v>
      </c>
      <c r="X599" s="252"/>
      <c r="Y599" s="252">
        <v>0</v>
      </c>
    </row>
    <row r="600" spans="1:25" x14ac:dyDescent="0.3">
      <c r="A600" s="253" t="s">
        <v>849</v>
      </c>
      <c r="B600" s="252">
        <v>0</v>
      </c>
      <c r="C600" s="252">
        <v>0</v>
      </c>
      <c r="D600" s="252">
        <v>0</v>
      </c>
      <c r="E600" s="252">
        <v>0</v>
      </c>
      <c r="F600" s="252">
        <v>0</v>
      </c>
      <c r="G600" s="252">
        <v>0</v>
      </c>
      <c r="H600" s="252">
        <v>0</v>
      </c>
      <c r="I600" s="252">
        <v>0</v>
      </c>
      <c r="J600" s="252">
        <v>0</v>
      </c>
      <c r="K600" s="252">
        <v>0</v>
      </c>
      <c r="L600" s="252"/>
      <c r="M600" s="252">
        <v>0</v>
      </c>
      <c r="N600" s="252">
        <v>0</v>
      </c>
      <c r="O600" s="252">
        <v>0</v>
      </c>
      <c r="P600" s="252">
        <v>0</v>
      </c>
      <c r="Q600" s="252">
        <v>0</v>
      </c>
      <c r="R600" s="252">
        <v>0</v>
      </c>
      <c r="S600" s="252">
        <v>0</v>
      </c>
      <c r="T600" s="252">
        <v>0</v>
      </c>
      <c r="U600" s="252">
        <v>0</v>
      </c>
      <c r="V600" s="252">
        <v>0</v>
      </c>
      <c r="W600" s="252">
        <v>0</v>
      </c>
      <c r="X600" s="252"/>
      <c r="Y600" s="252">
        <v>0</v>
      </c>
    </row>
    <row r="601" spans="1:25" x14ac:dyDescent="0.3">
      <c r="A601" s="253" t="s">
        <v>850</v>
      </c>
      <c r="B601" s="252">
        <v>0</v>
      </c>
      <c r="C601" s="252">
        <v>0</v>
      </c>
      <c r="D601" s="252">
        <v>0</v>
      </c>
      <c r="E601" s="252">
        <v>0</v>
      </c>
      <c r="F601" s="252">
        <v>0</v>
      </c>
      <c r="G601" s="252">
        <v>0</v>
      </c>
      <c r="H601" s="252">
        <v>0</v>
      </c>
      <c r="I601" s="252">
        <v>0</v>
      </c>
      <c r="J601" s="252">
        <v>0</v>
      </c>
      <c r="K601" s="252">
        <v>0</v>
      </c>
      <c r="L601" s="252"/>
      <c r="M601" s="252">
        <v>0</v>
      </c>
      <c r="N601" s="252">
        <v>0</v>
      </c>
      <c r="O601" s="252">
        <v>0</v>
      </c>
      <c r="P601" s="252"/>
      <c r="Q601" s="252">
        <v>0</v>
      </c>
      <c r="R601" s="252">
        <v>0</v>
      </c>
      <c r="S601" s="252">
        <v>0</v>
      </c>
      <c r="T601" s="252">
        <v>0</v>
      </c>
      <c r="U601" s="252"/>
      <c r="V601" s="252">
        <v>0</v>
      </c>
      <c r="W601" s="252">
        <v>0</v>
      </c>
      <c r="X601" s="252"/>
      <c r="Y601" s="252">
        <v>0</v>
      </c>
    </row>
    <row r="602" spans="1:25" x14ac:dyDescent="0.3">
      <c r="A602" s="253" t="s">
        <v>552</v>
      </c>
      <c r="B602" s="252">
        <v>0</v>
      </c>
      <c r="C602" s="252">
        <v>0</v>
      </c>
      <c r="D602" s="252">
        <v>0</v>
      </c>
      <c r="E602" s="252">
        <v>0</v>
      </c>
      <c r="F602" s="252">
        <v>0</v>
      </c>
      <c r="G602" s="252">
        <v>0</v>
      </c>
      <c r="H602" s="252">
        <v>0</v>
      </c>
      <c r="I602" s="252"/>
      <c r="J602" s="252"/>
      <c r="K602" s="252">
        <v>0</v>
      </c>
      <c r="L602" s="252"/>
      <c r="M602" s="252">
        <v>0</v>
      </c>
      <c r="N602" s="252">
        <v>0</v>
      </c>
      <c r="O602" s="252">
        <v>0</v>
      </c>
      <c r="P602" s="252"/>
      <c r="Q602" s="252">
        <v>0</v>
      </c>
      <c r="R602" s="252"/>
      <c r="S602" s="252"/>
      <c r="T602" s="252">
        <v>0</v>
      </c>
      <c r="U602" s="252"/>
      <c r="V602" s="252">
        <v>0</v>
      </c>
      <c r="W602" s="252">
        <v>0</v>
      </c>
      <c r="X602" s="252"/>
      <c r="Y602" s="252">
        <v>0</v>
      </c>
    </row>
    <row r="603" spans="1:25" x14ac:dyDescent="0.3">
      <c r="A603" s="253" t="s">
        <v>553</v>
      </c>
      <c r="B603" s="252">
        <v>0</v>
      </c>
      <c r="C603" s="252">
        <v>0</v>
      </c>
      <c r="D603" s="252">
        <v>0</v>
      </c>
      <c r="E603" s="252">
        <v>0</v>
      </c>
      <c r="F603" s="252">
        <v>0</v>
      </c>
      <c r="G603" s="252">
        <v>0</v>
      </c>
      <c r="H603" s="252">
        <v>0</v>
      </c>
      <c r="I603" s="252"/>
      <c r="J603" s="252"/>
      <c r="K603" s="252">
        <v>0</v>
      </c>
      <c r="L603" s="252"/>
      <c r="M603" s="252">
        <v>0</v>
      </c>
      <c r="N603" s="252">
        <v>0</v>
      </c>
      <c r="O603" s="252">
        <v>0</v>
      </c>
      <c r="P603" s="252"/>
      <c r="Q603" s="252">
        <v>0</v>
      </c>
      <c r="R603" s="252"/>
      <c r="S603" s="252"/>
      <c r="T603" s="252">
        <v>0</v>
      </c>
      <c r="U603" s="252"/>
      <c r="V603" s="252">
        <v>0</v>
      </c>
      <c r="W603" s="252">
        <v>0</v>
      </c>
      <c r="X603" s="252"/>
      <c r="Y603" s="252">
        <v>0</v>
      </c>
    </row>
    <row r="604" spans="1:25" x14ac:dyDescent="0.3">
      <c r="A604" s="253" t="s">
        <v>554</v>
      </c>
      <c r="B604" s="252">
        <v>0</v>
      </c>
      <c r="C604" s="252">
        <v>0</v>
      </c>
      <c r="D604" s="252">
        <v>0</v>
      </c>
      <c r="E604" s="252">
        <v>0</v>
      </c>
      <c r="F604" s="252">
        <v>0</v>
      </c>
      <c r="G604" s="252">
        <v>0</v>
      </c>
      <c r="H604" s="252">
        <v>0</v>
      </c>
      <c r="I604" s="252"/>
      <c r="J604" s="252"/>
      <c r="K604" s="252">
        <v>0</v>
      </c>
      <c r="L604" s="252"/>
      <c r="M604" s="252">
        <v>0</v>
      </c>
      <c r="N604" s="252">
        <v>0</v>
      </c>
      <c r="O604" s="252">
        <v>0</v>
      </c>
      <c r="P604" s="252"/>
      <c r="Q604" s="252">
        <v>0</v>
      </c>
      <c r="R604" s="252"/>
      <c r="S604" s="252"/>
      <c r="T604" s="252">
        <v>0</v>
      </c>
      <c r="U604" s="252"/>
      <c r="V604" s="252">
        <v>0</v>
      </c>
      <c r="W604" s="252">
        <v>0</v>
      </c>
      <c r="X604" s="252"/>
      <c r="Y604" s="252">
        <v>0</v>
      </c>
    </row>
    <row r="605" spans="1:25" x14ac:dyDescent="0.3">
      <c r="A605" s="253" t="s">
        <v>555</v>
      </c>
      <c r="B605" s="252">
        <v>0</v>
      </c>
      <c r="C605" s="252">
        <v>0</v>
      </c>
      <c r="D605" s="252">
        <v>0</v>
      </c>
      <c r="E605" s="252">
        <v>0</v>
      </c>
      <c r="F605" s="252">
        <v>0</v>
      </c>
      <c r="G605" s="252">
        <v>0</v>
      </c>
      <c r="H605" s="252">
        <v>0</v>
      </c>
      <c r="I605" s="252"/>
      <c r="J605" s="252"/>
      <c r="K605" s="252">
        <v>0</v>
      </c>
      <c r="L605" s="252"/>
      <c r="M605" s="252">
        <v>0</v>
      </c>
      <c r="N605" s="252">
        <v>0</v>
      </c>
      <c r="O605" s="252">
        <v>0</v>
      </c>
      <c r="P605" s="252"/>
      <c r="Q605" s="252">
        <v>0</v>
      </c>
      <c r="R605" s="252"/>
      <c r="S605" s="252"/>
      <c r="T605" s="252">
        <v>0</v>
      </c>
      <c r="U605" s="252"/>
      <c r="V605" s="252">
        <v>0</v>
      </c>
      <c r="W605" s="252">
        <v>0</v>
      </c>
      <c r="X605" s="252"/>
      <c r="Y605" s="252">
        <v>0</v>
      </c>
    </row>
    <row r="606" spans="1:25" x14ac:dyDescent="0.3">
      <c r="A606" s="253" t="s">
        <v>925</v>
      </c>
      <c r="B606" s="252">
        <v>0</v>
      </c>
      <c r="C606" s="252">
        <v>0</v>
      </c>
      <c r="D606" s="252">
        <v>0</v>
      </c>
      <c r="E606" s="252">
        <v>0</v>
      </c>
      <c r="F606" s="252">
        <v>0</v>
      </c>
      <c r="G606" s="252">
        <v>0</v>
      </c>
      <c r="H606" s="252">
        <v>0</v>
      </c>
      <c r="I606" s="252">
        <v>0</v>
      </c>
      <c r="J606" s="252">
        <v>0</v>
      </c>
      <c r="K606" s="252">
        <v>0</v>
      </c>
      <c r="L606" s="252"/>
      <c r="M606" s="252">
        <v>0</v>
      </c>
      <c r="N606" s="252">
        <v>0</v>
      </c>
      <c r="O606" s="252">
        <v>0</v>
      </c>
      <c r="P606" s="252"/>
      <c r="Q606" s="252">
        <v>0</v>
      </c>
      <c r="R606" s="252">
        <v>0</v>
      </c>
      <c r="S606" s="252">
        <v>0</v>
      </c>
      <c r="T606" s="252">
        <v>0</v>
      </c>
      <c r="U606" s="252">
        <v>0</v>
      </c>
      <c r="V606" s="252">
        <v>0</v>
      </c>
      <c r="W606" s="252">
        <v>0</v>
      </c>
      <c r="X606" s="252"/>
      <c r="Y606" s="252">
        <v>0</v>
      </c>
    </row>
    <row r="607" spans="1:25" x14ac:dyDescent="0.3">
      <c r="A607" s="253" t="s">
        <v>926</v>
      </c>
      <c r="B607" s="252">
        <v>0</v>
      </c>
      <c r="C607" s="252">
        <v>0</v>
      </c>
      <c r="D607" s="252">
        <v>0</v>
      </c>
      <c r="E607" s="252">
        <v>0</v>
      </c>
      <c r="F607" s="252">
        <v>0</v>
      </c>
      <c r="G607" s="252">
        <v>0</v>
      </c>
      <c r="H607" s="252">
        <v>0</v>
      </c>
      <c r="I607" s="252">
        <v>0</v>
      </c>
      <c r="J607" s="252">
        <v>0</v>
      </c>
      <c r="K607" s="252">
        <v>0</v>
      </c>
      <c r="L607" s="252"/>
      <c r="M607" s="252">
        <v>0</v>
      </c>
      <c r="N607" s="252">
        <v>0</v>
      </c>
      <c r="O607" s="252">
        <v>0</v>
      </c>
      <c r="P607" s="252"/>
      <c r="Q607" s="252">
        <v>0</v>
      </c>
      <c r="R607" s="252">
        <v>0</v>
      </c>
      <c r="S607" s="252">
        <v>0</v>
      </c>
      <c r="T607" s="252">
        <v>0</v>
      </c>
      <c r="U607" s="252">
        <v>0</v>
      </c>
      <c r="V607" s="252">
        <v>0</v>
      </c>
      <c r="W607" s="252">
        <v>0</v>
      </c>
      <c r="X607" s="252"/>
      <c r="Y607" s="252">
        <v>0</v>
      </c>
    </row>
    <row r="608" spans="1:25" x14ac:dyDescent="0.3">
      <c r="A608" s="253" t="s">
        <v>556</v>
      </c>
      <c r="B608" s="252">
        <v>0</v>
      </c>
      <c r="C608" s="252">
        <v>0</v>
      </c>
      <c r="D608" s="252">
        <v>0</v>
      </c>
      <c r="E608" s="252">
        <v>0</v>
      </c>
      <c r="F608" s="252">
        <v>0</v>
      </c>
      <c r="G608" s="252">
        <v>0</v>
      </c>
      <c r="H608" s="252">
        <v>0</v>
      </c>
      <c r="I608" s="252"/>
      <c r="J608" s="252"/>
      <c r="K608" s="252">
        <v>0</v>
      </c>
      <c r="L608" s="252"/>
      <c r="M608" s="252">
        <v>0</v>
      </c>
      <c r="N608" s="252">
        <v>0</v>
      </c>
      <c r="O608" s="252">
        <v>0</v>
      </c>
      <c r="P608" s="252"/>
      <c r="Q608" s="252">
        <v>0</v>
      </c>
      <c r="R608" s="252"/>
      <c r="S608" s="252"/>
      <c r="T608" s="252">
        <v>0</v>
      </c>
      <c r="U608" s="252"/>
      <c r="V608" s="252">
        <v>0</v>
      </c>
      <c r="W608" s="252">
        <v>0</v>
      </c>
      <c r="X608" s="252"/>
      <c r="Y608" s="252">
        <v>0</v>
      </c>
    </row>
    <row r="609" spans="1:25" x14ac:dyDescent="0.3">
      <c r="A609" s="253" t="s">
        <v>917</v>
      </c>
      <c r="B609" s="252">
        <v>0</v>
      </c>
      <c r="C609" s="252">
        <v>0</v>
      </c>
      <c r="D609" s="252">
        <v>0</v>
      </c>
      <c r="E609" s="252">
        <v>0</v>
      </c>
      <c r="F609" s="252">
        <v>0</v>
      </c>
      <c r="G609" s="252">
        <v>0</v>
      </c>
      <c r="H609" s="252">
        <v>0</v>
      </c>
      <c r="I609" s="252">
        <v>0</v>
      </c>
      <c r="J609" s="252">
        <v>0</v>
      </c>
      <c r="K609" s="252">
        <v>0</v>
      </c>
      <c r="L609" s="252"/>
      <c r="M609" s="252">
        <v>0</v>
      </c>
      <c r="N609" s="252">
        <v>0</v>
      </c>
      <c r="O609" s="252">
        <v>0</v>
      </c>
      <c r="P609" s="252"/>
      <c r="Q609" s="252">
        <v>0</v>
      </c>
      <c r="R609" s="252">
        <v>0</v>
      </c>
      <c r="S609" s="252">
        <v>0</v>
      </c>
      <c r="T609" s="252">
        <v>0</v>
      </c>
      <c r="U609" s="252">
        <v>0</v>
      </c>
      <c r="V609" s="252">
        <v>0</v>
      </c>
      <c r="W609" s="252">
        <v>0</v>
      </c>
      <c r="X609" s="252"/>
      <c r="Y609" s="252">
        <v>0</v>
      </c>
    </row>
    <row r="610" spans="1:25" x14ac:dyDescent="0.3">
      <c r="A610" s="253" t="s">
        <v>1030</v>
      </c>
      <c r="B610" s="252">
        <v>5</v>
      </c>
      <c r="C610" s="252">
        <v>5</v>
      </c>
      <c r="D610" s="252">
        <v>0</v>
      </c>
      <c r="E610" s="252">
        <v>1</v>
      </c>
      <c r="F610" s="252">
        <v>6</v>
      </c>
      <c r="G610" s="252">
        <v>6</v>
      </c>
      <c r="H610" s="252">
        <v>4</v>
      </c>
      <c r="I610" s="252">
        <v>0</v>
      </c>
      <c r="J610" s="252">
        <v>0</v>
      </c>
      <c r="K610" s="252">
        <v>5</v>
      </c>
      <c r="L610" s="252">
        <v>0</v>
      </c>
      <c r="M610" s="252">
        <v>5</v>
      </c>
      <c r="N610" s="252">
        <v>3</v>
      </c>
      <c r="O610" s="252">
        <v>3</v>
      </c>
      <c r="P610" s="252">
        <v>4</v>
      </c>
      <c r="Q610" s="252">
        <v>0</v>
      </c>
      <c r="R610" s="252">
        <v>0</v>
      </c>
      <c r="S610" s="252">
        <v>5</v>
      </c>
      <c r="T610" s="252">
        <v>4</v>
      </c>
      <c r="U610" s="252">
        <v>5</v>
      </c>
      <c r="V610" s="252">
        <v>5</v>
      </c>
      <c r="W610" s="252">
        <v>4</v>
      </c>
      <c r="X610" s="252">
        <v>1</v>
      </c>
      <c r="Y610" s="252">
        <v>71</v>
      </c>
    </row>
    <row r="611" spans="1:25" x14ac:dyDescent="0.3">
      <c r="A611" s="253" t="s">
        <v>916</v>
      </c>
      <c r="B611" s="252">
        <v>0</v>
      </c>
      <c r="C611" s="252">
        <v>0</v>
      </c>
      <c r="D611" s="252">
        <v>0</v>
      </c>
      <c r="E611" s="252">
        <v>0</v>
      </c>
      <c r="F611" s="252">
        <v>0</v>
      </c>
      <c r="G611" s="252">
        <v>0</v>
      </c>
      <c r="H611" s="252">
        <v>0</v>
      </c>
      <c r="I611" s="252">
        <v>0</v>
      </c>
      <c r="J611" s="252">
        <v>0</v>
      </c>
      <c r="K611" s="252">
        <v>0</v>
      </c>
      <c r="L611" s="252"/>
      <c r="M611" s="252">
        <v>0</v>
      </c>
      <c r="N611" s="252">
        <v>0</v>
      </c>
      <c r="O611" s="252">
        <v>0</v>
      </c>
      <c r="P611" s="252"/>
      <c r="Q611" s="252">
        <v>0</v>
      </c>
      <c r="R611" s="252">
        <v>0</v>
      </c>
      <c r="S611" s="252">
        <v>0</v>
      </c>
      <c r="T611" s="252">
        <v>0</v>
      </c>
      <c r="U611" s="252">
        <v>0</v>
      </c>
      <c r="V611" s="252">
        <v>0</v>
      </c>
      <c r="W611" s="252">
        <v>0</v>
      </c>
      <c r="X611" s="252"/>
      <c r="Y611" s="252">
        <v>0</v>
      </c>
    </row>
    <row r="612" spans="1:25" x14ac:dyDescent="0.3">
      <c r="A612" s="253" t="s">
        <v>557</v>
      </c>
      <c r="B612" s="252">
        <v>1</v>
      </c>
      <c r="C612" s="252">
        <v>0</v>
      </c>
      <c r="D612" s="252">
        <v>0</v>
      </c>
      <c r="E612" s="252">
        <v>1</v>
      </c>
      <c r="F612" s="252">
        <v>2</v>
      </c>
      <c r="G612" s="252">
        <v>0</v>
      </c>
      <c r="H612" s="252">
        <v>1</v>
      </c>
      <c r="I612" s="252">
        <v>0</v>
      </c>
      <c r="J612" s="252">
        <v>0</v>
      </c>
      <c r="K612" s="252">
        <v>2</v>
      </c>
      <c r="L612" s="252">
        <v>0</v>
      </c>
      <c r="M612" s="252">
        <v>1</v>
      </c>
      <c r="N612" s="252">
        <v>0</v>
      </c>
      <c r="O612" s="252">
        <v>0</v>
      </c>
      <c r="P612" s="252">
        <v>0</v>
      </c>
      <c r="Q612" s="252">
        <v>0</v>
      </c>
      <c r="R612" s="252">
        <v>0</v>
      </c>
      <c r="S612" s="252">
        <v>0</v>
      </c>
      <c r="T612" s="252">
        <v>0</v>
      </c>
      <c r="U612" s="252">
        <v>1</v>
      </c>
      <c r="V612" s="252">
        <v>1</v>
      </c>
      <c r="W612" s="252">
        <v>2</v>
      </c>
      <c r="X612" s="252">
        <v>2</v>
      </c>
      <c r="Y612" s="252">
        <v>14</v>
      </c>
    </row>
    <row r="613" spans="1:25" x14ac:dyDescent="0.3">
      <c r="A613" s="253" t="s">
        <v>558</v>
      </c>
      <c r="B613" s="252">
        <v>0</v>
      </c>
      <c r="C613" s="252">
        <v>0</v>
      </c>
      <c r="D613" s="252">
        <v>0</v>
      </c>
      <c r="E613" s="252">
        <v>0</v>
      </c>
      <c r="F613" s="252">
        <v>0</v>
      </c>
      <c r="G613" s="252">
        <v>0</v>
      </c>
      <c r="H613" s="252">
        <v>0</v>
      </c>
      <c r="I613" s="252"/>
      <c r="J613" s="252"/>
      <c r="K613" s="252">
        <v>0</v>
      </c>
      <c r="L613" s="252"/>
      <c r="M613" s="252">
        <v>0</v>
      </c>
      <c r="N613" s="252">
        <v>0</v>
      </c>
      <c r="O613" s="252">
        <v>0</v>
      </c>
      <c r="P613" s="252"/>
      <c r="Q613" s="252">
        <v>0</v>
      </c>
      <c r="R613" s="252"/>
      <c r="S613" s="252"/>
      <c r="T613" s="252">
        <v>0</v>
      </c>
      <c r="U613" s="252"/>
      <c r="V613" s="252">
        <v>0</v>
      </c>
      <c r="W613" s="252">
        <v>0</v>
      </c>
      <c r="X613" s="252"/>
      <c r="Y613" s="252">
        <v>0</v>
      </c>
    </row>
    <row r="614" spans="1:25" x14ac:dyDescent="0.3">
      <c r="A614" s="253" t="s">
        <v>559</v>
      </c>
      <c r="B614" s="252">
        <v>0</v>
      </c>
      <c r="C614" s="252">
        <v>0</v>
      </c>
      <c r="D614" s="252">
        <v>0</v>
      </c>
      <c r="E614" s="252">
        <v>0</v>
      </c>
      <c r="F614" s="252">
        <v>0</v>
      </c>
      <c r="G614" s="252">
        <v>0</v>
      </c>
      <c r="H614" s="252">
        <v>0</v>
      </c>
      <c r="I614" s="252">
        <v>0</v>
      </c>
      <c r="J614" s="252">
        <v>0</v>
      </c>
      <c r="K614" s="252">
        <v>0</v>
      </c>
      <c r="L614" s="252"/>
      <c r="M614" s="252">
        <v>0</v>
      </c>
      <c r="N614" s="252">
        <v>0</v>
      </c>
      <c r="O614" s="252">
        <v>0</v>
      </c>
      <c r="P614" s="252">
        <v>0</v>
      </c>
      <c r="Q614" s="252">
        <v>0</v>
      </c>
      <c r="R614" s="252">
        <v>0</v>
      </c>
      <c r="S614" s="252">
        <v>0</v>
      </c>
      <c r="T614" s="252">
        <v>0</v>
      </c>
      <c r="U614" s="252">
        <v>0</v>
      </c>
      <c r="V614" s="252">
        <v>0</v>
      </c>
      <c r="W614" s="252">
        <v>0</v>
      </c>
      <c r="X614" s="252">
        <v>0</v>
      </c>
      <c r="Y614" s="252">
        <v>0</v>
      </c>
    </row>
    <row r="615" spans="1:25" x14ac:dyDescent="0.3">
      <c r="A615" s="253" t="s">
        <v>560</v>
      </c>
      <c r="B615" s="252">
        <v>0</v>
      </c>
      <c r="C615" s="252">
        <v>0</v>
      </c>
      <c r="D615" s="252">
        <v>0</v>
      </c>
      <c r="E615" s="252">
        <v>0</v>
      </c>
      <c r="F615" s="252">
        <v>0</v>
      </c>
      <c r="G615" s="252">
        <v>0</v>
      </c>
      <c r="H615" s="252">
        <v>0</v>
      </c>
      <c r="I615" s="252">
        <v>0</v>
      </c>
      <c r="J615" s="252">
        <v>0</v>
      </c>
      <c r="K615" s="252">
        <v>0</v>
      </c>
      <c r="L615" s="252"/>
      <c r="M615" s="252">
        <v>0</v>
      </c>
      <c r="N615" s="252">
        <v>0</v>
      </c>
      <c r="O615" s="252">
        <v>0</v>
      </c>
      <c r="P615" s="252"/>
      <c r="Q615" s="252">
        <v>0</v>
      </c>
      <c r="R615" s="252"/>
      <c r="S615" s="252">
        <v>0</v>
      </c>
      <c r="T615" s="252">
        <v>0</v>
      </c>
      <c r="U615" s="252"/>
      <c r="V615" s="252">
        <v>0</v>
      </c>
      <c r="W615" s="252">
        <v>0</v>
      </c>
      <c r="X615" s="252"/>
      <c r="Y615" s="252">
        <v>0</v>
      </c>
    </row>
    <row r="616" spans="1:25" x14ac:dyDescent="0.3">
      <c r="A616" s="253" t="s">
        <v>561</v>
      </c>
      <c r="B616" s="252">
        <v>0</v>
      </c>
      <c r="C616" s="252">
        <v>0</v>
      </c>
      <c r="D616" s="252">
        <v>0</v>
      </c>
      <c r="E616" s="252">
        <v>0</v>
      </c>
      <c r="F616" s="252">
        <v>0</v>
      </c>
      <c r="G616" s="252">
        <v>0</v>
      </c>
      <c r="H616" s="252">
        <v>0</v>
      </c>
      <c r="I616" s="252"/>
      <c r="J616" s="252"/>
      <c r="K616" s="252">
        <v>0</v>
      </c>
      <c r="L616" s="252"/>
      <c r="M616" s="252">
        <v>0</v>
      </c>
      <c r="N616" s="252">
        <v>0</v>
      </c>
      <c r="O616" s="252">
        <v>0</v>
      </c>
      <c r="P616" s="252"/>
      <c r="Q616" s="252">
        <v>0</v>
      </c>
      <c r="R616" s="252"/>
      <c r="S616" s="252"/>
      <c r="T616" s="252">
        <v>0</v>
      </c>
      <c r="U616" s="252"/>
      <c r="V616" s="252">
        <v>0</v>
      </c>
      <c r="W616" s="252">
        <v>0</v>
      </c>
      <c r="X616" s="252"/>
      <c r="Y616" s="252">
        <v>0</v>
      </c>
    </row>
    <row r="617" spans="1:25" x14ac:dyDescent="0.3">
      <c r="A617" s="253" t="s">
        <v>562</v>
      </c>
      <c r="B617" s="252">
        <v>0</v>
      </c>
      <c r="C617" s="252">
        <v>0</v>
      </c>
      <c r="D617" s="252">
        <v>0</v>
      </c>
      <c r="E617" s="252">
        <v>0</v>
      </c>
      <c r="F617" s="252">
        <v>0</v>
      </c>
      <c r="G617" s="252">
        <v>0</v>
      </c>
      <c r="H617" s="252">
        <v>0</v>
      </c>
      <c r="I617" s="252"/>
      <c r="J617" s="252"/>
      <c r="K617" s="252">
        <v>0</v>
      </c>
      <c r="L617" s="252"/>
      <c r="M617" s="252">
        <v>0</v>
      </c>
      <c r="N617" s="252">
        <v>0</v>
      </c>
      <c r="O617" s="252">
        <v>0</v>
      </c>
      <c r="P617" s="252"/>
      <c r="Q617" s="252">
        <v>0</v>
      </c>
      <c r="R617" s="252"/>
      <c r="S617" s="252"/>
      <c r="T617" s="252">
        <v>0</v>
      </c>
      <c r="U617" s="252"/>
      <c r="V617" s="252">
        <v>0</v>
      </c>
      <c r="W617" s="252">
        <v>0</v>
      </c>
      <c r="X617" s="252"/>
      <c r="Y617" s="252">
        <v>0</v>
      </c>
    </row>
    <row r="618" spans="1:25" x14ac:dyDescent="0.3">
      <c r="A618" s="253" t="s">
        <v>563</v>
      </c>
      <c r="B618" s="252">
        <v>0</v>
      </c>
      <c r="C618" s="252">
        <v>0</v>
      </c>
      <c r="D618" s="252">
        <v>0</v>
      </c>
      <c r="E618" s="252">
        <v>0</v>
      </c>
      <c r="F618" s="252">
        <v>0</v>
      </c>
      <c r="G618" s="252">
        <v>0</v>
      </c>
      <c r="H618" s="252">
        <v>0</v>
      </c>
      <c r="I618" s="252"/>
      <c r="J618" s="252"/>
      <c r="K618" s="252">
        <v>0</v>
      </c>
      <c r="L618" s="252"/>
      <c r="M618" s="252">
        <v>0</v>
      </c>
      <c r="N618" s="252">
        <v>0</v>
      </c>
      <c r="O618" s="252">
        <v>0</v>
      </c>
      <c r="P618" s="252"/>
      <c r="Q618" s="252">
        <v>0</v>
      </c>
      <c r="R618" s="252"/>
      <c r="S618" s="252"/>
      <c r="T618" s="252">
        <v>0</v>
      </c>
      <c r="U618" s="252"/>
      <c r="V618" s="252">
        <v>0</v>
      </c>
      <c r="W618" s="252">
        <v>0</v>
      </c>
      <c r="X618" s="252"/>
      <c r="Y618" s="252">
        <v>0</v>
      </c>
    </row>
    <row r="619" spans="1:25" x14ac:dyDescent="0.3">
      <c r="A619" s="253" t="s">
        <v>564</v>
      </c>
      <c r="B619" s="252">
        <v>0</v>
      </c>
      <c r="C619" s="252">
        <v>0</v>
      </c>
      <c r="D619" s="252">
        <v>0</v>
      </c>
      <c r="E619" s="252">
        <v>0</v>
      </c>
      <c r="F619" s="252">
        <v>0</v>
      </c>
      <c r="G619" s="252">
        <v>0</v>
      </c>
      <c r="H619" s="252">
        <v>0</v>
      </c>
      <c r="I619" s="252"/>
      <c r="J619" s="252"/>
      <c r="K619" s="252">
        <v>0</v>
      </c>
      <c r="L619" s="252"/>
      <c r="M619" s="252">
        <v>0</v>
      </c>
      <c r="N619" s="252">
        <v>0</v>
      </c>
      <c r="O619" s="252">
        <v>0</v>
      </c>
      <c r="P619" s="252"/>
      <c r="Q619" s="252">
        <v>0</v>
      </c>
      <c r="R619" s="252"/>
      <c r="S619" s="252"/>
      <c r="T619" s="252">
        <v>0</v>
      </c>
      <c r="U619" s="252"/>
      <c r="V619" s="252">
        <v>0</v>
      </c>
      <c r="W619" s="252">
        <v>0</v>
      </c>
      <c r="X619" s="252"/>
      <c r="Y619" s="252">
        <v>0</v>
      </c>
    </row>
    <row r="620" spans="1:25" x14ac:dyDescent="0.3">
      <c r="A620" s="253" t="s">
        <v>565</v>
      </c>
      <c r="B620" s="252">
        <v>2</v>
      </c>
      <c r="C620" s="252">
        <v>0</v>
      </c>
      <c r="D620" s="252">
        <v>0</v>
      </c>
      <c r="E620" s="252">
        <v>2</v>
      </c>
      <c r="F620" s="252">
        <v>2</v>
      </c>
      <c r="G620" s="252">
        <v>0</v>
      </c>
      <c r="H620" s="252">
        <v>0</v>
      </c>
      <c r="I620" s="252">
        <v>0</v>
      </c>
      <c r="J620" s="252">
        <v>2</v>
      </c>
      <c r="K620" s="252">
        <v>1</v>
      </c>
      <c r="L620" s="252"/>
      <c r="M620" s="252">
        <v>0</v>
      </c>
      <c r="N620" s="252">
        <v>0</v>
      </c>
      <c r="O620" s="252">
        <v>1</v>
      </c>
      <c r="P620" s="252">
        <v>0</v>
      </c>
      <c r="Q620" s="252">
        <v>2</v>
      </c>
      <c r="R620" s="252">
        <v>1</v>
      </c>
      <c r="S620" s="252">
        <v>1</v>
      </c>
      <c r="T620" s="252">
        <v>0</v>
      </c>
      <c r="U620" s="252">
        <v>1</v>
      </c>
      <c r="V620" s="252">
        <v>1</v>
      </c>
      <c r="W620" s="252">
        <v>0</v>
      </c>
      <c r="X620" s="252">
        <v>0</v>
      </c>
      <c r="Y620" s="252">
        <v>16</v>
      </c>
    </row>
    <row r="621" spans="1:25" x14ac:dyDescent="0.3">
      <c r="A621" s="253" t="s">
        <v>566</v>
      </c>
      <c r="B621" s="252">
        <v>0</v>
      </c>
      <c r="C621" s="252">
        <v>0</v>
      </c>
      <c r="D621" s="252">
        <v>0</v>
      </c>
      <c r="E621" s="252">
        <v>0</v>
      </c>
      <c r="F621" s="252">
        <v>0</v>
      </c>
      <c r="G621" s="252">
        <v>0</v>
      </c>
      <c r="H621" s="252">
        <v>0</v>
      </c>
      <c r="I621" s="252"/>
      <c r="J621" s="252"/>
      <c r="K621" s="252">
        <v>0</v>
      </c>
      <c r="L621" s="252"/>
      <c r="M621" s="252">
        <v>0</v>
      </c>
      <c r="N621" s="252">
        <v>0</v>
      </c>
      <c r="O621" s="252">
        <v>0</v>
      </c>
      <c r="P621" s="252"/>
      <c r="Q621" s="252">
        <v>0</v>
      </c>
      <c r="R621" s="252"/>
      <c r="S621" s="252"/>
      <c r="T621" s="252">
        <v>0</v>
      </c>
      <c r="U621" s="252"/>
      <c r="V621" s="252">
        <v>0</v>
      </c>
      <c r="W621" s="252">
        <v>0</v>
      </c>
      <c r="X621" s="252"/>
      <c r="Y621" s="252">
        <v>0</v>
      </c>
    </row>
    <row r="622" spans="1:25" x14ac:dyDescent="0.3">
      <c r="A622" s="253" t="s">
        <v>567</v>
      </c>
      <c r="B622" s="252">
        <v>0</v>
      </c>
      <c r="C622" s="252">
        <v>0</v>
      </c>
      <c r="D622" s="252">
        <v>0</v>
      </c>
      <c r="E622" s="252">
        <v>0</v>
      </c>
      <c r="F622" s="252">
        <v>0</v>
      </c>
      <c r="G622" s="252">
        <v>0</v>
      </c>
      <c r="H622" s="252">
        <v>0</v>
      </c>
      <c r="I622" s="252"/>
      <c r="J622" s="252"/>
      <c r="K622" s="252">
        <v>0</v>
      </c>
      <c r="L622" s="252"/>
      <c r="M622" s="252">
        <v>0</v>
      </c>
      <c r="N622" s="252">
        <v>0</v>
      </c>
      <c r="O622" s="252">
        <v>0</v>
      </c>
      <c r="P622" s="252"/>
      <c r="Q622" s="252">
        <v>0</v>
      </c>
      <c r="R622" s="252"/>
      <c r="S622" s="252"/>
      <c r="T622" s="252">
        <v>0</v>
      </c>
      <c r="U622" s="252"/>
      <c r="V622" s="252">
        <v>0</v>
      </c>
      <c r="W622" s="252">
        <v>0</v>
      </c>
      <c r="X622" s="252"/>
      <c r="Y622" s="252">
        <v>0</v>
      </c>
    </row>
    <row r="623" spans="1:25" x14ac:dyDescent="0.3">
      <c r="A623" s="253" t="s">
        <v>568</v>
      </c>
      <c r="B623" s="252">
        <v>3</v>
      </c>
      <c r="C623" s="252">
        <v>0</v>
      </c>
      <c r="D623" s="252">
        <v>0</v>
      </c>
      <c r="E623" s="252">
        <v>2</v>
      </c>
      <c r="F623" s="252">
        <v>0</v>
      </c>
      <c r="G623" s="252">
        <v>0</v>
      </c>
      <c r="H623" s="252">
        <v>3</v>
      </c>
      <c r="I623" s="252">
        <v>0</v>
      </c>
      <c r="J623" s="252">
        <v>3</v>
      </c>
      <c r="K623" s="252">
        <v>3</v>
      </c>
      <c r="L623" s="252">
        <v>0</v>
      </c>
      <c r="M623" s="252">
        <v>2</v>
      </c>
      <c r="N623" s="252">
        <v>2</v>
      </c>
      <c r="O623" s="252">
        <v>3</v>
      </c>
      <c r="P623" s="252">
        <v>0</v>
      </c>
      <c r="Q623" s="252">
        <v>3</v>
      </c>
      <c r="R623" s="252">
        <v>3</v>
      </c>
      <c r="S623" s="252">
        <v>3</v>
      </c>
      <c r="T623" s="252">
        <v>0</v>
      </c>
      <c r="U623" s="252">
        <v>0</v>
      </c>
      <c r="V623" s="252">
        <v>1</v>
      </c>
      <c r="W623" s="252">
        <v>0</v>
      </c>
      <c r="X623" s="252">
        <v>3</v>
      </c>
      <c r="Y623" s="252">
        <v>34</v>
      </c>
    </row>
    <row r="624" spans="1:25" x14ac:dyDescent="0.3">
      <c r="A624" s="253" t="s">
        <v>569</v>
      </c>
      <c r="B624" s="252">
        <v>0</v>
      </c>
      <c r="C624" s="252">
        <v>0</v>
      </c>
      <c r="D624" s="252">
        <v>0</v>
      </c>
      <c r="E624" s="252">
        <v>0</v>
      </c>
      <c r="F624" s="252">
        <v>0</v>
      </c>
      <c r="G624" s="252">
        <v>0</v>
      </c>
      <c r="H624" s="252">
        <v>0</v>
      </c>
      <c r="I624" s="252"/>
      <c r="J624" s="252"/>
      <c r="K624" s="252">
        <v>0</v>
      </c>
      <c r="L624" s="252"/>
      <c r="M624" s="252">
        <v>0</v>
      </c>
      <c r="N624" s="252">
        <v>0</v>
      </c>
      <c r="O624" s="252">
        <v>0</v>
      </c>
      <c r="P624" s="252"/>
      <c r="Q624" s="252">
        <v>0</v>
      </c>
      <c r="R624" s="252"/>
      <c r="S624" s="252"/>
      <c r="T624" s="252">
        <v>0</v>
      </c>
      <c r="U624" s="252"/>
      <c r="V624" s="252">
        <v>0</v>
      </c>
      <c r="W624" s="252">
        <v>0</v>
      </c>
      <c r="X624" s="252"/>
      <c r="Y624" s="252">
        <v>0</v>
      </c>
    </row>
    <row r="625" spans="1:25" x14ac:dyDescent="0.3">
      <c r="A625" s="253" t="s">
        <v>570</v>
      </c>
      <c r="B625" s="252">
        <v>0</v>
      </c>
      <c r="C625" s="252">
        <v>0</v>
      </c>
      <c r="D625" s="252">
        <v>0</v>
      </c>
      <c r="E625" s="252">
        <v>0</v>
      </c>
      <c r="F625" s="252">
        <v>0</v>
      </c>
      <c r="G625" s="252">
        <v>0</v>
      </c>
      <c r="H625" s="252">
        <v>0</v>
      </c>
      <c r="I625" s="252">
        <v>0</v>
      </c>
      <c r="J625" s="252">
        <v>0</v>
      </c>
      <c r="K625" s="252">
        <v>0</v>
      </c>
      <c r="L625" s="252"/>
      <c r="M625" s="252">
        <v>0</v>
      </c>
      <c r="N625" s="252">
        <v>0</v>
      </c>
      <c r="O625" s="252">
        <v>0</v>
      </c>
      <c r="P625" s="252"/>
      <c r="Q625" s="252">
        <v>0</v>
      </c>
      <c r="R625" s="252"/>
      <c r="S625" s="252">
        <v>0</v>
      </c>
      <c r="T625" s="252">
        <v>0</v>
      </c>
      <c r="U625" s="252"/>
      <c r="V625" s="252">
        <v>0</v>
      </c>
      <c r="W625" s="252">
        <v>0</v>
      </c>
      <c r="X625" s="252"/>
      <c r="Y625" s="252">
        <v>0</v>
      </c>
    </row>
    <row r="626" spans="1:25" x14ac:dyDescent="0.3">
      <c r="A626" s="253" t="s">
        <v>571</v>
      </c>
      <c r="B626" s="252">
        <v>0</v>
      </c>
      <c r="C626" s="252">
        <v>1</v>
      </c>
      <c r="D626" s="252">
        <v>0</v>
      </c>
      <c r="E626" s="252">
        <v>0</v>
      </c>
      <c r="F626" s="252">
        <v>0</v>
      </c>
      <c r="G626" s="252">
        <v>1</v>
      </c>
      <c r="H626" s="252">
        <v>2</v>
      </c>
      <c r="I626" s="252">
        <v>0</v>
      </c>
      <c r="J626" s="252">
        <v>0</v>
      </c>
      <c r="K626" s="252">
        <v>0</v>
      </c>
      <c r="L626" s="252"/>
      <c r="M626" s="252">
        <v>0</v>
      </c>
      <c r="N626" s="252">
        <v>1</v>
      </c>
      <c r="O626" s="252">
        <v>0</v>
      </c>
      <c r="P626" s="252">
        <v>0</v>
      </c>
      <c r="Q626" s="252">
        <v>1</v>
      </c>
      <c r="R626" s="252">
        <v>2</v>
      </c>
      <c r="S626" s="252">
        <v>2</v>
      </c>
      <c r="T626" s="252">
        <v>0</v>
      </c>
      <c r="U626" s="252">
        <v>1</v>
      </c>
      <c r="V626" s="252">
        <v>0</v>
      </c>
      <c r="W626" s="252">
        <v>1</v>
      </c>
      <c r="X626" s="252">
        <v>1</v>
      </c>
      <c r="Y626" s="252">
        <v>13</v>
      </c>
    </row>
    <row r="627" spans="1:25" x14ac:dyDescent="0.3">
      <c r="A627" s="253" t="s">
        <v>572</v>
      </c>
      <c r="B627" s="252">
        <v>0</v>
      </c>
      <c r="C627" s="252">
        <v>0</v>
      </c>
      <c r="D627" s="252">
        <v>0</v>
      </c>
      <c r="E627" s="252">
        <v>0</v>
      </c>
      <c r="F627" s="252">
        <v>0</v>
      </c>
      <c r="G627" s="252">
        <v>0</v>
      </c>
      <c r="H627" s="252">
        <v>0</v>
      </c>
      <c r="I627" s="252"/>
      <c r="J627" s="252"/>
      <c r="K627" s="252">
        <v>0</v>
      </c>
      <c r="L627" s="252"/>
      <c r="M627" s="252">
        <v>0</v>
      </c>
      <c r="N627" s="252">
        <v>0</v>
      </c>
      <c r="O627" s="252">
        <v>0</v>
      </c>
      <c r="P627" s="252"/>
      <c r="Q627" s="252">
        <v>0</v>
      </c>
      <c r="R627" s="252"/>
      <c r="S627" s="252"/>
      <c r="T627" s="252">
        <v>0</v>
      </c>
      <c r="U627" s="252"/>
      <c r="V627" s="252">
        <v>0</v>
      </c>
      <c r="W627" s="252">
        <v>0</v>
      </c>
      <c r="X627" s="252"/>
      <c r="Y627" s="252">
        <v>0</v>
      </c>
    </row>
    <row r="628" spans="1:25" x14ac:dyDescent="0.3">
      <c r="A628" s="253" t="s">
        <v>573</v>
      </c>
      <c r="B628" s="252">
        <v>2</v>
      </c>
      <c r="C628" s="252">
        <v>1</v>
      </c>
      <c r="D628" s="252">
        <v>0</v>
      </c>
      <c r="E628" s="252">
        <v>0</v>
      </c>
      <c r="F628" s="252">
        <v>0</v>
      </c>
      <c r="G628" s="252">
        <v>1</v>
      </c>
      <c r="H628" s="252">
        <v>0</v>
      </c>
      <c r="I628" s="252">
        <v>0</v>
      </c>
      <c r="J628" s="252">
        <v>2</v>
      </c>
      <c r="K628" s="252">
        <v>0</v>
      </c>
      <c r="L628" s="252">
        <v>0</v>
      </c>
      <c r="M628" s="252">
        <v>0</v>
      </c>
      <c r="N628" s="252">
        <v>0</v>
      </c>
      <c r="O628" s="252">
        <v>1</v>
      </c>
      <c r="P628" s="252">
        <v>0</v>
      </c>
      <c r="Q628" s="252">
        <v>1</v>
      </c>
      <c r="R628" s="252">
        <v>1</v>
      </c>
      <c r="S628" s="252">
        <v>0</v>
      </c>
      <c r="T628" s="252">
        <v>0</v>
      </c>
      <c r="U628" s="252">
        <v>1</v>
      </c>
      <c r="V628" s="252">
        <v>0</v>
      </c>
      <c r="W628" s="252">
        <v>0</v>
      </c>
      <c r="X628" s="252">
        <v>1</v>
      </c>
      <c r="Y628" s="252">
        <v>11</v>
      </c>
    </row>
    <row r="629" spans="1:25" x14ac:dyDescent="0.3">
      <c r="A629" s="253" t="s">
        <v>574</v>
      </c>
      <c r="B629" s="252">
        <v>0</v>
      </c>
      <c r="C629" s="252"/>
      <c r="D629" s="252">
        <v>0</v>
      </c>
      <c r="E629" s="252">
        <v>0</v>
      </c>
      <c r="F629" s="252">
        <v>0</v>
      </c>
      <c r="G629" s="252">
        <v>0</v>
      </c>
      <c r="H629" s="252">
        <v>0</v>
      </c>
      <c r="I629" s="252"/>
      <c r="J629" s="252"/>
      <c r="K629" s="252">
        <v>0</v>
      </c>
      <c r="L629" s="252"/>
      <c r="M629" s="252">
        <v>0</v>
      </c>
      <c r="N629" s="252">
        <v>0</v>
      </c>
      <c r="O629" s="252">
        <v>0</v>
      </c>
      <c r="P629" s="252"/>
      <c r="Q629" s="252">
        <v>0</v>
      </c>
      <c r="R629" s="252"/>
      <c r="S629" s="252"/>
      <c r="T629" s="252">
        <v>0</v>
      </c>
      <c r="U629" s="252"/>
      <c r="V629" s="252">
        <v>0</v>
      </c>
      <c r="W629" s="252">
        <v>0</v>
      </c>
      <c r="X629" s="252"/>
      <c r="Y629" s="252">
        <v>0</v>
      </c>
    </row>
    <row r="630" spans="1:25" x14ac:dyDescent="0.3">
      <c r="A630" s="253" t="s">
        <v>575</v>
      </c>
      <c r="B630" s="252">
        <v>0</v>
      </c>
      <c r="C630" s="252">
        <v>0</v>
      </c>
      <c r="D630" s="252">
        <v>0</v>
      </c>
      <c r="E630" s="252">
        <v>0</v>
      </c>
      <c r="F630" s="252">
        <v>0</v>
      </c>
      <c r="G630" s="252">
        <v>0</v>
      </c>
      <c r="H630" s="252">
        <v>0</v>
      </c>
      <c r="I630" s="252">
        <v>0</v>
      </c>
      <c r="J630" s="252">
        <v>0</v>
      </c>
      <c r="K630" s="252">
        <v>0</v>
      </c>
      <c r="L630" s="252"/>
      <c r="M630" s="252">
        <v>0</v>
      </c>
      <c r="N630" s="252">
        <v>0</v>
      </c>
      <c r="O630" s="252">
        <v>0</v>
      </c>
      <c r="P630" s="252"/>
      <c r="Q630" s="252">
        <v>0</v>
      </c>
      <c r="R630" s="252">
        <v>0</v>
      </c>
      <c r="S630" s="252">
        <v>0</v>
      </c>
      <c r="T630" s="252">
        <v>0</v>
      </c>
      <c r="U630" s="252"/>
      <c r="V630" s="252">
        <v>0</v>
      </c>
      <c r="W630" s="252">
        <v>0</v>
      </c>
      <c r="X630" s="252"/>
      <c r="Y630" s="252">
        <v>0</v>
      </c>
    </row>
    <row r="631" spans="1:25" x14ac:dyDescent="0.3">
      <c r="A631" s="253" t="s">
        <v>576</v>
      </c>
      <c r="B631" s="252">
        <v>0</v>
      </c>
      <c r="C631" s="252">
        <v>0</v>
      </c>
      <c r="D631" s="252">
        <v>0</v>
      </c>
      <c r="E631" s="252">
        <v>0</v>
      </c>
      <c r="F631" s="252">
        <v>0</v>
      </c>
      <c r="G631" s="252">
        <v>0</v>
      </c>
      <c r="H631" s="252">
        <v>0</v>
      </c>
      <c r="I631" s="252">
        <v>0</v>
      </c>
      <c r="J631" s="252">
        <v>0</v>
      </c>
      <c r="K631" s="252">
        <v>0</v>
      </c>
      <c r="L631" s="252"/>
      <c r="M631" s="252">
        <v>0</v>
      </c>
      <c r="N631" s="252">
        <v>0</v>
      </c>
      <c r="O631" s="252">
        <v>0</v>
      </c>
      <c r="P631" s="252"/>
      <c r="Q631" s="252">
        <v>0</v>
      </c>
      <c r="R631" s="252"/>
      <c r="S631" s="252">
        <v>0</v>
      </c>
      <c r="T631" s="252">
        <v>0</v>
      </c>
      <c r="U631" s="252"/>
      <c r="V631" s="252">
        <v>0</v>
      </c>
      <c r="W631" s="252">
        <v>0</v>
      </c>
      <c r="X631" s="252"/>
      <c r="Y631" s="252">
        <v>0</v>
      </c>
    </row>
    <row r="632" spans="1:25" x14ac:dyDescent="0.3">
      <c r="A632" s="253" t="s">
        <v>577</v>
      </c>
      <c r="B632" s="252">
        <v>0</v>
      </c>
      <c r="C632" s="252">
        <v>0</v>
      </c>
      <c r="D632" s="252">
        <v>0</v>
      </c>
      <c r="E632" s="252">
        <v>0</v>
      </c>
      <c r="F632" s="252">
        <v>0</v>
      </c>
      <c r="G632" s="252">
        <v>0</v>
      </c>
      <c r="H632" s="252">
        <v>0</v>
      </c>
      <c r="I632" s="252">
        <v>0</v>
      </c>
      <c r="J632" s="252">
        <v>0</v>
      </c>
      <c r="K632" s="252">
        <v>0</v>
      </c>
      <c r="L632" s="252"/>
      <c r="M632" s="252">
        <v>0</v>
      </c>
      <c r="N632" s="252">
        <v>0</v>
      </c>
      <c r="O632" s="252">
        <v>0</v>
      </c>
      <c r="P632" s="252">
        <v>0</v>
      </c>
      <c r="Q632" s="252">
        <v>0</v>
      </c>
      <c r="R632" s="252">
        <v>0</v>
      </c>
      <c r="S632" s="252">
        <v>0</v>
      </c>
      <c r="T632" s="252">
        <v>0</v>
      </c>
      <c r="U632" s="252">
        <v>0</v>
      </c>
      <c r="V632" s="252">
        <v>0</v>
      </c>
      <c r="W632" s="252">
        <v>0</v>
      </c>
      <c r="X632" s="252">
        <v>0</v>
      </c>
      <c r="Y632" s="252">
        <v>0</v>
      </c>
    </row>
    <row r="633" spans="1:25" x14ac:dyDescent="0.3">
      <c r="A633" s="253" t="s">
        <v>578</v>
      </c>
      <c r="B633" s="252">
        <v>0</v>
      </c>
      <c r="C633" s="252">
        <v>0</v>
      </c>
      <c r="D633" s="252">
        <v>0</v>
      </c>
      <c r="E633" s="252">
        <v>0</v>
      </c>
      <c r="F633" s="252">
        <v>0</v>
      </c>
      <c r="G633" s="252">
        <v>0</v>
      </c>
      <c r="H633" s="252">
        <v>0</v>
      </c>
      <c r="I633" s="252"/>
      <c r="J633" s="252"/>
      <c r="K633" s="252">
        <v>0</v>
      </c>
      <c r="L633" s="252"/>
      <c r="M633" s="252">
        <v>0</v>
      </c>
      <c r="N633" s="252">
        <v>0</v>
      </c>
      <c r="O633" s="252">
        <v>0</v>
      </c>
      <c r="P633" s="252"/>
      <c r="Q633" s="252">
        <v>0</v>
      </c>
      <c r="R633" s="252"/>
      <c r="S633" s="252">
        <v>0</v>
      </c>
      <c r="T633" s="252">
        <v>0</v>
      </c>
      <c r="U633" s="252"/>
      <c r="V633" s="252">
        <v>0</v>
      </c>
      <c r="W633" s="252">
        <v>0</v>
      </c>
      <c r="X633" s="252"/>
      <c r="Y633" s="252">
        <v>0</v>
      </c>
    </row>
    <row r="634" spans="1:25" x14ac:dyDescent="0.3">
      <c r="A634" s="253" t="s">
        <v>579</v>
      </c>
      <c r="B634" s="252">
        <v>0</v>
      </c>
      <c r="C634" s="252">
        <v>0</v>
      </c>
      <c r="D634" s="252">
        <v>0</v>
      </c>
      <c r="E634" s="252"/>
      <c r="F634" s="252">
        <v>0</v>
      </c>
      <c r="G634" s="252">
        <v>0</v>
      </c>
      <c r="H634" s="252">
        <v>0</v>
      </c>
      <c r="I634" s="252"/>
      <c r="J634" s="252"/>
      <c r="K634" s="252">
        <v>0</v>
      </c>
      <c r="L634" s="252"/>
      <c r="M634" s="252">
        <v>0</v>
      </c>
      <c r="N634" s="252">
        <v>0</v>
      </c>
      <c r="O634" s="252">
        <v>0</v>
      </c>
      <c r="P634" s="252"/>
      <c r="Q634" s="252">
        <v>0</v>
      </c>
      <c r="R634" s="252"/>
      <c r="S634" s="252">
        <v>0</v>
      </c>
      <c r="T634" s="252">
        <v>0</v>
      </c>
      <c r="U634" s="252"/>
      <c r="V634" s="252">
        <v>0</v>
      </c>
      <c r="W634" s="252">
        <v>0</v>
      </c>
      <c r="X634" s="252"/>
      <c r="Y634" s="252">
        <v>0</v>
      </c>
    </row>
    <row r="635" spans="1:25" x14ac:dyDescent="0.3">
      <c r="A635" s="253" t="s">
        <v>1122</v>
      </c>
      <c r="B635" s="252">
        <v>0</v>
      </c>
      <c r="C635" s="252">
        <v>0</v>
      </c>
      <c r="D635" s="252">
        <v>0</v>
      </c>
      <c r="E635" s="252">
        <v>0</v>
      </c>
      <c r="F635" s="252">
        <v>0</v>
      </c>
      <c r="G635" s="252">
        <v>0</v>
      </c>
      <c r="H635" s="252">
        <v>0</v>
      </c>
      <c r="I635" s="252">
        <v>0</v>
      </c>
      <c r="J635" s="252">
        <v>0</v>
      </c>
      <c r="K635" s="252">
        <v>0</v>
      </c>
      <c r="L635" s="252">
        <v>0</v>
      </c>
      <c r="M635" s="252">
        <v>0</v>
      </c>
      <c r="N635" s="252">
        <v>0</v>
      </c>
      <c r="O635" s="252">
        <v>0</v>
      </c>
      <c r="P635" s="252">
        <v>0</v>
      </c>
      <c r="Q635" s="252">
        <v>0</v>
      </c>
      <c r="R635" s="252">
        <v>0</v>
      </c>
      <c r="S635" s="252">
        <v>0</v>
      </c>
      <c r="T635" s="252">
        <v>0</v>
      </c>
      <c r="U635" s="252">
        <v>0</v>
      </c>
      <c r="V635" s="252">
        <v>0</v>
      </c>
      <c r="W635" s="252">
        <v>0</v>
      </c>
      <c r="X635" s="252">
        <v>0</v>
      </c>
      <c r="Y635" s="252">
        <v>0</v>
      </c>
    </row>
    <row r="636" spans="1:25" x14ac:dyDescent="0.3">
      <c r="A636" s="253" t="s">
        <v>1120</v>
      </c>
      <c r="B636" s="252">
        <v>0</v>
      </c>
      <c r="C636" s="252">
        <v>0</v>
      </c>
      <c r="D636" s="252">
        <v>0</v>
      </c>
      <c r="E636" s="252">
        <v>0</v>
      </c>
      <c r="F636" s="252">
        <v>0</v>
      </c>
      <c r="G636" s="252">
        <v>0</v>
      </c>
      <c r="H636" s="252">
        <v>0</v>
      </c>
      <c r="I636" s="252">
        <v>0</v>
      </c>
      <c r="J636" s="252">
        <v>0</v>
      </c>
      <c r="K636" s="252">
        <v>0</v>
      </c>
      <c r="L636" s="252">
        <v>0</v>
      </c>
      <c r="M636" s="252">
        <v>0</v>
      </c>
      <c r="N636" s="252">
        <v>0</v>
      </c>
      <c r="O636" s="252">
        <v>0</v>
      </c>
      <c r="P636" s="252">
        <v>0</v>
      </c>
      <c r="Q636" s="252">
        <v>0</v>
      </c>
      <c r="R636" s="252">
        <v>0</v>
      </c>
      <c r="S636" s="252">
        <v>0</v>
      </c>
      <c r="T636" s="252">
        <v>0</v>
      </c>
      <c r="U636" s="252">
        <v>0</v>
      </c>
      <c r="V636" s="252">
        <v>0</v>
      </c>
      <c r="W636" s="252">
        <v>0</v>
      </c>
      <c r="X636" s="252">
        <v>0</v>
      </c>
      <c r="Y636" s="252">
        <v>0</v>
      </c>
    </row>
    <row r="637" spans="1:25" x14ac:dyDescent="0.3">
      <c r="A637" s="253" t="s">
        <v>580</v>
      </c>
      <c r="B637" s="252">
        <v>0</v>
      </c>
      <c r="C637" s="252">
        <v>0</v>
      </c>
      <c r="D637" s="252">
        <v>0</v>
      </c>
      <c r="E637" s="252">
        <v>0</v>
      </c>
      <c r="F637" s="252">
        <v>0</v>
      </c>
      <c r="G637" s="252">
        <v>0</v>
      </c>
      <c r="H637" s="252">
        <v>0</v>
      </c>
      <c r="I637" s="252"/>
      <c r="J637" s="252"/>
      <c r="K637" s="252">
        <v>0</v>
      </c>
      <c r="L637" s="252"/>
      <c r="M637" s="252">
        <v>0</v>
      </c>
      <c r="N637" s="252">
        <v>0</v>
      </c>
      <c r="O637" s="252">
        <v>0</v>
      </c>
      <c r="P637" s="252"/>
      <c r="Q637" s="252">
        <v>0</v>
      </c>
      <c r="R637" s="252"/>
      <c r="S637" s="252">
        <v>0</v>
      </c>
      <c r="T637" s="252">
        <v>0</v>
      </c>
      <c r="U637" s="252"/>
      <c r="V637" s="252">
        <v>0</v>
      </c>
      <c r="W637" s="252">
        <v>0</v>
      </c>
      <c r="X637" s="252"/>
      <c r="Y637" s="252">
        <v>0</v>
      </c>
    </row>
    <row r="638" spans="1:25" x14ac:dyDescent="0.3">
      <c r="A638" s="253" t="s">
        <v>581</v>
      </c>
      <c r="B638" s="252">
        <v>0</v>
      </c>
      <c r="C638" s="252"/>
      <c r="D638" s="252">
        <v>0</v>
      </c>
      <c r="E638" s="252">
        <v>0</v>
      </c>
      <c r="F638" s="252">
        <v>0</v>
      </c>
      <c r="G638" s="252">
        <v>0</v>
      </c>
      <c r="H638" s="252">
        <v>0</v>
      </c>
      <c r="I638" s="252"/>
      <c r="J638" s="252"/>
      <c r="K638" s="252">
        <v>0</v>
      </c>
      <c r="L638" s="252"/>
      <c r="M638" s="252">
        <v>0</v>
      </c>
      <c r="N638" s="252">
        <v>0</v>
      </c>
      <c r="O638" s="252">
        <v>0</v>
      </c>
      <c r="P638" s="252"/>
      <c r="Q638" s="252">
        <v>0</v>
      </c>
      <c r="R638" s="252"/>
      <c r="S638" s="252"/>
      <c r="T638" s="252">
        <v>0</v>
      </c>
      <c r="U638" s="252"/>
      <c r="V638" s="252">
        <v>0</v>
      </c>
      <c r="W638" s="252">
        <v>0</v>
      </c>
      <c r="X638" s="252"/>
      <c r="Y638" s="252">
        <v>0</v>
      </c>
    </row>
    <row r="639" spans="1:25" x14ac:dyDescent="0.3">
      <c r="A639" s="253" t="s">
        <v>582</v>
      </c>
      <c r="B639" s="252">
        <v>0</v>
      </c>
      <c r="C639" s="252">
        <v>0</v>
      </c>
      <c r="D639" s="252">
        <v>0</v>
      </c>
      <c r="E639" s="252">
        <v>0</v>
      </c>
      <c r="F639" s="252">
        <v>0</v>
      </c>
      <c r="G639" s="252">
        <v>0</v>
      </c>
      <c r="H639" s="252">
        <v>0</v>
      </c>
      <c r="I639" s="252">
        <v>0</v>
      </c>
      <c r="J639" s="252">
        <v>0</v>
      </c>
      <c r="K639" s="252">
        <v>0</v>
      </c>
      <c r="L639" s="252">
        <v>0</v>
      </c>
      <c r="M639" s="252">
        <v>0</v>
      </c>
      <c r="N639" s="252">
        <v>0</v>
      </c>
      <c r="O639" s="252">
        <v>0</v>
      </c>
      <c r="P639" s="252">
        <v>0</v>
      </c>
      <c r="Q639" s="252">
        <v>0</v>
      </c>
      <c r="R639" s="252">
        <v>0</v>
      </c>
      <c r="S639" s="252">
        <v>0</v>
      </c>
      <c r="T639" s="252">
        <v>0</v>
      </c>
      <c r="U639" s="252">
        <v>0</v>
      </c>
      <c r="V639" s="252">
        <v>0</v>
      </c>
      <c r="W639" s="252">
        <v>0</v>
      </c>
      <c r="X639" s="252">
        <v>0</v>
      </c>
      <c r="Y639" s="252">
        <v>0</v>
      </c>
    </row>
    <row r="640" spans="1:25" x14ac:dyDescent="0.3">
      <c r="A640" s="253" t="s">
        <v>583</v>
      </c>
      <c r="B640" s="252">
        <v>0</v>
      </c>
      <c r="C640" s="252">
        <v>0</v>
      </c>
      <c r="D640" s="252">
        <v>0</v>
      </c>
      <c r="E640" s="252">
        <v>0</v>
      </c>
      <c r="F640" s="252">
        <v>0</v>
      </c>
      <c r="G640" s="252">
        <v>0</v>
      </c>
      <c r="H640" s="252">
        <v>0</v>
      </c>
      <c r="I640" s="252"/>
      <c r="J640" s="252"/>
      <c r="K640" s="252">
        <v>0</v>
      </c>
      <c r="L640" s="252"/>
      <c r="M640" s="252">
        <v>0</v>
      </c>
      <c r="N640" s="252">
        <v>0</v>
      </c>
      <c r="O640" s="252">
        <v>0</v>
      </c>
      <c r="P640" s="252"/>
      <c r="Q640" s="252">
        <v>0</v>
      </c>
      <c r="R640" s="252"/>
      <c r="S640" s="252"/>
      <c r="T640" s="252">
        <v>0</v>
      </c>
      <c r="U640" s="252"/>
      <c r="V640" s="252">
        <v>0</v>
      </c>
      <c r="W640" s="252">
        <v>0</v>
      </c>
      <c r="X640" s="252"/>
      <c r="Y640" s="252">
        <v>0</v>
      </c>
    </row>
    <row r="641" spans="1:25" x14ac:dyDescent="0.3">
      <c r="A641" s="253" t="s">
        <v>584</v>
      </c>
      <c r="B641" s="252">
        <v>0</v>
      </c>
      <c r="C641" s="252">
        <v>0</v>
      </c>
      <c r="D641" s="252">
        <v>0</v>
      </c>
      <c r="E641" s="252">
        <v>0</v>
      </c>
      <c r="F641" s="252">
        <v>0</v>
      </c>
      <c r="G641" s="252">
        <v>0</v>
      </c>
      <c r="H641" s="252">
        <v>0</v>
      </c>
      <c r="I641" s="252"/>
      <c r="J641" s="252"/>
      <c r="K641" s="252">
        <v>0</v>
      </c>
      <c r="L641" s="252"/>
      <c r="M641" s="252">
        <v>0</v>
      </c>
      <c r="N641" s="252">
        <v>0</v>
      </c>
      <c r="O641" s="252">
        <v>0</v>
      </c>
      <c r="P641" s="252"/>
      <c r="Q641" s="252">
        <v>0</v>
      </c>
      <c r="R641" s="252"/>
      <c r="S641" s="252">
        <v>0</v>
      </c>
      <c r="T641" s="252">
        <v>0</v>
      </c>
      <c r="U641" s="252"/>
      <c r="V641" s="252">
        <v>0</v>
      </c>
      <c r="W641" s="252">
        <v>0</v>
      </c>
      <c r="X641" s="252"/>
      <c r="Y641" s="252">
        <v>0</v>
      </c>
    </row>
    <row r="642" spans="1:25" x14ac:dyDescent="0.3">
      <c r="A642" s="253" t="s">
        <v>1043</v>
      </c>
      <c r="B642" s="252">
        <v>0</v>
      </c>
      <c r="C642" s="252">
        <v>0</v>
      </c>
      <c r="D642" s="252">
        <v>0</v>
      </c>
      <c r="E642" s="252">
        <v>0</v>
      </c>
      <c r="F642" s="252">
        <v>0</v>
      </c>
      <c r="G642" s="252">
        <v>0</v>
      </c>
      <c r="H642" s="252">
        <v>0</v>
      </c>
      <c r="I642" s="252"/>
      <c r="J642" s="252">
        <v>0</v>
      </c>
      <c r="K642" s="252">
        <v>0</v>
      </c>
      <c r="L642" s="252"/>
      <c r="M642" s="252">
        <v>0</v>
      </c>
      <c r="N642" s="252">
        <v>0</v>
      </c>
      <c r="O642" s="252">
        <v>0</v>
      </c>
      <c r="P642" s="252"/>
      <c r="Q642" s="252">
        <v>0</v>
      </c>
      <c r="R642" s="252">
        <v>0</v>
      </c>
      <c r="S642" s="252"/>
      <c r="T642" s="252">
        <v>0</v>
      </c>
      <c r="U642" s="252">
        <v>0</v>
      </c>
      <c r="V642" s="252">
        <v>0</v>
      </c>
      <c r="W642" s="252">
        <v>0</v>
      </c>
      <c r="X642" s="252"/>
      <c r="Y642" s="252">
        <v>0</v>
      </c>
    </row>
    <row r="643" spans="1:25" x14ac:dyDescent="0.3">
      <c r="A643" s="253" t="s">
        <v>1044</v>
      </c>
      <c r="B643" s="252">
        <v>0</v>
      </c>
      <c r="C643" s="252">
        <v>0</v>
      </c>
      <c r="D643" s="252">
        <v>0</v>
      </c>
      <c r="E643" s="252">
        <v>0</v>
      </c>
      <c r="F643" s="252">
        <v>0</v>
      </c>
      <c r="G643" s="252">
        <v>0</v>
      </c>
      <c r="H643" s="252">
        <v>0</v>
      </c>
      <c r="I643" s="252"/>
      <c r="J643" s="252">
        <v>0</v>
      </c>
      <c r="K643" s="252">
        <v>0</v>
      </c>
      <c r="L643" s="252"/>
      <c r="M643" s="252">
        <v>0</v>
      </c>
      <c r="N643" s="252">
        <v>0</v>
      </c>
      <c r="O643" s="252">
        <v>0</v>
      </c>
      <c r="P643" s="252">
        <v>0</v>
      </c>
      <c r="Q643" s="252">
        <v>0</v>
      </c>
      <c r="R643" s="252"/>
      <c r="S643" s="252"/>
      <c r="T643" s="252">
        <v>0</v>
      </c>
      <c r="U643" s="252"/>
      <c r="V643" s="252">
        <v>0</v>
      </c>
      <c r="W643" s="252">
        <v>0</v>
      </c>
      <c r="X643" s="252"/>
      <c r="Y643" s="252">
        <v>0</v>
      </c>
    </row>
    <row r="644" spans="1:25" x14ac:dyDescent="0.3">
      <c r="A644" s="253" t="s">
        <v>585</v>
      </c>
      <c r="B644" s="252">
        <v>0</v>
      </c>
      <c r="C644" s="252">
        <v>0</v>
      </c>
      <c r="D644" s="252">
        <v>0</v>
      </c>
      <c r="E644" s="252">
        <v>0</v>
      </c>
      <c r="F644" s="252">
        <v>0</v>
      </c>
      <c r="G644" s="252">
        <v>0</v>
      </c>
      <c r="H644" s="252">
        <v>0</v>
      </c>
      <c r="I644" s="252"/>
      <c r="J644" s="252">
        <v>0</v>
      </c>
      <c r="K644" s="252">
        <v>0</v>
      </c>
      <c r="L644" s="252">
        <v>0</v>
      </c>
      <c r="M644" s="252">
        <v>0</v>
      </c>
      <c r="N644" s="252">
        <v>0</v>
      </c>
      <c r="O644" s="252">
        <v>0</v>
      </c>
      <c r="P644" s="252"/>
      <c r="Q644" s="252">
        <v>0</v>
      </c>
      <c r="R644" s="252">
        <v>0</v>
      </c>
      <c r="S644" s="252">
        <v>0</v>
      </c>
      <c r="T644" s="252">
        <v>0</v>
      </c>
      <c r="U644" s="252"/>
      <c r="V644" s="252">
        <v>0</v>
      </c>
      <c r="W644" s="252">
        <v>0</v>
      </c>
      <c r="X644" s="252"/>
      <c r="Y644" s="252">
        <v>0</v>
      </c>
    </row>
    <row r="645" spans="1:25" x14ac:dyDescent="0.3">
      <c r="A645" s="253" t="s">
        <v>586</v>
      </c>
      <c r="B645" s="252">
        <v>0</v>
      </c>
      <c r="C645" s="252">
        <v>0</v>
      </c>
      <c r="D645" s="252">
        <v>0</v>
      </c>
      <c r="E645" s="252">
        <v>0</v>
      </c>
      <c r="F645" s="252">
        <v>0</v>
      </c>
      <c r="G645" s="252">
        <v>0</v>
      </c>
      <c r="H645" s="252">
        <v>0</v>
      </c>
      <c r="I645" s="252"/>
      <c r="J645" s="252">
        <v>0</v>
      </c>
      <c r="K645" s="252">
        <v>0</v>
      </c>
      <c r="L645" s="252">
        <v>0</v>
      </c>
      <c r="M645" s="252">
        <v>0</v>
      </c>
      <c r="N645" s="252">
        <v>0</v>
      </c>
      <c r="O645" s="252">
        <v>0</v>
      </c>
      <c r="P645" s="252">
        <v>0</v>
      </c>
      <c r="Q645" s="252">
        <v>0</v>
      </c>
      <c r="R645" s="252">
        <v>0</v>
      </c>
      <c r="S645" s="252">
        <v>0</v>
      </c>
      <c r="T645" s="252">
        <v>0</v>
      </c>
      <c r="U645" s="252"/>
      <c r="V645" s="252">
        <v>0</v>
      </c>
      <c r="W645" s="252">
        <v>0</v>
      </c>
      <c r="X645" s="252"/>
      <c r="Y645" s="252">
        <v>0</v>
      </c>
    </row>
    <row r="646" spans="1:25" x14ac:dyDescent="0.3">
      <c r="A646" s="253" t="s">
        <v>1045</v>
      </c>
      <c r="B646" s="252">
        <v>0</v>
      </c>
      <c r="C646" s="252">
        <v>0</v>
      </c>
      <c r="D646" s="252">
        <v>0</v>
      </c>
      <c r="E646" s="252">
        <v>0</v>
      </c>
      <c r="F646" s="252">
        <v>0</v>
      </c>
      <c r="G646" s="252">
        <v>0</v>
      </c>
      <c r="H646" s="252">
        <v>0</v>
      </c>
      <c r="I646" s="252"/>
      <c r="J646" s="252">
        <v>0</v>
      </c>
      <c r="K646" s="252">
        <v>0</v>
      </c>
      <c r="L646" s="252"/>
      <c r="M646" s="252">
        <v>0</v>
      </c>
      <c r="N646" s="252">
        <v>0</v>
      </c>
      <c r="O646" s="252">
        <v>0</v>
      </c>
      <c r="P646" s="252"/>
      <c r="Q646" s="252">
        <v>0</v>
      </c>
      <c r="R646" s="252">
        <v>0</v>
      </c>
      <c r="S646" s="252"/>
      <c r="T646" s="252">
        <v>0</v>
      </c>
      <c r="U646" s="252"/>
      <c r="V646" s="252">
        <v>0</v>
      </c>
      <c r="W646" s="252">
        <v>0</v>
      </c>
      <c r="X646" s="252"/>
      <c r="Y646" s="252">
        <v>0</v>
      </c>
    </row>
    <row r="647" spans="1:25" x14ac:dyDescent="0.3">
      <c r="A647" s="253" t="s">
        <v>1046</v>
      </c>
      <c r="B647" s="252">
        <v>0</v>
      </c>
      <c r="C647" s="252">
        <v>0</v>
      </c>
      <c r="D647" s="252">
        <v>0</v>
      </c>
      <c r="E647" s="252">
        <v>0</v>
      </c>
      <c r="F647" s="252">
        <v>0</v>
      </c>
      <c r="G647" s="252">
        <v>0</v>
      </c>
      <c r="H647" s="252">
        <v>0</v>
      </c>
      <c r="I647" s="252">
        <v>0</v>
      </c>
      <c r="J647" s="252">
        <v>0</v>
      </c>
      <c r="K647" s="252">
        <v>0</v>
      </c>
      <c r="L647" s="252">
        <v>0</v>
      </c>
      <c r="M647" s="252">
        <v>0</v>
      </c>
      <c r="N647" s="252">
        <v>0</v>
      </c>
      <c r="O647" s="252">
        <v>0</v>
      </c>
      <c r="P647" s="252">
        <v>0</v>
      </c>
      <c r="Q647" s="252">
        <v>0</v>
      </c>
      <c r="R647" s="252">
        <v>0</v>
      </c>
      <c r="S647" s="252">
        <v>0</v>
      </c>
      <c r="T647" s="252">
        <v>0</v>
      </c>
      <c r="U647" s="252">
        <v>0</v>
      </c>
      <c r="V647" s="252">
        <v>0</v>
      </c>
      <c r="W647" s="252">
        <v>0</v>
      </c>
      <c r="X647" s="252"/>
      <c r="Y647" s="252">
        <v>0</v>
      </c>
    </row>
    <row r="648" spans="1:25" x14ac:dyDescent="0.3">
      <c r="A648" s="253" t="s">
        <v>1047</v>
      </c>
      <c r="B648" s="252">
        <v>0</v>
      </c>
      <c r="C648" s="252">
        <v>0</v>
      </c>
      <c r="D648" s="252">
        <v>0</v>
      </c>
      <c r="E648" s="252">
        <v>0</v>
      </c>
      <c r="F648" s="252">
        <v>0</v>
      </c>
      <c r="G648" s="252">
        <v>0</v>
      </c>
      <c r="H648" s="252">
        <v>0</v>
      </c>
      <c r="I648" s="252">
        <v>0</v>
      </c>
      <c r="J648" s="252">
        <v>0</v>
      </c>
      <c r="K648" s="252">
        <v>0</v>
      </c>
      <c r="L648" s="252"/>
      <c r="M648" s="252">
        <v>0</v>
      </c>
      <c r="N648" s="252">
        <v>0</v>
      </c>
      <c r="O648" s="252">
        <v>0</v>
      </c>
      <c r="P648" s="252">
        <v>0</v>
      </c>
      <c r="Q648" s="252">
        <v>0</v>
      </c>
      <c r="R648" s="252">
        <v>0</v>
      </c>
      <c r="S648" s="252"/>
      <c r="T648" s="252">
        <v>0</v>
      </c>
      <c r="U648" s="252"/>
      <c r="V648" s="252">
        <v>0</v>
      </c>
      <c r="W648" s="252">
        <v>0</v>
      </c>
      <c r="X648" s="252"/>
      <c r="Y648" s="252">
        <v>0</v>
      </c>
    </row>
    <row r="649" spans="1:25" x14ac:dyDescent="0.3">
      <c r="A649" s="253" t="s">
        <v>1048</v>
      </c>
      <c r="B649" s="252">
        <v>0</v>
      </c>
      <c r="C649" s="252">
        <v>0</v>
      </c>
      <c r="D649" s="252">
        <v>0</v>
      </c>
      <c r="E649" s="252">
        <v>0</v>
      </c>
      <c r="F649" s="252">
        <v>0</v>
      </c>
      <c r="G649" s="252">
        <v>0</v>
      </c>
      <c r="H649" s="252">
        <v>0</v>
      </c>
      <c r="I649" s="252"/>
      <c r="J649" s="252"/>
      <c r="K649" s="252">
        <v>0</v>
      </c>
      <c r="L649" s="252"/>
      <c r="M649" s="252">
        <v>0</v>
      </c>
      <c r="N649" s="252">
        <v>0</v>
      </c>
      <c r="O649" s="252">
        <v>0</v>
      </c>
      <c r="P649" s="252"/>
      <c r="Q649" s="252">
        <v>0</v>
      </c>
      <c r="R649" s="252"/>
      <c r="S649" s="252"/>
      <c r="T649" s="252">
        <v>0</v>
      </c>
      <c r="U649" s="252">
        <v>0</v>
      </c>
      <c r="V649" s="252">
        <v>0</v>
      </c>
      <c r="W649" s="252">
        <v>0</v>
      </c>
      <c r="X649" s="252"/>
      <c r="Y649" s="252">
        <v>0</v>
      </c>
    </row>
    <row r="650" spans="1:25" x14ac:dyDescent="0.3">
      <c r="A650" s="253" t="s">
        <v>1049</v>
      </c>
      <c r="B650" s="252">
        <v>0</v>
      </c>
      <c r="C650" s="252">
        <v>0</v>
      </c>
      <c r="D650" s="252">
        <v>0</v>
      </c>
      <c r="E650" s="252">
        <v>0</v>
      </c>
      <c r="F650" s="252">
        <v>0</v>
      </c>
      <c r="G650" s="252">
        <v>0</v>
      </c>
      <c r="H650" s="252">
        <v>0</v>
      </c>
      <c r="I650" s="252"/>
      <c r="J650" s="252"/>
      <c r="K650" s="252">
        <v>0</v>
      </c>
      <c r="L650" s="252"/>
      <c r="M650" s="252">
        <v>0</v>
      </c>
      <c r="N650" s="252">
        <v>0</v>
      </c>
      <c r="O650" s="252">
        <v>0</v>
      </c>
      <c r="P650" s="252"/>
      <c r="Q650" s="252">
        <v>0</v>
      </c>
      <c r="R650" s="252">
        <v>0</v>
      </c>
      <c r="S650" s="252">
        <v>0</v>
      </c>
      <c r="T650" s="252">
        <v>0</v>
      </c>
      <c r="U650" s="252"/>
      <c r="V650" s="252">
        <v>0</v>
      </c>
      <c r="W650" s="252">
        <v>0</v>
      </c>
      <c r="X650" s="252"/>
      <c r="Y650" s="252">
        <v>0</v>
      </c>
    </row>
    <row r="651" spans="1:25" x14ac:dyDescent="0.3">
      <c r="A651" s="253" t="s">
        <v>587</v>
      </c>
      <c r="B651" s="252">
        <v>0</v>
      </c>
      <c r="C651" s="252"/>
      <c r="D651" s="252">
        <v>0</v>
      </c>
      <c r="E651" s="252">
        <v>0</v>
      </c>
      <c r="F651" s="252">
        <v>0</v>
      </c>
      <c r="G651" s="252">
        <v>0</v>
      </c>
      <c r="H651" s="252">
        <v>0</v>
      </c>
      <c r="I651" s="252"/>
      <c r="J651" s="252"/>
      <c r="K651" s="252">
        <v>0</v>
      </c>
      <c r="L651" s="252"/>
      <c r="M651" s="252">
        <v>0</v>
      </c>
      <c r="N651" s="252">
        <v>0</v>
      </c>
      <c r="O651" s="252">
        <v>0</v>
      </c>
      <c r="P651" s="252"/>
      <c r="Q651" s="252">
        <v>0</v>
      </c>
      <c r="R651" s="252"/>
      <c r="S651" s="252"/>
      <c r="T651" s="252">
        <v>0</v>
      </c>
      <c r="U651" s="252"/>
      <c r="V651" s="252">
        <v>0</v>
      </c>
      <c r="W651" s="252">
        <v>0</v>
      </c>
      <c r="X651" s="252"/>
      <c r="Y651" s="252">
        <v>0</v>
      </c>
    </row>
    <row r="652" spans="1:25" x14ac:dyDescent="0.3">
      <c r="A652" s="253" t="s">
        <v>588</v>
      </c>
      <c r="B652" s="252">
        <v>0</v>
      </c>
      <c r="C652" s="252"/>
      <c r="D652" s="252">
        <v>0</v>
      </c>
      <c r="E652" s="252">
        <v>0</v>
      </c>
      <c r="F652" s="252">
        <v>0</v>
      </c>
      <c r="G652" s="252">
        <v>0</v>
      </c>
      <c r="H652" s="252">
        <v>0</v>
      </c>
      <c r="I652" s="252"/>
      <c r="J652" s="252"/>
      <c r="K652" s="252">
        <v>0</v>
      </c>
      <c r="L652" s="252"/>
      <c r="M652" s="252">
        <v>0</v>
      </c>
      <c r="N652" s="252">
        <v>0</v>
      </c>
      <c r="O652" s="252">
        <v>0</v>
      </c>
      <c r="P652" s="252"/>
      <c r="Q652" s="252">
        <v>0</v>
      </c>
      <c r="R652" s="252"/>
      <c r="S652" s="252"/>
      <c r="T652" s="252">
        <v>0</v>
      </c>
      <c r="U652" s="252"/>
      <c r="V652" s="252">
        <v>0</v>
      </c>
      <c r="W652" s="252">
        <v>0</v>
      </c>
      <c r="X652" s="252"/>
      <c r="Y652" s="252">
        <v>0</v>
      </c>
    </row>
    <row r="653" spans="1:25" x14ac:dyDescent="0.3">
      <c r="A653" s="253" t="s">
        <v>981</v>
      </c>
      <c r="B653" s="252">
        <v>0</v>
      </c>
      <c r="C653" s="252">
        <v>0</v>
      </c>
      <c r="D653" s="252">
        <v>0</v>
      </c>
      <c r="E653" s="252">
        <v>0</v>
      </c>
      <c r="F653" s="252">
        <v>0</v>
      </c>
      <c r="G653" s="252">
        <v>0</v>
      </c>
      <c r="H653" s="252">
        <v>0</v>
      </c>
      <c r="I653" s="252">
        <v>0</v>
      </c>
      <c r="J653" s="252">
        <v>0</v>
      </c>
      <c r="K653" s="252">
        <v>0</v>
      </c>
      <c r="L653" s="252"/>
      <c r="M653" s="252">
        <v>0</v>
      </c>
      <c r="N653" s="252">
        <v>0</v>
      </c>
      <c r="O653" s="252">
        <v>0</v>
      </c>
      <c r="P653" s="252">
        <v>0</v>
      </c>
      <c r="Q653" s="252">
        <v>0</v>
      </c>
      <c r="R653" s="252">
        <v>0</v>
      </c>
      <c r="S653" s="252">
        <v>0</v>
      </c>
      <c r="T653" s="252">
        <v>0</v>
      </c>
      <c r="U653" s="252">
        <v>0</v>
      </c>
      <c r="V653" s="252">
        <v>0</v>
      </c>
      <c r="W653" s="252">
        <v>0</v>
      </c>
      <c r="X653" s="252"/>
      <c r="Y653" s="252">
        <v>0</v>
      </c>
    </row>
    <row r="654" spans="1:25" x14ac:dyDescent="0.3">
      <c r="A654" s="253" t="s">
        <v>589</v>
      </c>
      <c r="B654" s="252">
        <v>0</v>
      </c>
      <c r="C654" s="252">
        <v>0</v>
      </c>
      <c r="D654" s="252">
        <v>0</v>
      </c>
      <c r="E654" s="252"/>
      <c r="F654" s="252">
        <v>0</v>
      </c>
      <c r="G654" s="252">
        <v>0</v>
      </c>
      <c r="H654" s="252">
        <v>0</v>
      </c>
      <c r="I654" s="252"/>
      <c r="J654" s="252">
        <v>0</v>
      </c>
      <c r="K654" s="252">
        <v>0</v>
      </c>
      <c r="L654" s="252"/>
      <c r="M654" s="252">
        <v>0</v>
      </c>
      <c r="N654" s="252">
        <v>0</v>
      </c>
      <c r="O654" s="252">
        <v>0</v>
      </c>
      <c r="P654" s="252"/>
      <c r="Q654" s="252">
        <v>0</v>
      </c>
      <c r="R654" s="252"/>
      <c r="S654" s="252">
        <v>0</v>
      </c>
      <c r="T654" s="252">
        <v>0</v>
      </c>
      <c r="U654" s="252"/>
      <c r="V654" s="252">
        <v>0</v>
      </c>
      <c r="W654" s="252">
        <v>0</v>
      </c>
      <c r="X654" s="252"/>
      <c r="Y654" s="252">
        <v>0</v>
      </c>
    </row>
    <row r="655" spans="1:25" x14ac:dyDescent="0.3">
      <c r="A655" s="253" t="s">
        <v>1144</v>
      </c>
      <c r="B655" s="252">
        <v>0</v>
      </c>
      <c r="C655" s="252">
        <v>0</v>
      </c>
      <c r="D655" s="252">
        <v>0</v>
      </c>
      <c r="E655" s="252">
        <v>0</v>
      </c>
      <c r="F655" s="252">
        <v>0</v>
      </c>
      <c r="G655" s="252">
        <v>0</v>
      </c>
      <c r="H655" s="252">
        <v>0</v>
      </c>
      <c r="I655" s="252">
        <v>0</v>
      </c>
      <c r="J655" s="252">
        <v>0</v>
      </c>
      <c r="K655" s="252">
        <v>0</v>
      </c>
      <c r="L655" s="252">
        <v>0</v>
      </c>
      <c r="M655" s="252">
        <v>0</v>
      </c>
      <c r="N655" s="252">
        <v>0</v>
      </c>
      <c r="O655" s="252">
        <v>0</v>
      </c>
      <c r="P655" s="252">
        <v>0</v>
      </c>
      <c r="Q655" s="252">
        <v>0</v>
      </c>
      <c r="R655" s="252">
        <v>0</v>
      </c>
      <c r="S655" s="252">
        <v>0</v>
      </c>
      <c r="T655" s="252">
        <v>0</v>
      </c>
      <c r="U655" s="252">
        <v>0</v>
      </c>
      <c r="V655" s="252">
        <v>0</v>
      </c>
      <c r="W655" s="252">
        <v>0</v>
      </c>
      <c r="X655" s="252">
        <v>0</v>
      </c>
      <c r="Y655" s="252">
        <v>0</v>
      </c>
    </row>
    <row r="656" spans="1:25" x14ac:dyDescent="0.3">
      <c r="A656" s="253" t="s">
        <v>1145</v>
      </c>
      <c r="B656" s="252">
        <v>0</v>
      </c>
      <c r="C656" s="252">
        <v>0</v>
      </c>
      <c r="D656" s="252">
        <v>0</v>
      </c>
      <c r="E656" s="252">
        <v>1</v>
      </c>
      <c r="F656" s="252">
        <v>0</v>
      </c>
      <c r="G656" s="252">
        <v>0</v>
      </c>
      <c r="H656" s="252">
        <v>0</v>
      </c>
      <c r="I656" s="252">
        <v>0</v>
      </c>
      <c r="J656" s="252">
        <v>0</v>
      </c>
      <c r="K656" s="252">
        <v>0</v>
      </c>
      <c r="L656" s="252">
        <v>0</v>
      </c>
      <c r="M656" s="252">
        <v>0</v>
      </c>
      <c r="N656" s="252">
        <v>0</v>
      </c>
      <c r="O656" s="252">
        <v>0</v>
      </c>
      <c r="P656" s="252">
        <v>0</v>
      </c>
      <c r="Q656" s="252">
        <v>0</v>
      </c>
      <c r="R656" s="252">
        <v>0</v>
      </c>
      <c r="S656" s="252">
        <v>0</v>
      </c>
      <c r="T656" s="252">
        <v>0</v>
      </c>
      <c r="U656" s="252">
        <v>0</v>
      </c>
      <c r="V656" s="252">
        <v>0</v>
      </c>
      <c r="W656" s="252">
        <v>0</v>
      </c>
      <c r="X656" s="252">
        <v>0</v>
      </c>
      <c r="Y656" s="252">
        <v>1</v>
      </c>
    </row>
    <row r="657" spans="1:25" x14ac:dyDescent="0.3">
      <c r="A657" s="253" t="s">
        <v>1146</v>
      </c>
      <c r="B657" s="252">
        <v>0</v>
      </c>
      <c r="C657" s="252">
        <v>0</v>
      </c>
      <c r="D657" s="252">
        <v>0</v>
      </c>
      <c r="E657" s="252">
        <v>1</v>
      </c>
      <c r="F657" s="252">
        <v>0</v>
      </c>
      <c r="G657" s="252">
        <v>0</v>
      </c>
      <c r="H657" s="252">
        <v>0</v>
      </c>
      <c r="I657" s="252">
        <v>0</v>
      </c>
      <c r="J657" s="252">
        <v>0</v>
      </c>
      <c r="K657" s="252">
        <v>0</v>
      </c>
      <c r="L657" s="252">
        <v>0</v>
      </c>
      <c r="M657" s="252">
        <v>0</v>
      </c>
      <c r="N657" s="252">
        <v>0</v>
      </c>
      <c r="O657" s="252">
        <v>0</v>
      </c>
      <c r="P657" s="252">
        <v>0</v>
      </c>
      <c r="Q657" s="252">
        <v>0</v>
      </c>
      <c r="R657" s="252">
        <v>0</v>
      </c>
      <c r="S657" s="252">
        <v>0</v>
      </c>
      <c r="T657" s="252">
        <v>0</v>
      </c>
      <c r="U657" s="252">
        <v>0</v>
      </c>
      <c r="V657" s="252">
        <v>0</v>
      </c>
      <c r="W657" s="252">
        <v>0</v>
      </c>
      <c r="X657" s="252">
        <v>0</v>
      </c>
      <c r="Y657" s="252">
        <v>1</v>
      </c>
    </row>
    <row r="658" spans="1:25" x14ac:dyDescent="0.3">
      <c r="A658" s="253" t="s">
        <v>1147</v>
      </c>
      <c r="B658" s="252">
        <v>0</v>
      </c>
      <c r="C658" s="252">
        <v>0</v>
      </c>
      <c r="D658" s="252">
        <v>0</v>
      </c>
      <c r="E658" s="252">
        <v>0</v>
      </c>
      <c r="F658" s="252">
        <v>0</v>
      </c>
      <c r="G658" s="252">
        <v>0</v>
      </c>
      <c r="H658" s="252">
        <v>0</v>
      </c>
      <c r="I658" s="252">
        <v>0</v>
      </c>
      <c r="J658" s="252">
        <v>1</v>
      </c>
      <c r="K658" s="252">
        <v>0</v>
      </c>
      <c r="L658" s="252">
        <v>0</v>
      </c>
      <c r="M658" s="252">
        <v>0</v>
      </c>
      <c r="N658" s="252">
        <v>0</v>
      </c>
      <c r="O658" s="252">
        <v>0</v>
      </c>
      <c r="P658" s="252">
        <v>0</v>
      </c>
      <c r="Q658" s="252">
        <v>0</v>
      </c>
      <c r="R658" s="252">
        <v>0</v>
      </c>
      <c r="S658" s="252">
        <v>0</v>
      </c>
      <c r="T658" s="252">
        <v>0</v>
      </c>
      <c r="U658" s="252">
        <v>0</v>
      </c>
      <c r="V658" s="252">
        <v>0</v>
      </c>
      <c r="W658" s="252">
        <v>0</v>
      </c>
      <c r="X658" s="252">
        <v>0</v>
      </c>
      <c r="Y658" s="252">
        <v>1</v>
      </c>
    </row>
    <row r="659" spans="1:25" x14ac:dyDescent="0.3">
      <c r="A659" s="253" t="s">
        <v>1148</v>
      </c>
      <c r="B659" s="252">
        <v>0</v>
      </c>
      <c r="C659" s="252">
        <v>0</v>
      </c>
      <c r="D659" s="252">
        <v>0</v>
      </c>
      <c r="E659" s="252">
        <v>0</v>
      </c>
      <c r="F659" s="252">
        <v>0</v>
      </c>
      <c r="G659" s="252">
        <v>0</v>
      </c>
      <c r="H659" s="252">
        <v>0</v>
      </c>
      <c r="I659" s="252">
        <v>0</v>
      </c>
      <c r="J659" s="252">
        <v>0</v>
      </c>
      <c r="K659" s="252">
        <v>0</v>
      </c>
      <c r="L659" s="252">
        <v>0</v>
      </c>
      <c r="M659" s="252">
        <v>0</v>
      </c>
      <c r="N659" s="252">
        <v>0</v>
      </c>
      <c r="O659" s="252">
        <v>0</v>
      </c>
      <c r="P659" s="252">
        <v>0</v>
      </c>
      <c r="Q659" s="252">
        <v>0</v>
      </c>
      <c r="R659" s="252">
        <v>0</v>
      </c>
      <c r="S659" s="252">
        <v>0</v>
      </c>
      <c r="T659" s="252">
        <v>0</v>
      </c>
      <c r="U659" s="252">
        <v>0</v>
      </c>
      <c r="V659" s="252">
        <v>0</v>
      </c>
      <c r="W659" s="252">
        <v>0</v>
      </c>
      <c r="X659" s="252">
        <v>0</v>
      </c>
      <c r="Y659" s="252">
        <v>0</v>
      </c>
    </row>
    <row r="660" spans="1:25" x14ac:dyDescent="0.3">
      <c r="A660" s="253" t="s">
        <v>965</v>
      </c>
      <c r="B660" s="252">
        <v>0</v>
      </c>
      <c r="C660" s="252">
        <v>0</v>
      </c>
      <c r="D660" s="252">
        <v>0</v>
      </c>
      <c r="E660" s="252">
        <v>0</v>
      </c>
      <c r="F660" s="252">
        <v>0</v>
      </c>
      <c r="G660" s="252">
        <v>0</v>
      </c>
      <c r="H660" s="252">
        <v>0</v>
      </c>
      <c r="I660" s="252">
        <v>0</v>
      </c>
      <c r="J660" s="252">
        <v>0</v>
      </c>
      <c r="K660" s="252">
        <v>0</v>
      </c>
      <c r="L660" s="252"/>
      <c r="M660" s="252">
        <v>0</v>
      </c>
      <c r="N660" s="252">
        <v>0</v>
      </c>
      <c r="O660" s="252">
        <v>0</v>
      </c>
      <c r="P660" s="252">
        <v>0</v>
      </c>
      <c r="Q660" s="252">
        <v>0</v>
      </c>
      <c r="R660" s="252">
        <v>0</v>
      </c>
      <c r="S660" s="252">
        <v>0</v>
      </c>
      <c r="T660" s="252">
        <v>0</v>
      </c>
      <c r="U660" s="252">
        <v>0</v>
      </c>
      <c r="V660" s="252">
        <v>0</v>
      </c>
      <c r="W660" s="252">
        <v>0</v>
      </c>
      <c r="X660" s="252"/>
      <c r="Y660" s="252">
        <v>0</v>
      </c>
    </row>
    <row r="661" spans="1:25" x14ac:dyDescent="0.3">
      <c r="A661" s="253" t="s">
        <v>902</v>
      </c>
      <c r="B661" s="252">
        <v>0</v>
      </c>
      <c r="C661" s="252">
        <v>0</v>
      </c>
      <c r="D661" s="252">
        <v>0</v>
      </c>
      <c r="E661" s="252">
        <v>0</v>
      </c>
      <c r="F661" s="252">
        <v>0</v>
      </c>
      <c r="G661" s="252">
        <v>0</v>
      </c>
      <c r="H661" s="252">
        <v>0</v>
      </c>
      <c r="I661" s="252">
        <v>0</v>
      </c>
      <c r="J661" s="252">
        <v>0</v>
      </c>
      <c r="K661" s="252">
        <v>0</v>
      </c>
      <c r="L661" s="252"/>
      <c r="M661" s="252">
        <v>0</v>
      </c>
      <c r="N661" s="252">
        <v>0</v>
      </c>
      <c r="O661" s="252">
        <v>0</v>
      </c>
      <c r="P661" s="252">
        <v>0</v>
      </c>
      <c r="Q661" s="252">
        <v>0</v>
      </c>
      <c r="R661" s="252">
        <v>0</v>
      </c>
      <c r="S661" s="252">
        <v>0</v>
      </c>
      <c r="T661" s="252">
        <v>0</v>
      </c>
      <c r="U661" s="252">
        <v>0</v>
      </c>
      <c r="V661" s="252">
        <v>0</v>
      </c>
      <c r="W661" s="252">
        <v>0</v>
      </c>
      <c r="X661" s="252"/>
      <c r="Y661" s="252">
        <v>0</v>
      </c>
    </row>
    <row r="662" spans="1:25" x14ac:dyDescent="0.3">
      <c r="A662" s="253" t="s">
        <v>903</v>
      </c>
      <c r="B662" s="252">
        <v>0</v>
      </c>
      <c r="C662" s="252">
        <v>0</v>
      </c>
      <c r="D662" s="252">
        <v>0</v>
      </c>
      <c r="E662" s="252">
        <v>0</v>
      </c>
      <c r="F662" s="252">
        <v>0</v>
      </c>
      <c r="G662" s="252">
        <v>0</v>
      </c>
      <c r="H662" s="252">
        <v>0</v>
      </c>
      <c r="I662" s="252">
        <v>0</v>
      </c>
      <c r="J662" s="252">
        <v>0</v>
      </c>
      <c r="K662" s="252">
        <v>0</v>
      </c>
      <c r="L662" s="252"/>
      <c r="M662" s="252">
        <v>0</v>
      </c>
      <c r="N662" s="252">
        <v>0</v>
      </c>
      <c r="O662" s="252">
        <v>0</v>
      </c>
      <c r="P662" s="252"/>
      <c r="Q662" s="252">
        <v>0</v>
      </c>
      <c r="R662" s="252">
        <v>0</v>
      </c>
      <c r="S662" s="252">
        <v>0</v>
      </c>
      <c r="T662" s="252">
        <v>0</v>
      </c>
      <c r="U662" s="252">
        <v>0</v>
      </c>
      <c r="V662" s="252">
        <v>0</v>
      </c>
      <c r="W662" s="252">
        <v>0</v>
      </c>
      <c r="X662" s="252"/>
      <c r="Y662" s="252">
        <v>0</v>
      </c>
    </row>
    <row r="663" spans="1:25" x14ac:dyDescent="0.3">
      <c r="A663" s="253" t="s">
        <v>904</v>
      </c>
      <c r="B663" s="252">
        <v>0</v>
      </c>
      <c r="C663" s="252">
        <v>0</v>
      </c>
      <c r="D663" s="252">
        <v>0</v>
      </c>
      <c r="E663" s="252">
        <v>0</v>
      </c>
      <c r="F663" s="252">
        <v>0</v>
      </c>
      <c r="G663" s="252">
        <v>0</v>
      </c>
      <c r="H663" s="252">
        <v>0</v>
      </c>
      <c r="I663" s="252">
        <v>0</v>
      </c>
      <c r="J663" s="252">
        <v>0</v>
      </c>
      <c r="K663" s="252">
        <v>0</v>
      </c>
      <c r="L663" s="252"/>
      <c r="M663" s="252">
        <v>0</v>
      </c>
      <c r="N663" s="252">
        <v>0</v>
      </c>
      <c r="O663" s="252">
        <v>0</v>
      </c>
      <c r="P663" s="252">
        <v>0</v>
      </c>
      <c r="Q663" s="252">
        <v>0</v>
      </c>
      <c r="R663" s="252">
        <v>0</v>
      </c>
      <c r="S663" s="252">
        <v>0</v>
      </c>
      <c r="T663" s="252">
        <v>0</v>
      </c>
      <c r="U663" s="252">
        <v>0</v>
      </c>
      <c r="V663" s="252">
        <v>0</v>
      </c>
      <c r="W663" s="252">
        <v>0</v>
      </c>
      <c r="X663" s="252"/>
      <c r="Y663" s="252">
        <v>0</v>
      </c>
    </row>
    <row r="664" spans="1:25" x14ac:dyDescent="0.3">
      <c r="A664" s="253" t="s">
        <v>1018</v>
      </c>
      <c r="B664" s="252">
        <v>0</v>
      </c>
      <c r="C664" s="252">
        <v>0</v>
      </c>
      <c r="D664" s="252">
        <v>0</v>
      </c>
      <c r="E664" s="252">
        <v>0</v>
      </c>
      <c r="F664" s="252">
        <v>0</v>
      </c>
      <c r="G664" s="252">
        <v>0</v>
      </c>
      <c r="H664" s="252">
        <v>0</v>
      </c>
      <c r="I664" s="252">
        <v>0</v>
      </c>
      <c r="J664" s="252">
        <v>0</v>
      </c>
      <c r="K664" s="252">
        <v>0</v>
      </c>
      <c r="L664" s="252"/>
      <c r="M664" s="252">
        <v>0</v>
      </c>
      <c r="N664" s="252">
        <v>0</v>
      </c>
      <c r="O664" s="252">
        <v>0</v>
      </c>
      <c r="P664" s="252">
        <v>0</v>
      </c>
      <c r="Q664" s="252">
        <v>0</v>
      </c>
      <c r="R664" s="252">
        <v>0</v>
      </c>
      <c r="S664" s="252">
        <v>0</v>
      </c>
      <c r="T664" s="252">
        <v>0</v>
      </c>
      <c r="U664" s="252">
        <v>0</v>
      </c>
      <c r="V664" s="252">
        <v>0</v>
      </c>
      <c r="W664" s="252">
        <v>0</v>
      </c>
      <c r="X664" s="252">
        <v>0</v>
      </c>
      <c r="Y664" s="252">
        <v>0</v>
      </c>
    </row>
    <row r="665" spans="1:25" x14ac:dyDescent="0.3">
      <c r="A665" s="253" t="s">
        <v>932</v>
      </c>
      <c r="B665" s="252">
        <v>0</v>
      </c>
      <c r="C665" s="252">
        <v>0</v>
      </c>
      <c r="D665" s="252">
        <v>0</v>
      </c>
      <c r="E665" s="252">
        <v>0</v>
      </c>
      <c r="F665" s="252">
        <v>0</v>
      </c>
      <c r="G665" s="252">
        <v>0</v>
      </c>
      <c r="H665" s="252">
        <v>0</v>
      </c>
      <c r="I665" s="252">
        <v>0</v>
      </c>
      <c r="J665" s="252">
        <v>0</v>
      </c>
      <c r="K665" s="252">
        <v>0</v>
      </c>
      <c r="L665" s="252"/>
      <c r="M665" s="252">
        <v>0</v>
      </c>
      <c r="N665" s="252">
        <v>0</v>
      </c>
      <c r="O665" s="252">
        <v>0</v>
      </c>
      <c r="P665" s="252">
        <v>0</v>
      </c>
      <c r="Q665" s="252">
        <v>0</v>
      </c>
      <c r="R665" s="252">
        <v>0</v>
      </c>
      <c r="S665" s="252">
        <v>0</v>
      </c>
      <c r="T665" s="252">
        <v>0</v>
      </c>
      <c r="U665" s="252">
        <v>0</v>
      </c>
      <c r="V665" s="252">
        <v>0</v>
      </c>
      <c r="W665" s="252">
        <v>0</v>
      </c>
      <c r="X665" s="252"/>
      <c r="Y665" s="252">
        <v>0</v>
      </c>
    </row>
    <row r="666" spans="1:25" x14ac:dyDescent="0.3">
      <c r="A666" s="253" t="s">
        <v>590</v>
      </c>
      <c r="B666" s="252">
        <v>0</v>
      </c>
      <c r="C666" s="252">
        <v>0</v>
      </c>
      <c r="D666" s="252">
        <v>0</v>
      </c>
      <c r="E666" s="252"/>
      <c r="F666" s="252">
        <v>0</v>
      </c>
      <c r="G666" s="252">
        <v>0</v>
      </c>
      <c r="H666" s="252">
        <v>0</v>
      </c>
      <c r="I666" s="252"/>
      <c r="J666" s="252"/>
      <c r="K666" s="252">
        <v>0</v>
      </c>
      <c r="L666" s="252"/>
      <c r="M666" s="252">
        <v>0</v>
      </c>
      <c r="N666" s="252">
        <v>0</v>
      </c>
      <c r="O666" s="252">
        <v>0</v>
      </c>
      <c r="P666" s="252"/>
      <c r="Q666" s="252">
        <v>0</v>
      </c>
      <c r="R666" s="252"/>
      <c r="S666" s="252"/>
      <c r="T666" s="252">
        <v>0</v>
      </c>
      <c r="U666" s="252"/>
      <c r="V666" s="252">
        <v>0</v>
      </c>
      <c r="W666" s="252">
        <v>0</v>
      </c>
      <c r="X666" s="252"/>
      <c r="Y666" s="252">
        <v>0</v>
      </c>
    </row>
    <row r="667" spans="1:25" x14ac:dyDescent="0.3">
      <c r="A667" s="253" t="s">
        <v>591</v>
      </c>
      <c r="B667" s="252">
        <v>0</v>
      </c>
      <c r="C667" s="252">
        <v>0</v>
      </c>
      <c r="D667" s="252">
        <v>0</v>
      </c>
      <c r="E667" s="252">
        <v>0</v>
      </c>
      <c r="F667" s="252">
        <v>0</v>
      </c>
      <c r="G667" s="252">
        <v>0</v>
      </c>
      <c r="H667" s="252">
        <v>0</v>
      </c>
      <c r="I667" s="252">
        <v>0</v>
      </c>
      <c r="J667" s="252">
        <v>0</v>
      </c>
      <c r="K667" s="252">
        <v>0</v>
      </c>
      <c r="L667" s="252"/>
      <c r="M667" s="252">
        <v>0</v>
      </c>
      <c r="N667" s="252">
        <v>0</v>
      </c>
      <c r="O667" s="252">
        <v>0</v>
      </c>
      <c r="P667" s="252"/>
      <c r="Q667" s="252">
        <v>0</v>
      </c>
      <c r="R667" s="252"/>
      <c r="S667" s="252">
        <v>0</v>
      </c>
      <c r="T667" s="252">
        <v>0</v>
      </c>
      <c r="U667" s="252"/>
      <c r="V667" s="252">
        <v>0</v>
      </c>
      <c r="W667" s="252">
        <v>0</v>
      </c>
      <c r="X667" s="252"/>
      <c r="Y667" s="252">
        <v>0</v>
      </c>
    </row>
    <row r="668" spans="1:25" x14ac:dyDescent="0.3">
      <c r="A668" s="253" t="s">
        <v>592</v>
      </c>
      <c r="B668" s="252">
        <v>0</v>
      </c>
      <c r="C668" s="252">
        <v>0</v>
      </c>
      <c r="D668" s="252">
        <v>0</v>
      </c>
      <c r="E668" s="252">
        <v>0</v>
      </c>
      <c r="F668" s="252">
        <v>0</v>
      </c>
      <c r="G668" s="252">
        <v>0</v>
      </c>
      <c r="H668" s="252">
        <v>0</v>
      </c>
      <c r="I668" s="252">
        <v>0</v>
      </c>
      <c r="J668" s="252">
        <v>0</v>
      </c>
      <c r="K668" s="252">
        <v>0</v>
      </c>
      <c r="L668" s="252"/>
      <c r="M668" s="252">
        <v>0</v>
      </c>
      <c r="N668" s="252">
        <v>0</v>
      </c>
      <c r="O668" s="252">
        <v>0</v>
      </c>
      <c r="P668" s="252"/>
      <c r="Q668" s="252">
        <v>0</v>
      </c>
      <c r="R668" s="252"/>
      <c r="S668" s="252">
        <v>0</v>
      </c>
      <c r="T668" s="252">
        <v>0</v>
      </c>
      <c r="U668" s="252"/>
      <c r="V668" s="252">
        <v>0</v>
      </c>
      <c r="W668" s="252">
        <v>0</v>
      </c>
      <c r="X668" s="252"/>
      <c r="Y668" s="252">
        <v>0</v>
      </c>
    </row>
    <row r="669" spans="1:25" x14ac:dyDescent="0.3">
      <c r="A669" s="253" t="s">
        <v>593</v>
      </c>
      <c r="B669" s="252">
        <v>0</v>
      </c>
      <c r="C669" s="252">
        <v>0</v>
      </c>
      <c r="D669" s="252">
        <v>0</v>
      </c>
      <c r="E669" s="252">
        <v>0</v>
      </c>
      <c r="F669" s="252">
        <v>0</v>
      </c>
      <c r="G669" s="252">
        <v>0</v>
      </c>
      <c r="H669" s="252">
        <v>0</v>
      </c>
      <c r="I669" s="252">
        <v>0</v>
      </c>
      <c r="J669" s="252">
        <v>0</v>
      </c>
      <c r="K669" s="252">
        <v>0</v>
      </c>
      <c r="L669" s="252"/>
      <c r="M669" s="252">
        <v>0</v>
      </c>
      <c r="N669" s="252">
        <v>0</v>
      </c>
      <c r="O669" s="252">
        <v>0</v>
      </c>
      <c r="P669" s="252"/>
      <c r="Q669" s="252">
        <v>0</v>
      </c>
      <c r="R669" s="252"/>
      <c r="S669" s="252">
        <v>0</v>
      </c>
      <c r="T669" s="252">
        <v>0</v>
      </c>
      <c r="U669" s="252"/>
      <c r="V669" s="252">
        <v>0</v>
      </c>
      <c r="W669" s="252">
        <v>0</v>
      </c>
      <c r="X669" s="252"/>
      <c r="Y669" s="252">
        <v>0</v>
      </c>
    </row>
    <row r="670" spans="1:25" x14ac:dyDescent="0.3">
      <c r="A670" s="253" t="s">
        <v>594</v>
      </c>
      <c r="B670" s="252">
        <v>0</v>
      </c>
      <c r="C670" s="252">
        <v>0</v>
      </c>
      <c r="D670" s="252">
        <v>0</v>
      </c>
      <c r="E670" s="252">
        <v>0</v>
      </c>
      <c r="F670" s="252">
        <v>0</v>
      </c>
      <c r="G670" s="252">
        <v>0</v>
      </c>
      <c r="H670" s="252">
        <v>0</v>
      </c>
      <c r="I670" s="252"/>
      <c r="J670" s="252"/>
      <c r="K670" s="252">
        <v>0</v>
      </c>
      <c r="L670" s="252"/>
      <c r="M670" s="252">
        <v>0</v>
      </c>
      <c r="N670" s="252">
        <v>0</v>
      </c>
      <c r="O670" s="252">
        <v>0</v>
      </c>
      <c r="P670" s="252"/>
      <c r="Q670" s="252">
        <v>0</v>
      </c>
      <c r="R670" s="252"/>
      <c r="S670" s="252"/>
      <c r="T670" s="252">
        <v>0</v>
      </c>
      <c r="U670" s="252"/>
      <c r="V670" s="252">
        <v>0</v>
      </c>
      <c r="W670" s="252">
        <v>0</v>
      </c>
      <c r="X670" s="252"/>
      <c r="Y670" s="252">
        <v>0</v>
      </c>
    </row>
    <row r="671" spans="1:25" x14ac:dyDescent="0.3">
      <c r="A671" s="253" t="s">
        <v>943</v>
      </c>
      <c r="B671" s="252">
        <v>0</v>
      </c>
      <c r="C671" s="252">
        <v>0</v>
      </c>
      <c r="D671" s="252">
        <v>0</v>
      </c>
      <c r="E671" s="252">
        <v>0</v>
      </c>
      <c r="F671" s="252">
        <v>0</v>
      </c>
      <c r="G671" s="252">
        <v>0</v>
      </c>
      <c r="H671" s="252">
        <v>0</v>
      </c>
      <c r="I671" s="252">
        <v>0</v>
      </c>
      <c r="J671" s="252">
        <v>0</v>
      </c>
      <c r="K671" s="252">
        <v>0</v>
      </c>
      <c r="L671" s="252"/>
      <c r="M671" s="252">
        <v>0</v>
      </c>
      <c r="N671" s="252">
        <v>0</v>
      </c>
      <c r="O671" s="252">
        <v>0</v>
      </c>
      <c r="P671" s="252">
        <v>0</v>
      </c>
      <c r="Q671" s="252">
        <v>0</v>
      </c>
      <c r="R671" s="252">
        <v>0</v>
      </c>
      <c r="S671" s="252">
        <v>0</v>
      </c>
      <c r="T671" s="252">
        <v>0</v>
      </c>
      <c r="U671" s="252">
        <v>0</v>
      </c>
      <c r="V671" s="252">
        <v>0</v>
      </c>
      <c r="W671" s="252">
        <v>0</v>
      </c>
      <c r="X671" s="252"/>
      <c r="Y671" s="252">
        <v>0</v>
      </c>
    </row>
    <row r="672" spans="1:25" x14ac:dyDescent="0.3">
      <c r="A672" s="253" t="s">
        <v>595</v>
      </c>
      <c r="B672" s="252">
        <v>0</v>
      </c>
      <c r="C672" s="252">
        <v>0</v>
      </c>
      <c r="D672" s="252">
        <v>0</v>
      </c>
      <c r="E672" s="252">
        <v>0</v>
      </c>
      <c r="F672" s="252">
        <v>0</v>
      </c>
      <c r="G672" s="252">
        <v>0</v>
      </c>
      <c r="H672" s="252">
        <v>0</v>
      </c>
      <c r="I672" s="252"/>
      <c r="J672" s="252"/>
      <c r="K672" s="252">
        <v>0</v>
      </c>
      <c r="L672" s="252"/>
      <c r="M672" s="252">
        <v>0</v>
      </c>
      <c r="N672" s="252">
        <v>0</v>
      </c>
      <c r="O672" s="252">
        <v>0</v>
      </c>
      <c r="P672" s="252"/>
      <c r="Q672" s="252">
        <v>0</v>
      </c>
      <c r="R672" s="252"/>
      <c r="S672" s="252"/>
      <c r="T672" s="252">
        <v>0</v>
      </c>
      <c r="U672" s="252"/>
      <c r="V672" s="252">
        <v>0</v>
      </c>
      <c r="W672" s="252">
        <v>0</v>
      </c>
      <c r="X672" s="252"/>
      <c r="Y672" s="252">
        <v>0</v>
      </c>
    </row>
    <row r="673" spans="1:25" x14ac:dyDescent="0.3">
      <c r="A673" s="253" t="s">
        <v>982</v>
      </c>
      <c r="B673" s="252">
        <v>0</v>
      </c>
      <c r="C673" s="252">
        <v>0</v>
      </c>
      <c r="D673" s="252">
        <v>0</v>
      </c>
      <c r="E673" s="252">
        <v>0</v>
      </c>
      <c r="F673" s="252">
        <v>0</v>
      </c>
      <c r="G673" s="252">
        <v>0</v>
      </c>
      <c r="H673" s="252">
        <v>0</v>
      </c>
      <c r="I673" s="252">
        <v>0</v>
      </c>
      <c r="J673" s="252">
        <v>0</v>
      </c>
      <c r="K673" s="252">
        <v>0</v>
      </c>
      <c r="L673" s="252">
        <v>0</v>
      </c>
      <c r="M673" s="252">
        <v>0</v>
      </c>
      <c r="N673" s="252">
        <v>0</v>
      </c>
      <c r="O673" s="252">
        <v>0</v>
      </c>
      <c r="P673" s="252">
        <v>0</v>
      </c>
      <c r="Q673" s="252">
        <v>0</v>
      </c>
      <c r="R673" s="252">
        <v>0</v>
      </c>
      <c r="S673" s="252">
        <v>0</v>
      </c>
      <c r="T673" s="252">
        <v>0</v>
      </c>
      <c r="U673" s="252">
        <v>0</v>
      </c>
      <c r="V673" s="252">
        <v>0</v>
      </c>
      <c r="W673" s="252">
        <v>0</v>
      </c>
      <c r="X673" s="252">
        <v>0</v>
      </c>
      <c r="Y673" s="252">
        <v>0</v>
      </c>
    </row>
    <row r="674" spans="1:25" x14ac:dyDescent="0.3">
      <c r="A674" s="253" t="s">
        <v>983</v>
      </c>
      <c r="B674" s="252">
        <v>0</v>
      </c>
      <c r="C674" s="252">
        <v>0</v>
      </c>
      <c r="D674" s="252">
        <v>0</v>
      </c>
      <c r="E674" s="252">
        <v>0</v>
      </c>
      <c r="F674" s="252">
        <v>0</v>
      </c>
      <c r="G674" s="252">
        <v>0</v>
      </c>
      <c r="H674" s="252">
        <v>0</v>
      </c>
      <c r="I674" s="252">
        <v>0</v>
      </c>
      <c r="J674" s="252">
        <v>0</v>
      </c>
      <c r="K674" s="252">
        <v>0</v>
      </c>
      <c r="L674" s="252">
        <v>0</v>
      </c>
      <c r="M674" s="252">
        <v>0</v>
      </c>
      <c r="N674" s="252">
        <v>0</v>
      </c>
      <c r="O674" s="252">
        <v>0</v>
      </c>
      <c r="P674" s="252">
        <v>0</v>
      </c>
      <c r="Q674" s="252">
        <v>0</v>
      </c>
      <c r="R674" s="252">
        <v>0</v>
      </c>
      <c r="S674" s="252">
        <v>0</v>
      </c>
      <c r="T674" s="252">
        <v>0</v>
      </c>
      <c r="U674" s="252">
        <v>0</v>
      </c>
      <c r="V674" s="252">
        <v>0</v>
      </c>
      <c r="W674" s="252">
        <v>0</v>
      </c>
      <c r="X674" s="252">
        <v>0</v>
      </c>
      <c r="Y674" s="252">
        <v>0</v>
      </c>
    </row>
    <row r="675" spans="1:25" x14ac:dyDescent="0.3">
      <c r="A675" s="253" t="s">
        <v>984</v>
      </c>
      <c r="B675" s="252">
        <v>0</v>
      </c>
      <c r="C675" s="252">
        <v>0</v>
      </c>
      <c r="D675" s="252">
        <v>0</v>
      </c>
      <c r="E675" s="252">
        <v>0</v>
      </c>
      <c r="F675" s="252">
        <v>0</v>
      </c>
      <c r="G675" s="252">
        <v>0</v>
      </c>
      <c r="H675" s="252">
        <v>0</v>
      </c>
      <c r="I675" s="252">
        <v>0</v>
      </c>
      <c r="J675" s="252">
        <v>0</v>
      </c>
      <c r="K675" s="252">
        <v>0</v>
      </c>
      <c r="L675" s="252">
        <v>0</v>
      </c>
      <c r="M675" s="252">
        <v>0</v>
      </c>
      <c r="N675" s="252">
        <v>0</v>
      </c>
      <c r="O675" s="252">
        <v>0</v>
      </c>
      <c r="P675" s="252">
        <v>0</v>
      </c>
      <c r="Q675" s="252">
        <v>0</v>
      </c>
      <c r="R675" s="252">
        <v>0</v>
      </c>
      <c r="S675" s="252">
        <v>0</v>
      </c>
      <c r="T675" s="252">
        <v>0</v>
      </c>
      <c r="U675" s="252">
        <v>0</v>
      </c>
      <c r="V675" s="252">
        <v>0</v>
      </c>
      <c r="W675" s="252">
        <v>0</v>
      </c>
      <c r="X675" s="252">
        <v>0</v>
      </c>
      <c r="Y675" s="252">
        <v>0</v>
      </c>
    </row>
    <row r="676" spans="1:25" x14ac:dyDescent="0.3">
      <c r="A676" s="253" t="s">
        <v>894</v>
      </c>
      <c r="B676" s="252">
        <v>0</v>
      </c>
      <c r="C676" s="252">
        <v>0</v>
      </c>
      <c r="D676" s="252">
        <v>0</v>
      </c>
      <c r="E676" s="252">
        <v>1</v>
      </c>
      <c r="F676" s="252">
        <v>0</v>
      </c>
      <c r="G676" s="252">
        <v>0</v>
      </c>
      <c r="H676" s="252">
        <v>0</v>
      </c>
      <c r="I676" s="252">
        <v>0</v>
      </c>
      <c r="J676" s="252">
        <v>0</v>
      </c>
      <c r="K676" s="252">
        <v>0</v>
      </c>
      <c r="L676" s="252"/>
      <c r="M676" s="252">
        <v>0</v>
      </c>
      <c r="N676" s="252">
        <v>0</v>
      </c>
      <c r="O676" s="252">
        <v>0</v>
      </c>
      <c r="P676" s="252">
        <v>0</v>
      </c>
      <c r="Q676" s="252">
        <v>0</v>
      </c>
      <c r="R676" s="252">
        <v>0</v>
      </c>
      <c r="S676" s="252">
        <v>0</v>
      </c>
      <c r="T676" s="252">
        <v>0</v>
      </c>
      <c r="U676" s="252">
        <v>0</v>
      </c>
      <c r="V676" s="252">
        <v>0</v>
      </c>
      <c r="W676" s="252">
        <v>0</v>
      </c>
      <c r="X676" s="252"/>
      <c r="Y676" s="252">
        <v>1</v>
      </c>
    </row>
    <row r="677" spans="1:25" x14ac:dyDescent="0.3">
      <c r="A677" s="253" t="s">
        <v>596</v>
      </c>
      <c r="B677" s="252">
        <v>0</v>
      </c>
      <c r="C677" s="252">
        <v>0</v>
      </c>
      <c r="D677" s="252">
        <v>0</v>
      </c>
      <c r="E677" s="252">
        <v>0</v>
      </c>
      <c r="F677" s="252">
        <v>0</v>
      </c>
      <c r="G677" s="252">
        <v>0</v>
      </c>
      <c r="H677" s="252">
        <v>0</v>
      </c>
      <c r="I677" s="252"/>
      <c r="J677" s="252"/>
      <c r="K677" s="252">
        <v>0</v>
      </c>
      <c r="L677" s="252"/>
      <c r="M677" s="252">
        <v>0</v>
      </c>
      <c r="N677" s="252">
        <v>0</v>
      </c>
      <c r="O677" s="252">
        <v>0</v>
      </c>
      <c r="P677" s="252"/>
      <c r="Q677" s="252">
        <v>0</v>
      </c>
      <c r="R677" s="252"/>
      <c r="S677" s="252"/>
      <c r="T677" s="252">
        <v>0</v>
      </c>
      <c r="U677" s="252"/>
      <c r="V677" s="252">
        <v>0</v>
      </c>
      <c r="W677" s="252">
        <v>0</v>
      </c>
      <c r="X677" s="252"/>
      <c r="Y677" s="252">
        <v>0</v>
      </c>
    </row>
    <row r="678" spans="1:25" x14ac:dyDescent="0.3">
      <c r="A678" s="253" t="s">
        <v>1102</v>
      </c>
      <c r="B678" s="252">
        <v>0</v>
      </c>
      <c r="C678" s="252">
        <v>0</v>
      </c>
      <c r="D678" s="252">
        <v>0</v>
      </c>
      <c r="E678" s="252">
        <v>0</v>
      </c>
      <c r="F678" s="252">
        <v>0</v>
      </c>
      <c r="G678" s="252">
        <v>0</v>
      </c>
      <c r="H678" s="252">
        <v>0</v>
      </c>
      <c r="I678" s="252">
        <v>0</v>
      </c>
      <c r="J678" s="252">
        <v>0</v>
      </c>
      <c r="K678" s="252">
        <v>0</v>
      </c>
      <c r="L678" s="252">
        <v>0</v>
      </c>
      <c r="M678" s="252">
        <v>0</v>
      </c>
      <c r="N678" s="252">
        <v>0</v>
      </c>
      <c r="O678" s="252">
        <v>0</v>
      </c>
      <c r="P678" s="252">
        <v>0</v>
      </c>
      <c r="Q678" s="252">
        <v>0</v>
      </c>
      <c r="R678" s="252">
        <v>0</v>
      </c>
      <c r="S678" s="252">
        <v>0</v>
      </c>
      <c r="T678" s="252">
        <v>0</v>
      </c>
      <c r="U678" s="252">
        <v>0</v>
      </c>
      <c r="V678" s="252">
        <v>0</v>
      </c>
      <c r="W678" s="252">
        <v>0</v>
      </c>
      <c r="X678" s="252">
        <v>0</v>
      </c>
      <c r="Y678" s="252">
        <v>0</v>
      </c>
    </row>
    <row r="679" spans="1:25" x14ac:dyDescent="0.3">
      <c r="A679" s="253" t="s">
        <v>1103</v>
      </c>
      <c r="B679" s="252">
        <v>0</v>
      </c>
      <c r="C679" s="252">
        <v>0</v>
      </c>
      <c r="D679" s="252">
        <v>0</v>
      </c>
      <c r="E679" s="252">
        <v>0</v>
      </c>
      <c r="F679" s="252">
        <v>0</v>
      </c>
      <c r="G679" s="252">
        <v>0</v>
      </c>
      <c r="H679" s="252">
        <v>0</v>
      </c>
      <c r="I679" s="252">
        <v>0</v>
      </c>
      <c r="J679" s="252">
        <v>0</v>
      </c>
      <c r="K679" s="252">
        <v>0</v>
      </c>
      <c r="L679" s="252">
        <v>0</v>
      </c>
      <c r="M679" s="252">
        <v>0</v>
      </c>
      <c r="N679" s="252">
        <v>0</v>
      </c>
      <c r="O679" s="252">
        <v>0</v>
      </c>
      <c r="P679" s="252">
        <v>0</v>
      </c>
      <c r="Q679" s="252">
        <v>0</v>
      </c>
      <c r="R679" s="252">
        <v>0</v>
      </c>
      <c r="S679" s="252">
        <v>0</v>
      </c>
      <c r="T679" s="252">
        <v>0</v>
      </c>
      <c r="U679" s="252">
        <v>0</v>
      </c>
      <c r="V679" s="252">
        <v>0</v>
      </c>
      <c r="W679" s="252">
        <v>0</v>
      </c>
      <c r="X679" s="252">
        <v>0</v>
      </c>
      <c r="Y679" s="252">
        <v>0</v>
      </c>
    </row>
    <row r="680" spans="1:25" x14ac:dyDescent="0.3">
      <c r="A680" s="253" t="s">
        <v>1003</v>
      </c>
      <c r="B680" s="252">
        <v>0</v>
      </c>
      <c r="C680" s="252">
        <v>0</v>
      </c>
      <c r="D680" s="252">
        <v>0</v>
      </c>
      <c r="E680" s="252">
        <v>0</v>
      </c>
      <c r="F680" s="252">
        <v>0</v>
      </c>
      <c r="G680" s="252">
        <v>0</v>
      </c>
      <c r="H680" s="252">
        <v>0</v>
      </c>
      <c r="I680" s="252">
        <v>0</v>
      </c>
      <c r="J680" s="252">
        <v>0</v>
      </c>
      <c r="K680" s="252">
        <v>0</v>
      </c>
      <c r="L680" s="252"/>
      <c r="M680" s="252">
        <v>0</v>
      </c>
      <c r="N680" s="252">
        <v>0</v>
      </c>
      <c r="O680" s="252">
        <v>0</v>
      </c>
      <c r="P680" s="252">
        <v>0</v>
      </c>
      <c r="Q680" s="252">
        <v>0</v>
      </c>
      <c r="R680" s="252">
        <v>0</v>
      </c>
      <c r="S680" s="252">
        <v>0</v>
      </c>
      <c r="T680" s="252">
        <v>0</v>
      </c>
      <c r="U680" s="252">
        <v>0</v>
      </c>
      <c r="V680" s="252">
        <v>0</v>
      </c>
      <c r="W680" s="252">
        <v>0</v>
      </c>
      <c r="X680" s="252">
        <v>0</v>
      </c>
      <c r="Y680" s="252">
        <v>0</v>
      </c>
    </row>
    <row r="681" spans="1:25" x14ac:dyDescent="0.3">
      <c r="A681" s="253" t="s">
        <v>597</v>
      </c>
      <c r="B681" s="252">
        <v>0</v>
      </c>
      <c r="C681" s="252">
        <v>0</v>
      </c>
      <c r="D681" s="252">
        <v>0</v>
      </c>
      <c r="E681" s="252">
        <v>0</v>
      </c>
      <c r="F681" s="252">
        <v>0</v>
      </c>
      <c r="G681" s="252">
        <v>0</v>
      </c>
      <c r="H681" s="252">
        <v>0</v>
      </c>
      <c r="I681" s="252">
        <v>0</v>
      </c>
      <c r="J681" s="252">
        <v>0</v>
      </c>
      <c r="K681" s="252">
        <v>0</v>
      </c>
      <c r="L681" s="252"/>
      <c r="M681" s="252">
        <v>0</v>
      </c>
      <c r="N681" s="252">
        <v>0</v>
      </c>
      <c r="O681" s="252">
        <v>0</v>
      </c>
      <c r="P681" s="252"/>
      <c r="Q681" s="252">
        <v>0</v>
      </c>
      <c r="R681" s="252">
        <v>0</v>
      </c>
      <c r="S681" s="252">
        <v>0</v>
      </c>
      <c r="T681" s="252">
        <v>0</v>
      </c>
      <c r="U681" s="252">
        <v>0</v>
      </c>
      <c r="V681" s="252">
        <v>0</v>
      </c>
      <c r="W681" s="252">
        <v>0</v>
      </c>
      <c r="X681" s="252"/>
      <c r="Y681" s="252">
        <v>0</v>
      </c>
    </row>
    <row r="682" spans="1:25" x14ac:dyDescent="0.3">
      <c r="A682" s="253" t="s">
        <v>868</v>
      </c>
      <c r="B682" s="252">
        <v>0</v>
      </c>
      <c r="C682" s="252">
        <v>0</v>
      </c>
      <c r="D682" s="252">
        <v>0</v>
      </c>
      <c r="E682" s="252">
        <v>0</v>
      </c>
      <c r="F682" s="252">
        <v>0</v>
      </c>
      <c r="G682" s="252">
        <v>0</v>
      </c>
      <c r="H682" s="252">
        <v>0</v>
      </c>
      <c r="I682" s="252">
        <v>0</v>
      </c>
      <c r="J682" s="252">
        <v>0</v>
      </c>
      <c r="K682" s="252">
        <v>0</v>
      </c>
      <c r="L682" s="252"/>
      <c r="M682" s="252">
        <v>0</v>
      </c>
      <c r="N682" s="252">
        <v>0</v>
      </c>
      <c r="O682" s="252">
        <v>0</v>
      </c>
      <c r="P682" s="252"/>
      <c r="Q682" s="252">
        <v>0</v>
      </c>
      <c r="R682" s="252">
        <v>0</v>
      </c>
      <c r="S682" s="252">
        <v>0</v>
      </c>
      <c r="T682" s="252">
        <v>0</v>
      </c>
      <c r="U682" s="252">
        <v>0</v>
      </c>
      <c r="V682" s="252">
        <v>0</v>
      </c>
      <c r="W682" s="252">
        <v>0</v>
      </c>
      <c r="X682" s="252"/>
      <c r="Y682" s="252">
        <v>0</v>
      </c>
    </row>
    <row r="683" spans="1:25" x14ac:dyDescent="0.3">
      <c r="A683" s="253" t="s">
        <v>869</v>
      </c>
      <c r="B683" s="252">
        <v>0</v>
      </c>
      <c r="C683" s="252">
        <v>0</v>
      </c>
      <c r="D683" s="252">
        <v>0</v>
      </c>
      <c r="E683" s="252">
        <v>0</v>
      </c>
      <c r="F683" s="252">
        <v>0</v>
      </c>
      <c r="G683" s="252">
        <v>0</v>
      </c>
      <c r="H683" s="252">
        <v>0</v>
      </c>
      <c r="I683" s="252">
        <v>0</v>
      </c>
      <c r="J683" s="252">
        <v>0</v>
      </c>
      <c r="K683" s="252">
        <v>0</v>
      </c>
      <c r="L683" s="252"/>
      <c r="M683" s="252">
        <v>0</v>
      </c>
      <c r="N683" s="252">
        <v>0</v>
      </c>
      <c r="O683" s="252">
        <v>0</v>
      </c>
      <c r="P683" s="252"/>
      <c r="Q683" s="252">
        <v>0</v>
      </c>
      <c r="R683" s="252">
        <v>0</v>
      </c>
      <c r="S683" s="252">
        <v>0</v>
      </c>
      <c r="T683" s="252">
        <v>0</v>
      </c>
      <c r="U683" s="252">
        <v>0</v>
      </c>
      <c r="V683" s="252">
        <v>0</v>
      </c>
      <c r="W683" s="252">
        <v>0</v>
      </c>
      <c r="X683" s="252"/>
      <c r="Y683" s="252">
        <v>0</v>
      </c>
    </row>
    <row r="684" spans="1:25" x14ac:dyDescent="0.3">
      <c r="A684" s="253" t="s">
        <v>913</v>
      </c>
      <c r="B684" s="252">
        <v>0</v>
      </c>
      <c r="C684" s="252">
        <v>0</v>
      </c>
      <c r="D684" s="252">
        <v>0</v>
      </c>
      <c r="E684" s="252">
        <v>0</v>
      </c>
      <c r="F684" s="252">
        <v>0</v>
      </c>
      <c r="G684" s="252">
        <v>0</v>
      </c>
      <c r="H684" s="252">
        <v>0</v>
      </c>
      <c r="I684" s="252">
        <v>0</v>
      </c>
      <c r="J684" s="252">
        <v>0</v>
      </c>
      <c r="K684" s="252">
        <v>0</v>
      </c>
      <c r="L684" s="252"/>
      <c r="M684" s="252">
        <v>0</v>
      </c>
      <c r="N684" s="252">
        <v>0</v>
      </c>
      <c r="O684" s="252">
        <v>0</v>
      </c>
      <c r="P684" s="252">
        <v>0</v>
      </c>
      <c r="Q684" s="252">
        <v>0</v>
      </c>
      <c r="R684" s="252">
        <v>0</v>
      </c>
      <c r="S684" s="252">
        <v>0</v>
      </c>
      <c r="T684" s="252">
        <v>0</v>
      </c>
      <c r="U684" s="252">
        <v>0</v>
      </c>
      <c r="V684" s="252">
        <v>0</v>
      </c>
      <c r="W684" s="252">
        <v>0</v>
      </c>
      <c r="X684" s="252">
        <v>0</v>
      </c>
      <c r="Y684" s="252">
        <v>0</v>
      </c>
    </row>
    <row r="685" spans="1:25" x14ac:dyDescent="0.3">
      <c r="A685" s="253" t="s">
        <v>598</v>
      </c>
      <c r="B685" s="252">
        <v>0</v>
      </c>
      <c r="C685" s="252">
        <v>0</v>
      </c>
      <c r="D685" s="252">
        <v>0</v>
      </c>
      <c r="E685" s="252">
        <v>0</v>
      </c>
      <c r="F685" s="252">
        <v>0</v>
      </c>
      <c r="G685" s="252">
        <v>0</v>
      </c>
      <c r="H685" s="252">
        <v>0</v>
      </c>
      <c r="I685" s="252">
        <v>0</v>
      </c>
      <c r="J685" s="252">
        <v>0</v>
      </c>
      <c r="K685" s="252">
        <v>0</v>
      </c>
      <c r="L685" s="252"/>
      <c r="M685" s="252">
        <v>0</v>
      </c>
      <c r="N685" s="252">
        <v>0</v>
      </c>
      <c r="O685" s="252">
        <v>0</v>
      </c>
      <c r="P685" s="252"/>
      <c r="Q685" s="252">
        <v>0</v>
      </c>
      <c r="R685" s="252">
        <v>0</v>
      </c>
      <c r="S685" s="252">
        <v>0</v>
      </c>
      <c r="T685" s="252">
        <v>0</v>
      </c>
      <c r="U685" s="252">
        <v>0</v>
      </c>
      <c r="V685" s="252">
        <v>0</v>
      </c>
      <c r="W685" s="252">
        <v>0</v>
      </c>
      <c r="X685" s="252"/>
      <c r="Y685" s="252">
        <v>0</v>
      </c>
    </row>
    <row r="686" spans="1:25" x14ac:dyDescent="0.3">
      <c r="A686" s="253" t="s">
        <v>599</v>
      </c>
      <c r="B686" s="252">
        <v>0</v>
      </c>
      <c r="C686" s="252">
        <v>0</v>
      </c>
      <c r="D686" s="252">
        <v>0</v>
      </c>
      <c r="E686" s="252">
        <v>0</v>
      </c>
      <c r="F686" s="252">
        <v>0</v>
      </c>
      <c r="G686" s="252">
        <v>0</v>
      </c>
      <c r="H686" s="252">
        <v>0</v>
      </c>
      <c r="I686" s="252">
        <v>0</v>
      </c>
      <c r="J686" s="252">
        <v>0</v>
      </c>
      <c r="K686" s="252">
        <v>0</v>
      </c>
      <c r="L686" s="252"/>
      <c r="M686" s="252">
        <v>0</v>
      </c>
      <c r="N686" s="252">
        <v>0</v>
      </c>
      <c r="O686" s="252">
        <v>0</v>
      </c>
      <c r="P686" s="252">
        <v>0</v>
      </c>
      <c r="Q686" s="252">
        <v>0</v>
      </c>
      <c r="R686" s="252">
        <v>0</v>
      </c>
      <c r="S686" s="252">
        <v>0</v>
      </c>
      <c r="T686" s="252">
        <v>0</v>
      </c>
      <c r="U686" s="252">
        <v>0</v>
      </c>
      <c r="V686" s="252">
        <v>0</v>
      </c>
      <c r="W686" s="252">
        <v>0</v>
      </c>
      <c r="X686" s="252">
        <v>0</v>
      </c>
      <c r="Y686" s="252">
        <v>0</v>
      </c>
    </row>
    <row r="687" spans="1:25" x14ac:dyDescent="0.3">
      <c r="A687" s="253" t="s">
        <v>600</v>
      </c>
      <c r="B687" s="252">
        <v>0</v>
      </c>
      <c r="C687" s="252">
        <v>0</v>
      </c>
      <c r="D687" s="252">
        <v>0</v>
      </c>
      <c r="E687" s="252">
        <v>0</v>
      </c>
      <c r="F687" s="252">
        <v>0</v>
      </c>
      <c r="G687" s="252">
        <v>0</v>
      </c>
      <c r="H687" s="252">
        <v>0</v>
      </c>
      <c r="I687" s="252">
        <v>0</v>
      </c>
      <c r="J687" s="252">
        <v>0</v>
      </c>
      <c r="K687" s="252">
        <v>0</v>
      </c>
      <c r="L687" s="252">
        <v>0</v>
      </c>
      <c r="M687" s="252">
        <v>0</v>
      </c>
      <c r="N687" s="252">
        <v>0</v>
      </c>
      <c r="O687" s="252">
        <v>0</v>
      </c>
      <c r="P687" s="252">
        <v>0</v>
      </c>
      <c r="Q687" s="252">
        <v>0</v>
      </c>
      <c r="R687" s="252">
        <v>0</v>
      </c>
      <c r="S687" s="252">
        <v>0</v>
      </c>
      <c r="T687" s="252">
        <v>0</v>
      </c>
      <c r="U687" s="252">
        <v>0</v>
      </c>
      <c r="V687" s="252">
        <v>0</v>
      </c>
      <c r="W687" s="252">
        <v>0</v>
      </c>
      <c r="X687" s="252">
        <v>0</v>
      </c>
      <c r="Y687" s="252">
        <v>0</v>
      </c>
    </row>
    <row r="688" spans="1:25" x14ac:dyDescent="0.3">
      <c r="A688" s="253" t="s">
        <v>1050</v>
      </c>
      <c r="B688" s="252">
        <v>0</v>
      </c>
      <c r="C688" s="252">
        <v>0</v>
      </c>
      <c r="D688" s="252">
        <v>0</v>
      </c>
      <c r="E688" s="252">
        <v>0</v>
      </c>
      <c r="F688" s="252">
        <v>0</v>
      </c>
      <c r="G688" s="252">
        <v>0</v>
      </c>
      <c r="H688" s="252">
        <v>0</v>
      </c>
      <c r="I688" s="252">
        <v>0</v>
      </c>
      <c r="J688" s="252">
        <v>0</v>
      </c>
      <c r="K688" s="252">
        <v>0</v>
      </c>
      <c r="L688" s="252">
        <v>0</v>
      </c>
      <c r="M688" s="252">
        <v>0</v>
      </c>
      <c r="N688" s="252">
        <v>0</v>
      </c>
      <c r="O688" s="252">
        <v>0</v>
      </c>
      <c r="P688" s="252">
        <v>0</v>
      </c>
      <c r="Q688" s="252">
        <v>0</v>
      </c>
      <c r="R688" s="252">
        <v>0</v>
      </c>
      <c r="S688" s="252">
        <v>0</v>
      </c>
      <c r="T688" s="252">
        <v>0</v>
      </c>
      <c r="U688" s="252">
        <v>0</v>
      </c>
      <c r="V688" s="252">
        <v>0</v>
      </c>
      <c r="W688" s="252">
        <v>0</v>
      </c>
      <c r="X688" s="252">
        <v>0</v>
      </c>
      <c r="Y688" s="252">
        <v>0</v>
      </c>
    </row>
    <row r="689" spans="1:25" x14ac:dyDescent="0.3">
      <c r="A689" s="253" t="s">
        <v>1051</v>
      </c>
      <c r="B689" s="252">
        <v>0</v>
      </c>
      <c r="C689" s="252">
        <v>0</v>
      </c>
      <c r="D689" s="252">
        <v>0</v>
      </c>
      <c r="E689" s="252">
        <v>0</v>
      </c>
      <c r="F689" s="252">
        <v>0</v>
      </c>
      <c r="G689" s="252">
        <v>0</v>
      </c>
      <c r="H689" s="252">
        <v>0</v>
      </c>
      <c r="I689" s="252">
        <v>0</v>
      </c>
      <c r="J689" s="252">
        <v>0</v>
      </c>
      <c r="K689" s="252">
        <v>0</v>
      </c>
      <c r="L689" s="252">
        <v>0</v>
      </c>
      <c r="M689" s="252">
        <v>0</v>
      </c>
      <c r="N689" s="252">
        <v>0</v>
      </c>
      <c r="O689" s="252">
        <v>0</v>
      </c>
      <c r="P689" s="252">
        <v>0</v>
      </c>
      <c r="Q689" s="252">
        <v>0</v>
      </c>
      <c r="R689" s="252">
        <v>0</v>
      </c>
      <c r="S689" s="252">
        <v>0</v>
      </c>
      <c r="T689" s="252">
        <v>0</v>
      </c>
      <c r="U689" s="252">
        <v>0</v>
      </c>
      <c r="V689" s="252">
        <v>0</v>
      </c>
      <c r="W689" s="252">
        <v>0</v>
      </c>
      <c r="X689" s="252">
        <v>0</v>
      </c>
      <c r="Y689" s="252">
        <v>0</v>
      </c>
    </row>
    <row r="690" spans="1:25" x14ac:dyDescent="0.3">
      <c r="A690" s="253" t="s">
        <v>1052</v>
      </c>
      <c r="B690" s="252">
        <v>0</v>
      </c>
      <c r="C690" s="252">
        <v>0</v>
      </c>
      <c r="D690" s="252">
        <v>0</v>
      </c>
      <c r="E690" s="252">
        <v>0</v>
      </c>
      <c r="F690" s="252">
        <v>0</v>
      </c>
      <c r="G690" s="252">
        <v>0</v>
      </c>
      <c r="H690" s="252">
        <v>0</v>
      </c>
      <c r="I690" s="252">
        <v>0</v>
      </c>
      <c r="J690" s="252">
        <v>0</v>
      </c>
      <c r="K690" s="252">
        <v>0</v>
      </c>
      <c r="L690" s="252">
        <v>0</v>
      </c>
      <c r="M690" s="252">
        <v>0</v>
      </c>
      <c r="N690" s="252">
        <v>0</v>
      </c>
      <c r="O690" s="252">
        <v>0</v>
      </c>
      <c r="P690" s="252">
        <v>0</v>
      </c>
      <c r="Q690" s="252">
        <v>0</v>
      </c>
      <c r="R690" s="252">
        <v>0</v>
      </c>
      <c r="S690" s="252">
        <v>0</v>
      </c>
      <c r="T690" s="252">
        <v>0</v>
      </c>
      <c r="U690" s="252">
        <v>0</v>
      </c>
      <c r="V690" s="252">
        <v>0</v>
      </c>
      <c r="W690" s="252">
        <v>0</v>
      </c>
      <c r="X690" s="252">
        <v>0</v>
      </c>
      <c r="Y690" s="252">
        <v>0</v>
      </c>
    </row>
    <row r="691" spans="1:25" x14ac:dyDescent="0.3">
      <c r="A691" s="253" t="s">
        <v>871</v>
      </c>
      <c r="B691" s="252">
        <v>0</v>
      </c>
      <c r="C691" s="252">
        <v>0</v>
      </c>
      <c r="D691" s="252">
        <v>0</v>
      </c>
      <c r="E691" s="252">
        <v>0</v>
      </c>
      <c r="F691" s="252">
        <v>0</v>
      </c>
      <c r="G691" s="252">
        <v>0</v>
      </c>
      <c r="H691" s="252">
        <v>0</v>
      </c>
      <c r="I691" s="252">
        <v>0</v>
      </c>
      <c r="J691" s="252">
        <v>0</v>
      </c>
      <c r="K691" s="252">
        <v>0</v>
      </c>
      <c r="L691" s="252"/>
      <c r="M691" s="252">
        <v>0</v>
      </c>
      <c r="N691" s="252">
        <v>0</v>
      </c>
      <c r="O691" s="252">
        <v>0</v>
      </c>
      <c r="P691" s="252"/>
      <c r="Q691" s="252">
        <v>0</v>
      </c>
      <c r="R691" s="252">
        <v>0</v>
      </c>
      <c r="S691" s="252">
        <v>0</v>
      </c>
      <c r="T691" s="252">
        <v>0</v>
      </c>
      <c r="U691" s="252">
        <v>0</v>
      </c>
      <c r="V691" s="252">
        <v>0</v>
      </c>
      <c r="W691" s="252">
        <v>0</v>
      </c>
      <c r="X691" s="252"/>
      <c r="Y691" s="252">
        <v>0</v>
      </c>
    </row>
    <row r="692" spans="1:25" x14ac:dyDescent="0.3">
      <c r="A692" s="253" t="s">
        <v>870</v>
      </c>
      <c r="B692" s="252">
        <v>0</v>
      </c>
      <c r="C692" s="252">
        <v>0</v>
      </c>
      <c r="D692" s="252">
        <v>0</v>
      </c>
      <c r="E692" s="252">
        <v>0</v>
      </c>
      <c r="F692" s="252">
        <v>0</v>
      </c>
      <c r="G692" s="252">
        <v>0</v>
      </c>
      <c r="H692" s="252">
        <v>0</v>
      </c>
      <c r="I692" s="252">
        <v>0</v>
      </c>
      <c r="J692" s="252">
        <v>0</v>
      </c>
      <c r="K692" s="252">
        <v>0</v>
      </c>
      <c r="L692" s="252"/>
      <c r="M692" s="252">
        <v>0</v>
      </c>
      <c r="N692" s="252">
        <v>0</v>
      </c>
      <c r="O692" s="252">
        <v>0</v>
      </c>
      <c r="P692" s="252"/>
      <c r="Q692" s="252">
        <v>0</v>
      </c>
      <c r="R692" s="252">
        <v>0</v>
      </c>
      <c r="S692" s="252">
        <v>0</v>
      </c>
      <c r="T692" s="252">
        <v>0</v>
      </c>
      <c r="U692" s="252">
        <v>0</v>
      </c>
      <c r="V692" s="252">
        <v>0</v>
      </c>
      <c r="W692" s="252">
        <v>0</v>
      </c>
      <c r="X692" s="252"/>
      <c r="Y692" s="252">
        <v>0</v>
      </c>
    </row>
    <row r="693" spans="1:25" x14ac:dyDescent="0.3">
      <c r="A693" s="253" t="s">
        <v>1025</v>
      </c>
      <c r="B693" s="252">
        <v>0</v>
      </c>
      <c r="C693" s="252">
        <v>0</v>
      </c>
      <c r="D693" s="252">
        <v>0</v>
      </c>
      <c r="E693" s="252">
        <v>0</v>
      </c>
      <c r="F693" s="252">
        <v>0</v>
      </c>
      <c r="G693" s="252">
        <v>0</v>
      </c>
      <c r="H693" s="252">
        <v>0</v>
      </c>
      <c r="I693" s="252">
        <v>0</v>
      </c>
      <c r="J693" s="252">
        <v>0</v>
      </c>
      <c r="K693" s="252">
        <v>0</v>
      </c>
      <c r="L693" s="252"/>
      <c r="M693" s="252">
        <v>0</v>
      </c>
      <c r="N693" s="252">
        <v>0</v>
      </c>
      <c r="O693" s="252">
        <v>0</v>
      </c>
      <c r="P693" s="252">
        <v>0</v>
      </c>
      <c r="Q693" s="252">
        <v>0</v>
      </c>
      <c r="R693" s="252">
        <v>0</v>
      </c>
      <c r="S693" s="252">
        <v>0</v>
      </c>
      <c r="T693" s="252">
        <v>0</v>
      </c>
      <c r="U693" s="252">
        <v>0</v>
      </c>
      <c r="V693" s="252">
        <v>0</v>
      </c>
      <c r="W693" s="252">
        <v>0</v>
      </c>
      <c r="X693" s="252">
        <v>0</v>
      </c>
      <c r="Y693" s="252">
        <v>0</v>
      </c>
    </row>
    <row r="694" spans="1:25" x14ac:dyDescent="0.3">
      <c r="A694" s="253" t="s">
        <v>1053</v>
      </c>
      <c r="B694" s="252">
        <v>0</v>
      </c>
      <c r="C694" s="252">
        <v>0</v>
      </c>
      <c r="D694" s="252">
        <v>0</v>
      </c>
      <c r="E694" s="252">
        <v>0</v>
      </c>
      <c r="F694" s="252">
        <v>0</v>
      </c>
      <c r="G694" s="252">
        <v>0</v>
      </c>
      <c r="H694" s="252">
        <v>0</v>
      </c>
      <c r="I694" s="252">
        <v>0</v>
      </c>
      <c r="J694" s="252">
        <v>0</v>
      </c>
      <c r="K694" s="252">
        <v>0</v>
      </c>
      <c r="L694" s="252">
        <v>0</v>
      </c>
      <c r="M694" s="252">
        <v>0</v>
      </c>
      <c r="N694" s="252">
        <v>0</v>
      </c>
      <c r="O694" s="252">
        <v>0</v>
      </c>
      <c r="P694" s="252">
        <v>0</v>
      </c>
      <c r="Q694" s="252">
        <v>0</v>
      </c>
      <c r="R694" s="252">
        <v>0</v>
      </c>
      <c r="S694" s="252">
        <v>0</v>
      </c>
      <c r="T694" s="252">
        <v>0</v>
      </c>
      <c r="U694" s="252">
        <v>0</v>
      </c>
      <c r="V694" s="252">
        <v>0</v>
      </c>
      <c r="W694" s="252">
        <v>0</v>
      </c>
      <c r="X694" s="252">
        <v>0</v>
      </c>
      <c r="Y694" s="252">
        <v>0</v>
      </c>
    </row>
    <row r="695" spans="1:25" x14ac:dyDescent="0.3">
      <c r="A695" s="253" t="s">
        <v>1054</v>
      </c>
      <c r="B695" s="252">
        <v>0</v>
      </c>
      <c r="C695" s="252">
        <v>0</v>
      </c>
      <c r="D695" s="252">
        <v>0</v>
      </c>
      <c r="E695" s="252">
        <v>0</v>
      </c>
      <c r="F695" s="252">
        <v>0</v>
      </c>
      <c r="G695" s="252">
        <v>0</v>
      </c>
      <c r="H695" s="252">
        <v>0</v>
      </c>
      <c r="I695" s="252">
        <v>0</v>
      </c>
      <c r="J695" s="252">
        <v>0</v>
      </c>
      <c r="K695" s="252">
        <v>0</v>
      </c>
      <c r="L695" s="252">
        <v>0</v>
      </c>
      <c r="M695" s="252">
        <v>0</v>
      </c>
      <c r="N695" s="252">
        <v>0</v>
      </c>
      <c r="O695" s="252">
        <v>0</v>
      </c>
      <c r="P695" s="252">
        <v>0</v>
      </c>
      <c r="Q695" s="252">
        <v>0</v>
      </c>
      <c r="R695" s="252">
        <v>0</v>
      </c>
      <c r="S695" s="252">
        <v>0</v>
      </c>
      <c r="T695" s="252">
        <v>0</v>
      </c>
      <c r="U695" s="252">
        <v>0</v>
      </c>
      <c r="V695" s="252">
        <v>0</v>
      </c>
      <c r="W695" s="252">
        <v>0</v>
      </c>
      <c r="X695" s="252">
        <v>0</v>
      </c>
      <c r="Y695" s="252">
        <v>0</v>
      </c>
    </row>
    <row r="696" spans="1:25" x14ac:dyDescent="0.3">
      <c r="A696" s="253" t="s">
        <v>1055</v>
      </c>
      <c r="B696" s="252">
        <v>0</v>
      </c>
      <c r="C696" s="252">
        <v>0</v>
      </c>
      <c r="D696" s="252">
        <v>0</v>
      </c>
      <c r="E696" s="252">
        <v>0</v>
      </c>
      <c r="F696" s="252">
        <v>0</v>
      </c>
      <c r="G696" s="252">
        <v>0</v>
      </c>
      <c r="H696" s="252">
        <v>0</v>
      </c>
      <c r="I696" s="252">
        <v>0</v>
      </c>
      <c r="J696" s="252">
        <v>0</v>
      </c>
      <c r="K696" s="252">
        <v>0</v>
      </c>
      <c r="L696" s="252">
        <v>0</v>
      </c>
      <c r="M696" s="252">
        <v>0</v>
      </c>
      <c r="N696" s="252">
        <v>0</v>
      </c>
      <c r="O696" s="252">
        <v>0</v>
      </c>
      <c r="P696" s="252">
        <v>0</v>
      </c>
      <c r="Q696" s="252">
        <v>0</v>
      </c>
      <c r="R696" s="252">
        <v>0</v>
      </c>
      <c r="S696" s="252">
        <v>0</v>
      </c>
      <c r="T696" s="252">
        <v>0</v>
      </c>
      <c r="U696" s="252">
        <v>0</v>
      </c>
      <c r="V696" s="252">
        <v>0</v>
      </c>
      <c r="W696" s="252">
        <v>0</v>
      </c>
      <c r="X696" s="252">
        <v>0</v>
      </c>
      <c r="Y696" s="252">
        <v>0</v>
      </c>
    </row>
    <row r="697" spans="1:25" x14ac:dyDescent="0.3">
      <c r="A697" s="253" t="s">
        <v>1132</v>
      </c>
      <c r="B697" s="252">
        <v>1</v>
      </c>
      <c r="C697" s="252">
        <v>1</v>
      </c>
      <c r="D697" s="252">
        <v>0</v>
      </c>
      <c r="E697" s="252">
        <v>1</v>
      </c>
      <c r="F697" s="252">
        <v>1</v>
      </c>
      <c r="G697" s="252">
        <v>0</v>
      </c>
      <c r="H697" s="252">
        <v>1</v>
      </c>
      <c r="I697" s="252">
        <v>0</v>
      </c>
      <c r="J697" s="252">
        <v>1</v>
      </c>
      <c r="K697" s="252">
        <v>0</v>
      </c>
      <c r="L697" s="252">
        <v>1</v>
      </c>
      <c r="M697" s="252">
        <v>0</v>
      </c>
      <c r="N697" s="252">
        <v>1</v>
      </c>
      <c r="O697" s="252">
        <v>0</v>
      </c>
      <c r="P697" s="252">
        <v>0</v>
      </c>
      <c r="Q697" s="252">
        <v>0</v>
      </c>
      <c r="R697" s="252">
        <v>0</v>
      </c>
      <c r="S697" s="252">
        <v>0</v>
      </c>
      <c r="T697" s="252">
        <v>0</v>
      </c>
      <c r="U697" s="252">
        <v>0</v>
      </c>
      <c r="V697" s="252">
        <v>1</v>
      </c>
      <c r="W697" s="252">
        <v>0</v>
      </c>
      <c r="X697" s="252">
        <v>0</v>
      </c>
      <c r="Y697" s="252">
        <v>9</v>
      </c>
    </row>
    <row r="698" spans="1:25" x14ac:dyDescent="0.3">
      <c r="A698" s="253" t="s">
        <v>601</v>
      </c>
      <c r="B698" s="252">
        <v>0</v>
      </c>
      <c r="C698" s="252">
        <v>0</v>
      </c>
      <c r="D698" s="252">
        <v>0</v>
      </c>
      <c r="E698" s="252">
        <v>0</v>
      </c>
      <c r="F698" s="252">
        <v>0</v>
      </c>
      <c r="G698" s="252">
        <v>0</v>
      </c>
      <c r="H698" s="252">
        <v>0</v>
      </c>
      <c r="I698" s="252"/>
      <c r="J698" s="252"/>
      <c r="K698" s="252">
        <v>0</v>
      </c>
      <c r="L698" s="252"/>
      <c r="M698" s="252">
        <v>0</v>
      </c>
      <c r="N698" s="252">
        <v>0</v>
      </c>
      <c r="O698" s="252">
        <v>0</v>
      </c>
      <c r="P698" s="252"/>
      <c r="Q698" s="252">
        <v>0</v>
      </c>
      <c r="R698" s="252"/>
      <c r="S698" s="252"/>
      <c r="T698" s="252">
        <v>0</v>
      </c>
      <c r="U698" s="252"/>
      <c r="V698" s="252">
        <v>0</v>
      </c>
      <c r="W698" s="252">
        <v>0</v>
      </c>
      <c r="X698" s="252"/>
      <c r="Y698" s="252">
        <v>0</v>
      </c>
    </row>
    <row r="699" spans="1:25" x14ac:dyDescent="0.3">
      <c r="A699" s="253" t="s">
        <v>602</v>
      </c>
      <c r="B699" s="252">
        <v>0</v>
      </c>
      <c r="C699" s="252"/>
      <c r="D699" s="252">
        <v>0</v>
      </c>
      <c r="E699" s="252"/>
      <c r="F699" s="252">
        <v>0</v>
      </c>
      <c r="G699" s="252"/>
      <c r="H699" s="252">
        <v>0</v>
      </c>
      <c r="I699" s="252"/>
      <c r="J699" s="252"/>
      <c r="K699" s="252"/>
      <c r="L699" s="252"/>
      <c r="M699" s="252">
        <v>0</v>
      </c>
      <c r="N699" s="252"/>
      <c r="O699" s="252"/>
      <c r="P699" s="252"/>
      <c r="Q699" s="252">
        <v>0</v>
      </c>
      <c r="R699" s="252"/>
      <c r="S699" s="252"/>
      <c r="T699" s="252"/>
      <c r="U699" s="252"/>
      <c r="V699" s="252"/>
      <c r="W699" s="252">
        <v>0</v>
      </c>
      <c r="X699" s="252"/>
      <c r="Y699" s="252">
        <v>0</v>
      </c>
    </row>
    <row r="700" spans="1:25" x14ac:dyDescent="0.3">
      <c r="A700" s="253" t="s">
        <v>851</v>
      </c>
      <c r="B700" s="252">
        <v>0</v>
      </c>
      <c r="C700" s="252">
        <v>0</v>
      </c>
      <c r="D700" s="252">
        <v>0</v>
      </c>
      <c r="E700" s="252">
        <v>0</v>
      </c>
      <c r="F700" s="252">
        <v>0</v>
      </c>
      <c r="G700" s="252">
        <v>0</v>
      </c>
      <c r="H700" s="252">
        <v>0</v>
      </c>
      <c r="I700" s="252">
        <v>0</v>
      </c>
      <c r="J700" s="252">
        <v>0</v>
      </c>
      <c r="K700" s="252">
        <v>0</v>
      </c>
      <c r="L700" s="252"/>
      <c r="M700" s="252">
        <v>0</v>
      </c>
      <c r="N700" s="252">
        <v>0</v>
      </c>
      <c r="O700" s="252">
        <v>0</v>
      </c>
      <c r="P700" s="252"/>
      <c r="Q700" s="252">
        <v>0</v>
      </c>
      <c r="R700" s="252">
        <v>0</v>
      </c>
      <c r="S700" s="252">
        <v>0</v>
      </c>
      <c r="T700" s="252">
        <v>0</v>
      </c>
      <c r="U700" s="252">
        <v>0</v>
      </c>
      <c r="V700" s="252">
        <v>0</v>
      </c>
      <c r="W700" s="252">
        <v>0</v>
      </c>
      <c r="X700" s="252"/>
      <c r="Y700" s="252">
        <v>0</v>
      </c>
    </row>
    <row r="701" spans="1:25" x14ac:dyDescent="0.3">
      <c r="A701" s="253" t="s">
        <v>852</v>
      </c>
      <c r="B701" s="252">
        <v>0</v>
      </c>
      <c r="C701" s="252">
        <v>0</v>
      </c>
      <c r="D701" s="252">
        <v>0</v>
      </c>
      <c r="E701" s="252">
        <v>0</v>
      </c>
      <c r="F701" s="252">
        <v>0</v>
      </c>
      <c r="G701" s="252">
        <v>0</v>
      </c>
      <c r="H701" s="252">
        <v>0</v>
      </c>
      <c r="I701" s="252">
        <v>0</v>
      </c>
      <c r="J701" s="252">
        <v>0</v>
      </c>
      <c r="K701" s="252">
        <v>0</v>
      </c>
      <c r="L701" s="252"/>
      <c r="M701" s="252">
        <v>0</v>
      </c>
      <c r="N701" s="252">
        <v>0</v>
      </c>
      <c r="O701" s="252">
        <v>0</v>
      </c>
      <c r="P701" s="252"/>
      <c r="Q701" s="252">
        <v>0</v>
      </c>
      <c r="R701" s="252">
        <v>0</v>
      </c>
      <c r="S701" s="252">
        <v>0</v>
      </c>
      <c r="T701" s="252">
        <v>0</v>
      </c>
      <c r="U701" s="252">
        <v>0</v>
      </c>
      <c r="V701" s="252">
        <v>0</v>
      </c>
      <c r="W701" s="252">
        <v>0</v>
      </c>
      <c r="X701" s="252"/>
      <c r="Y701" s="252">
        <v>0</v>
      </c>
    </row>
    <row r="702" spans="1:25" x14ac:dyDescent="0.3">
      <c r="A702" s="253" t="s">
        <v>603</v>
      </c>
      <c r="B702" s="252">
        <v>0</v>
      </c>
      <c r="C702" s="252"/>
      <c r="D702" s="252">
        <v>0</v>
      </c>
      <c r="E702" s="252">
        <v>0</v>
      </c>
      <c r="F702" s="252">
        <v>0</v>
      </c>
      <c r="G702" s="252">
        <v>0</v>
      </c>
      <c r="H702" s="252">
        <v>0</v>
      </c>
      <c r="I702" s="252"/>
      <c r="J702" s="252"/>
      <c r="K702" s="252">
        <v>0</v>
      </c>
      <c r="L702" s="252"/>
      <c r="M702" s="252">
        <v>0</v>
      </c>
      <c r="N702" s="252">
        <v>0</v>
      </c>
      <c r="O702" s="252">
        <v>0</v>
      </c>
      <c r="P702" s="252"/>
      <c r="Q702" s="252">
        <v>0</v>
      </c>
      <c r="R702" s="252"/>
      <c r="S702" s="252"/>
      <c r="T702" s="252">
        <v>0</v>
      </c>
      <c r="U702" s="252"/>
      <c r="V702" s="252">
        <v>0</v>
      </c>
      <c r="W702" s="252">
        <v>0</v>
      </c>
      <c r="X702" s="252"/>
      <c r="Y702" s="252">
        <v>0</v>
      </c>
    </row>
    <row r="703" spans="1:25" x14ac:dyDescent="0.3">
      <c r="A703" s="253" t="s">
        <v>933</v>
      </c>
      <c r="B703" s="252">
        <v>0</v>
      </c>
      <c r="C703" s="252">
        <v>0</v>
      </c>
      <c r="D703" s="252">
        <v>0</v>
      </c>
      <c r="E703" s="252">
        <v>0</v>
      </c>
      <c r="F703" s="252">
        <v>0</v>
      </c>
      <c r="G703" s="252">
        <v>0</v>
      </c>
      <c r="H703" s="252">
        <v>0</v>
      </c>
      <c r="I703" s="252">
        <v>0</v>
      </c>
      <c r="J703" s="252">
        <v>0</v>
      </c>
      <c r="K703" s="252">
        <v>0</v>
      </c>
      <c r="L703" s="252"/>
      <c r="M703" s="252">
        <v>0</v>
      </c>
      <c r="N703" s="252">
        <v>0</v>
      </c>
      <c r="O703" s="252">
        <v>0</v>
      </c>
      <c r="P703" s="252">
        <v>0</v>
      </c>
      <c r="Q703" s="252">
        <v>0</v>
      </c>
      <c r="R703" s="252">
        <v>0</v>
      </c>
      <c r="S703" s="252">
        <v>0</v>
      </c>
      <c r="T703" s="252">
        <v>0</v>
      </c>
      <c r="U703" s="252">
        <v>0</v>
      </c>
      <c r="V703" s="252">
        <v>0</v>
      </c>
      <c r="W703" s="252">
        <v>0</v>
      </c>
      <c r="X703" s="252"/>
      <c r="Y703" s="252">
        <v>0</v>
      </c>
    </row>
    <row r="704" spans="1:25" x14ac:dyDescent="0.3">
      <c r="A704" s="253" t="s">
        <v>853</v>
      </c>
      <c r="B704" s="252">
        <v>0</v>
      </c>
      <c r="C704" s="252">
        <v>0</v>
      </c>
      <c r="D704" s="252">
        <v>0</v>
      </c>
      <c r="E704" s="252">
        <v>0</v>
      </c>
      <c r="F704" s="252">
        <v>0</v>
      </c>
      <c r="G704" s="252">
        <v>0</v>
      </c>
      <c r="H704" s="252">
        <v>0</v>
      </c>
      <c r="I704" s="252">
        <v>0</v>
      </c>
      <c r="J704" s="252">
        <v>0</v>
      </c>
      <c r="K704" s="252">
        <v>0</v>
      </c>
      <c r="L704" s="252"/>
      <c r="M704" s="252">
        <v>0</v>
      </c>
      <c r="N704" s="252">
        <v>0</v>
      </c>
      <c r="O704" s="252">
        <v>0</v>
      </c>
      <c r="P704" s="252"/>
      <c r="Q704" s="252">
        <v>0</v>
      </c>
      <c r="R704" s="252">
        <v>0</v>
      </c>
      <c r="S704" s="252">
        <v>0</v>
      </c>
      <c r="T704" s="252">
        <v>0</v>
      </c>
      <c r="U704" s="252"/>
      <c r="V704" s="252">
        <v>0</v>
      </c>
      <c r="W704" s="252">
        <v>0</v>
      </c>
      <c r="X704" s="252"/>
      <c r="Y704" s="252">
        <v>0</v>
      </c>
    </row>
    <row r="705" spans="1:25" x14ac:dyDescent="0.3">
      <c r="A705" s="253" t="s">
        <v>604</v>
      </c>
      <c r="B705" s="252">
        <v>0</v>
      </c>
      <c r="C705" s="252">
        <v>0</v>
      </c>
      <c r="D705" s="252">
        <v>0</v>
      </c>
      <c r="E705" s="252">
        <v>0</v>
      </c>
      <c r="F705" s="252">
        <v>0</v>
      </c>
      <c r="G705" s="252">
        <v>0</v>
      </c>
      <c r="H705" s="252">
        <v>0</v>
      </c>
      <c r="I705" s="252"/>
      <c r="J705" s="252"/>
      <c r="K705" s="252">
        <v>0</v>
      </c>
      <c r="L705" s="252"/>
      <c r="M705" s="252">
        <v>0</v>
      </c>
      <c r="N705" s="252">
        <v>0</v>
      </c>
      <c r="O705" s="252">
        <v>0</v>
      </c>
      <c r="P705" s="252"/>
      <c r="Q705" s="252">
        <v>0</v>
      </c>
      <c r="R705" s="252"/>
      <c r="S705" s="252"/>
      <c r="T705" s="252">
        <v>0</v>
      </c>
      <c r="U705" s="252"/>
      <c r="V705" s="252">
        <v>0</v>
      </c>
      <c r="W705" s="252">
        <v>0</v>
      </c>
      <c r="X705" s="252"/>
      <c r="Y705" s="252">
        <v>0</v>
      </c>
    </row>
    <row r="706" spans="1:25" x14ac:dyDescent="0.3">
      <c r="A706" s="253" t="s">
        <v>934</v>
      </c>
      <c r="B706" s="252">
        <v>0</v>
      </c>
      <c r="C706" s="252">
        <v>0</v>
      </c>
      <c r="D706" s="252">
        <v>0</v>
      </c>
      <c r="E706" s="252">
        <v>0</v>
      </c>
      <c r="F706" s="252">
        <v>0</v>
      </c>
      <c r="G706" s="252">
        <v>0</v>
      </c>
      <c r="H706" s="252">
        <v>0</v>
      </c>
      <c r="I706" s="252">
        <v>0</v>
      </c>
      <c r="J706" s="252">
        <v>0</v>
      </c>
      <c r="K706" s="252">
        <v>0</v>
      </c>
      <c r="L706" s="252"/>
      <c r="M706" s="252">
        <v>0</v>
      </c>
      <c r="N706" s="252">
        <v>0</v>
      </c>
      <c r="O706" s="252">
        <v>0</v>
      </c>
      <c r="P706" s="252"/>
      <c r="Q706" s="252">
        <v>0</v>
      </c>
      <c r="R706" s="252">
        <v>0</v>
      </c>
      <c r="S706" s="252">
        <v>0</v>
      </c>
      <c r="T706" s="252">
        <v>0</v>
      </c>
      <c r="U706" s="252">
        <v>0</v>
      </c>
      <c r="V706" s="252">
        <v>0</v>
      </c>
      <c r="W706" s="252">
        <v>0</v>
      </c>
      <c r="X706" s="252"/>
      <c r="Y706" s="252">
        <v>0</v>
      </c>
    </row>
    <row r="707" spans="1:25" x14ac:dyDescent="0.3">
      <c r="A707" s="253" t="s">
        <v>1056</v>
      </c>
      <c r="B707" s="252">
        <v>0</v>
      </c>
      <c r="C707" s="252">
        <v>0</v>
      </c>
      <c r="D707" s="252">
        <v>0</v>
      </c>
      <c r="E707" s="252">
        <v>0</v>
      </c>
      <c r="F707" s="252">
        <v>0</v>
      </c>
      <c r="G707" s="252">
        <v>0</v>
      </c>
      <c r="H707" s="252">
        <v>0</v>
      </c>
      <c r="I707" s="252">
        <v>0</v>
      </c>
      <c r="J707" s="252">
        <v>0</v>
      </c>
      <c r="K707" s="252">
        <v>0</v>
      </c>
      <c r="L707" s="252">
        <v>0</v>
      </c>
      <c r="M707" s="252">
        <v>0</v>
      </c>
      <c r="N707" s="252">
        <v>0</v>
      </c>
      <c r="O707" s="252">
        <v>0</v>
      </c>
      <c r="P707" s="252">
        <v>0</v>
      </c>
      <c r="Q707" s="252">
        <v>0</v>
      </c>
      <c r="R707" s="252">
        <v>0</v>
      </c>
      <c r="S707" s="252">
        <v>0</v>
      </c>
      <c r="T707" s="252">
        <v>0</v>
      </c>
      <c r="U707" s="252">
        <v>0</v>
      </c>
      <c r="V707" s="252">
        <v>0</v>
      </c>
      <c r="W707" s="252">
        <v>0</v>
      </c>
      <c r="X707" s="252">
        <v>0</v>
      </c>
      <c r="Y707" s="252">
        <v>0</v>
      </c>
    </row>
    <row r="708" spans="1:25" x14ac:dyDescent="0.3">
      <c r="A708" s="253" t="s">
        <v>1057</v>
      </c>
      <c r="B708" s="252">
        <v>0</v>
      </c>
      <c r="C708" s="252">
        <v>0</v>
      </c>
      <c r="D708" s="252">
        <v>0</v>
      </c>
      <c r="E708" s="252">
        <v>0</v>
      </c>
      <c r="F708" s="252">
        <v>0</v>
      </c>
      <c r="G708" s="252">
        <v>0</v>
      </c>
      <c r="H708" s="252">
        <v>0</v>
      </c>
      <c r="I708" s="252">
        <v>0</v>
      </c>
      <c r="J708" s="252">
        <v>0</v>
      </c>
      <c r="K708" s="252">
        <v>0</v>
      </c>
      <c r="L708" s="252">
        <v>0</v>
      </c>
      <c r="M708" s="252">
        <v>0</v>
      </c>
      <c r="N708" s="252">
        <v>0</v>
      </c>
      <c r="O708" s="252">
        <v>0</v>
      </c>
      <c r="P708" s="252">
        <v>0</v>
      </c>
      <c r="Q708" s="252">
        <v>0</v>
      </c>
      <c r="R708" s="252">
        <v>0</v>
      </c>
      <c r="S708" s="252">
        <v>0</v>
      </c>
      <c r="T708" s="252">
        <v>0</v>
      </c>
      <c r="U708" s="252">
        <v>0</v>
      </c>
      <c r="V708" s="252">
        <v>0</v>
      </c>
      <c r="W708" s="252">
        <v>0</v>
      </c>
      <c r="X708" s="252">
        <v>0</v>
      </c>
      <c r="Y708" s="252">
        <v>0</v>
      </c>
    </row>
    <row r="709" spans="1:25" x14ac:dyDescent="0.3">
      <c r="A709" s="253" t="s">
        <v>1058</v>
      </c>
      <c r="B709" s="252">
        <v>0</v>
      </c>
      <c r="C709" s="252">
        <v>0</v>
      </c>
      <c r="D709" s="252">
        <v>0</v>
      </c>
      <c r="E709" s="252">
        <v>0</v>
      </c>
      <c r="F709" s="252">
        <v>0</v>
      </c>
      <c r="G709" s="252">
        <v>0</v>
      </c>
      <c r="H709" s="252">
        <v>0</v>
      </c>
      <c r="I709" s="252">
        <v>0</v>
      </c>
      <c r="J709" s="252">
        <v>0</v>
      </c>
      <c r="K709" s="252">
        <v>0</v>
      </c>
      <c r="L709" s="252">
        <v>0</v>
      </c>
      <c r="M709" s="252">
        <v>0</v>
      </c>
      <c r="N709" s="252">
        <v>0</v>
      </c>
      <c r="O709" s="252">
        <v>0</v>
      </c>
      <c r="P709" s="252">
        <v>0</v>
      </c>
      <c r="Q709" s="252">
        <v>0</v>
      </c>
      <c r="R709" s="252">
        <v>0</v>
      </c>
      <c r="S709" s="252">
        <v>0</v>
      </c>
      <c r="T709" s="252">
        <v>0</v>
      </c>
      <c r="U709" s="252">
        <v>0</v>
      </c>
      <c r="V709" s="252">
        <v>0</v>
      </c>
      <c r="W709" s="252">
        <v>0</v>
      </c>
      <c r="X709" s="252">
        <v>0</v>
      </c>
      <c r="Y709" s="252">
        <v>0</v>
      </c>
    </row>
    <row r="710" spans="1:25" x14ac:dyDescent="0.3">
      <c r="A710" s="253" t="s">
        <v>605</v>
      </c>
      <c r="B710" s="252">
        <v>0</v>
      </c>
      <c r="C710" s="252">
        <v>0</v>
      </c>
      <c r="D710" s="252">
        <v>0</v>
      </c>
      <c r="E710" s="252">
        <v>0</v>
      </c>
      <c r="F710" s="252">
        <v>0</v>
      </c>
      <c r="G710" s="252">
        <v>0</v>
      </c>
      <c r="H710" s="252">
        <v>0</v>
      </c>
      <c r="I710" s="252"/>
      <c r="J710" s="252"/>
      <c r="K710" s="252">
        <v>0</v>
      </c>
      <c r="L710" s="252"/>
      <c r="M710" s="252">
        <v>0</v>
      </c>
      <c r="N710" s="252">
        <v>0</v>
      </c>
      <c r="O710" s="252">
        <v>0</v>
      </c>
      <c r="P710" s="252"/>
      <c r="Q710" s="252">
        <v>0</v>
      </c>
      <c r="R710" s="252"/>
      <c r="S710" s="252"/>
      <c r="T710" s="252">
        <v>0</v>
      </c>
      <c r="U710" s="252"/>
      <c r="V710" s="252">
        <v>0</v>
      </c>
      <c r="W710" s="252">
        <v>0</v>
      </c>
      <c r="X710" s="252"/>
      <c r="Y710" s="252">
        <v>0</v>
      </c>
    </row>
    <row r="711" spans="1:25" x14ac:dyDescent="0.3">
      <c r="A711" s="253" t="s">
        <v>1149</v>
      </c>
      <c r="B711" s="252">
        <v>0</v>
      </c>
      <c r="C711" s="252">
        <v>0</v>
      </c>
      <c r="D711" s="252">
        <v>0</v>
      </c>
      <c r="E711" s="252">
        <v>0</v>
      </c>
      <c r="F711" s="252">
        <v>0</v>
      </c>
      <c r="G711" s="252">
        <v>0</v>
      </c>
      <c r="H711" s="252">
        <v>0</v>
      </c>
      <c r="I711" s="252">
        <v>0</v>
      </c>
      <c r="J711" s="252">
        <v>0</v>
      </c>
      <c r="K711" s="252">
        <v>0</v>
      </c>
      <c r="L711" s="252">
        <v>0</v>
      </c>
      <c r="M711" s="252">
        <v>0</v>
      </c>
      <c r="N711" s="252">
        <v>0</v>
      </c>
      <c r="O711" s="252">
        <v>0</v>
      </c>
      <c r="P711" s="252">
        <v>0</v>
      </c>
      <c r="Q711" s="252">
        <v>0</v>
      </c>
      <c r="R711" s="252">
        <v>0</v>
      </c>
      <c r="S711" s="252">
        <v>0</v>
      </c>
      <c r="T711" s="252">
        <v>0</v>
      </c>
      <c r="U711" s="252">
        <v>0</v>
      </c>
      <c r="V711" s="252">
        <v>0</v>
      </c>
      <c r="W711" s="252">
        <v>0</v>
      </c>
      <c r="X711" s="252">
        <v>0</v>
      </c>
      <c r="Y711" s="252">
        <v>0</v>
      </c>
    </row>
    <row r="712" spans="1:25" x14ac:dyDescent="0.3">
      <c r="A712" s="253" t="s">
        <v>1150</v>
      </c>
      <c r="B712" s="252">
        <v>0</v>
      </c>
      <c r="C712" s="252">
        <v>0</v>
      </c>
      <c r="D712" s="252">
        <v>0</v>
      </c>
      <c r="E712" s="252">
        <v>0</v>
      </c>
      <c r="F712" s="252">
        <v>0</v>
      </c>
      <c r="G712" s="252">
        <v>0</v>
      </c>
      <c r="H712" s="252">
        <v>0</v>
      </c>
      <c r="I712" s="252">
        <v>0</v>
      </c>
      <c r="J712" s="252">
        <v>0</v>
      </c>
      <c r="K712" s="252">
        <v>0</v>
      </c>
      <c r="L712" s="252">
        <v>0</v>
      </c>
      <c r="M712" s="252">
        <v>0</v>
      </c>
      <c r="N712" s="252">
        <v>0</v>
      </c>
      <c r="O712" s="252">
        <v>0</v>
      </c>
      <c r="P712" s="252">
        <v>0</v>
      </c>
      <c r="Q712" s="252">
        <v>0</v>
      </c>
      <c r="R712" s="252">
        <v>0</v>
      </c>
      <c r="S712" s="252">
        <v>0</v>
      </c>
      <c r="T712" s="252">
        <v>0</v>
      </c>
      <c r="U712" s="252">
        <v>0</v>
      </c>
      <c r="V712" s="252">
        <v>0</v>
      </c>
      <c r="W712" s="252">
        <v>0</v>
      </c>
      <c r="X712" s="252">
        <v>0</v>
      </c>
      <c r="Y712" s="252">
        <v>0</v>
      </c>
    </row>
    <row r="713" spans="1:25" x14ac:dyDescent="0.3">
      <c r="A713" s="253" t="s">
        <v>1151</v>
      </c>
      <c r="B713" s="252">
        <v>0</v>
      </c>
      <c r="C713" s="252">
        <v>0</v>
      </c>
      <c r="D713" s="252">
        <v>0</v>
      </c>
      <c r="E713" s="252">
        <v>0</v>
      </c>
      <c r="F713" s="252">
        <v>0</v>
      </c>
      <c r="G713" s="252">
        <v>0</v>
      </c>
      <c r="H713" s="252">
        <v>0</v>
      </c>
      <c r="I713" s="252">
        <v>0</v>
      </c>
      <c r="J713" s="252">
        <v>0</v>
      </c>
      <c r="K713" s="252">
        <v>0</v>
      </c>
      <c r="L713" s="252">
        <v>0</v>
      </c>
      <c r="M713" s="252">
        <v>2</v>
      </c>
      <c r="N713" s="252">
        <v>0</v>
      </c>
      <c r="O713" s="252">
        <v>0</v>
      </c>
      <c r="P713" s="252">
        <v>0</v>
      </c>
      <c r="Q713" s="252">
        <v>0</v>
      </c>
      <c r="R713" s="252">
        <v>0</v>
      </c>
      <c r="S713" s="252">
        <v>0</v>
      </c>
      <c r="T713" s="252">
        <v>0</v>
      </c>
      <c r="U713" s="252">
        <v>0</v>
      </c>
      <c r="V713" s="252">
        <v>0</v>
      </c>
      <c r="W713" s="252">
        <v>0</v>
      </c>
      <c r="X713" s="252">
        <v>0</v>
      </c>
      <c r="Y713" s="252">
        <v>2</v>
      </c>
    </row>
    <row r="714" spans="1:25" x14ac:dyDescent="0.3">
      <c r="A714" s="253" t="s">
        <v>1152</v>
      </c>
      <c r="B714" s="252">
        <v>0</v>
      </c>
      <c r="C714" s="252">
        <v>0</v>
      </c>
      <c r="D714" s="252">
        <v>0</v>
      </c>
      <c r="E714" s="252">
        <v>1</v>
      </c>
      <c r="F714" s="252">
        <v>0</v>
      </c>
      <c r="G714" s="252">
        <v>0</v>
      </c>
      <c r="H714" s="252">
        <v>0</v>
      </c>
      <c r="I714" s="252">
        <v>0</v>
      </c>
      <c r="J714" s="252">
        <v>1</v>
      </c>
      <c r="K714" s="252">
        <v>0</v>
      </c>
      <c r="L714" s="252">
        <v>0</v>
      </c>
      <c r="M714" s="252">
        <v>0</v>
      </c>
      <c r="N714" s="252">
        <v>0</v>
      </c>
      <c r="O714" s="252">
        <v>0</v>
      </c>
      <c r="P714" s="252">
        <v>0</v>
      </c>
      <c r="Q714" s="252">
        <v>0</v>
      </c>
      <c r="R714" s="252">
        <v>0</v>
      </c>
      <c r="S714" s="252">
        <v>0</v>
      </c>
      <c r="T714" s="252">
        <v>0</v>
      </c>
      <c r="U714" s="252">
        <v>0</v>
      </c>
      <c r="V714" s="252">
        <v>1</v>
      </c>
      <c r="W714" s="252">
        <v>0</v>
      </c>
      <c r="X714" s="252">
        <v>0</v>
      </c>
      <c r="Y714" s="252">
        <v>3</v>
      </c>
    </row>
    <row r="715" spans="1:25" x14ac:dyDescent="0.3">
      <c r="A715" s="253" t="s">
        <v>1153</v>
      </c>
      <c r="B715" s="252">
        <v>0</v>
      </c>
      <c r="C715" s="252">
        <v>0</v>
      </c>
      <c r="D715" s="252">
        <v>0</v>
      </c>
      <c r="E715" s="252">
        <v>1</v>
      </c>
      <c r="F715" s="252">
        <v>0</v>
      </c>
      <c r="G715" s="252">
        <v>0</v>
      </c>
      <c r="H715" s="252">
        <v>0</v>
      </c>
      <c r="I715" s="252">
        <v>0</v>
      </c>
      <c r="J715" s="252">
        <v>0</v>
      </c>
      <c r="K715" s="252">
        <v>0</v>
      </c>
      <c r="L715" s="252">
        <v>0</v>
      </c>
      <c r="M715" s="252">
        <v>1</v>
      </c>
      <c r="N715" s="252">
        <v>0</v>
      </c>
      <c r="O715" s="252">
        <v>0</v>
      </c>
      <c r="P715" s="252">
        <v>0</v>
      </c>
      <c r="Q715" s="252">
        <v>0</v>
      </c>
      <c r="R715" s="252">
        <v>0</v>
      </c>
      <c r="S715" s="252">
        <v>0</v>
      </c>
      <c r="T715" s="252">
        <v>0</v>
      </c>
      <c r="U715" s="252">
        <v>0</v>
      </c>
      <c r="V715" s="252">
        <v>0</v>
      </c>
      <c r="W715" s="252">
        <v>0</v>
      </c>
      <c r="X715" s="252">
        <v>0</v>
      </c>
      <c r="Y715" s="252">
        <v>2</v>
      </c>
    </row>
    <row r="716" spans="1:25" x14ac:dyDescent="0.3">
      <c r="A716" s="253" t="s">
        <v>1154</v>
      </c>
      <c r="B716" s="252">
        <v>0</v>
      </c>
      <c r="C716" s="252">
        <v>0</v>
      </c>
      <c r="D716" s="252">
        <v>0</v>
      </c>
      <c r="E716" s="252">
        <v>1</v>
      </c>
      <c r="F716" s="252">
        <v>0</v>
      </c>
      <c r="G716" s="252">
        <v>0</v>
      </c>
      <c r="H716" s="252">
        <v>0</v>
      </c>
      <c r="I716" s="252">
        <v>0</v>
      </c>
      <c r="J716" s="252">
        <v>1</v>
      </c>
      <c r="K716" s="252">
        <v>0</v>
      </c>
      <c r="L716" s="252">
        <v>0</v>
      </c>
      <c r="M716" s="252">
        <v>1</v>
      </c>
      <c r="N716" s="252">
        <v>0</v>
      </c>
      <c r="O716" s="252">
        <v>0</v>
      </c>
      <c r="P716" s="252">
        <v>0</v>
      </c>
      <c r="Q716" s="252">
        <v>0</v>
      </c>
      <c r="R716" s="252">
        <v>0</v>
      </c>
      <c r="S716" s="252">
        <v>0</v>
      </c>
      <c r="T716" s="252">
        <v>0</v>
      </c>
      <c r="U716" s="252">
        <v>0</v>
      </c>
      <c r="V716" s="252">
        <v>3</v>
      </c>
      <c r="W716" s="252">
        <v>0</v>
      </c>
      <c r="X716" s="252">
        <v>0</v>
      </c>
      <c r="Y716" s="252">
        <v>6</v>
      </c>
    </row>
    <row r="717" spans="1:25" x14ac:dyDescent="0.3">
      <c r="A717" s="253" t="s">
        <v>1155</v>
      </c>
      <c r="B717" s="252">
        <v>0</v>
      </c>
      <c r="C717" s="252">
        <v>0</v>
      </c>
      <c r="D717" s="252">
        <v>0</v>
      </c>
      <c r="E717" s="252">
        <v>0</v>
      </c>
      <c r="F717" s="252">
        <v>0</v>
      </c>
      <c r="G717" s="252">
        <v>0</v>
      </c>
      <c r="H717" s="252">
        <v>0</v>
      </c>
      <c r="I717" s="252">
        <v>0</v>
      </c>
      <c r="J717" s="252">
        <v>0</v>
      </c>
      <c r="K717" s="252">
        <v>0</v>
      </c>
      <c r="L717" s="252">
        <v>0</v>
      </c>
      <c r="M717" s="252">
        <v>0</v>
      </c>
      <c r="N717" s="252">
        <v>0</v>
      </c>
      <c r="O717" s="252">
        <v>0</v>
      </c>
      <c r="P717" s="252">
        <v>0</v>
      </c>
      <c r="Q717" s="252">
        <v>0</v>
      </c>
      <c r="R717" s="252">
        <v>0</v>
      </c>
      <c r="S717" s="252">
        <v>0</v>
      </c>
      <c r="T717" s="252">
        <v>0</v>
      </c>
      <c r="U717" s="252">
        <v>0</v>
      </c>
      <c r="V717" s="252">
        <v>0</v>
      </c>
      <c r="W717" s="252">
        <v>0</v>
      </c>
      <c r="X717" s="252">
        <v>0</v>
      </c>
      <c r="Y717" s="252">
        <v>0</v>
      </c>
    </row>
    <row r="718" spans="1:25" x14ac:dyDescent="0.3">
      <c r="A718" s="253" t="s">
        <v>985</v>
      </c>
      <c r="B718" s="252">
        <v>0</v>
      </c>
      <c r="C718" s="252">
        <v>0</v>
      </c>
      <c r="D718" s="252">
        <v>0</v>
      </c>
      <c r="E718" s="252">
        <v>0</v>
      </c>
      <c r="F718" s="252">
        <v>0</v>
      </c>
      <c r="G718" s="252">
        <v>0</v>
      </c>
      <c r="H718" s="252">
        <v>0</v>
      </c>
      <c r="I718" s="252">
        <v>0</v>
      </c>
      <c r="J718" s="252">
        <v>0</v>
      </c>
      <c r="K718" s="252">
        <v>0</v>
      </c>
      <c r="L718" s="252"/>
      <c r="M718" s="252">
        <v>0</v>
      </c>
      <c r="N718" s="252">
        <v>0</v>
      </c>
      <c r="O718" s="252">
        <v>0</v>
      </c>
      <c r="P718" s="252">
        <v>0</v>
      </c>
      <c r="Q718" s="252">
        <v>0</v>
      </c>
      <c r="R718" s="252">
        <v>0</v>
      </c>
      <c r="S718" s="252">
        <v>0</v>
      </c>
      <c r="T718" s="252">
        <v>0</v>
      </c>
      <c r="U718" s="252">
        <v>0</v>
      </c>
      <c r="V718" s="252">
        <v>0</v>
      </c>
      <c r="W718" s="252">
        <v>0</v>
      </c>
      <c r="X718" s="252"/>
      <c r="Y718" s="252">
        <v>0</v>
      </c>
    </row>
    <row r="719" spans="1:25" x14ac:dyDescent="0.3">
      <c r="A719" s="253" t="s">
        <v>854</v>
      </c>
      <c r="B719" s="252">
        <v>0</v>
      </c>
      <c r="C719" s="252">
        <v>0</v>
      </c>
      <c r="D719" s="252">
        <v>0</v>
      </c>
      <c r="E719" s="252">
        <v>0</v>
      </c>
      <c r="F719" s="252">
        <v>0</v>
      </c>
      <c r="G719" s="252">
        <v>0</v>
      </c>
      <c r="H719" s="252">
        <v>0</v>
      </c>
      <c r="I719" s="252">
        <v>0</v>
      </c>
      <c r="J719" s="252">
        <v>0</v>
      </c>
      <c r="K719" s="252">
        <v>0</v>
      </c>
      <c r="L719" s="252"/>
      <c r="M719" s="252">
        <v>0</v>
      </c>
      <c r="N719" s="252">
        <v>0</v>
      </c>
      <c r="O719" s="252">
        <v>0</v>
      </c>
      <c r="P719" s="252"/>
      <c r="Q719" s="252">
        <v>0</v>
      </c>
      <c r="R719" s="252">
        <v>0</v>
      </c>
      <c r="S719" s="252">
        <v>0</v>
      </c>
      <c r="T719" s="252">
        <v>0</v>
      </c>
      <c r="U719" s="252">
        <v>0</v>
      </c>
      <c r="V719" s="252">
        <v>0</v>
      </c>
      <c r="W719" s="252">
        <v>0</v>
      </c>
      <c r="X719" s="252"/>
      <c r="Y719" s="252">
        <v>0</v>
      </c>
    </row>
    <row r="720" spans="1:25" x14ac:dyDescent="0.3">
      <c r="A720" s="253" t="s">
        <v>855</v>
      </c>
      <c r="B720" s="252">
        <v>0</v>
      </c>
      <c r="C720" s="252">
        <v>0</v>
      </c>
      <c r="D720" s="252">
        <v>0</v>
      </c>
      <c r="E720" s="252">
        <v>0</v>
      </c>
      <c r="F720" s="252">
        <v>0</v>
      </c>
      <c r="G720" s="252">
        <v>0</v>
      </c>
      <c r="H720" s="252">
        <v>0</v>
      </c>
      <c r="I720" s="252">
        <v>0</v>
      </c>
      <c r="J720" s="252">
        <v>0</v>
      </c>
      <c r="K720" s="252">
        <v>0</v>
      </c>
      <c r="L720" s="252"/>
      <c r="M720" s="252">
        <v>0</v>
      </c>
      <c r="N720" s="252">
        <v>0</v>
      </c>
      <c r="O720" s="252">
        <v>0</v>
      </c>
      <c r="P720" s="252"/>
      <c r="Q720" s="252">
        <v>0</v>
      </c>
      <c r="R720" s="252">
        <v>0</v>
      </c>
      <c r="S720" s="252">
        <v>0</v>
      </c>
      <c r="T720" s="252">
        <v>0</v>
      </c>
      <c r="U720" s="252">
        <v>0</v>
      </c>
      <c r="V720" s="252">
        <v>0</v>
      </c>
      <c r="W720" s="252">
        <v>0</v>
      </c>
      <c r="X720" s="252"/>
      <c r="Y720" s="252">
        <v>0</v>
      </c>
    </row>
    <row r="721" spans="1:25" x14ac:dyDescent="0.3">
      <c r="A721" s="253" t="s">
        <v>856</v>
      </c>
      <c r="B721" s="252">
        <v>0</v>
      </c>
      <c r="C721" s="252">
        <v>0</v>
      </c>
      <c r="D721" s="252">
        <v>0</v>
      </c>
      <c r="E721" s="252">
        <v>0</v>
      </c>
      <c r="F721" s="252">
        <v>0</v>
      </c>
      <c r="G721" s="252">
        <v>0</v>
      </c>
      <c r="H721" s="252">
        <v>0</v>
      </c>
      <c r="I721" s="252">
        <v>0</v>
      </c>
      <c r="J721" s="252">
        <v>0</v>
      </c>
      <c r="K721" s="252">
        <v>0</v>
      </c>
      <c r="L721" s="252"/>
      <c r="M721" s="252">
        <v>0</v>
      </c>
      <c r="N721" s="252">
        <v>0</v>
      </c>
      <c r="O721" s="252">
        <v>0</v>
      </c>
      <c r="P721" s="252"/>
      <c r="Q721" s="252">
        <v>0</v>
      </c>
      <c r="R721" s="252">
        <v>0</v>
      </c>
      <c r="S721" s="252">
        <v>0</v>
      </c>
      <c r="T721" s="252">
        <v>0</v>
      </c>
      <c r="U721" s="252">
        <v>0</v>
      </c>
      <c r="V721" s="252">
        <v>0</v>
      </c>
      <c r="W721" s="252">
        <v>0</v>
      </c>
      <c r="X721" s="252"/>
      <c r="Y721" s="252">
        <v>0</v>
      </c>
    </row>
    <row r="722" spans="1:25" x14ac:dyDescent="0.3">
      <c r="A722" s="253" t="s">
        <v>606</v>
      </c>
      <c r="B722" s="252">
        <v>0</v>
      </c>
      <c r="C722" s="252">
        <v>0</v>
      </c>
      <c r="D722" s="252">
        <v>0</v>
      </c>
      <c r="E722" s="252">
        <v>0</v>
      </c>
      <c r="F722" s="252">
        <v>0</v>
      </c>
      <c r="G722" s="252">
        <v>0</v>
      </c>
      <c r="H722" s="252">
        <v>0</v>
      </c>
      <c r="I722" s="252"/>
      <c r="J722" s="252"/>
      <c r="K722" s="252">
        <v>0</v>
      </c>
      <c r="L722" s="252"/>
      <c r="M722" s="252">
        <v>0</v>
      </c>
      <c r="N722" s="252">
        <v>0</v>
      </c>
      <c r="O722" s="252">
        <v>0</v>
      </c>
      <c r="P722" s="252"/>
      <c r="Q722" s="252">
        <v>0</v>
      </c>
      <c r="R722" s="252"/>
      <c r="S722" s="252"/>
      <c r="T722" s="252">
        <v>0</v>
      </c>
      <c r="U722" s="252"/>
      <c r="V722" s="252">
        <v>0</v>
      </c>
      <c r="W722" s="252">
        <v>0</v>
      </c>
      <c r="X722" s="252"/>
      <c r="Y722" s="252">
        <v>0</v>
      </c>
    </row>
    <row r="723" spans="1:25" x14ac:dyDescent="0.3">
      <c r="A723" s="253" t="s">
        <v>959</v>
      </c>
      <c r="B723" s="252">
        <v>0</v>
      </c>
      <c r="C723" s="252">
        <v>0</v>
      </c>
      <c r="D723" s="252">
        <v>0</v>
      </c>
      <c r="E723" s="252">
        <v>0</v>
      </c>
      <c r="F723" s="252">
        <v>0</v>
      </c>
      <c r="G723" s="252">
        <v>0</v>
      </c>
      <c r="H723" s="252">
        <v>0</v>
      </c>
      <c r="I723" s="252"/>
      <c r="J723" s="252">
        <v>0</v>
      </c>
      <c r="K723" s="252">
        <v>0</v>
      </c>
      <c r="L723" s="252">
        <v>0</v>
      </c>
      <c r="M723" s="252">
        <v>0</v>
      </c>
      <c r="N723" s="252">
        <v>0</v>
      </c>
      <c r="O723" s="252">
        <v>0</v>
      </c>
      <c r="P723" s="252">
        <v>0</v>
      </c>
      <c r="Q723" s="252">
        <v>0</v>
      </c>
      <c r="R723" s="252">
        <v>0</v>
      </c>
      <c r="S723" s="252">
        <v>0</v>
      </c>
      <c r="T723" s="252">
        <v>0</v>
      </c>
      <c r="U723" s="252">
        <v>0</v>
      </c>
      <c r="V723" s="252">
        <v>0</v>
      </c>
      <c r="W723" s="252">
        <v>0</v>
      </c>
      <c r="X723" s="252">
        <v>0</v>
      </c>
      <c r="Y723" s="252">
        <v>0</v>
      </c>
    </row>
    <row r="724" spans="1:25" x14ac:dyDescent="0.3">
      <c r="A724" s="253" t="s">
        <v>607</v>
      </c>
      <c r="B724" s="252">
        <v>0</v>
      </c>
      <c r="C724" s="252">
        <v>0</v>
      </c>
      <c r="D724" s="252">
        <v>0</v>
      </c>
      <c r="E724" s="252">
        <v>0</v>
      </c>
      <c r="F724" s="252">
        <v>0</v>
      </c>
      <c r="G724" s="252">
        <v>0</v>
      </c>
      <c r="H724" s="252">
        <v>0</v>
      </c>
      <c r="I724" s="252"/>
      <c r="J724" s="252">
        <v>0</v>
      </c>
      <c r="K724" s="252">
        <v>0</v>
      </c>
      <c r="L724" s="252"/>
      <c r="M724" s="252">
        <v>0</v>
      </c>
      <c r="N724" s="252">
        <v>0</v>
      </c>
      <c r="O724" s="252">
        <v>0</v>
      </c>
      <c r="P724" s="252"/>
      <c r="Q724" s="252">
        <v>0</v>
      </c>
      <c r="R724" s="252"/>
      <c r="S724" s="252">
        <v>0</v>
      </c>
      <c r="T724" s="252">
        <v>0</v>
      </c>
      <c r="U724" s="252"/>
      <c r="V724" s="252">
        <v>0</v>
      </c>
      <c r="W724" s="252">
        <v>0</v>
      </c>
      <c r="X724" s="252"/>
      <c r="Y724" s="252">
        <v>0</v>
      </c>
    </row>
    <row r="725" spans="1:25" x14ac:dyDescent="0.3">
      <c r="A725" s="253" t="s">
        <v>1019</v>
      </c>
      <c r="B725" s="252">
        <v>0</v>
      </c>
      <c r="C725" s="252">
        <v>0</v>
      </c>
      <c r="D725" s="252">
        <v>0</v>
      </c>
      <c r="E725" s="252">
        <v>0</v>
      </c>
      <c r="F725" s="252">
        <v>0</v>
      </c>
      <c r="G725" s="252">
        <v>0</v>
      </c>
      <c r="H725" s="252">
        <v>0</v>
      </c>
      <c r="I725" s="252">
        <v>0</v>
      </c>
      <c r="J725" s="252">
        <v>0</v>
      </c>
      <c r="K725" s="252">
        <v>0</v>
      </c>
      <c r="L725" s="252"/>
      <c r="M725" s="252">
        <v>0</v>
      </c>
      <c r="N725" s="252">
        <v>0</v>
      </c>
      <c r="O725" s="252">
        <v>0</v>
      </c>
      <c r="P725" s="252">
        <v>0</v>
      </c>
      <c r="Q725" s="252">
        <v>0</v>
      </c>
      <c r="R725" s="252">
        <v>0</v>
      </c>
      <c r="S725" s="252">
        <v>0</v>
      </c>
      <c r="T725" s="252">
        <v>0</v>
      </c>
      <c r="U725" s="252">
        <v>0</v>
      </c>
      <c r="V725" s="252">
        <v>0</v>
      </c>
      <c r="W725" s="252">
        <v>0</v>
      </c>
      <c r="X725" s="252">
        <v>0</v>
      </c>
      <c r="Y725" s="252">
        <v>0</v>
      </c>
    </row>
    <row r="726" spans="1:25" x14ac:dyDescent="0.3">
      <c r="A726" s="253" t="s">
        <v>1020</v>
      </c>
      <c r="B726" s="252">
        <v>0</v>
      </c>
      <c r="C726" s="252">
        <v>0</v>
      </c>
      <c r="D726" s="252">
        <v>0</v>
      </c>
      <c r="E726" s="252">
        <v>0</v>
      </c>
      <c r="F726" s="252">
        <v>0</v>
      </c>
      <c r="G726" s="252">
        <v>0</v>
      </c>
      <c r="H726" s="252">
        <v>0</v>
      </c>
      <c r="I726" s="252">
        <v>0</v>
      </c>
      <c r="J726" s="252">
        <v>0</v>
      </c>
      <c r="K726" s="252">
        <v>0</v>
      </c>
      <c r="L726" s="252"/>
      <c r="M726" s="252">
        <v>0</v>
      </c>
      <c r="N726" s="252">
        <v>0</v>
      </c>
      <c r="O726" s="252">
        <v>0</v>
      </c>
      <c r="P726" s="252">
        <v>0</v>
      </c>
      <c r="Q726" s="252">
        <v>0</v>
      </c>
      <c r="R726" s="252">
        <v>0</v>
      </c>
      <c r="S726" s="252">
        <v>0</v>
      </c>
      <c r="T726" s="252">
        <v>0</v>
      </c>
      <c r="U726" s="252">
        <v>0</v>
      </c>
      <c r="V726" s="252">
        <v>0</v>
      </c>
      <c r="W726" s="252">
        <v>0</v>
      </c>
      <c r="X726" s="252">
        <v>0</v>
      </c>
      <c r="Y726" s="252">
        <v>0</v>
      </c>
    </row>
    <row r="727" spans="1:25" x14ac:dyDescent="0.3">
      <c r="A727" s="253" t="s">
        <v>608</v>
      </c>
      <c r="B727" s="252">
        <v>0</v>
      </c>
      <c r="C727" s="252">
        <v>0</v>
      </c>
      <c r="D727" s="252">
        <v>0</v>
      </c>
      <c r="E727" s="252">
        <v>0</v>
      </c>
      <c r="F727" s="252">
        <v>0</v>
      </c>
      <c r="G727" s="252">
        <v>0</v>
      </c>
      <c r="H727" s="252">
        <v>0</v>
      </c>
      <c r="I727" s="252"/>
      <c r="J727" s="252"/>
      <c r="K727" s="252">
        <v>0</v>
      </c>
      <c r="L727" s="252"/>
      <c r="M727" s="252">
        <v>0</v>
      </c>
      <c r="N727" s="252">
        <v>0</v>
      </c>
      <c r="O727" s="252">
        <v>0</v>
      </c>
      <c r="P727" s="252"/>
      <c r="Q727" s="252">
        <v>0</v>
      </c>
      <c r="R727" s="252"/>
      <c r="S727" s="252"/>
      <c r="T727" s="252">
        <v>0</v>
      </c>
      <c r="U727" s="252"/>
      <c r="V727" s="252">
        <v>0</v>
      </c>
      <c r="W727" s="252">
        <v>0</v>
      </c>
      <c r="X727" s="252"/>
      <c r="Y727" s="252">
        <v>0</v>
      </c>
    </row>
    <row r="728" spans="1:25" x14ac:dyDescent="0.3">
      <c r="A728" s="253" t="s">
        <v>887</v>
      </c>
      <c r="B728" s="252">
        <v>0</v>
      </c>
      <c r="C728" s="252">
        <v>0</v>
      </c>
      <c r="D728" s="252">
        <v>0</v>
      </c>
      <c r="E728" s="252">
        <v>0</v>
      </c>
      <c r="F728" s="252">
        <v>0</v>
      </c>
      <c r="G728" s="252">
        <v>0</v>
      </c>
      <c r="H728" s="252">
        <v>0</v>
      </c>
      <c r="I728" s="252">
        <v>0</v>
      </c>
      <c r="J728" s="252">
        <v>0</v>
      </c>
      <c r="K728" s="252">
        <v>0</v>
      </c>
      <c r="L728" s="252"/>
      <c r="M728" s="252">
        <v>0</v>
      </c>
      <c r="N728" s="252">
        <v>0</v>
      </c>
      <c r="O728" s="252">
        <v>0</v>
      </c>
      <c r="P728" s="252">
        <v>0</v>
      </c>
      <c r="Q728" s="252">
        <v>0</v>
      </c>
      <c r="R728" s="252">
        <v>0</v>
      </c>
      <c r="S728" s="252">
        <v>0</v>
      </c>
      <c r="T728" s="252">
        <v>0</v>
      </c>
      <c r="U728" s="252">
        <v>0</v>
      </c>
      <c r="V728" s="252">
        <v>0</v>
      </c>
      <c r="W728" s="252">
        <v>0</v>
      </c>
      <c r="X728" s="252">
        <v>0</v>
      </c>
      <c r="Y728" s="252">
        <v>0</v>
      </c>
    </row>
    <row r="729" spans="1:25" x14ac:dyDescent="0.3">
      <c r="A729" s="253" t="s">
        <v>609</v>
      </c>
      <c r="B729" s="252">
        <v>0</v>
      </c>
      <c r="C729" s="252">
        <v>0</v>
      </c>
      <c r="D729" s="252">
        <v>0</v>
      </c>
      <c r="E729" s="252">
        <v>0</v>
      </c>
      <c r="F729" s="252">
        <v>0</v>
      </c>
      <c r="G729" s="252">
        <v>0</v>
      </c>
      <c r="H729" s="252">
        <v>0</v>
      </c>
      <c r="I729" s="252"/>
      <c r="J729" s="252">
        <v>0</v>
      </c>
      <c r="K729" s="252">
        <v>0</v>
      </c>
      <c r="L729" s="252"/>
      <c r="M729" s="252">
        <v>0</v>
      </c>
      <c r="N729" s="252">
        <v>0</v>
      </c>
      <c r="O729" s="252">
        <v>0</v>
      </c>
      <c r="P729" s="252"/>
      <c r="Q729" s="252">
        <v>0</v>
      </c>
      <c r="R729" s="252"/>
      <c r="S729" s="252">
        <v>0</v>
      </c>
      <c r="T729" s="252">
        <v>0</v>
      </c>
      <c r="U729" s="252"/>
      <c r="V729" s="252">
        <v>0</v>
      </c>
      <c r="W729" s="252">
        <v>0</v>
      </c>
      <c r="X729" s="252"/>
      <c r="Y729" s="252">
        <v>0</v>
      </c>
    </row>
    <row r="730" spans="1:25" x14ac:dyDescent="0.3">
      <c r="A730" s="253" t="s">
        <v>610</v>
      </c>
      <c r="B730" s="252">
        <v>0</v>
      </c>
      <c r="C730" s="252">
        <v>0</v>
      </c>
      <c r="D730" s="252">
        <v>0</v>
      </c>
      <c r="E730" s="252">
        <v>0</v>
      </c>
      <c r="F730" s="252">
        <v>0</v>
      </c>
      <c r="G730" s="252">
        <v>0</v>
      </c>
      <c r="H730" s="252">
        <v>0</v>
      </c>
      <c r="I730" s="252"/>
      <c r="J730" s="252">
        <v>0</v>
      </c>
      <c r="K730" s="252">
        <v>0</v>
      </c>
      <c r="L730" s="252"/>
      <c r="M730" s="252">
        <v>0</v>
      </c>
      <c r="N730" s="252">
        <v>0</v>
      </c>
      <c r="O730" s="252">
        <v>0</v>
      </c>
      <c r="P730" s="252"/>
      <c r="Q730" s="252">
        <v>0</v>
      </c>
      <c r="R730" s="252"/>
      <c r="S730" s="252">
        <v>0</v>
      </c>
      <c r="T730" s="252">
        <v>0</v>
      </c>
      <c r="U730" s="252"/>
      <c r="V730" s="252">
        <v>0</v>
      </c>
      <c r="W730" s="252">
        <v>0</v>
      </c>
      <c r="X730" s="252"/>
      <c r="Y730" s="252">
        <v>0</v>
      </c>
    </row>
    <row r="731" spans="1:25" x14ac:dyDescent="0.3">
      <c r="A731" s="253" t="s">
        <v>986</v>
      </c>
      <c r="B731" s="252">
        <v>0</v>
      </c>
      <c r="C731" s="252">
        <v>0</v>
      </c>
      <c r="D731" s="252">
        <v>0</v>
      </c>
      <c r="E731" s="252">
        <v>0</v>
      </c>
      <c r="F731" s="252">
        <v>0</v>
      </c>
      <c r="G731" s="252">
        <v>0</v>
      </c>
      <c r="H731" s="252">
        <v>0</v>
      </c>
      <c r="I731" s="252">
        <v>0</v>
      </c>
      <c r="J731" s="252">
        <v>0</v>
      </c>
      <c r="K731" s="252">
        <v>0</v>
      </c>
      <c r="L731" s="252"/>
      <c r="M731" s="252">
        <v>0</v>
      </c>
      <c r="N731" s="252">
        <v>0</v>
      </c>
      <c r="O731" s="252">
        <v>0</v>
      </c>
      <c r="P731" s="252">
        <v>0</v>
      </c>
      <c r="Q731" s="252">
        <v>0</v>
      </c>
      <c r="R731" s="252">
        <v>0</v>
      </c>
      <c r="S731" s="252">
        <v>0</v>
      </c>
      <c r="T731" s="252">
        <v>0</v>
      </c>
      <c r="U731" s="252">
        <v>0</v>
      </c>
      <c r="V731" s="252">
        <v>0</v>
      </c>
      <c r="W731" s="252">
        <v>0</v>
      </c>
      <c r="X731" s="252"/>
      <c r="Y731" s="252">
        <v>0</v>
      </c>
    </row>
    <row r="732" spans="1:25" x14ac:dyDescent="0.3">
      <c r="A732" s="253" t="s">
        <v>987</v>
      </c>
      <c r="B732" s="252">
        <v>0</v>
      </c>
      <c r="C732" s="252">
        <v>0</v>
      </c>
      <c r="D732" s="252">
        <v>0</v>
      </c>
      <c r="E732" s="252">
        <v>0</v>
      </c>
      <c r="F732" s="252">
        <v>0</v>
      </c>
      <c r="G732" s="252">
        <v>0</v>
      </c>
      <c r="H732" s="252">
        <v>0</v>
      </c>
      <c r="I732" s="252">
        <v>0</v>
      </c>
      <c r="J732" s="252">
        <v>0</v>
      </c>
      <c r="K732" s="252">
        <v>0</v>
      </c>
      <c r="L732" s="252"/>
      <c r="M732" s="252">
        <v>0</v>
      </c>
      <c r="N732" s="252">
        <v>0</v>
      </c>
      <c r="O732" s="252">
        <v>0</v>
      </c>
      <c r="P732" s="252">
        <v>0</v>
      </c>
      <c r="Q732" s="252">
        <v>0</v>
      </c>
      <c r="R732" s="252">
        <v>0</v>
      </c>
      <c r="S732" s="252">
        <v>0</v>
      </c>
      <c r="T732" s="252">
        <v>0</v>
      </c>
      <c r="U732" s="252">
        <v>0</v>
      </c>
      <c r="V732" s="252">
        <v>0</v>
      </c>
      <c r="W732" s="252">
        <v>0</v>
      </c>
      <c r="X732" s="252"/>
      <c r="Y732" s="252">
        <v>0</v>
      </c>
    </row>
    <row r="733" spans="1:25" x14ac:dyDescent="0.3">
      <c r="A733" s="253" t="s">
        <v>960</v>
      </c>
      <c r="B733" s="252">
        <v>0</v>
      </c>
      <c r="C733" s="252">
        <v>0</v>
      </c>
      <c r="D733" s="252">
        <v>0</v>
      </c>
      <c r="E733" s="252">
        <v>0</v>
      </c>
      <c r="F733" s="252">
        <v>0</v>
      </c>
      <c r="G733" s="252">
        <v>0</v>
      </c>
      <c r="H733" s="252">
        <v>0</v>
      </c>
      <c r="I733" s="252"/>
      <c r="J733" s="252">
        <v>0</v>
      </c>
      <c r="K733" s="252">
        <v>0</v>
      </c>
      <c r="L733" s="252"/>
      <c r="M733" s="252">
        <v>0</v>
      </c>
      <c r="N733" s="252">
        <v>0</v>
      </c>
      <c r="O733" s="252">
        <v>0</v>
      </c>
      <c r="P733" s="252">
        <v>0</v>
      </c>
      <c r="Q733" s="252">
        <v>0</v>
      </c>
      <c r="R733" s="252">
        <v>0</v>
      </c>
      <c r="S733" s="252">
        <v>0</v>
      </c>
      <c r="T733" s="252">
        <v>0</v>
      </c>
      <c r="U733" s="252">
        <v>0</v>
      </c>
      <c r="V733" s="252">
        <v>0</v>
      </c>
      <c r="W733" s="252">
        <v>0</v>
      </c>
      <c r="X733" s="252"/>
      <c r="Y733" s="252">
        <v>0</v>
      </c>
    </row>
    <row r="734" spans="1:25" x14ac:dyDescent="0.3">
      <c r="A734" s="253" t="s">
        <v>1059</v>
      </c>
      <c r="B734" s="252">
        <v>0</v>
      </c>
      <c r="C734" s="252">
        <v>0</v>
      </c>
      <c r="D734" s="252">
        <v>0</v>
      </c>
      <c r="E734" s="252">
        <v>0</v>
      </c>
      <c r="F734" s="252">
        <v>0</v>
      </c>
      <c r="G734" s="252">
        <v>0</v>
      </c>
      <c r="H734" s="252">
        <v>0</v>
      </c>
      <c r="I734" s="252">
        <v>0</v>
      </c>
      <c r="J734" s="252">
        <v>0</v>
      </c>
      <c r="K734" s="252">
        <v>0</v>
      </c>
      <c r="L734" s="252">
        <v>0</v>
      </c>
      <c r="M734" s="252">
        <v>0</v>
      </c>
      <c r="N734" s="252">
        <v>0</v>
      </c>
      <c r="O734" s="252">
        <v>0</v>
      </c>
      <c r="P734" s="252">
        <v>0</v>
      </c>
      <c r="Q734" s="252">
        <v>0</v>
      </c>
      <c r="R734" s="252">
        <v>0</v>
      </c>
      <c r="S734" s="252">
        <v>0</v>
      </c>
      <c r="T734" s="252">
        <v>0</v>
      </c>
      <c r="U734" s="252">
        <v>0</v>
      </c>
      <c r="V734" s="252">
        <v>0</v>
      </c>
      <c r="W734" s="252">
        <v>0</v>
      </c>
      <c r="X734" s="252">
        <v>0</v>
      </c>
      <c r="Y734" s="252">
        <v>0</v>
      </c>
    </row>
    <row r="735" spans="1:25" x14ac:dyDescent="0.3">
      <c r="A735" s="253" t="s">
        <v>1060</v>
      </c>
      <c r="B735" s="252">
        <v>0</v>
      </c>
      <c r="C735" s="252">
        <v>0</v>
      </c>
      <c r="D735" s="252">
        <v>0</v>
      </c>
      <c r="E735" s="252">
        <v>0</v>
      </c>
      <c r="F735" s="252">
        <v>0</v>
      </c>
      <c r="G735" s="252">
        <v>0</v>
      </c>
      <c r="H735" s="252">
        <v>0</v>
      </c>
      <c r="I735" s="252">
        <v>0</v>
      </c>
      <c r="J735" s="252">
        <v>0</v>
      </c>
      <c r="K735" s="252">
        <v>0</v>
      </c>
      <c r="L735" s="252">
        <v>0</v>
      </c>
      <c r="M735" s="252">
        <v>0</v>
      </c>
      <c r="N735" s="252">
        <v>0</v>
      </c>
      <c r="O735" s="252">
        <v>0</v>
      </c>
      <c r="P735" s="252">
        <v>0</v>
      </c>
      <c r="Q735" s="252">
        <v>0</v>
      </c>
      <c r="R735" s="252">
        <v>0</v>
      </c>
      <c r="S735" s="252">
        <v>0</v>
      </c>
      <c r="T735" s="252">
        <v>0</v>
      </c>
      <c r="U735" s="252">
        <v>0</v>
      </c>
      <c r="V735" s="252">
        <v>0</v>
      </c>
      <c r="W735" s="252">
        <v>0</v>
      </c>
      <c r="X735" s="252">
        <v>0</v>
      </c>
      <c r="Y735" s="252">
        <v>0</v>
      </c>
    </row>
    <row r="736" spans="1:25" x14ac:dyDescent="0.3">
      <c r="A736" s="253" t="s">
        <v>611</v>
      </c>
      <c r="B736" s="252">
        <v>0</v>
      </c>
      <c r="C736" s="252"/>
      <c r="D736" s="252">
        <v>0</v>
      </c>
      <c r="E736" s="252">
        <v>0</v>
      </c>
      <c r="F736" s="252">
        <v>0</v>
      </c>
      <c r="G736" s="252">
        <v>0</v>
      </c>
      <c r="H736" s="252">
        <v>0</v>
      </c>
      <c r="I736" s="252"/>
      <c r="J736" s="252"/>
      <c r="K736" s="252">
        <v>0</v>
      </c>
      <c r="L736" s="252"/>
      <c r="M736" s="252">
        <v>0</v>
      </c>
      <c r="N736" s="252">
        <v>0</v>
      </c>
      <c r="O736" s="252">
        <v>0</v>
      </c>
      <c r="P736" s="252"/>
      <c r="Q736" s="252">
        <v>0</v>
      </c>
      <c r="R736" s="252"/>
      <c r="S736" s="252"/>
      <c r="T736" s="252">
        <v>0</v>
      </c>
      <c r="U736" s="252"/>
      <c r="V736" s="252">
        <v>0</v>
      </c>
      <c r="W736" s="252">
        <v>0</v>
      </c>
      <c r="X736" s="252"/>
      <c r="Y736" s="252">
        <v>0</v>
      </c>
    </row>
    <row r="737" spans="1:25" x14ac:dyDescent="0.3">
      <c r="A737" s="253" t="s">
        <v>612</v>
      </c>
      <c r="B737" s="252">
        <v>0</v>
      </c>
      <c r="C737" s="252">
        <v>0</v>
      </c>
      <c r="D737" s="252">
        <v>0</v>
      </c>
      <c r="E737" s="252">
        <v>0</v>
      </c>
      <c r="F737" s="252">
        <v>0</v>
      </c>
      <c r="G737" s="252">
        <v>0</v>
      </c>
      <c r="H737" s="252">
        <v>0</v>
      </c>
      <c r="I737" s="252"/>
      <c r="J737" s="252"/>
      <c r="K737" s="252">
        <v>0</v>
      </c>
      <c r="L737" s="252"/>
      <c r="M737" s="252">
        <v>0</v>
      </c>
      <c r="N737" s="252">
        <v>0</v>
      </c>
      <c r="O737" s="252">
        <v>0</v>
      </c>
      <c r="P737" s="252"/>
      <c r="Q737" s="252">
        <v>0</v>
      </c>
      <c r="R737" s="252"/>
      <c r="S737" s="252"/>
      <c r="T737" s="252">
        <v>0</v>
      </c>
      <c r="U737" s="252"/>
      <c r="V737" s="252">
        <v>0</v>
      </c>
      <c r="W737" s="252">
        <v>0</v>
      </c>
      <c r="X737" s="252"/>
      <c r="Y737" s="252">
        <v>0</v>
      </c>
    </row>
    <row r="738" spans="1:25" x14ac:dyDescent="0.3">
      <c r="A738" s="253" t="s">
        <v>613</v>
      </c>
      <c r="B738" s="252">
        <v>0</v>
      </c>
      <c r="C738" s="252">
        <v>0</v>
      </c>
      <c r="D738" s="252">
        <v>0</v>
      </c>
      <c r="E738" s="252"/>
      <c r="F738" s="252">
        <v>0</v>
      </c>
      <c r="G738" s="252">
        <v>0</v>
      </c>
      <c r="H738" s="252">
        <v>0</v>
      </c>
      <c r="I738" s="252"/>
      <c r="J738" s="252"/>
      <c r="K738" s="252">
        <v>0</v>
      </c>
      <c r="L738" s="252"/>
      <c r="M738" s="252">
        <v>0</v>
      </c>
      <c r="N738" s="252">
        <v>0</v>
      </c>
      <c r="O738" s="252">
        <v>0</v>
      </c>
      <c r="P738" s="252"/>
      <c r="Q738" s="252">
        <v>0</v>
      </c>
      <c r="R738" s="252"/>
      <c r="S738" s="252"/>
      <c r="T738" s="252">
        <v>0</v>
      </c>
      <c r="U738" s="252"/>
      <c r="V738" s="252">
        <v>0</v>
      </c>
      <c r="W738" s="252">
        <v>0</v>
      </c>
      <c r="X738" s="252"/>
      <c r="Y738" s="252">
        <v>0</v>
      </c>
    </row>
    <row r="739" spans="1:25" x14ac:dyDescent="0.3">
      <c r="A739" s="253" t="s">
        <v>614</v>
      </c>
      <c r="B739" s="252">
        <v>0</v>
      </c>
      <c r="C739" s="252">
        <v>0</v>
      </c>
      <c r="D739" s="252">
        <v>0</v>
      </c>
      <c r="E739" s="252">
        <v>0</v>
      </c>
      <c r="F739" s="252">
        <v>0</v>
      </c>
      <c r="G739" s="252">
        <v>0</v>
      </c>
      <c r="H739" s="252">
        <v>0</v>
      </c>
      <c r="I739" s="252">
        <v>0</v>
      </c>
      <c r="J739" s="252">
        <v>0</v>
      </c>
      <c r="K739" s="252">
        <v>0</v>
      </c>
      <c r="L739" s="252"/>
      <c r="M739" s="252">
        <v>0</v>
      </c>
      <c r="N739" s="252">
        <v>0</v>
      </c>
      <c r="O739" s="252">
        <v>0</v>
      </c>
      <c r="P739" s="252">
        <v>0</v>
      </c>
      <c r="Q739" s="252">
        <v>0</v>
      </c>
      <c r="R739" s="252">
        <v>0</v>
      </c>
      <c r="S739" s="252">
        <v>0</v>
      </c>
      <c r="T739" s="252">
        <v>0</v>
      </c>
      <c r="U739" s="252">
        <v>0</v>
      </c>
      <c r="V739" s="252">
        <v>0</v>
      </c>
      <c r="W739" s="252">
        <v>0</v>
      </c>
      <c r="X739" s="252">
        <v>0</v>
      </c>
      <c r="Y739" s="252">
        <v>0</v>
      </c>
    </row>
    <row r="740" spans="1:25" x14ac:dyDescent="0.3">
      <c r="A740" s="253" t="s">
        <v>615</v>
      </c>
      <c r="B740" s="252">
        <v>0</v>
      </c>
      <c r="C740" s="252">
        <v>0</v>
      </c>
      <c r="D740" s="252">
        <v>0</v>
      </c>
      <c r="E740" s="252">
        <v>0</v>
      </c>
      <c r="F740" s="252">
        <v>0</v>
      </c>
      <c r="G740" s="252">
        <v>0</v>
      </c>
      <c r="H740" s="252">
        <v>0</v>
      </c>
      <c r="I740" s="252">
        <v>0</v>
      </c>
      <c r="J740" s="252">
        <v>0</v>
      </c>
      <c r="K740" s="252">
        <v>0</v>
      </c>
      <c r="L740" s="252"/>
      <c r="M740" s="252">
        <v>0</v>
      </c>
      <c r="N740" s="252">
        <v>0</v>
      </c>
      <c r="O740" s="252">
        <v>0</v>
      </c>
      <c r="P740" s="252"/>
      <c r="Q740" s="252">
        <v>0</v>
      </c>
      <c r="R740" s="252"/>
      <c r="S740" s="252">
        <v>0</v>
      </c>
      <c r="T740" s="252">
        <v>0</v>
      </c>
      <c r="U740" s="252"/>
      <c r="V740" s="252">
        <v>0</v>
      </c>
      <c r="W740" s="252">
        <v>0</v>
      </c>
      <c r="X740" s="252"/>
      <c r="Y740" s="252">
        <v>0</v>
      </c>
    </row>
    <row r="741" spans="1:25" x14ac:dyDescent="0.3">
      <c r="A741" s="253" t="s">
        <v>73</v>
      </c>
      <c r="B741" s="252">
        <v>1</v>
      </c>
      <c r="C741" s="252">
        <v>1</v>
      </c>
      <c r="D741" s="252">
        <v>0</v>
      </c>
      <c r="E741" s="252">
        <v>3</v>
      </c>
      <c r="F741" s="252">
        <v>1</v>
      </c>
      <c r="G741" s="252">
        <v>0</v>
      </c>
      <c r="H741" s="252">
        <v>1</v>
      </c>
      <c r="I741" s="252">
        <v>0</v>
      </c>
      <c r="J741" s="252">
        <v>2</v>
      </c>
      <c r="K741" s="252">
        <v>1</v>
      </c>
      <c r="L741" s="252">
        <v>0</v>
      </c>
      <c r="M741" s="252">
        <v>1</v>
      </c>
      <c r="N741" s="252">
        <v>0</v>
      </c>
      <c r="O741" s="252">
        <v>0</v>
      </c>
      <c r="P741" s="252">
        <v>3</v>
      </c>
      <c r="Q741" s="252">
        <v>0</v>
      </c>
      <c r="R741" s="252">
        <v>1</v>
      </c>
      <c r="S741" s="252">
        <v>0</v>
      </c>
      <c r="T741" s="252">
        <v>0</v>
      </c>
      <c r="U741" s="252">
        <v>0</v>
      </c>
      <c r="V741" s="252">
        <v>2</v>
      </c>
      <c r="W741" s="252">
        <v>0</v>
      </c>
      <c r="X741" s="252">
        <v>1</v>
      </c>
      <c r="Y741" s="252">
        <v>18</v>
      </c>
    </row>
    <row r="742" spans="1:25" x14ac:dyDescent="0.3">
      <c r="A742" s="253" t="s">
        <v>616</v>
      </c>
      <c r="B742" s="252">
        <v>0</v>
      </c>
      <c r="C742" s="252"/>
      <c r="D742" s="252">
        <v>0</v>
      </c>
      <c r="E742" s="252">
        <v>0</v>
      </c>
      <c r="F742" s="252">
        <v>0</v>
      </c>
      <c r="G742" s="252">
        <v>0</v>
      </c>
      <c r="H742" s="252">
        <v>0</v>
      </c>
      <c r="I742" s="252"/>
      <c r="J742" s="252"/>
      <c r="K742" s="252">
        <v>0</v>
      </c>
      <c r="L742" s="252"/>
      <c r="M742" s="252">
        <v>0</v>
      </c>
      <c r="N742" s="252">
        <v>0</v>
      </c>
      <c r="O742" s="252">
        <v>0</v>
      </c>
      <c r="P742" s="252"/>
      <c r="Q742" s="252">
        <v>0</v>
      </c>
      <c r="R742" s="252"/>
      <c r="S742" s="252"/>
      <c r="T742" s="252">
        <v>0</v>
      </c>
      <c r="U742" s="252"/>
      <c r="V742" s="252">
        <v>0</v>
      </c>
      <c r="W742" s="252">
        <v>0</v>
      </c>
      <c r="X742" s="252"/>
      <c r="Y742" s="252">
        <v>0</v>
      </c>
    </row>
    <row r="743" spans="1:25" x14ac:dyDescent="0.3">
      <c r="A743" s="253" t="s">
        <v>74</v>
      </c>
      <c r="B743" s="252">
        <v>1</v>
      </c>
      <c r="C743" s="252">
        <v>2</v>
      </c>
      <c r="D743" s="252">
        <v>0</v>
      </c>
      <c r="E743" s="252">
        <v>2</v>
      </c>
      <c r="F743" s="252">
        <v>1</v>
      </c>
      <c r="G743" s="252">
        <v>1</v>
      </c>
      <c r="H743" s="252">
        <v>1</v>
      </c>
      <c r="I743" s="252">
        <v>0</v>
      </c>
      <c r="J743" s="252">
        <v>3</v>
      </c>
      <c r="K743" s="252">
        <v>2</v>
      </c>
      <c r="L743" s="252">
        <v>1</v>
      </c>
      <c r="M743" s="252">
        <v>1</v>
      </c>
      <c r="N743" s="252">
        <v>0</v>
      </c>
      <c r="O743" s="252">
        <v>1</v>
      </c>
      <c r="P743" s="252">
        <v>0</v>
      </c>
      <c r="Q743" s="252">
        <v>1</v>
      </c>
      <c r="R743" s="252">
        <v>3</v>
      </c>
      <c r="S743" s="252">
        <v>0</v>
      </c>
      <c r="T743" s="252">
        <v>2</v>
      </c>
      <c r="U743" s="252">
        <v>0</v>
      </c>
      <c r="V743" s="252">
        <v>2</v>
      </c>
      <c r="W743" s="252">
        <v>3</v>
      </c>
      <c r="X743" s="252">
        <v>1</v>
      </c>
      <c r="Y743" s="252">
        <v>28</v>
      </c>
    </row>
    <row r="744" spans="1:25" x14ac:dyDescent="0.3">
      <c r="A744" s="253" t="s">
        <v>617</v>
      </c>
      <c r="B744" s="252">
        <v>0</v>
      </c>
      <c r="C744" s="252">
        <v>0</v>
      </c>
      <c r="D744" s="252">
        <v>0</v>
      </c>
      <c r="E744" s="252">
        <v>0</v>
      </c>
      <c r="F744" s="252">
        <v>0</v>
      </c>
      <c r="G744" s="252">
        <v>0</v>
      </c>
      <c r="H744" s="252">
        <v>0</v>
      </c>
      <c r="I744" s="252"/>
      <c r="J744" s="252"/>
      <c r="K744" s="252">
        <v>0</v>
      </c>
      <c r="L744" s="252"/>
      <c r="M744" s="252">
        <v>0</v>
      </c>
      <c r="N744" s="252">
        <v>0</v>
      </c>
      <c r="O744" s="252">
        <v>0</v>
      </c>
      <c r="P744" s="252"/>
      <c r="Q744" s="252">
        <v>0</v>
      </c>
      <c r="R744" s="252"/>
      <c r="S744" s="252"/>
      <c r="T744" s="252">
        <v>0</v>
      </c>
      <c r="U744" s="252"/>
      <c r="V744" s="252">
        <v>0</v>
      </c>
      <c r="W744" s="252">
        <v>0</v>
      </c>
      <c r="X744" s="252"/>
      <c r="Y744" s="252">
        <v>0</v>
      </c>
    </row>
    <row r="745" spans="1:25" x14ac:dyDescent="0.3">
      <c r="A745" s="253" t="s">
        <v>618</v>
      </c>
      <c r="B745" s="252">
        <v>0</v>
      </c>
      <c r="C745" s="252">
        <v>0</v>
      </c>
      <c r="D745" s="252">
        <v>0</v>
      </c>
      <c r="E745" s="252">
        <v>0</v>
      </c>
      <c r="F745" s="252">
        <v>0</v>
      </c>
      <c r="G745" s="252">
        <v>0</v>
      </c>
      <c r="H745" s="252">
        <v>0</v>
      </c>
      <c r="I745" s="252"/>
      <c r="J745" s="252"/>
      <c r="K745" s="252">
        <v>0</v>
      </c>
      <c r="L745" s="252"/>
      <c r="M745" s="252">
        <v>0</v>
      </c>
      <c r="N745" s="252">
        <v>0</v>
      </c>
      <c r="O745" s="252">
        <v>0</v>
      </c>
      <c r="P745" s="252"/>
      <c r="Q745" s="252">
        <v>0</v>
      </c>
      <c r="R745" s="252"/>
      <c r="S745" s="252"/>
      <c r="T745" s="252">
        <v>0</v>
      </c>
      <c r="U745" s="252"/>
      <c r="V745" s="252">
        <v>0</v>
      </c>
      <c r="W745" s="252">
        <v>0</v>
      </c>
      <c r="X745" s="252"/>
      <c r="Y745" s="252">
        <v>0</v>
      </c>
    </row>
    <row r="746" spans="1:25" x14ac:dyDescent="0.3">
      <c r="A746" s="253" t="s">
        <v>619</v>
      </c>
      <c r="B746" s="252">
        <v>0</v>
      </c>
      <c r="C746" s="252">
        <v>0</v>
      </c>
      <c r="D746" s="252">
        <v>0</v>
      </c>
      <c r="E746" s="252">
        <v>0</v>
      </c>
      <c r="F746" s="252">
        <v>0</v>
      </c>
      <c r="G746" s="252">
        <v>0</v>
      </c>
      <c r="H746" s="252">
        <v>0</v>
      </c>
      <c r="I746" s="252"/>
      <c r="J746" s="252"/>
      <c r="K746" s="252">
        <v>0</v>
      </c>
      <c r="L746" s="252"/>
      <c r="M746" s="252">
        <v>0</v>
      </c>
      <c r="N746" s="252">
        <v>0</v>
      </c>
      <c r="O746" s="252">
        <v>0</v>
      </c>
      <c r="P746" s="252"/>
      <c r="Q746" s="252">
        <v>0</v>
      </c>
      <c r="R746" s="252"/>
      <c r="S746" s="252"/>
      <c r="T746" s="252">
        <v>0</v>
      </c>
      <c r="U746" s="252"/>
      <c r="V746" s="252">
        <v>0</v>
      </c>
      <c r="W746" s="252">
        <v>0</v>
      </c>
      <c r="X746" s="252"/>
      <c r="Y746" s="252">
        <v>0</v>
      </c>
    </row>
    <row r="747" spans="1:25" x14ac:dyDescent="0.3">
      <c r="A747" s="253" t="s">
        <v>620</v>
      </c>
      <c r="B747" s="252">
        <v>0</v>
      </c>
      <c r="C747" s="252">
        <v>0</v>
      </c>
      <c r="D747" s="252">
        <v>0</v>
      </c>
      <c r="E747" s="252">
        <v>0</v>
      </c>
      <c r="F747" s="252">
        <v>0</v>
      </c>
      <c r="G747" s="252">
        <v>0</v>
      </c>
      <c r="H747" s="252">
        <v>0</v>
      </c>
      <c r="I747" s="252">
        <v>0</v>
      </c>
      <c r="J747" s="252">
        <v>0</v>
      </c>
      <c r="K747" s="252">
        <v>0</v>
      </c>
      <c r="L747" s="252"/>
      <c r="M747" s="252">
        <v>0</v>
      </c>
      <c r="N747" s="252">
        <v>0</v>
      </c>
      <c r="O747" s="252">
        <v>0</v>
      </c>
      <c r="P747" s="252"/>
      <c r="Q747" s="252">
        <v>0</v>
      </c>
      <c r="R747" s="252"/>
      <c r="S747" s="252">
        <v>0</v>
      </c>
      <c r="T747" s="252">
        <v>0</v>
      </c>
      <c r="U747" s="252"/>
      <c r="V747" s="252">
        <v>0</v>
      </c>
      <c r="W747" s="252">
        <v>0</v>
      </c>
      <c r="X747" s="252"/>
      <c r="Y747" s="252">
        <v>0</v>
      </c>
    </row>
    <row r="748" spans="1:25" x14ac:dyDescent="0.3">
      <c r="A748" s="253" t="s">
        <v>621</v>
      </c>
      <c r="B748" s="252">
        <v>1</v>
      </c>
      <c r="C748" s="252">
        <v>4</v>
      </c>
      <c r="D748" s="252">
        <v>0</v>
      </c>
      <c r="E748" s="252">
        <v>0</v>
      </c>
      <c r="F748" s="252">
        <v>0</v>
      </c>
      <c r="G748" s="252">
        <v>0</v>
      </c>
      <c r="H748" s="252">
        <v>0</v>
      </c>
      <c r="I748" s="252">
        <v>0</v>
      </c>
      <c r="J748" s="252">
        <v>1</v>
      </c>
      <c r="K748" s="252">
        <v>1</v>
      </c>
      <c r="L748" s="252"/>
      <c r="M748" s="252">
        <v>0</v>
      </c>
      <c r="N748" s="252">
        <v>0</v>
      </c>
      <c r="O748" s="252">
        <v>0</v>
      </c>
      <c r="P748" s="252"/>
      <c r="Q748" s="252">
        <v>1</v>
      </c>
      <c r="R748" s="252">
        <v>0</v>
      </c>
      <c r="S748" s="252">
        <v>0</v>
      </c>
      <c r="T748" s="252">
        <v>0</v>
      </c>
      <c r="U748" s="252">
        <v>0</v>
      </c>
      <c r="V748" s="252">
        <v>0</v>
      </c>
      <c r="W748" s="252">
        <v>0</v>
      </c>
      <c r="X748" s="252"/>
      <c r="Y748" s="252">
        <v>8</v>
      </c>
    </row>
    <row r="749" spans="1:25" x14ac:dyDescent="0.3">
      <c r="A749" s="253" t="s">
        <v>622</v>
      </c>
      <c r="B749" s="252">
        <v>0</v>
      </c>
      <c r="C749" s="252"/>
      <c r="D749" s="252">
        <v>0</v>
      </c>
      <c r="E749" s="252">
        <v>0</v>
      </c>
      <c r="F749" s="252">
        <v>0</v>
      </c>
      <c r="G749" s="252">
        <v>0</v>
      </c>
      <c r="H749" s="252">
        <v>0</v>
      </c>
      <c r="I749" s="252"/>
      <c r="J749" s="252"/>
      <c r="K749" s="252">
        <v>0</v>
      </c>
      <c r="L749" s="252"/>
      <c r="M749" s="252">
        <v>0</v>
      </c>
      <c r="N749" s="252">
        <v>0</v>
      </c>
      <c r="O749" s="252">
        <v>0</v>
      </c>
      <c r="P749" s="252"/>
      <c r="Q749" s="252">
        <v>0</v>
      </c>
      <c r="R749" s="252"/>
      <c r="S749" s="252"/>
      <c r="T749" s="252">
        <v>0</v>
      </c>
      <c r="U749" s="252"/>
      <c r="V749" s="252">
        <v>0</v>
      </c>
      <c r="W749" s="252">
        <v>0</v>
      </c>
      <c r="X749" s="252"/>
      <c r="Y749" s="252">
        <v>0</v>
      </c>
    </row>
    <row r="750" spans="1:25" x14ac:dyDescent="0.3">
      <c r="A750" s="253" t="s">
        <v>623</v>
      </c>
      <c r="B750" s="252">
        <v>0</v>
      </c>
      <c r="C750" s="252">
        <v>0</v>
      </c>
      <c r="D750" s="252">
        <v>0</v>
      </c>
      <c r="E750" s="252">
        <v>0</v>
      </c>
      <c r="F750" s="252">
        <v>0</v>
      </c>
      <c r="G750" s="252">
        <v>0</v>
      </c>
      <c r="H750" s="252">
        <v>0</v>
      </c>
      <c r="I750" s="252">
        <v>0</v>
      </c>
      <c r="J750" s="252">
        <v>0</v>
      </c>
      <c r="K750" s="252">
        <v>0</v>
      </c>
      <c r="L750" s="252">
        <v>0</v>
      </c>
      <c r="M750" s="252">
        <v>0</v>
      </c>
      <c r="N750" s="252">
        <v>0</v>
      </c>
      <c r="O750" s="252">
        <v>0</v>
      </c>
      <c r="P750" s="252">
        <v>0</v>
      </c>
      <c r="Q750" s="252">
        <v>0</v>
      </c>
      <c r="R750" s="252">
        <v>0</v>
      </c>
      <c r="S750" s="252">
        <v>0</v>
      </c>
      <c r="T750" s="252">
        <v>0</v>
      </c>
      <c r="U750" s="252">
        <v>0</v>
      </c>
      <c r="V750" s="252">
        <v>0</v>
      </c>
      <c r="W750" s="252">
        <v>0</v>
      </c>
      <c r="X750" s="252">
        <v>0</v>
      </c>
      <c r="Y750" s="252">
        <v>0</v>
      </c>
    </row>
    <row r="751" spans="1:25" x14ac:dyDescent="0.3">
      <c r="A751" s="253" t="s">
        <v>78</v>
      </c>
      <c r="B751" s="252">
        <v>0</v>
      </c>
      <c r="C751" s="252">
        <v>0</v>
      </c>
      <c r="D751" s="252">
        <v>0</v>
      </c>
      <c r="E751" s="252">
        <v>0</v>
      </c>
      <c r="F751" s="252">
        <v>0</v>
      </c>
      <c r="G751" s="252">
        <v>0</v>
      </c>
      <c r="H751" s="252">
        <v>0</v>
      </c>
      <c r="I751" s="252">
        <v>0</v>
      </c>
      <c r="J751" s="252">
        <v>0</v>
      </c>
      <c r="K751" s="252">
        <v>0</v>
      </c>
      <c r="L751" s="252"/>
      <c r="M751" s="252">
        <v>0</v>
      </c>
      <c r="N751" s="252">
        <v>0</v>
      </c>
      <c r="O751" s="252">
        <v>0</v>
      </c>
      <c r="P751" s="252"/>
      <c r="Q751" s="252">
        <v>0</v>
      </c>
      <c r="R751" s="252"/>
      <c r="S751" s="252">
        <v>0</v>
      </c>
      <c r="T751" s="252">
        <v>0</v>
      </c>
      <c r="U751" s="252"/>
      <c r="V751" s="252">
        <v>0</v>
      </c>
      <c r="W751" s="252">
        <v>0</v>
      </c>
      <c r="X751" s="252"/>
      <c r="Y751" s="252">
        <v>0</v>
      </c>
    </row>
    <row r="752" spans="1:25" x14ac:dyDescent="0.3">
      <c r="A752" s="253" t="s">
        <v>624</v>
      </c>
      <c r="B752" s="252">
        <v>0</v>
      </c>
      <c r="C752" s="252"/>
      <c r="D752" s="252">
        <v>0</v>
      </c>
      <c r="E752" s="252">
        <v>0</v>
      </c>
      <c r="F752" s="252">
        <v>0</v>
      </c>
      <c r="G752" s="252">
        <v>0</v>
      </c>
      <c r="H752" s="252">
        <v>0</v>
      </c>
      <c r="I752" s="252"/>
      <c r="J752" s="252"/>
      <c r="K752" s="252">
        <v>0</v>
      </c>
      <c r="L752" s="252"/>
      <c r="M752" s="252">
        <v>0</v>
      </c>
      <c r="N752" s="252">
        <v>0</v>
      </c>
      <c r="O752" s="252">
        <v>0</v>
      </c>
      <c r="P752" s="252"/>
      <c r="Q752" s="252">
        <v>0</v>
      </c>
      <c r="R752" s="252"/>
      <c r="S752" s="252"/>
      <c r="T752" s="252">
        <v>0</v>
      </c>
      <c r="U752" s="252"/>
      <c r="V752" s="252">
        <v>0</v>
      </c>
      <c r="W752" s="252">
        <v>0</v>
      </c>
      <c r="X752" s="252"/>
      <c r="Y752" s="252">
        <v>0</v>
      </c>
    </row>
    <row r="753" spans="1:25" x14ac:dyDescent="0.3">
      <c r="A753" s="253" t="s">
        <v>625</v>
      </c>
      <c r="B753" s="252">
        <v>0</v>
      </c>
      <c r="C753" s="252">
        <v>0</v>
      </c>
      <c r="D753" s="252">
        <v>0</v>
      </c>
      <c r="E753" s="252">
        <v>0</v>
      </c>
      <c r="F753" s="252">
        <v>0</v>
      </c>
      <c r="G753" s="252">
        <v>0</v>
      </c>
      <c r="H753" s="252">
        <v>0</v>
      </c>
      <c r="I753" s="252">
        <v>0</v>
      </c>
      <c r="J753" s="252">
        <v>0</v>
      </c>
      <c r="K753" s="252">
        <v>0</v>
      </c>
      <c r="L753" s="252"/>
      <c r="M753" s="252">
        <v>0</v>
      </c>
      <c r="N753" s="252">
        <v>0</v>
      </c>
      <c r="O753" s="252">
        <v>0</v>
      </c>
      <c r="P753" s="252"/>
      <c r="Q753" s="252">
        <v>0</v>
      </c>
      <c r="R753" s="252"/>
      <c r="S753" s="252">
        <v>0</v>
      </c>
      <c r="T753" s="252">
        <v>0</v>
      </c>
      <c r="U753" s="252"/>
      <c r="V753" s="252">
        <v>0</v>
      </c>
      <c r="W753" s="252">
        <v>0</v>
      </c>
      <c r="X753" s="252"/>
      <c r="Y753" s="252">
        <v>0</v>
      </c>
    </row>
    <row r="754" spans="1:25" x14ac:dyDescent="0.3">
      <c r="A754" s="253" t="s">
        <v>626</v>
      </c>
      <c r="B754" s="252">
        <v>0</v>
      </c>
      <c r="C754" s="252">
        <v>0</v>
      </c>
      <c r="D754" s="252">
        <v>0</v>
      </c>
      <c r="E754" s="252">
        <v>0</v>
      </c>
      <c r="F754" s="252">
        <v>0</v>
      </c>
      <c r="G754" s="252">
        <v>0</v>
      </c>
      <c r="H754" s="252">
        <v>0</v>
      </c>
      <c r="I754" s="252"/>
      <c r="J754" s="252">
        <v>0</v>
      </c>
      <c r="K754" s="252">
        <v>0</v>
      </c>
      <c r="L754" s="252"/>
      <c r="M754" s="252">
        <v>0</v>
      </c>
      <c r="N754" s="252">
        <v>0</v>
      </c>
      <c r="O754" s="252">
        <v>0</v>
      </c>
      <c r="P754" s="252"/>
      <c r="Q754" s="252">
        <v>0</v>
      </c>
      <c r="R754" s="252"/>
      <c r="S754" s="252">
        <v>0</v>
      </c>
      <c r="T754" s="252">
        <v>0</v>
      </c>
      <c r="U754" s="252"/>
      <c r="V754" s="252">
        <v>0</v>
      </c>
      <c r="W754" s="252">
        <v>0</v>
      </c>
      <c r="X754" s="252"/>
      <c r="Y754" s="252">
        <v>0</v>
      </c>
    </row>
    <row r="755" spans="1:25" x14ac:dyDescent="0.3">
      <c r="A755" s="253" t="s">
        <v>627</v>
      </c>
      <c r="B755" s="252">
        <v>0</v>
      </c>
      <c r="C755" s="252">
        <v>0</v>
      </c>
      <c r="D755" s="252">
        <v>0</v>
      </c>
      <c r="E755" s="252">
        <v>0</v>
      </c>
      <c r="F755" s="252">
        <v>0</v>
      </c>
      <c r="G755" s="252">
        <v>0</v>
      </c>
      <c r="H755" s="252">
        <v>0</v>
      </c>
      <c r="I755" s="252"/>
      <c r="J755" s="252"/>
      <c r="K755" s="252">
        <v>0</v>
      </c>
      <c r="L755" s="252"/>
      <c r="M755" s="252">
        <v>0</v>
      </c>
      <c r="N755" s="252">
        <v>0</v>
      </c>
      <c r="O755" s="252">
        <v>0</v>
      </c>
      <c r="P755" s="252"/>
      <c r="Q755" s="252">
        <v>0</v>
      </c>
      <c r="R755" s="252"/>
      <c r="S755" s="252">
        <v>0</v>
      </c>
      <c r="T755" s="252">
        <v>0</v>
      </c>
      <c r="U755" s="252"/>
      <c r="V755" s="252">
        <v>0</v>
      </c>
      <c r="W755" s="252">
        <v>0</v>
      </c>
      <c r="X755" s="252"/>
      <c r="Y755" s="252">
        <v>0</v>
      </c>
    </row>
    <row r="756" spans="1:25" x14ac:dyDescent="0.3">
      <c r="A756" s="253" t="s">
        <v>628</v>
      </c>
      <c r="B756" s="252">
        <v>0</v>
      </c>
      <c r="C756" s="252">
        <v>0</v>
      </c>
      <c r="D756" s="252">
        <v>0</v>
      </c>
      <c r="E756" s="252">
        <v>0</v>
      </c>
      <c r="F756" s="252">
        <v>0</v>
      </c>
      <c r="G756" s="252">
        <v>0</v>
      </c>
      <c r="H756" s="252">
        <v>0</v>
      </c>
      <c r="I756" s="252"/>
      <c r="J756" s="252"/>
      <c r="K756" s="252">
        <v>0</v>
      </c>
      <c r="L756" s="252"/>
      <c r="M756" s="252">
        <v>0</v>
      </c>
      <c r="N756" s="252">
        <v>0</v>
      </c>
      <c r="O756" s="252">
        <v>0</v>
      </c>
      <c r="P756" s="252"/>
      <c r="Q756" s="252">
        <v>0</v>
      </c>
      <c r="R756" s="252"/>
      <c r="S756" s="252">
        <v>0</v>
      </c>
      <c r="T756" s="252">
        <v>0</v>
      </c>
      <c r="U756" s="252"/>
      <c r="V756" s="252">
        <v>0</v>
      </c>
      <c r="W756" s="252">
        <v>0</v>
      </c>
      <c r="X756" s="252"/>
      <c r="Y756" s="252">
        <v>0</v>
      </c>
    </row>
    <row r="757" spans="1:25" x14ac:dyDescent="0.3">
      <c r="A757" s="253" t="s">
        <v>974</v>
      </c>
      <c r="B757" s="252">
        <v>0</v>
      </c>
      <c r="C757" s="252">
        <v>11</v>
      </c>
      <c r="D757" s="252">
        <v>0</v>
      </c>
      <c r="E757" s="252">
        <v>4</v>
      </c>
      <c r="F757" s="252">
        <v>1</v>
      </c>
      <c r="G757" s="252">
        <v>0</v>
      </c>
      <c r="H757" s="252">
        <v>3</v>
      </c>
      <c r="I757" s="252">
        <v>0</v>
      </c>
      <c r="J757" s="252">
        <v>4</v>
      </c>
      <c r="K757" s="252">
        <v>2</v>
      </c>
      <c r="L757" s="252">
        <v>0</v>
      </c>
      <c r="M757" s="252">
        <v>3</v>
      </c>
      <c r="N757" s="252">
        <v>3</v>
      </c>
      <c r="O757" s="252">
        <v>3</v>
      </c>
      <c r="P757" s="252">
        <v>4</v>
      </c>
      <c r="Q757" s="252">
        <v>3</v>
      </c>
      <c r="R757" s="252">
        <v>3</v>
      </c>
      <c r="S757" s="252">
        <v>3</v>
      </c>
      <c r="T757" s="252">
        <v>0</v>
      </c>
      <c r="U757" s="252">
        <v>0</v>
      </c>
      <c r="V757" s="252">
        <v>1</v>
      </c>
      <c r="W757" s="252">
        <v>0</v>
      </c>
      <c r="X757" s="252">
        <v>6</v>
      </c>
      <c r="Y757" s="252">
        <v>54</v>
      </c>
    </row>
    <row r="758" spans="1:25" x14ac:dyDescent="0.3">
      <c r="A758" s="253" t="s">
        <v>975</v>
      </c>
      <c r="B758" s="252">
        <v>0</v>
      </c>
      <c r="C758" s="252">
        <v>11</v>
      </c>
      <c r="D758" s="252">
        <v>0</v>
      </c>
      <c r="E758" s="252">
        <v>2</v>
      </c>
      <c r="F758" s="252">
        <v>2</v>
      </c>
      <c r="G758" s="252">
        <v>0</v>
      </c>
      <c r="H758" s="252">
        <v>0</v>
      </c>
      <c r="I758" s="252">
        <v>0</v>
      </c>
      <c r="J758" s="252">
        <v>2</v>
      </c>
      <c r="K758" s="252">
        <v>1</v>
      </c>
      <c r="L758" s="252">
        <v>0</v>
      </c>
      <c r="M758" s="252">
        <v>3</v>
      </c>
      <c r="N758" s="252">
        <v>2</v>
      </c>
      <c r="O758" s="252">
        <v>3</v>
      </c>
      <c r="P758" s="252">
        <v>0</v>
      </c>
      <c r="Q758" s="252">
        <v>3</v>
      </c>
      <c r="R758" s="252">
        <v>5</v>
      </c>
      <c r="S758" s="252">
        <v>4</v>
      </c>
      <c r="T758" s="252">
        <v>0</v>
      </c>
      <c r="U758" s="252">
        <v>0</v>
      </c>
      <c r="V758" s="252">
        <v>0</v>
      </c>
      <c r="W758" s="252">
        <v>2</v>
      </c>
      <c r="X758" s="252">
        <v>3</v>
      </c>
      <c r="Y758" s="252">
        <v>43</v>
      </c>
    </row>
    <row r="759" spans="1:25" x14ac:dyDescent="0.3">
      <c r="A759" s="253" t="s">
        <v>1083</v>
      </c>
      <c r="B759" s="252">
        <v>0</v>
      </c>
      <c r="C759" s="252">
        <v>0</v>
      </c>
      <c r="D759" s="252">
        <v>0</v>
      </c>
      <c r="E759" s="252">
        <v>0</v>
      </c>
      <c r="F759" s="252">
        <v>0</v>
      </c>
      <c r="G759" s="252">
        <v>0</v>
      </c>
      <c r="H759" s="252">
        <v>0</v>
      </c>
      <c r="I759" s="252"/>
      <c r="J759" s="252">
        <v>0</v>
      </c>
      <c r="K759" s="252">
        <v>0</v>
      </c>
      <c r="L759" s="252">
        <v>0</v>
      </c>
      <c r="M759" s="252">
        <v>0</v>
      </c>
      <c r="N759" s="252">
        <v>0</v>
      </c>
      <c r="O759" s="252">
        <v>0</v>
      </c>
      <c r="P759" s="252">
        <v>0</v>
      </c>
      <c r="Q759" s="252">
        <v>0</v>
      </c>
      <c r="R759" s="252">
        <v>0</v>
      </c>
      <c r="S759" s="252">
        <v>0</v>
      </c>
      <c r="T759" s="252">
        <v>0</v>
      </c>
      <c r="U759" s="252">
        <v>0</v>
      </c>
      <c r="V759" s="252">
        <v>0</v>
      </c>
      <c r="W759" s="252">
        <v>0</v>
      </c>
      <c r="X759" s="252">
        <v>0</v>
      </c>
      <c r="Y759" s="252">
        <v>0</v>
      </c>
    </row>
    <row r="760" spans="1:25" x14ac:dyDescent="0.3">
      <c r="A760" s="253" t="s">
        <v>629</v>
      </c>
      <c r="B760" s="252">
        <v>0</v>
      </c>
      <c r="C760" s="252">
        <v>0</v>
      </c>
      <c r="D760" s="252">
        <v>0</v>
      </c>
      <c r="E760" s="252">
        <v>0</v>
      </c>
      <c r="F760" s="252">
        <v>0</v>
      </c>
      <c r="G760" s="252">
        <v>0</v>
      </c>
      <c r="H760" s="252">
        <v>0</v>
      </c>
      <c r="I760" s="252"/>
      <c r="J760" s="252"/>
      <c r="K760" s="252">
        <v>0</v>
      </c>
      <c r="L760" s="252"/>
      <c r="M760" s="252">
        <v>0</v>
      </c>
      <c r="N760" s="252">
        <v>0</v>
      </c>
      <c r="O760" s="252">
        <v>0</v>
      </c>
      <c r="P760" s="252"/>
      <c r="Q760" s="252">
        <v>0</v>
      </c>
      <c r="R760" s="252"/>
      <c r="S760" s="252"/>
      <c r="T760" s="252">
        <v>0</v>
      </c>
      <c r="U760" s="252"/>
      <c r="V760" s="252">
        <v>0</v>
      </c>
      <c r="W760" s="252">
        <v>0</v>
      </c>
      <c r="X760" s="252"/>
      <c r="Y760" s="252">
        <v>0</v>
      </c>
    </row>
    <row r="761" spans="1:25" x14ac:dyDescent="0.3">
      <c r="A761" s="253" t="s">
        <v>63</v>
      </c>
      <c r="B761" s="252">
        <v>2</v>
      </c>
      <c r="C761" s="252">
        <v>1</v>
      </c>
      <c r="D761" s="252">
        <v>0</v>
      </c>
      <c r="E761" s="252">
        <v>2</v>
      </c>
      <c r="F761" s="252">
        <v>1</v>
      </c>
      <c r="G761" s="252">
        <v>0</v>
      </c>
      <c r="H761" s="252">
        <v>2</v>
      </c>
      <c r="I761" s="252">
        <v>0</v>
      </c>
      <c r="J761" s="252">
        <v>5</v>
      </c>
      <c r="K761" s="252">
        <v>2</v>
      </c>
      <c r="L761" s="252">
        <v>0</v>
      </c>
      <c r="M761" s="252">
        <v>0</v>
      </c>
      <c r="N761" s="252">
        <v>0</v>
      </c>
      <c r="O761" s="252">
        <v>6</v>
      </c>
      <c r="P761" s="252">
        <v>0</v>
      </c>
      <c r="Q761" s="252">
        <v>3</v>
      </c>
      <c r="R761" s="252">
        <v>3</v>
      </c>
      <c r="S761" s="252">
        <v>1</v>
      </c>
      <c r="T761" s="252">
        <v>0</v>
      </c>
      <c r="U761" s="252">
        <v>0</v>
      </c>
      <c r="V761" s="252">
        <v>1</v>
      </c>
      <c r="W761" s="252">
        <v>2</v>
      </c>
      <c r="X761" s="252">
        <v>2</v>
      </c>
      <c r="Y761" s="252">
        <v>33</v>
      </c>
    </row>
    <row r="762" spans="1:25" x14ac:dyDescent="0.3">
      <c r="A762" s="253" t="s">
        <v>630</v>
      </c>
      <c r="B762" s="252">
        <v>0</v>
      </c>
      <c r="C762" s="252">
        <v>0</v>
      </c>
      <c r="D762" s="252">
        <v>0</v>
      </c>
      <c r="E762" s="252">
        <v>0</v>
      </c>
      <c r="F762" s="252">
        <v>0</v>
      </c>
      <c r="G762" s="252">
        <v>0</v>
      </c>
      <c r="H762" s="252">
        <v>0</v>
      </c>
      <c r="I762" s="252"/>
      <c r="J762" s="252"/>
      <c r="K762" s="252">
        <v>0</v>
      </c>
      <c r="L762" s="252"/>
      <c r="M762" s="252">
        <v>0</v>
      </c>
      <c r="N762" s="252">
        <v>0</v>
      </c>
      <c r="O762" s="252">
        <v>0</v>
      </c>
      <c r="P762" s="252"/>
      <c r="Q762" s="252">
        <v>0</v>
      </c>
      <c r="R762" s="252"/>
      <c r="S762" s="252"/>
      <c r="T762" s="252">
        <v>0</v>
      </c>
      <c r="U762" s="252"/>
      <c r="V762" s="252">
        <v>0</v>
      </c>
      <c r="W762" s="252">
        <v>0</v>
      </c>
      <c r="X762" s="252"/>
      <c r="Y762" s="252">
        <v>0</v>
      </c>
    </row>
    <row r="763" spans="1:25" x14ac:dyDescent="0.3">
      <c r="A763" s="253" t="s">
        <v>631</v>
      </c>
      <c r="B763" s="252">
        <v>0</v>
      </c>
      <c r="C763" s="252">
        <v>0</v>
      </c>
      <c r="D763" s="252">
        <v>0</v>
      </c>
      <c r="E763" s="252">
        <v>0</v>
      </c>
      <c r="F763" s="252">
        <v>0</v>
      </c>
      <c r="G763" s="252">
        <v>0</v>
      </c>
      <c r="H763" s="252">
        <v>0</v>
      </c>
      <c r="I763" s="252"/>
      <c r="J763" s="252"/>
      <c r="K763" s="252">
        <v>0</v>
      </c>
      <c r="L763" s="252"/>
      <c r="M763" s="252">
        <v>0</v>
      </c>
      <c r="N763" s="252">
        <v>0</v>
      </c>
      <c r="O763" s="252">
        <v>0</v>
      </c>
      <c r="P763" s="252"/>
      <c r="Q763" s="252">
        <v>0</v>
      </c>
      <c r="R763" s="252"/>
      <c r="S763" s="252"/>
      <c r="T763" s="252">
        <v>0</v>
      </c>
      <c r="U763" s="252"/>
      <c r="V763" s="252">
        <v>0</v>
      </c>
      <c r="W763" s="252">
        <v>0</v>
      </c>
      <c r="X763" s="252"/>
      <c r="Y763" s="252">
        <v>0</v>
      </c>
    </row>
    <row r="764" spans="1:25" x14ac:dyDescent="0.3">
      <c r="A764" s="253" t="s">
        <v>14</v>
      </c>
      <c r="B764" s="252">
        <v>2</v>
      </c>
      <c r="C764" s="252">
        <v>3</v>
      </c>
      <c r="D764" s="252">
        <v>0</v>
      </c>
      <c r="E764" s="252">
        <v>3</v>
      </c>
      <c r="F764" s="252">
        <v>1</v>
      </c>
      <c r="G764" s="252">
        <v>0</v>
      </c>
      <c r="H764" s="252">
        <v>1</v>
      </c>
      <c r="I764" s="252">
        <v>0</v>
      </c>
      <c r="J764" s="252">
        <v>3</v>
      </c>
      <c r="K764" s="252">
        <v>2</v>
      </c>
      <c r="L764" s="252">
        <v>0</v>
      </c>
      <c r="M764" s="252">
        <v>1</v>
      </c>
      <c r="N764" s="252">
        <v>0</v>
      </c>
      <c r="O764" s="252">
        <v>0</v>
      </c>
      <c r="P764" s="252">
        <v>0</v>
      </c>
      <c r="Q764" s="252">
        <v>1</v>
      </c>
      <c r="R764" s="252">
        <v>1</v>
      </c>
      <c r="S764" s="252">
        <v>4</v>
      </c>
      <c r="T764" s="252">
        <v>2</v>
      </c>
      <c r="U764" s="252">
        <v>0</v>
      </c>
      <c r="V764" s="252">
        <v>0</v>
      </c>
      <c r="W764" s="252">
        <v>2</v>
      </c>
      <c r="X764" s="252">
        <v>1</v>
      </c>
      <c r="Y764" s="252">
        <v>27</v>
      </c>
    </row>
    <row r="765" spans="1:25" x14ac:dyDescent="0.3">
      <c r="A765" s="253" t="s">
        <v>1</v>
      </c>
      <c r="B765" s="252">
        <v>2</v>
      </c>
      <c r="C765" s="252">
        <v>2</v>
      </c>
      <c r="D765" s="252">
        <v>0</v>
      </c>
      <c r="E765" s="252">
        <v>3</v>
      </c>
      <c r="F765" s="252">
        <v>1</v>
      </c>
      <c r="G765" s="252">
        <v>1</v>
      </c>
      <c r="H765" s="252">
        <v>1</v>
      </c>
      <c r="I765" s="252">
        <v>0</v>
      </c>
      <c r="J765" s="252">
        <v>2</v>
      </c>
      <c r="K765" s="252">
        <v>0</v>
      </c>
      <c r="L765" s="252">
        <v>0</v>
      </c>
      <c r="M765" s="252">
        <v>0</v>
      </c>
      <c r="N765" s="252">
        <v>1</v>
      </c>
      <c r="O765" s="252">
        <v>3</v>
      </c>
      <c r="P765" s="252">
        <v>0</v>
      </c>
      <c r="Q765" s="252">
        <v>1</v>
      </c>
      <c r="R765" s="252">
        <v>1</v>
      </c>
      <c r="S765" s="252">
        <v>4</v>
      </c>
      <c r="T765" s="252">
        <v>0</v>
      </c>
      <c r="U765" s="252">
        <v>1</v>
      </c>
      <c r="V765" s="252">
        <v>1</v>
      </c>
      <c r="W765" s="252">
        <v>1</v>
      </c>
      <c r="X765" s="252">
        <v>1</v>
      </c>
      <c r="Y765" s="252">
        <v>26</v>
      </c>
    </row>
    <row r="766" spans="1:25" x14ac:dyDescent="0.3">
      <c r="A766" s="253" t="s">
        <v>832</v>
      </c>
      <c r="B766" s="252">
        <v>2</v>
      </c>
      <c r="C766" s="252">
        <v>3</v>
      </c>
      <c r="D766" s="252">
        <v>0</v>
      </c>
      <c r="E766" s="252">
        <v>1</v>
      </c>
      <c r="F766" s="252">
        <v>1</v>
      </c>
      <c r="G766" s="252">
        <v>1</v>
      </c>
      <c r="H766" s="252">
        <v>1</v>
      </c>
      <c r="I766" s="252">
        <v>0</v>
      </c>
      <c r="J766" s="252">
        <v>2</v>
      </c>
      <c r="K766" s="252">
        <v>0</v>
      </c>
      <c r="L766" s="252">
        <v>1</v>
      </c>
      <c r="M766" s="252">
        <v>1</v>
      </c>
      <c r="N766" s="252">
        <v>0</v>
      </c>
      <c r="O766" s="252">
        <v>2</v>
      </c>
      <c r="P766" s="252">
        <v>0</v>
      </c>
      <c r="Q766" s="252">
        <v>1</v>
      </c>
      <c r="R766" s="252">
        <v>1</v>
      </c>
      <c r="S766" s="252">
        <v>5</v>
      </c>
      <c r="T766" s="252">
        <v>0</v>
      </c>
      <c r="U766" s="252">
        <v>0</v>
      </c>
      <c r="V766" s="252">
        <v>3</v>
      </c>
      <c r="W766" s="252">
        <v>1</v>
      </c>
      <c r="X766" s="252">
        <v>2</v>
      </c>
      <c r="Y766" s="252">
        <v>28</v>
      </c>
    </row>
    <row r="767" spans="1:25" x14ac:dyDescent="0.3">
      <c r="A767" s="253" t="s">
        <v>632</v>
      </c>
      <c r="B767" s="252">
        <v>0</v>
      </c>
      <c r="C767" s="252">
        <v>0</v>
      </c>
      <c r="D767" s="252">
        <v>0</v>
      </c>
      <c r="E767" s="252">
        <v>0</v>
      </c>
      <c r="F767" s="252">
        <v>0</v>
      </c>
      <c r="G767" s="252">
        <v>0</v>
      </c>
      <c r="H767" s="252">
        <v>0</v>
      </c>
      <c r="I767" s="252"/>
      <c r="J767" s="252">
        <v>0</v>
      </c>
      <c r="K767" s="252">
        <v>0</v>
      </c>
      <c r="L767" s="252"/>
      <c r="M767" s="252">
        <v>0</v>
      </c>
      <c r="N767" s="252">
        <v>0</v>
      </c>
      <c r="O767" s="252">
        <v>0</v>
      </c>
      <c r="P767" s="252"/>
      <c r="Q767" s="252">
        <v>0</v>
      </c>
      <c r="R767" s="252"/>
      <c r="S767" s="252">
        <v>0</v>
      </c>
      <c r="T767" s="252">
        <v>0</v>
      </c>
      <c r="U767" s="252"/>
      <c r="V767" s="252">
        <v>0</v>
      </c>
      <c r="W767" s="252">
        <v>0</v>
      </c>
      <c r="X767" s="252"/>
      <c r="Y767" s="252">
        <v>0</v>
      </c>
    </row>
    <row r="768" spans="1:25" x14ac:dyDescent="0.3">
      <c r="A768" s="253" t="s">
        <v>59</v>
      </c>
      <c r="B768" s="252">
        <v>1</v>
      </c>
      <c r="C768" s="252">
        <v>3</v>
      </c>
      <c r="D768" s="252">
        <v>0</v>
      </c>
      <c r="E768" s="252">
        <v>2</v>
      </c>
      <c r="F768" s="252">
        <v>1</v>
      </c>
      <c r="G768" s="252">
        <v>0</v>
      </c>
      <c r="H768" s="252">
        <v>1</v>
      </c>
      <c r="I768" s="252">
        <v>0</v>
      </c>
      <c r="J768" s="252">
        <v>2</v>
      </c>
      <c r="K768" s="252">
        <v>1</v>
      </c>
      <c r="L768" s="252">
        <v>0</v>
      </c>
      <c r="M768" s="252">
        <v>0</v>
      </c>
      <c r="N768" s="252">
        <v>0</v>
      </c>
      <c r="O768" s="252">
        <v>0</v>
      </c>
      <c r="P768" s="252">
        <v>0</v>
      </c>
      <c r="Q768" s="252">
        <v>1</v>
      </c>
      <c r="R768" s="252">
        <v>1</v>
      </c>
      <c r="S768" s="252">
        <v>0</v>
      </c>
      <c r="T768" s="252">
        <v>0</v>
      </c>
      <c r="U768" s="252">
        <v>0</v>
      </c>
      <c r="V768" s="252">
        <v>0</v>
      </c>
      <c r="W768" s="252">
        <v>1</v>
      </c>
      <c r="X768" s="252">
        <v>0</v>
      </c>
      <c r="Y768" s="252">
        <v>14</v>
      </c>
    </row>
    <row r="769" spans="1:25" x14ac:dyDescent="0.3">
      <c r="A769" s="253" t="s">
        <v>895</v>
      </c>
      <c r="B769" s="252">
        <v>0</v>
      </c>
      <c r="C769" s="252">
        <v>0</v>
      </c>
      <c r="D769" s="252">
        <v>0</v>
      </c>
      <c r="E769" s="252">
        <v>0</v>
      </c>
      <c r="F769" s="252">
        <v>0</v>
      </c>
      <c r="G769" s="252">
        <v>0</v>
      </c>
      <c r="H769" s="252">
        <v>0</v>
      </c>
      <c r="I769" s="252">
        <v>0</v>
      </c>
      <c r="J769" s="252">
        <v>0</v>
      </c>
      <c r="K769" s="252">
        <v>0</v>
      </c>
      <c r="L769" s="252"/>
      <c r="M769" s="252">
        <v>0</v>
      </c>
      <c r="N769" s="252">
        <v>0</v>
      </c>
      <c r="O769" s="252">
        <v>0</v>
      </c>
      <c r="P769" s="252">
        <v>0</v>
      </c>
      <c r="Q769" s="252">
        <v>0</v>
      </c>
      <c r="R769" s="252">
        <v>0</v>
      </c>
      <c r="S769" s="252">
        <v>0</v>
      </c>
      <c r="T769" s="252">
        <v>0</v>
      </c>
      <c r="U769" s="252">
        <v>0</v>
      </c>
      <c r="V769" s="252">
        <v>0</v>
      </c>
      <c r="W769" s="252">
        <v>0</v>
      </c>
      <c r="X769" s="252"/>
      <c r="Y769" s="252">
        <v>0</v>
      </c>
    </row>
    <row r="770" spans="1:25" x14ac:dyDescent="0.3">
      <c r="A770" s="253" t="s">
        <v>896</v>
      </c>
      <c r="B770" s="252">
        <v>0</v>
      </c>
      <c r="C770" s="252">
        <v>0</v>
      </c>
      <c r="D770" s="252">
        <v>0</v>
      </c>
      <c r="E770" s="252">
        <v>0</v>
      </c>
      <c r="F770" s="252">
        <v>0</v>
      </c>
      <c r="G770" s="252">
        <v>0</v>
      </c>
      <c r="H770" s="252">
        <v>0</v>
      </c>
      <c r="I770" s="252">
        <v>0</v>
      </c>
      <c r="J770" s="252">
        <v>0</v>
      </c>
      <c r="K770" s="252">
        <v>0</v>
      </c>
      <c r="L770" s="252"/>
      <c r="M770" s="252">
        <v>0</v>
      </c>
      <c r="N770" s="252">
        <v>0</v>
      </c>
      <c r="O770" s="252">
        <v>0</v>
      </c>
      <c r="P770" s="252">
        <v>0</v>
      </c>
      <c r="Q770" s="252">
        <v>0</v>
      </c>
      <c r="R770" s="252">
        <v>0</v>
      </c>
      <c r="S770" s="252">
        <v>0</v>
      </c>
      <c r="T770" s="252">
        <v>0</v>
      </c>
      <c r="U770" s="252">
        <v>0</v>
      </c>
      <c r="V770" s="252">
        <v>0</v>
      </c>
      <c r="W770" s="252">
        <v>0</v>
      </c>
      <c r="X770" s="252"/>
      <c r="Y770" s="252">
        <v>0</v>
      </c>
    </row>
    <row r="771" spans="1:25" x14ac:dyDescent="0.3">
      <c r="A771" s="253" t="s">
        <v>633</v>
      </c>
      <c r="B771" s="252">
        <v>0</v>
      </c>
      <c r="C771" s="252">
        <v>0</v>
      </c>
      <c r="D771" s="252">
        <v>0</v>
      </c>
      <c r="E771" s="252">
        <v>0</v>
      </c>
      <c r="F771" s="252">
        <v>0</v>
      </c>
      <c r="G771" s="252">
        <v>0</v>
      </c>
      <c r="H771" s="252">
        <v>0</v>
      </c>
      <c r="I771" s="252"/>
      <c r="J771" s="252"/>
      <c r="K771" s="252">
        <v>0</v>
      </c>
      <c r="L771" s="252"/>
      <c r="M771" s="252">
        <v>0</v>
      </c>
      <c r="N771" s="252">
        <v>0</v>
      </c>
      <c r="O771" s="252">
        <v>0</v>
      </c>
      <c r="P771" s="252"/>
      <c r="Q771" s="252">
        <v>0</v>
      </c>
      <c r="R771" s="252"/>
      <c r="S771" s="252"/>
      <c r="T771" s="252">
        <v>0</v>
      </c>
      <c r="U771" s="252"/>
      <c r="V771" s="252">
        <v>0</v>
      </c>
      <c r="W771" s="252">
        <v>0</v>
      </c>
      <c r="X771" s="252"/>
      <c r="Y771" s="252">
        <v>0</v>
      </c>
    </row>
    <row r="772" spans="1:25" x14ac:dyDescent="0.3">
      <c r="A772" s="253" t="s">
        <v>60</v>
      </c>
      <c r="B772" s="252">
        <v>1</v>
      </c>
      <c r="C772" s="252">
        <v>1</v>
      </c>
      <c r="D772" s="252">
        <v>0</v>
      </c>
      <c r="E772" s="252">
        <v>2</v>
      </c>
      <c r="F772" s="252">
        <v>1</v>
      </c>
      <c r="G772" s="252">
        <v>0</v>
      </c>
      <c r="H772" s="252">
        <v>0</v>
      </c>
      <c r="I772" s="252">
        <v>0</v>
      </c>
      <c r="J772" s="252">
        <v>4</v>
      </c>
      <c r="K772" s="252">
        <v>1</v>
      </c>
      <c r="L772" s="252">
        <v>0</v>
      </c>
      <c r="M772" s="252">
        <v>0</v>
      </c>
      <c r="N772" s="252">
        <v>0</v>
      </c>
      <c r="O772" s="252">
        <v>0</v>
      </c>
      <c r="P772" s="252">
        <v>0</v>
      </c>
      <c r="Q772" s="252">
        <v>1</v>
      </c>
      <c r="R772" s="252">
        <v>1</v>
      </c>
      <c r="S772" s="252">
        <v>1</v>
      </c>
      <c r="T772" s="252">
        <v>0</v>
      </c>
      <c r="U772" s="252">
        <v>0</v>
      </c>
      <c r="V772" s="252">
        <v>1</v>
      </c>
      <c r="W772" s="252">
        <v>1</v>
      </c>
      <c r="X772" s="252">
        <v>0</v>
      </c>
      <c r="Y772" s="252">
        <v>15</v>
      </c>
    </row>
    <row r="773" spans="1:25" x14ac:dyDescent="0.3">
      <c r="A773" s="253" t="s">
        <v>634</v>
      </c>
      <c r="B773" s="252">
        <v>0</v>
      </c>
      <c r="C773" s="252">
        <v>0</v>
      </c>
      <c r="D773" s="252">
        <v>0</v>
      </c>
      <c r="E773" s="252">
        <v>0</v>
      </c>
      <c r="F773" s="252">
        <v>0</v>
      </c>
      <c r="G773" s="252">
        <v>0</v>
      </c>
      <c r="H773" s="252">
        <v>0</v>
      </c>
      <c r="I773" s="252"/>
      <c r="J773" s="252">
        <v>0</v>
      </c>
      <c r="K773" s="252">
        <v>0</v>
      </c>
      <c r="L773" s="252"/>
      <c r="M773" s="252">
        <v>0</v>
      </c>
      <c r="N773" s="252">
        <v>0</v>
      </c>
      <c r="O773" s="252">
        <v>0</v>
      </c>
      <c r="P773" s="252"/>
      <c r="Q773" s="252">
        <v>0</v>
      </c>
      <c r="R773" s="252"/>
      <c r="S773" s="252">
        <v>0</v>
      </c>
      <c r="T773" s="252">
        <v>0</v>
      </c>
      <c r="U773" s="252"/>
      <c r="V773" s="252">
        <v>0</v>
      </c>
      <c r="W773" s="252">
        <v>0</v>
      </c>
      <c r="X773" s="252"/>
      <c r="Y773" s="252">
        <v>0</v>
      </c>
    </row>
    <row r="774" spans="1:25" x14ac:dyDescent="0.3">
      <c r="A774" s="253" t="s">
        <v>635</v>
      </c>
      <c r="B774" s="252">
        <v>0</v>
      </c>
      <c r="C774" s="252">
        <v>0</v>
      </c>
      <c r="D774" s="252">
        <v>0</v>
      </c>
      <c r="E774" s="252">
        <v>0</v>
      </c>
      <c r="F774" s="252">
        <v>0</v>
      </c>
      <c r="G774" s="252">
        <v>0</v>
      </c>
      <c r="H774" s="252">
        <v>0</v>
      </c>
      <c r="I774" s="252"/>
      <c r="J774" s="252"/>
      <c r="K774" s="252">
        <v>0</v>
      </c>
      <c r="L774" s="252"/>
      <c r="M774" s="252">
        <v>0</v>
      </c>
      <c r="N774" s="252">
        <v>0</v>
      </c>
      <c r="O774" s="252">
        <v>0</v>
      </c>
      <c r="P774" s="252"/>
      <c r="Q774" s="252">
        <v>0</v>
      </c>
      <c r="R774" s="252"/>
      <c r="S774" s="252"/>
      <c r="T774" s="252">
        <v>0</v>
      </c>
      <c r="U774" s="252"/>
      <c r="V774" s="252">
        <v>0</v>
      </c>
      <c r="W774" s="252">
        <v>0</v>
      </c>
      <c r="X774" s="252"/>
      <c r="Y774" s="252">
        <v>0</v>
      </c>
    </row>
    <row r="775" spans="1:25" x14ac:dyDescent="0.3">
      <c r="A775" s="253" t="s">
        <v>636</v>
      </c>
      <c r="B775" s="252">
        <v>0</v>
      </c>
      <c r="C775" s="252">
        <v>0</v>
      </c>
      <c r="D775" s="252">
        <v>0</v>
      </c>
      <c r="E775" s="252"/>
      <c r="F775" s="252">
        <v>0</v>
      </c>
      <c r="G775" s="252">
        <v>0</v>
      </c>
      <c r="H775" s="252">
        <v>0</v>
      </c>
      <c r="I775" s="252"/>
      <c r="J775" s="252"/>
      <c r="K775" s="252">
        <v>0</v>
      </c>
      <c r="L775" s="252"/>
      <c r="M775" s="252">
        <v>0</v>
      </c>
      <c r="N775" s="252">
        <v>0</v>
      </c>
      <c r="O775" s="252">
        <v>0</v>
      </c>
      <c r="P775" s="252"/>
      <c r="Q775" s="252">
        <v>0</v>
      </c>
      <c r="R775" s="252"/>
      <c r="S775" s="252"/>
      <c r="T775" s="252">
        <v>0</v>
      </c>
      <c r="U775" s="252"/>
      <c r="V775" s="252">
        <v>0</v>
      </c>
      <c r="W775" s="252">
        <v>0</v>
      </c>
      <c r="X775" s="252"/>
      <c r="Y775" s="252">
        <v>0</v>
      </c>
    </row>
    <row r="776" spans="1:25" x14ac:dyDescent="0.3">
      <c r="A776" s="253" t="s">
        <v>637</v>
      </c>
      <c r="B776" s="252">
        <v>0</v>
      </c>
      <c r="C776" s="252">
        <v>0</v>
      </c>
      <c r="D776" s="252">
        <v>0</v>
      </c>
      <c r="E776" s="252">
        <v>0</v>
      </c>
      <c r="F776" s="252">
        <v>0</v>
      </c>
      <c r="G776" s="252">
        <v>0</v>
      </c>
      <c r="H776" s="252">
        <v>0</v>
      </c>
      <c r="I776" s="252"/>
      <c r="J776" s="252">
        <v>0</v>
      </c>
      <c r="K776" s="252">
        <v>0</v>
      </c>
      <c r="L776" s="252"/>
      <c r="M776" s="252">
        <v>0</v>
      </c>
      <c r="N776" s="252">
        <v>0</v>
      </c>
      <c r="O776" s="252">
        <v>0</v>
      </c>
      <c r="P776" s="252"/>
      <c r="Q776" s="252">
        <v>0</v>
      </c>
      <c r="R776" s="252"/>
      <c r="S776" s="252">
        <v>0</v>
      </c>
      <c r="T776" s="252">
        <v>0</v>
      </c>
      <c r="U776" s="252"/>
      <c r="V776" s="252">
        <v>0</v>
      </c>
      <c r="W776" s="252">
        <v>0</v>
      </c>
      <c r="X776" s="252"/>
      <c r="Y776" s="252">
        <v>0</v>
      </c>
    </row>
    <row r="777" spans="1:25" x14ac:dyDescent="0.3">
      <c r="A777" s="253" t="s">
        <v>638</v>
      </c>
      <c r="B777" s="252">
        <v>0</v>
      </c>
      <c r="C777" s="252">
        <v>0</v>
      </c>
      <c r="D777" s="252">
        <v>0</v>
      </c>
      <c r="E777" s="252">
        <v>0</v>
      </c>
      <c r="F777" s="252">
        <v>0</v>
      </c>
      <c r="G777" s="252">
        <v>0</v>
      </c>
      <c r="H777" s="252">
        <v>0</v>
      </c>
      <c r="I777" s="252"/>
      <c r="J777" s="252">
        <v>0</v>
      </c>
      <c r="K777" s="252">
        <v>0</v>
      </c>
      <c r="L777" s="252"/>
      <c r="M777" s="252">
        <v>0</v>
      </c>
      <c r="N777" s="252">
        <v>0</v>
      </c>
      <c r="O777" s="252">
        <v>0</v>
      </c>
      <c r="P777" s="252"/>
      <c r="Q777" s="252">
        <v>0</v>
      </c>
      <c r="R777" s="252"/>
      <c r="S777" s="252">
        <v>0</v>
      </c>
      <c r="T777" s="252">
        <v>0</v>
      </c>
      <c r="U777" s="252"/>
      <c r="V777" s="252">
        <v>0</v>
      </c>
      <c r="W777" s="252">
        <v>0</v>
      </c>
      <c r="X777" s="252"/>
      <c r="Y777" s="252">
        <v>0</v>
      </c>
    </row>
    <row r="778" spans="1:25" x14ac:dyDescent="0.3">
      <c r="A778" s="253" t="s">
        <v>927</v>
      </c>
      <c r="B778" s="252">
        <v>0</v>
      </c>
      <c r="C778" s="252">
        <v>0</v>
      </c>
      <c r="D778" s="252">
        <v>0</v>
      </c>
      <c r="E778" s="252">
        <v>0</v>
      </c>
      <c r="F778" s="252">
        <v>0</v>
      </c>
      <c r="G778" s="252">
        <v>0</v>
      </c>
      <c r="H778" s="252">
        <v>0</v>
      </c>
      <c r="I778" s="252">
        <v>0</v>
      </c>
      <c r="J778" s="252">
        <v>0</v>
      </c>
      <c r="K778" s="252">
        <v>0</v>
      </c>
      <c r="L778" s="252"/>
      <c r="M778" s="252">
        <v>0</v>
      </c>
      <c r="N778" s="252">
        <v>0</v>
      </c>
      <c r="O778" s="252">
        <v>0</v>
      </c>
      <c r="P778" s="252"/>
      <c r="Q778" s="252">
        <v>0</v>
      </c>
      <c r="R778" s="252">
        <v>0</v>
      </c>
      <c r="S778" s="252">
        <v>0</v>
      </c>
      <c r="T778" s="252">
        <v>0</v>
      </c>
      <c r="U778" s="252">
        <v>0</v>
      </c>
      <c r="V778" s="252">
        <v>0</v>
      </c>
      <c r="W778" s="252">
        <v>0</v>
      </c>
      <c r="X778" s="252"/>
      <c r="Y778" s="252">
        <v>0</v>
      </c>
    </row>
    <row r="779" spans="1:25" x14ac:dyDescent="0.3">
      <c r="A779" s="253" t="s">
        <v>879</v>
      </c>
      <c r="B779" s="252">
        <v>0</v>
      </c>
      <c r="C779" s="252">
        <v>0</v>
      </c>
      <c r="D779" s="252">
        <v>0</v>
      </c>
      <c r="E779" s="252">
        <v>0</v>
      </c>
      <c r="F779" s="252">
        <v>0</v>
      </c>
      <c r="G779" s="252">
        <v>0</v>
      </c>
      <c r="H779" s="252">
        <v>0</v>
      </c>
      <c r="I779" s="252">
        <v>0</v>
      </c>
      <c r="J779" s="252">
        <v>0</v>
      </c>
      <c r="K779" s="252">
        <v>0</v>
      </c>
      <c r="L779" s="252">
        <v>0</v>
      </c>
      <c r="M779" s="252">
        <v>0</v>
      </c>
      <c r="N779" s="252">
        <v>0</v>
      </c>
      <c r="O779" s="252">
        <v>0</v>
      </c>
      <c r="P779" s="252">
        <v>0</v>
      </c>
      <c r="Q779" s="252">
        <v>0</v>
      </c>
      <c r="R779" s="252">
        <v>0</v>
      </c>
      <c r="S779" s="252">
        <v>0</v>
      </c>
      <c r="T779" s="252">
        <v>0</v>
      </c>
      <c r="U779" s="252">
        <v>0</v>
      </c>
      <c r="V779" s="252">
        <v>0</v>
      </c>
      <c r="W779" s="252">
        <v>0</v>
      </c>
      <c r="X779" s="252">
        <v>0</v>
      </c>
      <c r="Y779" s="252">
        <v>0</v>
      </c>
    </row>
    <row r="780" spans="1:25" x14ac:dyDescent="0.3">
      <c r="A780" s="253" t="s">
        <v>888</v>
      </c>
      <c r="B780" s="252">
        <v>0</v>
      </c>
      <c r="C780" s="252">
        <v>0</v>
      </c>
      <c r="D780" s="252">
        <v>0</v>
      </c>
      <c r="E780" s="252">
        <v>0</v>
      </c>
      <c r="F780" s="252">
        <v>0</v>
      </c>
      <c r="G780" s="252">
        <v>0</v>
      </c>
      <c r="H780" s="252">
        <v>0</v>
      </c>
      <c r="I780" s="252">
        <v>0</v>
      </c>
      <c r="J780" s="252">
        <v>0</v>
      </c>
      <c r="K780" s="252">
        <v>0</v>
      </c>
      <c r="L780" s="252">
        <v>0</v>
      </c>
      <c r="M780" s="252">
        <v>0</v>
      </c>
      <c r="N780" s="252">
        <v>0</v>
      </c>
      <c r="O780" s="252">
        <v>0</v>
      </c>
      <c r="P780" s="252">
        <v>0</v>
      </c>
      <c r="Q780" s="252">
        <v>0</v>
      </c>
      <c r="R780" s="252">
        <v>0</v>
      </c>
      <c r="S780" s="252">
        <v>0</v>
      </c>
      <c r="T780" s="252">
        <v>0</v>
      </c>
      <c r="U780" s="252">
        <v>0</v>
      </c>
      <c r="V780" s="252">
        <v>0</v>
      </c>
      <c r="W780" s="252">
        <v>0</v>
      </c>
      <c r="X780" s="252">
        <v>0</v>
      </c>
      <c r="Y780" s="252">
        <v>0</v>
      </c>
    </row>
    <row r="781" spans="1:25" x14ac:dyDescent="0.3">
      <c r="A781" s="253" t="s">
        <v>826</v>
      </c>
      <c r="B781" s="252">
        <v>0</v>
      </c>
      <c r="C781" s="252">
        <v>0</v>
      </c>
      <c r="D781" s="252">
        <v>0</v>
      </c>
      <c r="E781" s="252">
        <v>0</v>
      </c>
      <c r="F781" s="252">
        <v>0</v>
      </c>
      <c r="G781" s="252">
        <v>0</v>
      </c>
      <c r="H781" s="252">
        <v>0</v>
      </c>
      <c r="I781" s="252">
        <v>0</v>
      </c>
      <c r="J781" s="252">
        <v>0</v>
      </c>
      <c r="K781" s="252">
        <v>0</v>
      </c>
      <c r="L781" s="252"/>
      <c r="M781" s="252">
        <v>0</v>
      </c>
      <c r="N781" s="252">
        <v>0</v>
      </c>
      <c r="O781" s="252">
        <v>0</v>
      </c>
      <c r="P781" s="252"/>
      <c r="Q781" s="252">
        <v>0</v>
      </c>
      <c r="R781" s="252">
        <v>0</v>
      </c>
      <c r="S781" s="252">
        <v>0</v>
      </c>
      <c r="T781" s="252">
        <v>0</v>
      </c>
      <c r="U781" s="252"/>
      <c r="V781" s="252">
        <v>0</v>
      </c>
      <c r="W781" s="252">
        <v>0</v>
      </c>
      <c r="X781" s="252"/>
      <c r="Y781" s="252">
        <v>0</v>
      </c>
    </row>
    <row r="782" spans="1:25" x14ac:dyDescent="0.3">
      <c r="A782" s="253" t="s">
        <v>1084</v>
      </c>
      <c r="B782" s="252">
        <v>0</v>
      </c>
      <c r="C782" s="252">
        <v>0</v>
      </c>
      <c r="D782" s="252">
        <v>0</v>
      </c>
      <c r="E782" s="252">
        <v>0</v>
      </c>
      <c r="F782" s="252">
        <v>0</v>
      </c>
      <c r="G782" s="252">
        <v>0</v>
      </c>
      <c r="H782" s="252">
        <v>0</v>
      </c>
      <c r="I782" s="252">
        <v>0</v>
      </c>
      <c r="J782" s="252">
        <v>0</v>
      </c>
      <c r="K782" s="252">
        <v>0</v>
      </c>
      <c r="L782" s="252">
        <v>0</v>
      </c>
      <c r="M782" s="252">
        <v>0</v>
      </c>
      <c r="N782" s="252">
        <v>0</v>
      </c>
      <c r="O782" s="252">
        <v>0</v>
      </c>
      <c r="P782" s="252">
        <v>0</v>
      </c>
      <c r="Q782" s="252">
        <v>0</v>
      </c>
      <c r="R782" s="252">
        <v>0</v>
      </c>
      <c r="S782" s="252">
        <v>0</v>
      </c>
      <c r="T782" s="252">
        <v>0</v>
      </c>
      <c r="U782" s="252">
        <v>0</v>
      </c>
      <c r="V782" s="252">
        <v>0</v>
      </c>
      <c r="W782" s="252">
        <v>0</v>
      </c>
      <c r="X782" s="252">
        <v>0</v>
      </c>
      <c r="Y782" s="252">
        <v>0</v>
      </c>
    </row>
    <row r="783" spans="1:25" x14ac:dyDescent="0.3">
      <c r="A783" s="253" t="s">
        <v>639</v>
      </c>
      <c r="B783" s="252">
        <v>0</v>
      </c>
      <c r="C783" s="252">
        <v>0</v>
      </c>
      <c r="D783" s="252">
        <v>0</v>
      </c>
      <c r="E783" s="252">
        <v>0</v>
      </c>
      <c r="F783" s="252">
        <v>0</v>
      </c>
      <c r="G783" s="252">
        <v>0</v>
      </c>
      <c r="H783" s="252">
        <v>0</v>
      </c>
      <c r="I783" s="252"/>
      <c r="J783" s="252"/>
      <c r="K783" s="252">
        <v>0</v>
      </c>
      <c r="L783" s="252"/>
      <c r="M783" s="252">
        <v>0</v>
      </c>
      <c r="N783" s="252">
        <v>0</v>
      </c>
      <c r="O783" s="252">
        <v>0</v>
      </c>
      <c r="P783" s="252"/>
      <c r="Q783" s="252">
        <v>0</v>
      </c>
      <c r="R783" s="252"/>
      <c r="S783" s="252"/>
      <c r="T783" s="252">
        <v>0</v>
      </c>
      <c r="U783" s="252"/>
      <c r="V783" s="252">
        <v>0</v>
      </c>
      <c r="W783" s="252">
        <v>0</v>
      </c>
      <c r="X783" s="252"/>
      <c r="Y783" s="252">
        <v>0</v>
      </c>
    </row>
    <row r="784" spans="1:25" x14ac:dyDescent="0.3">
      <c r="A784" s="253" t="s">
        <v>42</v>
      </c>
      <c r="B784" s="252">
        <v>1</v>
      </c>
      <c r="C784" s="252">
        <v>2</v>
      </c>
      <c r="D784" s="252">
        <v>0</v>
      </c>
      <c r="E784" s="252">
        <v>2</v>
      </c>
      <c r="F784" s="252">
        <v>1</v>
      </c>
      <c r="G784" s="252">
        <v>0</v>
      </c>
      <c r="H784" s="252">
        <v>1</v>
      </c>
      <c r="I784" s="252">
        <v>0</v>
      </c>
      <c r="J784" s="252">
        <v>2</v>
      </c>
      <c r="K784" s="252">
        <v>1</v>
      </c>
      <c r="L784" s="252">
        <v>1</v>
      </c>
      <c r="M784" s="252">
        <v>0</v>
      </c>
      <c r="N784" s="252">
        <v>0</v>
      </c>
      <c r="O784" s="252">
        <v>3</v>
      </c>
      <c r="P784" s="252">
        <v>1</v>
      </c>
      <c r="Q784" s="252">
        <v>1</v>
      </c>
      <c r="R784" s="252">
        <v>2</v>
      </c>
      <c r="S784" s="252">
        <v>2</v>
      </c>
      <c r="T784" s="252">
        <v>2</v>
      </c>
      <c r="U784" s="252">
        <v>0</v>
      </c>
      <c r="V784" s="252">
        <v>1</v>
      </c>
      <c r="W784" s="252">
        <v>0</v>
      </c>
      <c r="X784" s="252">
        <v>1</v>
      </c>
      <c r="Y784" s="252">
        <v>24</v>
      </c>
    </row>
    <row r="785" spans="1:25" x14ac:dyDescent="0.3">
      <c r="A785" s="253" t="s">
        <v>43</v>
      </c>
      <c r="B785" s="252">
        <v>1</v>
      </c>
      <c r="C785" s="252">
        <v>0</v>
      </c>
      <c r="D785" s="252">
        <v>0</v>
      </c>
      <c r="E785" s="252">
        <v>2</v>
      </c>
      <c r="F785" s="252">
        <v>0</v>
      </c>
      <c r="G785" s="252">
        <v>1</v>
      </c>
      <c r="H785" s="252">
        <v>1</v>
      </c>
      <c r="I785" s="252">
        <v>0</v>
      </c>
      <c r="J785" s="252">
        <v>2</v>
      </c>
      <c r="K785" s="252">
        <v>1</v>
      </c>
      <c r="L785" s="252">
        <v>0</v>
      </c>
      <c r="M785" s="252">
        <v>1</v>
      </c>
      <c r="N785" s="252">
        <v>0</v>
      </c>
      <c r="O785" s="252">
        <v>0</v>
      </c>
      <c r="P785" s="252">
        <v>3</v>
      </c>
      <c r="Q785" s="252">
        <v>2</v>
      </c>
      <c r="R785" s="252">
        <v>2</v>
      </c>
      <c r="S785" s="252">
        <v>2</v>
      </c>
      <c r="T785" s="252">
        <v>0</v>
      </c>
      <c r="U785" s="252">
        <v>1</v>
      </c>
      <c r="V785" s="252">
        <v>0</v>
      </c>
      <c r="W785" s="252">
        <v>0</v>
      </c>
      <c r="X785" s="252">
        <v>1</v>
      </c>
      <c r="Y785" s="252">
        <v>20</v>
      </c>
    </row>
    <row r="786" spans="1:25" x14ac:dyDescent="0.3">
      <c r="A786" s="253" t="s">
        <v>640</v>
      </c>
      <c r="B786" s="252">
        <v>0</v>
      </c>
      <c r="C786" s="252">
        <v>0</v>
      </c>
      <c r="D786" s="252">
        <v>0</v>
      </c>
      <c r="E786" s="252">
        <v>0</v>
      </c>
      <c r="F786" s="252">
        <v>0</v>
      </c>
      <c r="G786" s="252">
        <v>0</v>
      </c>
      <c r="H786" s="252">
        <v>0</v>
      </c>
      <c r="I786" s="252">
        <v>0</v>
      </c>
      <c r="J786" s="252">
        <v>0</v>
      </c>
      <c r="K786" s="252">
        <v>0</v>
      </c>
      <c r="L786" s="252"/>
      <c r="M786" s="252">
        <v>0</v>
      </c>
      <c r="N786" s="252">
        <v>0</v>
      </c>
      <c r="O786" s="252">
        <v>0</v>
      </c>
      <c r="P786" s="252"/>
      <c r="Q786" s="252">
        <v>0</v>
      </c>
      <c r="R786" s="252">
        <v>0</v>
      </c>
      <c r="S786" s="252">
        <v>0</v>
      </c>
      <c r="T786" s="252">
        <v>0</v>
      </c>
      <c r="U786" s="252"/>
      <c r="V786" s="252">
        <v>0</v>
      </c>
      <c r="W786" s="252">
        <v>0</v>
      </c>
      <c r="X786" s="252"/>
      <c r="Y786" s="252">
        <v>0</v>
      </c>
    </row>
    <row r="787" spans="1:25" x14ac:dyDescent="0.3">
      <c r="A787" s="253" t="s">
        <v>968</v>
      </c>
      <c r="B787" s="252">
        <v>0</v>
      </c>
      <c r="C787" s="252">
        <v>0</v>
      </c>
      <c r="D787" s="252">
        <v>0</v>
      </c>
      <c r="E787" s="252">
        <v>0</v>
      </c>
      <c r="F787" s="252">
        <v>0</v>
      </c>
      <c r="G787" s="252">
        <v>0</v>
      </c>
      <c r="H787" s="252">
        <v>0</v>
      </c>
      <c r="I787" s="252">
        <v>0</v>
      </c>
      <c r="J787" s="252">
        <v>0</v>
      </c>
      <c r="K787" s="252">
        <v>0</v>
      </c>
      <c r="L787" s="252"/>
      <c r="M787" s="252">
        <v>0</v>
      </c>
      <c r="N787" s="252">
        <v>0</v>
      </c>
      <c r="O787" s="252">
        <v>0</v>
      </c>
      <c r="P787" s="252">
        <v>0</v>
      </c>
      <c r="Q787" s="252">
        <v>0</v>
      </c>
      <c r="R787" s="252">
        <v>0</v>
      </c>
      <c r="S787" s="252">
        <v>0</v>
      </c>
      <c r="T787" s="252">
        <v>0</v>
      </c>
      <c r="U787" s="252">
        <v>0</v>
      </c>
      <c r="V787" s="252">
        <v>0</v>
      </c>
      <c r="W787" s="252">
        <v>0</v>
      </c>
      <c r="X787" s="252"/>
      <c r="Y787" s="252">
        <v>0</v>
      </c>
    </row>
    <row r="788" spans="1:25" x14ac:dyDescent="0.3">
      <c r="A788" s="253" t="s">
        <v>641</v>
      </c>
      <c r="B788" s="252">
        <v>0</v>
      </c>
      <c r="C788" s="252">
        <v>0</v>
      </c>
      <c r="D788" s="252">
        <v>0</v>
      </c>
      <c r="E788" s="252">
        <v>0</v>
      </c>
      <c r="F788" s="252">
        <v>0</v>
      </c>
      <c r="G788" s="252">
        <v>0</v>
      </c>
      <c r="H788" s="252">
        <v>0</v>
      </c>
      <c r="I788" s="252">
        <v>0</v>
      </c>
      <c r="J788" s="252">
        <v>0</v>
      </c>
      <c r="K788" s="252">
        <v>0</v>
      </c>
      <c r="L788" s="252"/>
      <c r="M788" s="252">
        <v>0</v>
      </c>
      <c r="N788" s="252">
        <v>0</v>
      </c>
      <c r="O788" s="252">
        <v>0</v>
      </c>
      <c r="P788" s="252"/>
      <c r="Q788" s="252">
        <v>0</v>
      </c>
      <c r="R788" s="252">
        <v>0</v>
      </c>
      <c r="S788" s="252">
        <v>0</v>
      </c>
      <c r="T788" s="252">
        <v>0</v>
      </c>
      <c r="U788" s="252"/>
      <c r="V788" s="252">
        <v>0</v>
      </c>
      <c r="W788" s="252">
        <v>0</v>
      </c>
      <c r="X788" s="252"/>
      <c r="Y788" s="252">
        <v>0</v>
      </c>
    </row>
    <row r="789" spans="1:25" x14ac:dyDescent="0.3">
      <c r="A789" s="253" t="s">
        <v>642</v>
      </c>
      <c r="B789" s="252">
        <v>0</v>
      </c>
      <c r="C789" s="252"/>
      <c r="D789" s="252">
        <v>0</v>
      </c>
      <c r="E789" s="252">
        <v>0</v>
      </c>
      <c r="F789" s="252">
        <v>0</v>
      </c>
      <c r="G789" s="252">
        <v>0</v>
      </c>
      <c r="H789" s="252">
        <v>0</v>
      </c>
      <c r="I789" s="252"/>
      <c r="J789" s="252"/>
      <c r="K789" s="252">
        <v>0</v>
      </c>
      <c r="L789" s="252"/>
      <c r="M789" s="252">
        <v>0</v>
      </c>
      <c r="N789" s="252">
        <v>0</v>
      </c>
      <c r="O789" s="252">
        <v>0</v>
      </c>
      <c r="P789" s="252"/>
      <c r="Q789" s="252">
        <v>0</v>
      </c>
      <c r="R789" s="252"/>
      <c r="S789" s="252"/>
      <c r="T789" s="252">
        <v>0</v>
      </c>
      <c r="U789" s="252"/>
      <c r="V789" s="252">
        <v>0</v>
      </c>
      <c r="W789" s="252">
        <v>0</v>
      </c>
      <c r="X789" s="252"/>
      <c r="Y789" s="252">
        <v>0</v>
      </c>
    </row>
    <row r="790" spans="1:25" x14ac:dyDescent="0.3">
      <c r="A790" s="253" t="s">
        <v>643</v>
      </c>
      <c r="B790" s="252">
        <v>0</v>
      </c>
      <c r="C790" s="252">
        <v>0</v>
      </c>
      <c r="D790" s="252">
        <v>0</v>
      </c>
      <c r="E790" s="252"/>
      <c r="F790" s="252">
        <v>0</v>
      </c>
      <c r="G790" s="252">
        <v>0</v>
      </c>
      <c r="H790" s="252">
        <v>0</v>
      </c>
      <c r="I790" s="252">
        <v>0</v>
      </c>
      <c r="J790" s="252">
        <v>0</v>
      </c>
      <c r="K790" s="252">
        <v>0</v>
      </c>
      <c r="L790" s="252"/>
      <c r="M790" s="252">
        <v>0</v>
      </c>
      <c r="N790" s="252">
        <v>0</v>
      </c>
      <c r="O790" s="252">
        <v>0</v>
      </c>
      <c r="P790" s="252"/>
      <c r="Q790" s="252">
        <v>0</v>
      </c>
      <c r="R790" s="252"/>
      <c r="S790" s="252">
        <v>0</v>
      </c>
      <c r="T790" s="252">
        <v>0</v>
      </c>
      <c r="U790" s="252"/>
      <c r="V790" s="252">
        <v>0</v>
      </c>
      <c r="W790" s="252">
        <v>0</v>
      </c>
      <c r="X790" s="252"/>
      <c r="Y790" s="252">
        <v>0</v>
      </c>
    </row>
    <row r="791" spans="1:25" x14ac:dyDescent="0.3">
      <c r="A791" s="253" t="s">
        <v>1087</v>
      </c>
      <c r="B791" s="252">
        <v>0</v>
      </c>
      <c r="C791" s="252">
        <v>0</v>
      </c>
      <c r="D791" s="252">
        <v>0</v>
      </c>
      <c r="E791" s="252">
        <v>0</v>
      </c>
      <c r="F791" s="252">
        <v>0</v>
      </c>
      <c r="G791" s="252">
        <v>0</v>
      </c>
      <c r="H791" s="252">
        <v>0</v>
      </c>
      <c r="I791" s="252">
        <v>0</v>
      </c>
      <c r="J791" s="252">
        <v>0</v>
      </c>
      <c r="K791" s="252">
        <v>0</v>
      </c>
      <c r="L791" s="252">
        <v>0</v>
      </c>
      <c r="M791" s="252">
        <v>0</v>
      </c>
      <c r="N791" s="252">
        <v>0</v>
      </c>
      <c r="O791" s="252">
        <v>0</v>
      </c>
      <c r="P791" s="252">
        <v>0</v>
      </c>
      <c r="Q791" s="252">
        <v>0</v>
      </c>
      <c r="R791" s="252">
        <v>0</v>
      </c>
      <c r="S791" s="252">
        <v>0</v>
      </c>
      <c r="T791" s="252">
        <v>0</v>
      </c>
      <c r="U791" s="252">
        <v>0</v>
      </c>
      <c r="V791" s="252">
        <v>0</v>
      </c>
      <c r="W791" s="252">
        <v>0</v>
      </c>
      <c r="X791" s="252">
        <v>0</v>
      </c>
      <c r="Y791" s="252">
        <v>0</v>
      </c>
    </row>
    <row r="792" spans="1:25" x14ac:dyDescent="0.3">
      <c r="A792" s="253" t="s">
        <v>1009</v>
      </c>
      <c r="B792" s="252">
        <v>0</v>
      </c>
      <c r="C792" s="252">
        <v>0</v>
      </c>
      <c r="D792" s="252">
        <v>0</v>
      </c>
      <c r="E792" s="252">
        <v>0</v>
      </c>
      <c r="F792" s="252">
        <v>0</v>
      </c>
      <c r="G792" s="252">
        <v>0</v>
      </c>
      <c r="H792" s="252">
        <v>0</v>
      </c>
      <c r="I792" s="252">
        <v>0</v>
      </c>
      <c r="J792" s="252">
        <v>0</v>
      </c>
      <c r="K792" s="252">
        <v>0</v>
      </c>
      <c r="L792" s="252"/>
      <c r="M792" s="252">
        <v>0</v>
      </c>
      <c r="N792" s="252">
        <v>0</v>
      </c>
      <c r="O792" s="252">
        <v>0</v>
      </c>
      <c r="P792" s="252">
        <v>0</v>
      </c>
      <c r="Q792" s="252">
        <v>0</v>
      </c>
      <c r="R792" s="252">
        <v>0</v>
      </c>
      <c r="S792" s="252">
        <v>0</v>
      </c>
      <c r="T792" s="252">
        <v>0</v>
      </c>
      <c r="U792" s="252">
        <v>0</v>
      </c>
      <c r="V792" s="252">
        <v>0</v>
      </c>
      <c r="W792" s="252">
        <v>0</v>
      </c>
      <c r="X792" s="252">
        <v>0</v>
      </c>
      <c r="Y792" s="252">
        <v>0</v>
      </c>
    </row>
    <row r="793" spans="1:25" x14ac:dyDescent="0.3">
      <c r="A793" s="253" t="s">
        <v>21</v>
      </c>
      <c r="B793" s="252">
        <v>0</v>
      </c>
      <c r="C793" s="252">
        <v>0</v>
      </c>
      <c r="D793" s="252">
        <v>0</v>
      </c>
      <c r="E793" s="252">
        <v>0</v>
      </c>
      <c r="F793" s="252">
        <v>0</v>
      </c>
      <c r="G793" s="252">
        <v>0</v>
      </c>
      <c r="H793" s="252">
        <v>0</v>
      </c>
      <c r="I793" s="252">
        <v>0</v>
      </c>
      <c r="J793" s="252">
        <v>0</v>
      </c>
      <c r="K793" s="252">
        <v>0</v>
      </c>
      <c r="L793" s="252"/>
      <c r="M793" s="252">
        <v>0</v>
      </c>
      <c r="N793" s="252">
        <v>0</v>
      </c>
      <c r="O793" s="252">
        <v>0</v>
      </c>
      <c r="P793" s="252"/>
      <c r="Q793" s="252">
        <v>0</v>
      </c>
      <c r="R793" s="252">
        <v>0</v>
      </c>
      <c r="S793" s="252">
        <v>0</v>
      </c>
      <c r="T793" s="252">
        <v>0</v>
      </c>
      <c r="U793" s="252"/>
      <c r="V793" s="252">
        <v>0</v>
      </c>
      <c r="W793" s="252">
        <v>0</v>
      </c>
      <c r="X793" s="252"/>
      <c r="Y793" s="252">
        <v>0</v>
      </c>
    </row>
    <row r="794" spans="1:25" x14ac:dyDescent="0.3">
      <c r="A794" s="253" t="s">
        <v>52</v>
      </c>
      <c r="B794" s="252">
        <v>0</v>
      </c>
      <c r="C794" s="252">
        <v>0</v>
      </c>
      <c r="D794" s="252">
        <v>0</v>
      </c>
      <c r="E794" s="252">
        <v>0</v>
      </c>
      <c r="F794" s="252">
        <v>0</v>
      </c>
      <c r="G794" s="252">
        <v>0</v>
      </c>
      <c r="H794" s="252">
        <v>0</v>
      </c>
      <c r="I794" s="252">
        <v>0</v>
      </c>
      <c r="J794" s="252">
        <v>0</v>
      </c>
      <c r="K794" s="252">
        <v>0</v>
      </c>
      <c r="L794" s="252">
        <v>0</v>
      </c>
      <c r="M794" s="252">
        <v>0</v>
      </c>
      <c r="N794" s="252">
        <v>0</v>
      </c>
      <c r="O794" s="252">
        <v>0</v>
      </c>
      <c r="P794" s="252">
        <v>0</v>
      </c>
      <c r="Q794" s="252">
        <v>0</v>
      </c>
      <c r="R794" s="252">
        <v>0</v>
      </c>
      <c r="S794" s="252">
        <v>0</v>
      </c>
      <c r="T794" s="252">
        <v>0</v>
      </c>
      <c r="U794" s="252">
        <v>0</v>
      </c>
      <c r="V794" s="252">
        <v>0</v>
      </c>
      <c r="W794" s="252">
        <v>0</v>
      </c>
      <c r="X794" s="252">
        <v>0</v>
      </c>
      <c r="Y794" s="252">
        <v>0</v>
      </c>
    </row>
    <row r="795" spans="1:25" x14ac:dyDescent="0.3">
      <c r="A795" s="253" t="s">
        <v>644</v>
      </c>
      <c r="B795" s="252">
        <v>0</v>
      </c>
      <c r="C795" s="252">
        <v>0</v>
      </c>
      <c r="D795" s="252">
        <v>0</v>
      </c>
      <c r="E795" s="252">
        <v>0</v>
      </c>
      <c r="F795" s="252">
        <v>0</v>
      </c>
      <c r="G795" s="252">
        <v>0</v>
      </c>
      <c r="H795" s="252">
        <v>0</v>
      </c>
      <c r="I795" s="252"/>
      <c r="J795" s="252"/>
      <c r="K795" s="252">
        <v>0</v>
      </c>
      <c r="L795" s="252"/>
      <c r="M795" s="252">
        <v>0</v>
      </c>
      <c r="N795" s="252">
        <v>0</v>
      </c>
      <c r="O795" s="252">
        <v>0</v>
      </c>
      <c r="P795" s="252"/>
      <c r="Q795" s="252">
        <v>0</v>
      </c>
      <c r="R795" s="252"/>
      <c r="S795" s="252">
        <v>0</v>
      </c>
      <c r="T795" s="252">
        <v>0</v>
      </c>
      <c r="U795" s="252"/>
      <c r="V795" s="252">
        <v>0</v>
      </c>
      <c r="W795" s="252">
        <v>0</v>
      </c>
      <c r="X795" s="252"/>
      <c r="Y795" s="252">
        <v>0</v>
      </c>
    </row>
    <row r="796" spans="1:25" x14ac:dyDescent="0.3">
      <c r="A796" s="253" t="s">
        <v>645</v>
      </c>
      <c r="B796" s="252">
        <v>0</v>
      </c>
      <c r="C796" s="252">
        <v>0</v>
      </c>
      <c r="D796" s="252">
        <v>0</v>
      </c>
      <c r="E796" s="252">
        <v>0</v>
      </c>
      <c r="F796" s="252">
        <v>0</v>
      </c>
      <c r="G796" s="252">
        <v>0</v>
      </c>
      <c r="H796" s="252">
        <v>0</v>
      </c>
      <c r="I796" s="252">
        <v>0</v>
      </c>
      <c r="J796" s="252">
        <v>0</v>
      </c>
      <c r="K796" s="252">
        <v>0</v>
      </c>
      <c r="L796" s="252"/>
      <c r="M796" s="252">
        <v>0</v>
      </c>
      <c r="N796" s="252">
        <v>0</v>
      </c>
      <c r="O796" s="252">
        <v>0</v>
      </c>
      <c r="P796" s="252"/>
      <c r="Q796" s="252">
        <v>0</v>
      </c>
      <c r="R796" s="252"/>
      <c r="S796" s="252">
        <v>0</v>
      </c>
      <c r="T796" s="252">
        <v>0</v>
      </c>
      <c r="U796" s="252"/>
      <c r="V796" s="252">
        <v>0</v>
      </c>
      <c r="W796" s="252">
        <v>0</v>
      </c>
      <c r="X796" s="252"/>
      <c r="Y796" s="252">
        <v>0</v>
      </c>
    </row>
    <row r="797" spans="1:25" x14ac:dyDescent="0.3">
      <c r="A797" s="253" t="s">
        <v>646</v>
      </c>
      <c r="B797" s="252">
        <v>0</v>
      </c>
      <c r="C797" s="252">
        <v>0</v>
      </c>
      <c r="D797" s="252">
        <v>0</v>
      </c>
      <c r="E797" s="252">
        <v>0</v>
      </c>
      <c r="F797" s="252">
        <v>0</v>
      </c>
      <c r="G797" s="252">
        <v>0</v>
      </c>
      <c r="H797" s="252">
        <v>0</v>
      </c>
      <c r="I797" s="252"/>
      <c r="J797" s="252"/>
      <c r="K797" s="252">
        <v>0</v>
      </c>
      <c r="L797" s="252"/>
      <c r="M797" s="252">
        <v>0</v>
      </c>
      <c r="N797" s="252">
        <v>0</v>
      </c>
      <c r="O797" s="252">
        <v>0</v>
      </c>
      <c r="P797" s="252"/>
      <c r="Q797" s="252">
        <v>0</v>
      </c>
      <c r="R797" s="252"/>
      <c r="S797" s="252"/>
      <c r="T797" s="252">
        <v>0</v>
      </c>
      <c r="U797" s="252"/>
      <c r="V797" s="252">
        <v>0</v>
      </c>
      <c r="W797" s="252">
        <v>0</v>
      </c>
      <c r="X797" s="252"/>
      <c r="Y797" s="252">
        <v>0</v>
      </c>
    </row>
    <row r="798" spans="1:25" x14ac:dyDescent="0.3">
      <c r="A798" s="253" t="s">
        <v>51</v>
      </c>
      <c r="B798" s="252">
        <v>1</v>
      </c>
      <c r="C798" s="252">
        <v>3</v>
      </c>
      <c r="D798" s="252">
        <v>0</v>
      </c>
      <c r="E798" s="252">
        <v>2</v>
      </c>
      <c r="F798" s="252">
        <v>1</v>
      </c>
      <c r="G798" s="252">
        <v>1</v>
      </c>
      <c r="H798" s="252">
        <v>1</v>
      </c>
      <c r="I798" s="252">
        <v>0</v>
      </c>
      <c r="J798" s="252">
        <v>0</v>
      </c>
      <c r="K798" s="252">
        <v>1</v>
      </c>
      <c r="L798" s="252">
        <v>0</v>
      </c>
      <c r="M798" s="252">
        <v>0</v>
      </c>
      <c r="N798" s="252">
        <v>1</v>
      </c>
      <c r="O798" s="252">
        <v>0</v>
      </c>
      <c r="P798" s="252">
        <v>0</v>
      </c>
      <c r="Q798" s="252">
        <v>0</v>
      </c>
      <c r="R798" s="252">
        <v>0</v>
      </c>
      <c r="S798" s="252">
        <v>0</v>
      </c>
      <c r="T798" s="252">
        <v>1</v>
      </c>
      <c r="U798" s="252">
        <v>0</v>
      </c>
      <c r="V798" s="252">
        <v>1</v>
      </c>
      <c r="W798" s="252">
        <v>1</v>
      </c>
      <c r="X798" s="252">
        <v>1</v>
      </c>
      <c r="Y798" s="252">
        <v>15</v>
      </c>
    </row>
    <row r="799" spans="1:25" x14ac:dyDescent="0.3">
      <c r="A799" s="253" t="s">
        <v>647</v>
      </c>
      <c r="B799" s="252">
        <v>0</v>
      </c>
      <c r="C799" s="252">
        <v>0</v>
      </c>
      <c r="D799" s="252">
        <v>0</v>
      </c>
      <c r="E799" s="252">
        <v>0</v>
      </c>
      <c r="F799" s="252">
        <v>0</v>
      </c>
      <c r="G799" s="252">
        <v>0</v>
      </c>
      <c r="H799" s="252">
        <v>0</v>
      </c>
      <c r="I799" s="252">
        <v>0</v>
      </c>
      <c r="J799" s="252">
        <v>0</v>
      </c>
      <c r="K799" s="252">
        <v>0</v>
      </c>
      <c r="L799" s="252">
        <v>0</v>
      </c>
      <c r="M799" s="252">
        <v>0</v>
      </c>
      <c r="N799" s="252">
        <v>0</v>
      </c>
      <c r="O799" s="252">
        <v>0</v>
      </c>
      <c r="P799" s="252">
        <v>0</v>
      </c>
      <c r="Q799" s="252">
        <v>0</v>
      </c>
      <c r="R799" s="252">
        <v>0</v>
      </c>
      <c r="S799" s="252">
        <v>0</v>
      </c>
      <c r="T799" s="252">
        <v>0</v>
      </c>
      <c r="U799" s="252">
        <v>0</v>
      </c>
      <c r="V799" s="252">
        <v>0</v>
      </c>
      <c r="W799" s="252">
        <v>0</v>
      </c>
      <c r="X799" s="252">
        <v>0</v>
      </c>
      <c r="Y799" s="252">
        <v>0</v>
      </c>
    </row>
    <row r="800" spans="1:25" x14ac:dyDescent="0.3">
      <c r="A800" s="253" t="s">
        <v>909</v>
      </c>
      <c r="B800" s="252">
        <v>0</v>
      </c>
      <c r="C800" s="252">
        <v>0</v>
      </c>
      <c r="D800" s="252">
        <v>0</v>
      </c>
      <c r="E800" s="252">
        <v>0</v>
      </c>
      <c r="F800" s="252">
        <v>0</v>
      </c>
      <c r="G800" s="252">
        <v>0</v>
      </c>
      <c r="H800" s="252">
        <v>0</v>
      </c>
      <c r="I800" s="252">
        <v>0</v>
      </c>
      <c r="J800" s="252">
        <v>0</v>
      </c>
      <c r="K800" s="252">
        <v>0</v>
      </c>
      <c r="L800" s="252"/>
      <c r="M800" s="252">
        <v>0</v>
      </c>
      <c r="N800" s="252">
        <v>0</v>
      </c>
      <c r="O800" s="252">
        <v>0</v>
      </c>
      <c r="P800" s="252"/>
      <c r="Q800" s="252">
        <v>0</v>
      </c>
      <c r="R800" s="252">
        <v>0</v>
      </c>
      <c r="S800" s="252">
        <v>0</v>
      </c>
      <c r="T800" s="252">
        <v>0</v>
      </c>
      <c r="U800" s="252">
        <v>0</v>
      </c>
      <c r="V800" s="252">
        <v>0</v>
      </c>
      <c r="W800" s="252">
        <v>0</v>
      </c>
      <c r="X800" s="252"/>
      <c r="Y800" s="252">
        <v>0</v>
      </c>
    </row>
    <row r="801" spans="1:25" x14ac:dyDescent="0.3">
      <c r="A801" s="253" t="s">
        <v>988</v>
      </c>
      <c r="B801" s="252">
        <v>0</v>
      </c>
      <c r="C801" s="252">
        <v>0</v>
      </c>
      <c r="D801" s="252">
        <v>0</v>
      </c>
      <c r="E801" s="252">
        <v>0</v>
      </c>
      <c r="F801" s="252">
        <v>0</v>
      </c>
      <c r="G801" s="252">
        <v>0</v>
      </c>
      <c r="H801" s="252">
        <v>0</v>
      </c>
      <c r="I801" s="252">
        <v>0</v>
      </c>
      <c r="J801" s="252">
        <v>0</v>
      </c>
      <c r="K801" s="252">
        <v>0</v>
      </c>
      <c r="L801" s="252">
        <v>0</v>
      </c>
      <c r="M801" s="252">
        <v>0</v>
      </c>
      <c r="N801" s="252">
        <v>0</v>
      </c>
      <c r="O801" s="252">
        <v>0</v>
      </c>
      <c r="P801" s="252">
        <v>0</v>
      </c>
      <c r="Q801" s="252">
        <v>0</v>
      </c>
      <c r="R801" s="252">
        <v>0</v>
      </c>
      <c r="S801" s="252">
        <v>0</v>
      </c>
      <c r="T801" s="252">
        <v>0</v>
      </c>
      <c r="U801" s="252">
        <v>0</v>
      </c>
      <c r="V801" s="252">
        <v>0</v>
      </c>
      <c r="W801" s="252">
        <v>0</v>
      </c>
      <c r="X801" s="252">
        <v>0</v>
      </c>
      <c r="Y801" s="252">
        <v>0</v>
      </c>
    </row>
    <row r="802" spans="1:25" x14ac:dyDescent="0.3">
      <c r="A802" s="253" t="s">
        <v>961</v>
      </c>
      <c r="B802" s="252">
        <v>0</v>
      </c>
      <c r="C802" s="252">
        <v>0</v>
      </c>
      <c r="D802" s="252">
        <v>0</v>
      </c>
      <c r="E802" s="252">
        <v>0</v>
      </c>
      <c r="F802" s="252">
        <v>0</v>
      </c>
      <c r="G802" s="252">
        <v>0</v>
      </c>
      <c r="H802" s="252">
        <v>0</v>
      </c>
      <c r="I802" s="252"/>
      <c r="J802" s="252">
        <v>0</v>
      </c>
      <c r="K802" s="252">
        <v>0</v>
      </c>
      <c r="L802" s="252"/>
      <c r="M802" s="252">
        <v>0</v>
      </c>
      <c r="N802" s="252">
        <v>0</v>
      </c>
      <c r="O802" s="252">
        <v>0</v>
      </c>
      <c r="P802" s="252"/>
      <c r="Q802" s="252">
        <v>0</v>
      </c>
      <c r="R802" s="252"/>
      <c r="S802" s="252"/>
      <c r="T802" s="252">
        <v>0</v>
      </c>
      <c r="U802" s="252"/>
      <c r="V802" s="252">
        <v>0</v>
      </c>
      <c r="W802" s="252">
        <v>0</v>
      </c>
      <c r="X802" s="252"/>
      <c r="Y802" s="252">
        <v>0</v>
      </c>
    </row>
    <row r="803" spans="1:25" x14ac:dyDescent="0.3">
      <c r="A803" s="253" t="s">
        <v>944</v>
      </c>
      <c r="B803" s="252">
        <v>0</v>
      </c>
      <c r="C803" s="252">
        <v>0</v>
      </c>
      <c r="D803" s="252">
        <v>0</v>
      </c>
      <c r="E803" s="252">
        <v>0</v>
      </c>
      <c r="F803" s="252">
        <v>0</v>
      </c>
      <c r="G803" s="252">
        <v>0</v>
      </c>
      <c r="H803" s="252">
        <v>0</v>
      </c>
      <c r="I803" s="252">
        <v>0</v>
      </c>
      <c r="J803" s="252">
        <v>0</v>
      </c>
      <c r="K803" s="252">
        <v>0</v>
      </c>
      <c r="L803" s="252"/>
      <c r="M803" s="252">
        <v>0</v>
      </c>
      <c r="N803" s="252">
        <v>0</v>
      </c>
      <c r="O803" s="252">
        <v>0</v>
      </c>
      <c r="P803" s="252">
        <v>0</v>
      </c>
      <c r="Q803" s="252">
        <v>0</v>
      </c>
      <c r="R803" s="252">
        <v>0</v>
      </c>
      <c r="S803" s="252">
        <v>0</v>
      </c>
      <c r="T803" s="252">
        <v>0</v>
      </c>
      <c r="U803" s="252">
        <v>0</v>
      </c>
      <c r="V803" s="252">
        <v>0</v>
      </c>
      <c r="W803" s="252">
        <v>0</v>
      </c>
      <c r="X803" s="252"/>
      <c r="Y803" s="252">
        <v>0</v>
      </c>
    </row>
    <row r="804" spans="1:25" x14ac:dyDescent="0.3">
      <c r="A804" s="253" t="s">
        <v>1022</v>
      </c>
      <c r="B804" s="252">
        <v>0</v>
      </c>
      <c r="C804" s="252">
        <v>0</v>
      </c>
      <c r="D804" s="252">
        <v>0</v>
      </c>
      <c r="E804" s="252">
        <v>0</v>
      </c>
      <c r="F804" s="252">
        <v>0</v>
      </c>
      <c r="G804" s="252">
        <v>0</v>
      </c>
      <c r="H804" s="252">
        <v>0</v>
      </c>
      <c r="I804" s="252"/>
      <c r="J804" s="252">
        <v>0</v>
      </c>
      <c r="K804" s="252">
        <v>0</v>
      </c>
      <c r="L804" s="252"/>
      <c r="M804" s="252">
        <v>0</v>
      </c>
      <c r="N804" s="252">
        <v>0</v>
      </c>
      <c r="O804" s="252">
        <v>0</v>
      </c>
      <c r="P804" s="252">
        <v>0</v>
      </c>
      <c r="Q804" s="252">
        <v>0</v>
      </c>
      <c r="R804" s="252">
        <v>0</v>
      </c>
      <c r="S804" s="252">
        <v>0</v>
      </c>
      <c r="T804" s="252">
        <v>0</v>
      </c>
      <c r="U804" s="252">
        <v>0</v>
      </c>
      <c r="V804" s="252">
        <v>0</v>
      </c>
      <c r="W804" s="252">
        <v>0</v>
      </c>
      <c r="X804" s="252">
        <v>0</v>
      </c>
      <c r="Y804" s="252">
        <v>0</v>
      </c>
    </row>
    <row r="805" spans="1:25" x14ac:dyDescent="0.3">
      <c r="A805" s="253" t="s">
        <v>1004</v>
      </c>
      <c r="B805" s="252">
        <v>0</v>
      </c>
      <c r="C805" s="252">
        <v>0</v>
      </c>
      <c r="D805" s="252">
        <v>0</v>
      </c>
      <c r="E805" s="252">
        <v>0</v>
      </c>
      <c r="F805" s="252">
        <v>0</v>
      </c>
      <c r="G805" s="252">
        <v>0</v>
      </c>
      <c r="H805" s="252">
        <v>0</v>
      </c>
      <c r="I805" s="252">
        <v>0</v>
      </c>
      <c r="J805" s="252">
        <v>0</v>
      </c>
      <c r="K805" s="252">
        <v>0</v>
      </c>
      <c r="L805" s="252"/>
      <c r="M805" s="252">
        <v>0</v>
      </c>
      <c r="N805" s="252">
        <v>0</v>
      </c>
      <c r="O805" s="252">
        <v>0</v>
      </c>
      <c r="P805" s="252">
        <v>0</v>
      </c>
      <c r="Q805" s="252">
        <v>0</v>
      </c>
      <c r="R805" s="252">
        <v>0</v>
      </c>
      <c r="S805" s="252">
        <v>0</v>
      </c>
      <c r="T805" s="252">
        <v>0</v>
      </c>
      <c r="U805" s="252">
        <v>0</v>
      </c>
      <c r="V805" s="252">
        <v>0</v>
      </c>
      <c r="W805" s="252">
        <v>0</v>
      </c>
      <c r="X805" s="252">
        <v>0</v>
      </c>
      <c r="Y805" s="252">
        <v>0</v>
      </c>
    </row>
    <row r="806" spans="1:25" x14ac:dyDescent="0.3">
      <c r="A806" s="253" t="s">
        <v>1005</v>
      </c>
      <c r="B806" s="252">
        <v>0</v>
      </c>
      <c r="C806" s="252">
        <v>0</v>
      </c>
      <c r="D806" s="252">
        <v>0</v>
      </c>
      <c r="E806" s="252">
        <v>0</v>
      </c>
      <c r="F806" s="252">
        <v>0</v>
      </c>
      <c r="G806" s="252">
        <v>0</v>
      </c>
      <c r="H806" s="252">
        <v>0</v>
      </c>
      <c r="I806" s="252">
        <v>0</v>
      </c>
      <c r="J806" s="252">
        <v>0</v>
      </c>
      <c r="K806" s="252">
        <v>0</v>
      </c>
      <c r="L806" s="252"/>
      <c r="M806" s="252">
        <v>0</v>
      </c>
      <c r="N806" s="252">
        <v>0</v>
      </c>
      <c r="O806" s="252">
        <v>0</v>
      </c>
      <c r="P806" s="252">
        <v>0</v>
      </c>
      <c r="Q806" s="252">
        <v>0</v>
      </c>
      <c r="R806" s="252">
        <v>0</v>
      </c>
      <c r="S806" s="252">
        <v>0</v>
      </c>
      <c r="T806" s="252">
        <v>0</v>
      </c>
      <c r="U806" s="252">
        <v>0</v>
      </c>
      <c r="V806" s="252">
        <v>0</v>
      </c>
      <c r="W806" s="252">
        <v>0</v>
      </c>
      <c r="X806" s="252">
        <v>0</v>
      </c>
      <c r="Y806" s="252">
        <v>0</v>
      </c>
    </row>
    <row r="807" spans="1:25" x14ac:dyDescent="0.3">
      <c r="A807" s="253" t="s">
        <v>1061</v>
      </c>
      <c r="B807" s="252">
        <v>0</v>
      </c>
      <c r="C807" s="252">
        <v>0</v>
      </c>
      <c r="D807" s="252">
        <v>0</v>
      </c>
      <c r="E807" s="252">
        <v>0</v>
      </c>
      <c r="F807" s="252">
        <v>0</v>
      </c>
      <c r="G807" s="252">
        <v>0</v>
      </c>
      <c r="H807" s="252">
        <v>0</v>
      </c>
      <c r="I807" s="252">
        <v>0</v>
      </c>
      <c r="J807" s="252">
        <v>0</v>
      </c>
      <c r="K807" s="252">
        <v>0</v>
      </c>
      <c r="L807" s="252">
        <v>0</v>
      </c>
      <c r="M807" s="252">
        <v>0</v>
      </c>
      <c r="N807" s="252">
        <v>0</v>
      </c>
      <c r="O807" s="252">
        <v>0</v>
      </c>
      <c r="P807" s="252">
        <v>0</v>
      </c>
      <c r="Q807" s="252">
        <v>0</v>
      </c>
      <c r="R807" s="252">
        <v>0</v>
      </c>
      <c r="S807" s="252">
        <v>0</v>
      </c>
      <c r="T807" s="252">
        <v>0</v>
      </c>
      <c r="U807" s="252">
        <v>0</v>
      </c>
      <c r="V807" s="252">
        <v>0</v>
      </c>
      <c r="W807" s="252">
        <v>0</v>
      </c>
      <c r="X807" s="252">
        <v>0</v>
      </c>
      <c r="Y807" s="252">
        <v>0</v>
      </c>
    </row>
    <row r="808" spans="1:25" x14ac:dyDescent="0.3">
      <c r="A808" s="253" t="s">
        <v>648</v>
      </c>
      <c r="B808" s="252">
        <v>0</v>
      </c>
      <c r="C808" s="252">
        <v>0</v>
      </c>
      <c r="D808" s="252">
        <v>0</v>
      </c>
      <c r="E808" s="252">
        <v>0</v>
      </c>
      <c r="F808" s="252">
        <v>0</v>
      </c>
      <c r="G808" s="252">
        <v>0</v>
      </c>
      <c r="H808" s="252">
        <v>0</v>
      </c>
      <c r="I808" s="252"/>
      <c r="J808" s="252"/>
      <c r="K808" s="252">
        <v>0</v>
      </c>
      <c r="L808" s="252"/>
      <c r="M808" s="252">
        <v>0</v>
      </c>
      <c r="N808" s="252">
        <v>0</v>
      </c>
      <c r="O808" s="252">
        <v>0</v>
      </c>
      <c r="P808" s="252"/>
      <c r="Q808" s="252">
        <v>0</v>
      </c>
      <c r="R808" s="252"/>
      <c r="S808" s="252">
        <v>0</v>
      </c>
      <c r="T808" s="252">
        <v>0</v>
      </c>
      <c r="U808" s="252"/>
      <c r="V808" s="252">
        <v>0</v>
      </c>
      <c r="W808" s="252">
        <v>0</v>
      </c>
      <c r="X808" s="252"/>
      <c r="Y808" s="252">
        <v>0</v>
      </c>
    </row>
    <row r="809" spans="1:25" x14ac:dyDescent="0.3">
      <c r="A809" s="253" t="s">
        <v>649</v>
      </c>
      <c r="B809" s="252">
        <v>0</v>
      </c>
      <c r="C809" s="252">
        <v>0</v>
      </c>
      <c r="D809" s="252">
        <v>0</v>
      </c>
      <c r="E809" s="252">
        <v>0</v>
      </c>
      <c r="F809" s="252">
        <v>0</v>
      </c>
      <c r="G809" s="252">
        <v>0</v>
      </c>
      <c r="H809" s="252">
        <v>0</v>
      </c>
      <c r="I809" s="252"/>
      <c r="J809" s="252"/>
      <c r="K809" s="252">
        <v>0</v>
      </c>
      <c r="L809" s="252"/>
      <c r="M809" s="252">
        <v>0</v>
      </c>
      <c r="N809" s="252">
        <v>0</v>
      </c>
      <c r="O809" s="252">
        <v>0</v>
      </c>
      <c r="P809" s="252"/>
      <c r="Q809" s="252">
        <v>0</v>
      </c>
      <c r="R809" s="252"/>
      <c r="S809" s="252">
        <v>0</v>
      </c>
      <c r="T809" s="252">
        <v>0</v>
      </c>
      <c r="U809" s="252"/>
      <c r="V809" s="252">
        <v>0</v>
      </c>
      <c r="W809" s="252">
        <v>0</v>
      </c>
      <c r="X809" s="252"/>
      <c r="Y809" s="252">
        <v>0</v>
      </c>
    </row>
    <row r="810" spans="1:25" x14ac:dyDescent="0.3">
      <c r="A810" s="253" t="s">
        <v>650</v>
      </c>
      <c r="B810" s="252">
        <v>0</v>
      </c>
      <c r="C810" s="252">
        <v>0</v>
      </c>
      <c r="D810" s="252">
        <v>0</v>
      </c>
      <c r="E810" s="252">
        <v>0</v>
      </c>
      <c r="F810" s="252">
        <v>0</v>
      </c>
      <c r="G810" s="252">
        <v>0</v>
      </c>
      <c r="H810" s="252">
        <v>0</v>
      </c>
      <c r="I810" s="252"/>
      <c r="J810" s="252">
        <v>0</v>
      </c>
      <c r="K810" s="252">
        <v>0</v>
      </c>
      <c r="L810" s="252"/>
      <c r="M810" s="252">
        <v>0</v>
      </c>
      <c r="N810" s="252">
        <v>0</v>
      </c>
      <c r="O810" s="252">
        <v>0</v>
      </c>
      <c r="P810" s="252"/>
      <c r="Q810" s="252">
        <v>0</v>
      </c>
      <c r="R810" s="252"/>
      <c r="S810" s="252">
        <v>0</v>
      </c>
      <c r="T810" s="252">
        <v>0</v>
      </c>
      <c r="U810" s="252"/>
      <c r="V810" s="252">
        <v>0</v>
      </c>
      <c r="W810" s="252">
        <v>0</v>
      </c>
      <c r="X810" s="252"/>
      <c r="Y810" s="252">
        <v>0</v>
      </c>
    </row>
    <row r="811" spans="1:25" x14ac:dyDescent="0.3">
      <c r="A811" s="253" t="s">
        <v>651</v>
      </c>
      <c r="B811" s="252">
        <v>0</v>
      </c>
      <c r="C811" s="252">
        <v>0</v>
      </c>
      <c r="D811" s="252">
        <v>0</v>
      </c>
      <c r="E811" s="252">
        <v>0</v>
      </c>
      <c r="F811" s="252">
        <v>0</v>
      </c>
      <c r="G811" s="252">
        <v>0</v>
      </c>
      <c r="H811" s="252">
        <v>0</v>
      </c>
      <c r="I811" s="252"/>
      <c r="J811" s="252">
        <v>0</v>
      </c>
      <c r="K811" s="252">
        <v>0</v>
      </c>
      <c r="L811" s="252"/>
      <c r="M811" s="252">
        <v>0</v>
      </c>
      <c r="N811" s="252">
        <v>0</v>
      </c>
      <c r="O811" s="252">
        <v>0</v>
      </c>
      <c r="P811" s="252">
        <v>0</v>
      </c>
      <c r="Q811" s="252">
        <v>0</v>
      </c>
      <c r="R811" s="252">
        <v>0</v>
      </c>
      <c r="S811" s="252">
        <v>0</v>
      </c>
      <c r="T811" s="252">
        <v>0</v>
      </c>
      <c r="U811" s="252"/>
      <c r="V811" s="252">
        <v>0</v>
      </c>
      <c r="W811" s="252">
        <v>0</v>
      </c>
      <c r="X811" s="252"/>
      <c r="Y811" s="252">
        <v>0</v>
      </c>
    </row>
    <row r="812" spans="1:25" x14ac:dyDescent="0.3">
      <c r="A812" s="253" t="s">
        <v>652</v>
      </c>
      <c r="B812" s="252">
        <v>0</v>
      </c>
      <c r="C812" s="252">
        <v>0</v>
      </c>
      <c r="D812" s="252">
        <v>0</v>
      </c>
      <c r="E812" s="252">
        <v>0</v>
      </c>
      <c r="F812" s="252">
        <v>0</v>
      </c>
      <c r="G812" s="252">
        <v>0</v>
      </c>
      <c r="H812" s="252">
        <v>0</v>
      </c>
      <c r="I812" s="252"/>
      <c r="J812" s="252"/>
      <c r="K812" s="252">
        <v>0</v>
      </c>
      <c r="L812" s="252"/>
      <c r="M812" s="252">
        <v>0</v>
      </c>
      <c r="N812" s="252">
        <v>0</v>
      </c>
      <c r="O812" s="252">
        <v>0</v>
      </c>
      <c r="P812" s="252"/>
      <c r="Q812" s="252">
        <v>0</v>
      </c>
      <c r="R812" s="252"/>
      <c r="S812" s="252"/>
      <c r="T812" s="252">
        <v>0</v>
      </c>
      <c r="U812" s="252"/>
      <c r="V812" s="252">
        <v>0</v>
      </c>
      <c r="W812" s="252">
        <v>0</v>
      </c>
      <c r="X812" s="252"/>
      <c r="Y812" s="252">
        <v>0</v>
      </c>
    </row>
    <row r="813" spans="1:25" x14ac:dyDescent="0.3">
      <c r="A813" s="253" t="s">
        <v>1072</v>
      </c>
      <c r="B813" s="252">
        <v>0</v>
      </c>
      <c r="C813" s="252">
        <v>0</v>
      </c>
      <c r="D813" s="252">
        <v>0</v>
      </c>
      <c r="E813" s="252">
        <v>0</v>
      </c>
      <c r="F813" s="252">
        <v>0</v>
      </c>
      <c r="G813" s="252">
        <v>0</v>
      </c>
      <c r="H813" s="252">
        <v>0</v>
      </c>
      <c r="I813" s="252">
        <v>0</v>
      </c>
      <c r="J813" s="252">
        <v>0</v>
      </c>
      <c r="K813" s="252">
        <v>0</v>
      </c>
      <c r="L813" s="252">
        <v>0</v>
      </c>
      <c r="M813" s="252">
        <v>0</v>
      </c>
      <c r="N813" s="252">
        <v>0</v>
      </c>
      <c r="O813" s="252">
        <v>0</v>
      </c>
      <c r="P813" s="252">
        <v>0</v>
      </c>
      <c r="Q813" s="252">
        <v>0</v>
      </c>
      <c r="R813" s="252">
        <v>0</v>
      </c>
      <c r="S813" s="252">
        <v>0</v>
      </c>
      <c r="T813" s="252">
        <v>0</v>
      </c>
      <c r="U813" s="252">
        <v>0</v>
      </c>
      <c r="V813" s="252">
        <v>0</v>
      </c>
      <c r="W813" s="252">
        <v>0</v>
      </c>
      <c r="X813" s="252">
        <v>0</v>
      </c>
      <c r="Y813" s="252">
        <v>0</v>
      </c>
    </row>
    <row r="814" spans="1:25" x14ac:dyDescent="0.3">
      <c r="A814" s="253" t="s">
        <v>62</v>
      </c>
      <c r="B814" s="252">
        <v>0</v>
      </c>
      <c r="C814" s="252">
        <v>0</v>
      </c>
      <c r="D814" s="252">
        <v>0</v>
      </c>
      <c r="E814" s="252">
        <v>0</v>
      </c>
      <c r="F814" s="252">
        <v>0</v>
      </c>
      <c r="G814" s="252">
        <v>0</v>
      </c>
      <c r="H814" s="252">
        <v>0</v>
      </c>
      <c r="I814" s="252"/>
      <c r="J814" s="252">
        <v>0</v>
      </c>
      <c r="K814" s="252">
        <v>0</v>
      </c>
      <c r="L814" s="252"/>
      <c r="M814" s="252">
        <v>0</v>
      </c>
      <c r="N814" s="252">
        <v>0</v>
      </c>
      <c r="O814" s="252">
        <v>0</v>
      </c>
      <c r="P814" s="252"/>
      <c r="Q814" s="252">
        <v>0</v>
      </c>
      <c r="R814" s="252"/>
      <c r="S814" s="252">
        <v>0</v>
      </c>
      <c r="T814" s="252">
        <v>0</v>
      </c>
      <c r="U814" s="252"/>
      <c r="V814" s="252">
        <v>0</v>
      </c>
      <c r="W814" s="252">
        <v>0</v>
      </c>
      <c r="X814" s="252"/>
      <c r="Y814" s="252">
        <v>0</v>
      </c>
    </row>
    <row r="815" spans="1:25" x14ac:dyDescent="0.3">
      <c r="A815" s="253" t="s">
        <v>653</v>
      </c>
      <c r="B815" s="252">
        <v>0</v>
      </c>
      <c r="C815" s="252">
        <v>0</v>
      </c>
      <c r="D815" s="252">
        <v>0</v>
      </c>
      <c r="E815" s="252">
        <v>0</v>
      </c>
      <c r="F815" s="252">
        <v>0</v>
      </c>
      <c r="G815" s="252">
        <v>0</v>
      </c>
      <c r="H815" s="252">
        <v>0</v>
      </c>
      <c r="I815" s="252">
        <v>0</v>
      </c>
      <c r="J815" s="252">
        <v>0</v>
      </c>
      <c r="K815" s="252">
        <v>0</v>
      </c>
      <c r="L815" s="252">
        <v>0</v>
      </c>
      <c r="M815" s="252">
        <v>0</v>
      </c>
      <c r="N815" s="252">
        <v>0</v>
      </c>
      <c r="O815" s="252">
        <v>0</v>
      </c>
      <c r="P815" s="252">
        <v>0</v>
      </c>
      <c r="Q815" s="252">
        <v>0</v>
      </c>
      <c r="R815" s="252">
        <v>0</v>
      </c>
      <c r="S815" s="252">
        <v>0</v>
      </c>
      <c r="T815" s="252">
        <v>0</v>
      </c>
      <c r="U815" s="252">
        <v>0</v>
      </c>
      <c r="V815" s="252">
        <v>0</v>
      </c>
      <c r="W815" s="252">
        <v>0</v>
      </c>
      <c r="X815" s="252">
        <v>0</v>
      </c>
      <c r="Y815" s="252">
        <v>0</v>
      </c>
    </row>
    <row r="816" spans="1:25" x14ac:dyDescent="0.3">
      <c r="A816" s="253" t="s">
        <v>654</v>
      </c>
      <c r="B816" s="252">
        <v>0</v>
      </c>
      <c r="C816" s="252">
        <v>0</v>
      </c>
      <c r="D816" s="252">
        <v>0</v>
      </c>
      <c r="E816" s="252">
        <v>0</v>
      </c>
      <c r="F816" s="252">
        <v>0</v>
      </c>
      <c r="G816" s="252">
        <v>0</v>
      </c>
      <c r="H816" s="252">
        <v>0</v>
      </c>
      <c r="I816" s="252">
        <v>0</v>
      </c>
      <c r="J816" s="252">
        <v>0</v>
      </c>
      <c r="K816" s="252">
        <v>0</v>
      </c>
      <c r="L816" s="252">
        <v>0</v>
      </c>
      <c r="M816" s="252">
        <v>0</v>
      </c>
      <c r="N816" s="252">
        <v>0</v>
      </c>
      <c r="O816" s="252">
        <v>0</v>
      </c>
      <c r="P816" s="252">
        <v>0</v>
      </c>
      <c r="Q816" s="252">
        <v>0</v>
      </c>
      <c r="R816" s="252">
        <v>0</v>
      </c>
      <c r="S816" s="252">
        <v>0</v>
      </c>
      <c r="T816" s="252">
        <v>0</v>
      </c>
      <c r="U816" s="252">
        <v>0</v>
      </c>
      <c r="V816" s="252">
        <v>0</v>
      </c>
      <c r="W816" s="252">
        <v>0</v>
      </c>
      <c r="X816" s="252">
        <v>0</v>
      </c>
      <c r="Y816" s="252">
        <v>0</v>
      </c>
    </row>
    <row r="817" spans="1:25" x14ac:dyDescent="0.3">
      <c r="A817" s="253" t="s">
        <v>928</v>
      </c>
      <c r="B817" s="252">
        <v>0</v>
      </c>
      <c r="C817" s="252">
        <v>0</v>
      </c>
      <c r="D817" s="252">
        <v>0</v>
      </c>
      <c r="E817" s="252">
        <v>0</v>
      </c>
      <c r="F817" s="252">
        <v>0</v>
      </c>
      <c r="G817" s="252">
        <v>0</v>
      </c>
      <c r="H817" s="252">
        <v>0</v>
      </c>
      <c r="I817" s="252">
        <v>0</v>
      </c>
      <c r="J817" s="252">
        <v>0</v>
      </c>
      <c r="K817" s="252">
        <v>0</v>
      </c>
      <c r="L817" s="252"/>
      <c r="M817" s="252">
        <v>0</v>
      </c>
      <c r="N817" s="252">
        <v>0</v>
      </c>
      <c r="O817" s="252">
        <v>0</v>
      </c>
      <c r="P817" s="252"/>
      <c r="Q817" s="252">
        <v>0</v>
      </c>
      <c r="R817" s="252">
        <v>0</v>
      </c>
      <c r="S817" s="252">
        <v>0</v>
      </c>
      <c r="T817" s="252">
        <v>0</v>
      </c>
      <c r="U817" s="252">
        <v>0</v>
      </c>
      <c r="V817" s="252">
        <v>0</v>
      </c>
      <c r="W817" s="252">
        <v>0</v>
      </c>
      <c r="X817" s="252"/>
      <c r="Y817" s="252">
        <v>0</v>
      </c>
    </row>
    <row r="818" spans="1:25" x14ac:dyDescent="0.3">
      <c r="A818" s="253" t="s">
        <v>1066</v>
      </c>
      <c r="B818" s="252">
        <v>0</v>
      </c>
      <c r="C818" s="252">
        <v>0</v>
      </c>
      <c r="D818" s="252">
        <v>0</v>
      </c>
      <c r="E818" s="252">
        <v>0</v>
      </c>
      <c r="F818" s="252">
        <v>0</v>
      </c>
      <c r="G818" s="252">
        <v>0</v>
      </c>
      <c r="H818" s="252">
        <v>0</v>
      </c>
      <c r="I818" s="252"/>
      <c r="J818" s="252">
        <v>0</v>
      </c>
      <c r="K818" s="252">
        <v>0</v>
      </c>
      <c r="L818" s="252"/>
      <c r="M818" s="252">
        <v>0</v>
      </c>
      <c r="N818" s="252">
        <v>0</v>
      </c>
      <c r="O818" s="252">
        <v>0</v>
      </c>
      <c r="P818" s="252"/>
      <c r="Q818" s="252">
        <v>0</v>
      </c>
      <c r="R818" s="252"/>
      <c r="S818" s="252">
        <v>0</v>
      </c>
      <c r="T818" s="252">
        <v>0</v>
      </c>
      <c r="U818" s="252"/>
      <c r="V818" s="252">
        <v>0</v>
      </c>
      <c r="W818" s="252">
        <v>0</v>
      </c>
      <c r="X818" s="252"/>
      <c r="Y818" s="252">
        <v>0</v>
      </c>
    </row>
    <row r="819" spans="1:25" x14ac:dyDescent="0.3">
      <c r="A819" s="253" t="s">
        <v>1067</v>
      </c>
      <c r="B819" s="252">
        <v>0</v>
      </c>
      <c r="C819" s="252">
        <v>0</v>
      </c>
      <c r="D819" s="252">
        <v>0</v>
      </c>
      <c r="E819" s="252">
        <v>0</v>
      </c>
      <c r="F819" s="252">
        <v>0</v>
      </c>
      <c r="G819" s="252">
        <v>0</v>
      </c>
      <c r="H819" s="252">
        <v>0</v>
      </c>
      <c r="I819" s="252">
        <v>0</v>
      </c>
      <c r="J819" s="252">
        <v>0</v>
      </c>
      <c r="K819" s="252">
        <v>0</v>
      </c>
      <c r="L819" s="252">
        <v>0</v>
      </c>
      <c r="M819" s="252">
        <v>0</v>
      </c>
      <c r="N819" s="252">
        <v>0</v>
      </c>
      <c r="O819" s="252">
        <v>0</v>
      </c>
      <c r="P819" s="252">
        <v>0</v>
      </c>
      <c r="Q819" s="252">
        <v>0</v>
      </c>
      <c r="R819" s="252">
        <v>0</v>
      </c>
      <c r="S819" s="252">
        <v>0</v>
      </c>
      <c r="T819" s="252">
        <v>0</v>
      </c>
      <c r="U819" s="252">
        <v>0</v>
      </c>
      <c r="V819" s="252">
        <v>0</v>
      </c>
      <c r="W819" s="252">
        <v>0</v>
      </c>
      <c r="X819" s="252">
        <v>0</v>
      </c>
      <c r="Y819" s="252">
        <v>0</v>
      </c>
    </row>
    <row r="820" spans="1:25" x14ac:dyDescent="0.3">
      <c r="A820" s="253" t="s">
        <v>929</v>
      </c>
      <c r="B820" s="252">
        <v>0</v>
      </c>
      <c r="C820" s="252">
        <v>0</v>
      </c>
      <c r="D820" s="252">
        <v>0</v>
      </c>
      <c r="E820" s="252">
        <v>0</v>
      </c>
      <c r="F820" s="252">
        <v>0</v>
      </c>
      <c r="G820" s="252">
        <v>0</v>
      </c>
      <c r="H820" s="252">
        <v>0</v>
      </c>
      <c r="I820" s="252">
        <v>0</v>
      </c>
      <c r="J820" s="252">
        <v>0</v>
      </c>
      <c r="K820" s="252">
        <v>0</v>
      </c>
      <c r="L820" s="252">
        <v>0</v>
      </c>
      <c r="M820" s="252">
        <v>0</v>
      </c>
      <c r="N820" s="252">
        <v>0</v>
      </c>
      <c r="O820" s="252">
        <v>0</v>
      </c>
      <c r="P820" s="252"/>
      <c r="Q820" s="252">
        <v>0</v>
      </c>
      <c r="R820" s="252">
        <v>0</v>
      </c>
      <c r="S820" s="252">
        <v>0</v>
      </c>
      <c r="T820" s="252">
        <v>0</v>
      </c>
      <c r="U820" s="252">
        <v>0</v>
      </c>
      <c r="V820" s="252">
        <v>0</v>
      </c>
      <c r="W820" s="252">
        <v>0</v>
      </c>
      <c r="X820" s="252"/>
      <c r="Y820" s="252">
        <v>0</v>
      </c>
    </row>
    <row r="821" spans="1:25" x14ac:dyDescent="0.3">
      <c r="A821" s="253" t="s">
        <v>945</v>
      </c>
      <c r="B821" s="252">
        <v>0</v>
      </c>
      <c r="C821" s="252">
        <v>0</v>
      </c>
      <c r="D821" s="252">
        <v>0</v>
      </c>
      <c r="E821" s="252">
        <v>0</v>
      </c>
      <c r="F821" s="252">
        <v>0</v>
      </c>
      <c r="G821" s="252">
        <v>0</v>
      </c>
      <c r="H821" s="252">
        <v>0</v>
      </c>
      <c r="I821" s="252">
        <v>0</v>
      </c>
      <c r="J821" s="252">
        <v>0</v>
      </c>
      <c r="K821" s="252">
        <v>0</v>
      </c>
      <c r="L821" s="252">
        <v>0</v>
      </c>
      <c r="M821" s="252">
        <v>0</v>
      </c>
      <c r="N821" s="252">
        <v>0</v>
      </c>
      <c r="O821" s="252">
        <v>0</v>
      </c>
      <c r="P821" s="252">
        <v>0</v>
      </c>
      <c r="Q821" s="252">
        <v>0</v>
      </c>
      <c r="R821" s="252">
        <v>0</v>
      </c>
      <c r="S821" s="252">
        <v>0</v>
      </c>
      <c r="T821" s="252">
        <v>0</v>
      </c>
      <c r="U821" s="252">
        <v>0</v>
      </c>
      <c r="V821" s="252">
        <v>0</v>
      </c>
      <c r="W821" s="252">
        <v>0</v>
      </c>
      <c r="X821" s="252">
        <v>0</v>
      </c>
      <c r="Y821" s="252">
        <v>0</v>
      </c>
    </row>
    <row r="822" spans="1:25" x14ac:dyDescent="0.3">
      <c r="A822" s="253" t="s">
        <v>655</v>
      </c>
      <c r="B822" s="252">
        <v>0</v>
      </c>
      <c r="C822" s="252"/>
      <c r="D822" s="252">
        <v>0</v>
      </c>
      <c r="E822" s="252"/>
      <c r="F822" s="252">
        <v>0</v>
      </c>
      <c r="G822" s="252">
        <v>0</v>
      </c>
      <c r="H822" s="252">
        <v>0</v>
      </c>
      <c r="I822" s="252"/>
      <c r="J822" s="252"/>
      <c r="K822" s="252">
        <v>0</v>
      </c>
      <c r="L822" s="252"/>
      <c r="M822" s="252">
        <v>0</v>
      </c>
      <c r="N822" s="252">
        <v>0</v>
      </c>
      <c r="O822" s="252">
        <v>0</v>
      </c>
      <c r="P822" s="252"/>
      <c r="Q822" s="252">
        <v>0</v>
      </c>
      <c r="R822" s="252"/>
      <c r="S822" s="252"/>
      <c r="T822" s="252">
        <v>0</v>
      </c>
      <c r="U822" s="252"/>
      <c r="V822" s="252">
        <v>0</v>
      </c>
      <c r="W822" s="252">
        <v>0</v>
      </c>
      <c r="X822" s="252"/>
      <c r="Y822" s="252">
        <v>0</v>
      </c>
    </row>
    <row r="823" spans="1:25" x14ac:dyDescent="0.3">
      <c r="A823" s="253" t="s">
        <v>656</v>
      </c>
      <c r="B823" s="252">
        <v>0</v>
      </c>
      <c r="C823" s="252">
        <v>0</v>
      </c>
      <c r="D823" s="252">
        <v>0</v>
      </c>
      <c r="E823" s="252">
        <v>0</v>
      </c>
      <c r="F823" s="252">
        <v>0</v>
      </c>
      <c r="G823" s="252">
        <v>0</v>
      </c>
      <c r="H823" s="252">
        <v>0</v>
      </c>
      <c r="I823" s="252"/>
      <c r="J823" s="252"/>
      <c r="K823" s="252">
        <v>0</v>
      </c>
      <c r="L823" s="252"/>
      <c r="M823" s="252">
        <v>0</v>
      </c>
      <c r="N823" s="252">
        <v>0</v>
      </c>
      <c r="O823" s="252">
        <v>0</v>
      </c>
      <c r="P823" s="252"/>
      <c r="Q823" s="252">
        <v>0</v>
      </c>
      <c r="R823" s="252"/>
      <c r="S823" s="252"/>
      <c r="T823" s="252">
        <v>0</v>
      </c>
      <c r="U823" s="252"/>
      <c r="V823" s="252">
        <v>0</v>
      </c>
      <c r="W823" s="252">
        <v>0</v>
      </c>
      <c r="X823" s="252"/>
      <c r="Y823" s="252">
        <v>0</v>
      </c>
    </row>
    <row r="824" spans="1:25" x14ac:dyDescent="0.3">
      <c r="A824" s="253" t="s">
        <v>1073</v>
      </c>
      <c r="B824" s="252">
        <v>0</v>
      </c>
      <c r="C824" s="252">
        <v>0</v>
      </c>
      <c r="D824" s="252">
        <v>0</v>
      </c>
      <c r="E824" s="252">
        <v>0</v>
      </c>
      <c r="F824" s="252">
        <v>0</v>
      </c>
      <c r="G824" s="252">
        <v>0</v>
      </c>
      <c r="H824" s="252">
        <v>0</v>
      </c>
      <c r="I824" s="252">
        <v>0</v>
      </c>
      <c r="J824" s="252">
        <v>0</v>
      </c>
      <c r="K824" s="252">
        <v>0</v>
      </c>
      <c r="L824" s="252">
        <v>0</v>
      </c>
      <c r="M824" s="252">
        <v>0</v>
      </c>
      <c r="N824" s="252">
        <v>0</v>
      </c>
      <c r="O824" s="252">
        <v>0</v>
      </c>
      <c r="P824" s="252">
        <v>0</v>
      </c>
      <c r="Q824" s="252">
        <v>0</v>
      </c>
      <c r="R824" s="252">
        <v>0</v>
      </c>
      <c r="S824" s="252">
        <v>0</v>
      </c>
      <c r="T824" s="252">
        <v>0</v>
      </c>
      <c r="U824" s="252">
        <v>0</v>
      </c>
      <c r="V824" s="252">
        <v>0</v>
      </c>
      <c r="W824" s="252">
        <v>0</v>
      </c>
      <c r="X824" s="252">
        <v>0</v>
      </c>
      <c r="Y824" s="252">
        <v>0</v>
      </c>
    </row>
    <row r="825" spans="1:25" x14ac:dyDescent="0.3">
      <c r="A825" s="253" t="s">
        <v>1074</v>
      </c>
      <c r="B825" s="252">
        <v>0</v>
      </c>
      <c r="C825" s="252">
        <v>0</v>
      </c>
      <c r="D825" s="252">
        <v>0</v>
      </c>
      <c r="E825" s="252">
        <v>0</v>
      </c>
      <c r="F825" s="252">
        <v>0</v>
      </c>
      <c r="G825" s="252">
        <v>0</v>
      </c>
      <c r="H825" s="252">
        <v>0</v>
      </c>
      <c r="I825" s="252">
        <v>0</v>
      </c>
      <c r="J825" s="252">
        <v>0</v>
      </c>
      <c r="K825" s="252">
        <v>0</v>
      </c>
      <c r="L825" s="252">
        <v>0</v>
      </c>
      <c r="M825" s="252">
        <v>0</v>
      </c>
      <c r="N825" s="252">
        <v>0</v>
      </c>
      <c r="O825" s="252">
        <v>0</v>
      </c>
      <c r="P825" s="252">
        <v>0</v>
      </c>
      <c r="Q825" s="252">
        <v>0</v>
      </c>
      <c r="R825" s="252">
        <v>0</v>
      </c>
      <c r="S825" s="252">
        <v>0</v>
      </c>
      <c r="T825" s="252">
        <v>0</v>
      </c>
      <c r="U825" s="252">
        <v>0</v>
      </c>
      <c r="V825" s="252">
        <v>0</v>
      </c>
      <c r="W825" s="252">
        <v>0</v>
      </c>
      <c r="X825" s="252">
        <v>0</v>
      </c>
      <c r="Y825" s="252">
        <v>0</v>
      </c>
    </row>
    <row r="826" spans="1:25" x14ac:dyDescent="0.3">
      <c r="A826" s="253" t="s">
        <v>657</v>
      </c>
      <c r="B826" s="252">
        <v>0</v>
      </c>
      <c r="C826" s="252">
        <v>0</v>
      </c>
      <c r="D826" s="252">
        <v>0</v>
      </c>
      <c r="E826" s="252">
        <v>0</v>
      </c>
      <c r="F826" s="252">
        <v>0</v>
      </c>
      <c r="G826" s="252">
        <v>0</v>
      </c>
      <c r="H826" s="252">
        <v>0</v>
      </c>
      <c r="I826" s="252">
        <v>0</v>
      </c>
      <c r="J826" s="252">
        <v>0</v>
      </c>
      <c r="K826" s="252">
        <v>0</v>
      </c>
      <c r="L826" s="252">
        <v>0</v>
      </c>
      <c r="M826" s="252">
        <v>0</v>
      </c>
      <c r="N826" s="252">
        <v>0</v>
      </c>
      <c r="O826" s="252">
        <v>0</v>
      </c>
      <c r="P826" s="252">
        <v>0</v>
      </c>
      <c r="Q826" s="252">
        <v>0</v>
      </c>
      <c r="R826" s="252">
        <v>0</v>
      </c>
      <c r="S826" s="252">
        <v>0</v>
      </c>
      <c r="T826" s="252">
        <v>0</v>
      </c>
      <c r="U826" s="252">
        <v>0</v>
      </c>
      <c r="V826" s="252">
        <v>0</v>
      </c>
      <c r="W826" s="252">
        <v>0</v>
      </c>
      <c r="X826" s="252">
        <v>0</v>
      </c>
      <c r="Y826" s="252">
        <v>0</v>
      </c>
    </row>
    <row r="827" spans="1:25" x14ac:dyDescent="0.3">
      <c r="A827" s="253" t="s">
        <v>658</v>
      </c>
      <c r="B827" s="252">
        <v>0</v>
      </c>
      <c r="C827" s="252">
        <v>0</v>
      </c>
      <c r="D827" s="252">
        <v>0</v>
      </c>
      <c r="E827" s="252">
        <v>0</v>
      </c>
      <c r="F827" s="252">
        <v>0</v>
      </c>
      <c r="G827" s="252">
        <v>0</v>
      </c>
      <c r="H827" s="252">
        <v>0</v>
      </c>
      <c r="I827" s="252">
        <v>0</v>
      </c>
      <c r="J827" s="252">
        <v>0</v>
      </c>
      <c r="K827" s="252">
        <v>0</v>
      </c>
      <c r="L827" s="252">
        <v>0</v>
      </c>
      <c r="M827" s="252">
        <v>0</v>
      </c>
      <c r="N827" s="252">
        <v>0</v>
      </c>
      <c r="O827" s="252">
        <v>0</v>
      </c>
      <c r="P827" s="252">
        <v>0</v>
      </c>
      <c r="Q827" s="252">
        <v>0</v>
      </c>
      <c r="R827" s="252">
        <v>0</v>
      </c>
      <c r="S827" s="252">
        <v>0</v>
      </c>
      <c r="T827" s="252">
        <v>0</v>
      </c>
      <c r="U827" s="252">
        <v>0</v>
      </c>
      <c r="V827" s="252">
        <v>0</v>
      </c>
      <c r="W827" s="252">
        <v>0</v>
      </c>
      <c r="X827" s="252">
        <v>0</v>
      </c>
      <c r="Y827" s="252">
        <v>0</v>
      </c>
    </row>
    <row r="828" spans="1:25" x14ac:dyDescent="0.3">
      <c r="A828" s="253" t="s">
        <v>659</v>
      </c>
      <c r="B828" s="252">
        <v>0</v>
      </c>
      <c r="C828" s="252">
        <v>0</v>
      </c>
      <c r="D828" s="252">
        <v>0</v>
      </c>
      <c r="E828" s="252">
        <v>0</v>
      </c>
      <c r="F828" s="252">
        <v>0</v>
      </c>
      <c r="G828" s="252">
        <v>0</v>
      </c>
      <c r="H828" s="252">
        <v>0</v>
      </c>
      <c r="I828" s="252">
        <v>0</v>
      </c>
      <c r="J828" s="252">
        <v>0</v>
      </c>
      <c r="K828" s="252">
        <v>0</v>
      </c>
      <c r="L828" s="252">
        <v>0</v>
      </c>
      <c r="M828" s="252">
        <v>0</v>
      </c>
      <c r="N828" s="252">
        <v>0</v>
      </c>
      <c r="O828" s="252">
        <v>0</v>
      </c>
      <c r="P828" s="252">
        <v>0</v>
      </c>
      <c r="Q828" s="252">
        <v>0</v>
      </c>
      <c r="R828" s="252">
        <v>0</v>
      </c>
      <c r="S828" s="252">
        <v>0</v>
      </c>
      <c r="T828" s="252">
        <v>0</v>
      </c>
      <c r="U828" s="252">
        <v>0</v>
      </c>
      <c r="V828" s="252">
        <v>0</v>
      </c>
      <c r="W828" s="252">
        <v>0</v>
      </c>
      <c r="X828" s="252">
        <v>0</v>
      </c>
      <c r="Y828" s="252">
        <v>0</v>
      </c>
    </row>
    <row r="829" spans="1:25" x14ac:dyDescent="0.3">
      <c r="A829" s="253" t="s">
        <v>1068</v>
      </c>
      <c r="B829" s="252">
        <v>0</v>
      </c>
      <c r="C829" s="252">
        <v>0</v>
      </c>
      <c r="D829" s="252">
        <v>0</v>
      </c>
      <c r="E829" s="252">
        <v>0</v>
      </c>
      <c r="F829" s="252">
        <v>0</v>
      </c>
      <c r="G829" s="252">
        <v>0</v>
      </c>
      <c r="H829" s="252">
        <v>0</v>
      </c>
      <c r="I829" s="252">
        <v>0</v>
      </c>
      <c r="J829" s="252">
        <v>0</v>
      </c>
      <c r="K829" s="252">
        <v>0</v>
      </c>
      <c r="L829" s="252">
        <v>0</v>
      </c>
      <c r="M829" s="252">
        <v>0</v>
      </c>
      <c r="N829" s="252">
        <v>0</v>
      </c>
      <c r="O829" s="252">
        <v>0</v>
      </c>
      <c r="P829" s="252">
        <v>0</v>
      </c>
      <c r="Q829" s="252">
        <v>0</v>
      </c>
      <c r="R829" s="252">
        <v>0</v>
      </c>
      <c r="S829" s="252">
        <v>0</v>
      </c>
      <c r="T829" s="252">
        <v>0</v>
      </c>
      <c r="U829" s="252">
        <v>0</v>
      </c>
      <c r="V829" s="252">
        <v>0</v>
      </c>
      <c r="W829" s="252">
        <v>0</v>
      </c>
      <c r="X829" s="252">
        <v>0</v>
      </c>
      <c r="Y829" s="252">
        <v>0</v>
      </c>
    </row>
    <row r="830" spans="1:25" x14ac:dyDescent="0.3">
      <c r="A830" s="253" t="s">
        <v>1069</v>
      </c>
      <c r="B830" s="252">
        <v>0</v>
      </c>
      <c r="C830" s="252">
        <v>0</v>
      </c>
      <c r="D830" s="252">
        <v>0</v>
      </c>
      <c r="E830" s="252">
        <v>0</v>
      </c>
      <c r="F830" s="252">
        <v>0</v>
      </c>
      <c r="G830" s="252">
        <v>0</v>
      </c>
      <c r="H830" s="252">
        <v>0</v>
      </c>
      <c r="I830" s="252">
        <v>0</v>
      </c>
      <c r="J830" s="252">
        <v>0</v>
      </c>
      <c r="K830" s="252">
        <v>0</v>
      </c>
      <c r="L830" s="252">
        <v>0</v>
      </c>
      <c r="M830" s="252">
        <v>0</v>
      </c>
      <c r="N830" s="252">
        <v>0</v>
      </c>
      <c r="O830" s="252">
        <v>0</v>
      </c>
      <c r="P830" s="252">
        <v>0</v>
      </c>
      <c r="Q830" s="252">
        <v>0</v>
      </c>
      <c r="R830" s="252">
        <v>0</v>
      </c>
      <c r="S830" s="252">
        <v>0</v>
      </c>
      <c r="T830" s="252">
        <v>0</v>
      </c>
      <c r="U830" s="252">
        <v>0</v>
      </c>
      <c r="V830" s="252">
        <v>0</v>
      </c>
      <c r="W830" s="252">
        <v>0</v>
      </c>
      <c r="X830" s="252">
        <v>0</v>
      </c>
      <c r="Y830" s="252">
        <v>0</v>
      </c>
    </row>
    <row r="831" spans="1:25" x14ac:dyDescent="0.3">
      <c r="A831" s="253" t="s">
        <v>660</v>
      </c>
      <c r="B831" s="252">
        <v>0</v>
      </c>
      <c r="C831" s="252">
        <v>0</v>
      </c>
      <c r="D831" s="252">
        <v>0</v>
      </c>
      <c r="E831" s="252">
        <v>0</v>
      </c>
      <c r="F831" s="252">
        <v>0</v>
      </c>
      <c r="G831" s="252">
        <v>0</v>
      </c>
      <c r="H831" s="252">
        <v>0</v>
      </c>
      <c r="I831" s="252">
        <v>0</v>
      </c>
      <c r="J831" s="252">
        <v>0</v>
      </c>
      <c r="K831" s="252">
        <v>0</v>
      </c>
      <c r="L831" s="252">
        <v>0</v>
      </c>
      <c r="M831" s="252">
        <v>0</v>
      </c>
      <c r="N831" s="252">
        <v>0</v>
      </c>
      <c r="O831" s="252">
        <v>0</v>
      </c>
      <c r="P831" s="252">
        <v>0</v>
      </c>
      <c r="Q831" s="252">
        <v>0</v>
      </c>
      <c r="R831" s="252">
        <v>0</v>
      </c>
      <c r="S831" s="252">
        <v>0</v>
      </c>
      <c r="T831" s="252">
        <v>0</v>
      </c>
      <c r="U831" s="252">
        <v>0</v>
      </c>
      <c r="V831" s="252">
        <v>0</v>
      </c>
      <c r="W831" s="252">
        <v>0</v>
      </c>
      <c r="X831" s="252">
        <v>0</v>
      </c>
      <c r="Y831" s="252">
        <v>0</v>
      </c>
    </row>
    <row r="832" spans="1:25" x14ac:dyDescent="0.3">
      <c r="A832" s="253" t="s">
        <v>661</v>
      </c>
      <c r="B832" s="252">
        <v>0</v>
      </c>
      <c r="C832" s="252">
        <v>0</v>
      </c>
      <c r="D832" s="252">
        <v>0</v>
      </c>
      <c r="E832" s="252">
        <v>0</v>
      </c>
      <c r="F832" s="252">
        <v>0</v>
      </c>
      <c r="G832" s="252">
        <v>0</v>
      </c>
      <c r="H832" s="252">
        <v>0</v>
      </c>
      <c r="I832" s="252"/>
      <c r="J832" s="252"/>
      <c r="K832" s="252">
        <v>0</v>
      </c>
      <c r="L832" s="252"/>
      <c r="M832" s="252">
        <v>0</v>
      </c>
      <c r="N832" s="252">
        <v>0</v>
      </c>
      <c r="O832" s="252">
        <v>0</v>
      </c>
      <c r="P832" s="252"/>
      <c r="Q832" s="252">
        <v>0</v>
      </c>
      <c r="R832" s="252"/>
      <c r="S832" s="252"/>
      <c r="T832" s="252">
        <v>0</v>
      </c>
      <c r="U832" s="252"/>
      <c r="V832" s="252">
        <v>0</v>
      </c>
      <c r="W832" s="252">
        <v>0</v>
      </c>
      <c r="X832" s="252"/>
      <c r="Y832" s="252">
        <v>0</v>
      </c>
    </row>
    <row r="833" spans="1:25" x14ac:dyDescent="0.3">
      <c r="A833" s="253" t="s">
        <v>662</v>
      </c>
      <c r="B833" s="252">
        <v>0</v>
      </c>
      <c r="C833" s="252">
        <v>0</v>
      </c>
      <c r="D833" s="252">
        <v>0</v>
      </c>
      <c r="E833" s="252">
        <v>0</v>
      </c>
      <c r="F833" s="252">
        <v>0</v>
      </c>
      <c r="G833" s="252">
        <v>0</v>
      </c>
      <c r="H833" s="252">
        <v>0</v>
      </c>
      <c r="I833" s="252">
        <v>0</v>
      </c>
      <c r="J833" s="252">
        <v>0</v>
      </c>
      <c r="K833" s="252">
        <v>0</v>
      </c>
      <c r="L833" s="252">
        <v>0</v>
      </c>
      <c r="M833" s="252">
        <v>0</v>
      </c>
      <c r="N833" s="252">
        <v>0</v>
      </c>
      <c r="O833" s="252">
        <v>0</v>
      </c>
      <c r="P833" s="252">
        <v>0</v>
      </c>
      <c r="Q833" s="252">
        <v>0</v>
      </c>
      <c r="R833" s="252">
        <v>0</v>
      </c>
      <c r="S833" s="252">
        <v>0</v>
      </c>
      <c r="T833" s="252">
        <v>0</v>
      </c>
      <c r="U833" s="252">
        <v>0</v>
      </c>
      <c r="V833" s="252">
        <v>0</v>
      </c>
      <c r="W833" s="252">
        <v>0</v>
      </c>
      <c r="X833" s="252">
        <v>0</v>
      </c>
      <c r="Y833" s="252">
        <v>0</v>
      </c>
    </row>
    <row r="834" spans="1:25" x14ac:dyDescent="0.3">
      <c r="A834" s="253" t="s">
        <v>663</v>
      </c>
      <c r="B834" s="252">
        <v>0</v>
      </c>
      <c r="C834" s="252"/>
      <c r="D834" s="252">
        <v>0</v>
      </c>
      <c r="E834" s="252">
        <v>0</v>
      </c>
      <c r="F834" s="252">
        <v>0</v>
      </c>
      <c r="G834" s="252">
        <v>0</v>
      </c>
      <c r="H834" s="252">
        <v>0</v>
      </c>
      <c r="I834" s="252"/>
      <c r="J834" s="252"/>
      <c r="K834" s="252">
        <v>0</v>
      </c>
      <c r="L834" s="252"/>
      <c r="M834" s="252">
        <v>0</v>
      </c>
      <c r="N834" s="252">
        <v>0</v>
      </c>
      <c r="O834" s="252">
        <v>0</v>
      </c>
      <c r="P834" s="252"/>
      <c r="Q834" s="252">
        <v>0</v>
      </c>
      <c r="R834" s="252"/>
      <c r="S834" s="252"/>
      <c r="T834" s="252">
        <v>0</v>
      </c>
      <c r="U834" s="252"/>
      <c r="V834" s="252">
        <v>0</v>
      </c>
      <c r="W834" s="252">
        <v>0</v>
      </c>
      <c r="X834" s="252"/>
      <c r="Y834" s="252">
        <v>0</v>
      </c>
    </row>
    <row r="835" spans="1:25" x14ac:dyDescent="0.3">
      <c r="A835" s="253" t="s">
        <v>664</v>
      </c>
      <c r="B835" s="252">
        <v>0</v>
      </c>
      <c r="C835" s="252">
        <v>0</v>
      </c>
      <c r="D835" s="252">
        <v>0</v>
      </c>
      <c r="E835" s="252"/>
      <c r="F835" s="252">
        <v>0</v>
      </c>
      <c r="G835" s="252">
        <v>0</v>
      </c>
      <c r="H835" s="252">
        <v>0</v>
      </c>
      <c r="I835" s="252"/>
      <c r="J835" s="252">
        <v>0</v>
      </c>
      <c r="K835" s="252">
        <v>0</v>
      </c>
      <c r="L835" s="252"/>
      <c r="M835" s="252">
        <v>0</v>
      </c>
      <c r="N835" s="252">
        <v>0</v>
      </c>
      <c r="O835" s="252">
        <v>0</v>
      </c>
      <c r="P835" s="252"/>
      <c r="Q835" s="252">
        <v>0</v>
      </c>
      <c r="R835" s="252"/>
      <c r="S835" s="252">
        <v>0</v>
      </c>
      <c r="T835" s="252">
        <v>0</v>
      </c>
      <c r="U835" s="252"/>
      <c r="V835" s="252">
        <v>0</v>
      </c>
      <c r="W835" s="252">
        <v>0</v>
      </c>
      <c r="X835" s="252"/>
      <c r="Y835" s="252">
        <v>0</v>
      </c>
    </row>
    <row r="836" spans="1:25" x14ac:dyDescent="0.3">
      <c r="A836" s="253" t="s">
        <v>665</v>
      </c>
      <c r="B836" s="252">
        <v>0</v>
      </c>
      <c r="C836" s="252">
        <v>0</v>
      </c>
      <c r="D836" s="252">
        <v>0</v>
      </c>
      <c r="E836" s="252">
        <v>0</v>
      </c>
      <c r="F836" s="252">
        <v>0</v>
      </c>
      <c r="G836" s="252">
        <v>0</v>
      </c>
      <c r="H836" s="252">
        <v>0</v>
      </c>
      <c r="I836" s="252"/>
      <c r="J836" s="252">
        <v>0</v>
      </c>
      <c r="K836" s="252">
        <v>0</v>
      </c>
      <c r="L836" s="252"/>
      <c r="M836" s="252">
        <v>0</v>
      </c>
      <c r="N836" s="252">
        <v>0</v>
      </c>
      <c r="O836" s="252">
        <v>0</v>
      </c>
      <c r="P836" s="252"/>
      <c r="Q836" s="252">
        <v>0</v>
      </c>
      <c r="R836" s="252"/>
      <c r="S836" s="252">
        <v>0</v>
      </c>
      <c r="T836" s="252">
        <v>0</v>
      </c>
      <c r="U836" s="252"/>
      <c r="V836" s="252">
        <v>0</v>
      </c>
      <c r="W836" s="252">
        <v>0</v>
      </c>
      <c r="X836" s="252"/>
      <c r="Y836" s="252">
        <v>0</v>
      </c>
    </row>
    <row r="837" spans="1:25" x14ac:dyDescent="0.3">
      <c r="A837" s="253" t="s">
        <v>666</v>
      </c>
      <c r="B837" s="252">
        <v>0</v>
      </c>
      <c r="C837" s="252">
        <v>0</v>
      </c>
      <c r="D837" s="252">
        <v>0</v>
      </c>
      <c r="E837" s="252">
        <v>0</v>
      </c>
      <c r="F837" s="252">
        <v>0</v>
      </c>
      <c r="G837" s="252">
        <v>0</v>
      </c>
      <c r="H837" s="252">
        <v>0</v>
      </c>
      <c r="I837" s="252"/>
      <c r="J837" s="252"/>
      <c r="K837" s="252">
        <v>0</v>
      </c>
      <c r="L837" s="252"/>
      <c r="M837" s="252">
        <v>0</v>
      </c>
      <c r="N837" s="252">
        <v>0</v>
      </c>
      <c r="O837" s="252">
        <v>0</v>
      </c>
      <c r="P837" s="252"/>
      <c r="Q837" s="252">
        <v>0</v>
      </c>
      <c r="R837" s="252"/>
      <c r="S837" s="252"/>
      <c r="T837" s="252">
        <v>0</v>
      </c>
      <c r="U837" s="252"/>
      <c r="V837" s="252">
        <v>0</v>
      </c>
      <c r="W837" s="252">
        <v>0</v>
      </c>
      <c r="X837" s="252"/>
      <c r="Y837" s="252">
        <v>0</v>
      </c>
    </row>
    <row r="838" spans="1:25" x14ac:dyDescent="0.3">
      <c r="A838" s="253" t="s">
        <v>667</v>
      </c>
      <c r="B838" s="252">
        <v>0</v>
      </c>
      <c r="C838" s="252">
        <v>0</v>
      </c>
      <c r="D838" s="252">
        <v>0</v>
      </c>
      <c r="E838" s="252"/>
      <c r="F838" s="252">
        <v>0</v>
      </c>
      <c r="G838" s="252">
        <v>0</v>
      </c>
      <c r="H838" s="252">
        <v>0</v>
      </c>
      <c r="I838" s="252"/>
      <c r="J838" s="252"/>
      <c r="K838" s="252">
        <v>0</v>
      </c>
      <c r="L838" s="252"/>
      <c r="M838" s="252">
        <v>0</v>
      </c>
      <c r="N838" s="252">
        <v>0</v>
      </c>
      <c r="O838" s="252">
        <v>0</v>
      </c>
      <c r="P838" s="252"/>
      <c r="Q838" s="252">
        <v>0</v>
      </c>
      <c r="R838" s="252"/>
      <c r="S838" s="252"/>
      <c r="T838" s="252">
        <v>0</v>
      </c>
      <c r="U838" s="252"/>
      <c r="V838" s="252">
        <v>0</v>
      </c>
      <c r="W838" s="252">
        <v>0</v>
      </c>
      <c r="X838" s="252"/>
      <c r="Y838" s="252">
        <v>0</v>
      </c>
    </row>
    <row r="839" spans="1:25" x14ac:dyDescent="0.3">
      <c r="A839" s="253" t="s">
        <v>930</v>
      </c>
      <c r="B839" s="252">
        <v>0</v>
      </c>
      <c r="C839" s="252">
        <v>0</v>
      </c>
      <c r="D839" s="252">
        <v>0</v>
      </c>
      <c r="E839" s="252">
        <v>0</v>
      </c>
      <c r="F839" s="252">
        <v>0</v>
      </c>
      <c r="G839" s="252">
        <v>0</v>
      </c>
      <c r="H839" s="252">
        <v>0</v>
      </c>
      <c r="I839" s="252">
        <v>0</v>
      </c>
      <c r="J839" s="252">
        <v>0</v>
      </c>
      <c r="K839" s="252">
        <v>0</v>
      </c>
      <c r="L839" s="252"/>
      <c r="M839" s="252">
        <v>0</v>
      </c>
      <c r="N839" s="252">
        <v>0</v>
      </c>
      <c r="O839" s="252">
        <v>0</v>
      </c>
      <c r="P839" s="252"/>
      <c r="Q839" s="252">
        <v>0</v>
      </c>
      <c r="R839" s="252">
        <v>0</v>
      </c>
      <c r="S839" s="252">
        <v>0</v>
      </c>
      <c r="T839" s="252">
        <v>0</v>
      </c>
      <c r="U839" s="252">
        <v>0</v>
      </c>
      <c r="V839" s="252">
        <v>0</v>
      </c>
      <c r="W839" s="252">
        <v>0</v>
      </c>
      <c r="X839" s="252"/>
      <c r="Y839" s="252">
        <v>0</v>
      </c>
    </row>
    <row r="840" spans="1:25" x14ac:dyDescent="0.3">
      <c r="A840" s="253" t="s">
        <v>668</v>
      </c>
      <c r="B840" s="252">
        <v>0</v>
      </c>
      <c r="C840" s="252"/>
      <c r="D840" s="252">
        <v>0</v>
      </c>
      <c r="E840" s="252">
        <v>0</v>
      </c>
      <c r="F840" s="252">
        <v>0</v>
      </c>
      <c r="G840" s="252">
        <v>0</v>
      </c>
      <c r="H840" s="252">
        <v>0</v>
      </c>
      <c r="I840" s="252"/>
      <c r="J840" s="252"/>
      <c r="K840" s="252">
        <v>0</v>
      </c>
      <c r="L840" s="252"/>
      <c r="M840" s="252">
        <v>0</v>
      </c>
      <c r="N840" s="252">
        <v>0</v>
      </c>
      <c r="O840" s="252">
        <v>0</v>
      </c>
      <c r="P840" s="252"/>
      <c r="Q840" s="252">
        <v>0</v>
      </c>
      <c r="R840" s="252"/>
      <c r="S840" s="252"/>
      <c r="T840" s="252">
        <v>0</v>
      </c>
      <c r="U840" s="252"/>
      <c r="V840" s="252">
        <v>0</v>
      </c>
      <c r="W840" s="252">
        <v>0</v>
      </c>
      <c r="X840" s="252"/>
      <c r="Y840" s="252">
        <v>0</v>
      </c>
    </row>
    <row r="841" spans="1:25" x14ac:dyDescent="0.3">
      <c r="A841" s="253" t="s">
        <v>1085</v>
      </c>
      <c r="B841" s="252">
        <v>0</v>
      </c>
      <c r="C841" s="252">
        <v>0</v>
      </c>
      <c r="D841" s="252">
        <v>0</v>
      </c>
      <c r="E841" s="252">
        <v>0</v>
      </c>
      <c r="F841" s="252">
        <v>0</v>
      </c>
      <c r="G841" s="252">
        <v>0</v>
      </c>
      <c r="H841" s="252">
        <v>0</v>
      </c>
      <c r="I841" s="252">
        <v>0</v>
      </c>
      <c r="J841" s="252">
        <v>0</v>
      </c>
      <c r="K841" s="252">
        <v>0</v>
      </c>
      <c r="L841" s="252">
        <v>0</v>
      </c>
      <c r="M841" s="252">
        <v>0</v>
      </c>
      <c r="N841" s="252">
        <v>0</v>
      </c>
      <c r="O841" s="252">
        <v>0</v>
      </c>
      <c r="P841" s="252">
        <v>0</v>
      </c>
      <c r="Q841" s="252">
        <v>0</v>
      </c>
      <c r="R841" s="252">
        <v>0</v>
      </c>
      <c r="S841" s="252">
        <v>0</v>
      </c>
      <c r="T841" s="252">
        <v>0</v>
      </c>
      <c r="U841" s="252">
        <v>0</v>
      </c>
      <c r="V841" s="252">
        <v>0</v>
      </c>
      <c r="W841" s="252">
        <v>0</v>
      </c>
      <c r="X841" s="252">
        <v>0</v>
      </c>
      <c r="Y841" s="252">
        <v>0</v>
      </c>
    </row>
    <row r="842" spans="1:25" x14ac:dyDescent="0.3">
      <c r="A842" s="253" t="s">
        <v>38</v>
      </c>
      <c r="B842" s="252">
        <v>0</v>
      </c>
      <c r="C842" s="252">
        <v>0</v>
      </c>
      <c r="D842" s="252">
        <v>0</v>
      </c>
      <c r="E842" s="252">
        <v>0</v>
      </c>
      <c r="F842" s="252">
        <v>0</v>
      </c>
      <c r="G842" s="252">
        <v>0</v>
      </c>
      <c r="H842" s="252">
        <v>0</v>
      </c>
      <c r="I842" s="252">
        <v>0</v>
      </c>
      <c r="J842" s="252">
        <v>0</v>
      </c>
      <c r="K842" s="252">
        <v>0</v>
      </c>
      <c r="L842" s="252"/>
      <c r="M842" s="252">
        <v>0</v>
      </c>
      <c r="N842" s="252">
        <v>0</v>
      </c>
      <c r="O842" s="252">
        <v>0</v>
      </c>
      <c r="P842" s="252"/>
      <c r="Q842" s="252">
        <v>0</v>
      </c>
      <c r="R842" s="252">
        <v>0</v>
      </c>
      <c r="S842" s="252">
        <v>0</v>
      </c>
      <c r="T842" s="252">
        <v>0</v>
      </c>
      <c r="U842" s="252"/>
      <c r="V842" s="252">
        <v>0</v>
      </c>
      <c r="W842" s="252">
        <v>0</v>
      </c>
      <c r="X842" s="252"/>
      <c r="Y842" s="252">
        <v>0</v>
      </c>
    </row>
    <row r="843" spans="1:25" x14ac:dyDescent="0.3">
      <c r="A843" s="253" t="s">
        <v>39</v>
      </c>
      <c r="B843" s="252">
        <v>1</v>
      </c>
      <c r="C843" s="252">
        <v>2</v>
      </c>
      <c r="D843" s="252">
        <v>0</v>
      </c>
      <c r="E843" s="252">
        <v>2</v>
      </c>
      <c r="F843" s="252">
        <v>1</v>
      </c>
      <c r="G843" s="252">
        <v>1</v>
      </c>
      <c r="H843" s="252">
        <v>1</v>
      </c>
      <c r="I843" s="252">
        <v>0</v>
      </c>
      <c r="J843" s="252">
        <v>2</v>
      </c>
      <c r="K843" s="252">
        <v>1</v>
      </c>
      <c r="L843" s="252">
        <v>1</v>
      </c>
      <c r="M843" s="252">
        <v>1</v>
      </c>
      <c r="N843" s="252">
        <v>0</v>
      </c>
      <c r="O843" s="252">
        <v>1</v>
      </c>
      <c r="P843" s="252">
        <v>1</v>
      </c>
      <c r="Q843" s="252">
        <v>1</v>
      </c>
      <c r="R843" s="252">
        <v>1</v>
      </c>
      <c r="S843" s="252">
        <v>1</v>
      </c>
      <c r="T843" s="252">
        <v>0</v>
      </c>
      <c r="U843" s="252">
        <v>0</v>
      </c>
      <c r="V843" s="252">
        <v>1</v>
      </c>
      <c r="W843" s="252">
        <v>0</v>
      </c>
      <c r="X843" s="252">
        <v>0</v>
      </c>
      <c r="Y843" s="252">
        <v>19</v>
      </c>
    </row>
    <row r="844" spans="1:25" x14ac:dyDescent="0.3">
      <c r="A844" s="253" t="s">
        <v>669</v>
      </c>
      <c r="B844" s="252">
        <v>6</v>
      </c>
      <c r="C844" s="252">
        <v>5</v>
      </c>
      <c r="D844" s="252">
        <v>1</v>
      </c>
      <c r="E844" s="252">
        <v>5</v>
      </c>
      <c r="F844" s="252">
        <v>0</v>
      </c>
      <c r="G844" s="252">
        <v>4</v>
      </c>
      <c r="H844" s="252">
        <v>4</v>
      </c>
      <c r="I844" s="252"/>
      <c r="J844" s="252">
        <v>7</v>
      </c>
      <c r="K844" s="252">
        <v>4</v>
      </c>
      <c r="L844" s="252">
        <v>5</v>
      </c>
      <c r="M844" s="252">
        <v>3</v>
      </c>
      <c r="N844" s="252">
        <v>4</v>
      </c>
      <c r="O844" s="252">
        <v>7</v>
      </c>
      <c r="P844" s="252">
        <v>3</v>
      </c>
      <c r="Q844" s="252">
        <v>7</v>
      </c>
      <c r="R844" s="252">
        <v>5</v>
      </c>
      <c r="S844" s="252">
        <v>5</v>
      </c>
      <c r="T844" s="252">
        <v>5</v>
      </c>
      <c r="U844" s="252">
        <v>5</v>
      </c>
      <c r="V844" s="252">
        <v>6</v>
      </c>
      <c r="W844" s="252">
        <v>4</v>
      </c>
      <c r="X844" s="252">
        <v>6</v>
      </c>
      <c r="Y844" s="252">
        <v>101</v>
      </c>
    </row>
    <row r="845" spans="1:25" x14ac:dyDescent="0.3">
      <c r="A845" s="253" t="s">
        <v>670</v>
      </c>
      <c r="B845" s="252">
        <v>6</v>
      </c>
      <c r="C845" s="252">
        <v>4</v>
      </c>
      <c r="D845" s="252">
        <v>0</v>
      </c>
      <c r="E845" s="252">
        <v>4</v>
      </c>
      <c r="F845" s="252">
        <v>0</v>
      </c>
      <c r="G845" s="252">
        <v>3</v>
      </c>
      <c r="H845" s="252">
        <v>5</v>
      </c>
      <c r="I845" s="252"/>
      <c r="J845" s="252">
        <v>5</v>
      </c>
      <c r="K845" s="252">
        <v>5</v>
      </c>
      <c r="L845" s="252">
        <v>5</v>
      </c>
      <c r="M845" s="252">
        <v>4</v>
      </c>
      <c r="N845" s="252">
        <v>4</v>
      </c>
      <c r="O845" s="252">
        <v>5</v>
      </c>
      <c r="P845" s="252">
        <v>6</v>
      </c>
      <c r="Q845" s="252">
        <v>4</v>
      </c>
      <c r="R845" s="252">
        <v>7</v>
      </c>
      <c r="S845" s="252">
        <v>4</v>
      </c>
      <c r="T845" s="252">
        <v>5</v>
      </c>
      <c r="U845" s="252">
        <v>6</v>
      </c>
      <c r="V845" s="252">
        <v>4</v>
      </c>
      <c r="W845" s="252">
        <v>5</v>
      </c>
      <c r="X845" s="252">
        <v>5</v>
      </c>
      <c r="Y845" s="252">
        <v>96</v>
      </c>
    </row>
    <row r="846" spans="1:25" x14ac:dyDescent="0.3">
      <c r="A846" s="253" t="s">
        <v>671</v>
      </c>
      <c r="B846" s="252">
        <v>0</v>
      </c>
      <c r="C846" s="252">
        <v>0</v>
      </c>
      <c r="D846" s="252">
        <v>0</v>
      </c>
      <c r="E846" s="252"/>
      <c r="F846" s="252">
        <v>0</v>
      </c>
      <c r="G846" s="252">
        <v>0</v>
      </c>
      <c r="H846" s="252">
        <v>0</v>
      </c>
      <c r="I846" s="252"/>
      <c r="J846" s="252"/>
      <c r="K846" s="252">
        <v>0</v>
      </c>
      <c r="L846" s="252"/>
      <c r="M846" s="252">
        <v>0</v>
      </c>
      <c r="N846" s="252">
        <v>0</v>
      </c>
      <c r="O846" s="252">
        <v>0</v>
      </c>
      <c r="P846" s="252"/>
      <c r="Q846" s="252">
        <v>0</v>
      </c>
      <c r="R846" s="252"/>
      <c r="S846" s="252">
        <v>0</v>
      </c>
      <c r="T846" s="252">
        <v>0</v>
      </c>
      <c r="U846" s="252"/>
      <c r="V846" s="252">
        <v>0</v>
      </c>
      <c r="W846" s="252">
        <v>0</v>
      </c>
      <c r="X846" s="252"/>
      <c r="Y846" s="252">
        <v>0</v>
      </c>
    </row>
    <row r="847" spans="1:25" x14ac:dyDescent="0.3">
      <c r="A847" s="253" t="s">
        <v>27</v>
      </c>
      <c r="B847" s="252">
        <v>0</v>
      </c>
      <c r="C847" s="252">
        <v>0</v>
      </c>
      <c r="D847" s="252">
        <v>0</v>
      </c>
      <c r="E847" s="252">
        <v>0</v>
      </c>
      <c r="F847" s="252">
        <v>0</v>
      </c>
      <c r="G847" s="252">
        <v>0</v>
      </c>
      <c r="H847" s="252">
        <v>0</v>
      </c>
      <c r="I847" s="252">
        <v>0</v>
      </c>
      <c r="J847" s="252">
        <v>0</v>
      </c>
      <c r="K847" s="252">
        <v>0</v>
      </c>
      <c r="L847" s="252"/>
      <c r="M847" s="252">
        <v>0</v>
      </c>
      <c r="N847" s="252">
        <v>0</v>
      </c>
      <c r="O847" s="252">
        <v>0</v>
      </c>
      <c r="P847" s="252"/>
      <c r="Q847" s="252">
        <v>0</v>
      </c>
      <c r="R847" s="252">
        <v>0</v>
      </c>
      <c r="S847" s="252">
        <v>0</v>
      </c>
      <c r="T847" s="252">
        <v>0</v>
      </c>
      <c r="U847" s="252"/>
      <c r="V847" s="252">
        <v>0</v>
      </c>
      <c r="W847" s="252">
        <v>0</v>
      </c>
      <c r="X847" s="252"/>
      <c r="Y847" s="252">
        <v>0</v>
      </c>
    </row>
    <row r="848" spans="1:25" x14ac:dyDescent="0.3">
      <c r="A848" s="253" t="s">
        <v>672</v>
      </c>
      <c r="B848" s="252">
        <v>0</v>
      </c>
      <c r="C848" s="252"/>
      <c r="D848" s="252">
        <v>0</v>
      </c>
      <c r="E848" s="252"/>
      <c r="F848" s="252">
        <v>0</v>
      </c>
      <c r="G848" s="252">
        <v>0</v>
      </c>
      <c r="H848" s="252">
        <v>0</v>
      </c>
      <c r="I848" s="252"/>
      <c r="J848" s="252"/>
      <c r="K848" s="252">
        <v>0</v>
      </c>
      <c r="L848" s="252"/>
      <c r="M848" s="252">
        <v>0</v>
      </c>
      <c r="N848" s="252">
        <v>0</v>
      </c>
      <c r="O848" s="252">
        <v>0</v>
      </c>
      <c r="P848" s="252"/>
      <c r="Q848" s="252">
        <v>0</v>
      </c>
      <c r="R848" s="252"/>
      <c r="S848" s="252"/>
      <c r="T848" s="252">
        <v>0</v>
      </c>
      <c r="U848" s="252"/>
      <c r="V848" s="252">
        <v>0</v>
      </c>
      <c r="W848" s="252">
        <v>0</v>
      </c>
      <c r="X848" s="252"/>
      <c r="Y848" s="252">
        <v>0</v>
      </c>
    </row>
    <row r="849" spans="1:25" x14ac:dyDescent="0.3">
      <c r="A849" s="253" t="s">
        <v>931</v>
      </c>
      <c r="B849" s="252">
        <v>0</v>
      </c>
      <c r="C849" s="252">
        <v>0</v>
      </c>
      <c r="D849" s="252">
        <v>0</v>
      </c>
      <c r="E849" s="252">
        <v>0</v>
      </c>
      <c r="F849" s="252">
        <v>0</v>
      </c>
      <c r="G849" s="252">
        <v>0</v>
      </c>
      <c r="H849" s="252">
        <v>0</v>
      </c>
      <c r="I849" s="252">
        <v>0</v>
      </c>
      <c r="J849" s="252">
        <v>0</v>
      </c>
      <c r="K849" s="252">
        <v>0</v>
      </c>
      <c r="L849" s="252"/>
      <c r="M849" s="252">
        <v>0</v>
      </c>
      <c r="N849" s="252">
        <v>0</v>
      </c>
      <c r="O849" s="252">
        <v>0</v>
      </c>
      <c r="P849" s="252"/>
      <c r="Q849" s="252">
        <v>0</v>
      </c>
      <c r="R849" s="252">
        <v>0</v>
      </c>
      <c r="S849" s="252">
        <v>0</v>
      </c>
      <c r="T849" s="252">
        <v>0</v>
      </c>
      <c r="U849" s="252">
        <v>0</v>
      </c>
      <c r="V849" s="252">
        <v>0</v>
      </c>
      <c r="W849" s="252">
        <v>0</v>
      </c>
      <c r="X849" s="252"/>
      <c r="Y849" s="252">
        <v>0</v>
      </c>
    </row>
    <row r="850" spans="1:25" x14ac:dyDescent="0.3">
      <c r="A850" s="253" t="s">
        <v>673</v>
      </c>
      <c r="B850" s="252">
        <v>0</v>
      </c>
      <c r="C850" s="252">
        <v>0</v>
      </c>
      <c r="D850" s="252">
        <v>0</v>
      </c>
      <c r="E850" s="252">
        <v>0</v>
      </c>
      <c r="F850" s="252">
        <v>0</v>
      </c>
      <c r="G850" s="252">
        <v>0</v>
      </c>
      <c r="H850" s="252">
        <v>0</v>
      </c>
      <c r="I850" s="252">
        <v>0</v>
      </c>
      <c r="J850" s="252">
        <v>0</v>
      </c>
      <c r="K850" s="252">
        <v>0</v>
      </c>
      <c r="L850" s="252"/>
      <c r="M850" s="252">
        <v>0</v>
      </c>
      <c r="N850" s="252">
        <v>0</v>
      </c>
      <c r="O850" s="252">
        <v>0</v>
      </c>
      <c r="P850" s="252"/>
      <c r="Q850" s="252">
        <v>0</v>
      </c>
      <c r="R850" s="252"/>
      <c r="S850" s="252">
        <v>0</v>
      </c>
      <c r="T850" s="252">
        <v>0</v>
      </c>
      <c r="U850" s="252"/>
      <c r="V850" s="252">
        <v>0</v>
      </c>
      <c r="W850" s="252">
        <v>0</v>
      </c>
      <c r="X850" s="252"/>
      <c r="Y850" s="252">
        <v>0</v>
      </c>
    </row>
    <row r="851" spans="1:25" x14ac:dyDescent="0.3">
      <c r="A851" s="253" t="s">
        <v>1108</v>
      </c>
      <c r="B851" s="252">
        <v>0</v>
      </c>
      <c r="C851" s="252">
        <v>0</v>
      </c>
      <c r="D851" s="252">
        <v>0</v>
      </c>
      <c r="E851" s="252">
        <v>0</v>
      </c>
      <c r="F851" s="252">
        <v>0</v>
      </c>
      <c r="G851" s="252">
        <v>0</v>
      </c>
      <c r="H851" s="252">
        <v>0</v>
      </c>
      <c r="I851" s="252">
        <v>0</v>
      </c>
      <c r="J851" s="252">
        <v>0</v>
      </c>
      <c r="K851" s="252">
        <v>0</v>
      </c>
      <c r="L851" s="252">
        <v>0</v>
      </c>
      <c r="M851" s="252">
        <v>0</v>
      </c>
      <c r="N851" s="252">
        <v>0</v>
      </c>
      <c r="O851" s="252">
        <v>0</v>
      </c>
      <c r="P851" s="252">
        <v>0</v>
      </c>
      <c r="Q851" s="252">
        <v>0</v>
      </c>
      <c r="R851" s="252">
        <v>0</v>
      </c>
      <c r="S851" s="252">
        <v>0</v>
      </c>
      <c r="T851" s="252">
        <v>0</v>
      </c>
      <c r="U851" s="252">
        <v>0</v>
      </c>
      <c r="V851" s="252">
        <v>0</v>
      </c>
      <c r="W851" s="252">
        <v>0</v>
      </c>
      <c r="X851" s="252">
        <v>0</v>
      </c>
      <c r="Y851" s="252">
        <v>0</v>
      </c>
    </row>
    <row r="852" spans="1:25" x14ac:dyDescent="0.3">
      <c r="A852" s="253" t="s">
        <v>1104</v>
      </c>
      <c r="B852" s="252">
        <v>0</v>
      </c>
      <c r="C852" s="252">
        <v>0</v>
      </c>
      <c r="D852" s="252">
        <v>0</v>
      </c>
      <c r="E852" s="252">
        <v>0</v>
      </c>
      <c r="F852" s="252">
        <v>0</v>
      </c>
      <c r="G852" s="252">
        <v>0</v>
      </c>
      <c r="H852" s="252">
        <v>0</v>
      </c>
      <c r="I852" s="252">
        <v>0</v>
      </c>
      <c r="J852" s="252">
        <v>0</v>
      </c>
      <c r="K852" s="252">
        <v>0</v>
      </c>
      <c r="L852" s="252">
        <v>0</v>
      </c>
      <c r="M852" s="252">
        <v>0</v>
      </c>
      <c r="N852" s="252">
        <v>0</v>
      </c>
      <c r="O852" s="252">
        <v>0</v>
      </c>
      <c r="P852" s="252">
        <v>0</v>
      </c>
      <c r="Q852" s="252">
        <v>0</v>
      </c>
      <c r="R852" s="252">
        <v>0</v>
      </c>
      <c r="S852" s="252">
        <v>0</v>
      </c>
      <c r="T852" s="252">
        <v>0</v>
      </c>
      <c r="U852" s="252">
        <v>0</v>
      </c>
      <c r="V852" s="252">
        <v>0</v>
      </c>
      <c r="W852" s="252">
        <v>0</v>
      </c>
      <c r="X852" s="252">
        <v>0</v>
      </c>
      <c r="Y852" s="252">
        <v>0</v>
      </c>
    </row>
    <row r="853" spans="1:25" x14ac:dyDescent="0.3">
      <c r="A853" s="253" t="s">
        <v>1105</v>
      </c>
      <c r="B853" s="252">
        <v>0</v>
      </c>
      <c r="C853" s="252">
        <v>0</v>
      </c>
      <c r="D853" s="252">
        <v>0</v>
      </c>
      <c r="E853" s="252">
        <v>0</v>
      </c>
      <c r="F853" s="252">
        <v>0</v>
      </c>
      <c r="G853" s="252">
        <v>0</v>
      </c>
      <c r="H853" s="252">
        <v>0</v>
      </c>
      <c r="I853" s="252">
        <v>0</v>
      </c>
      <c r="J853" s="252">
        <v>0</v>
      </c>
      <c r="K853" s="252">
        <v>0</v>
      </c>
      <c r="L853" s="252">
        <v>0</v>
      </c>
      <c r="M853" s="252">
        <v>0</v>
      </c>
      <c r="N853" s="252">
        <v>0</v>
      </c>
      <c r="O853" s="252">
        <v>0</v>
      </c>
      <c r="P853" s="252">
        <v>0</v>
      </c>
      <c r="Q853" s="252">
        <v>0</v>
      </c>
      <c r="R853" s="252">
        <v>0</v>
      </c>
      <c r="S853" s="252">
        <v>0</v>
      </c>
      <c r="T853" s="252">
        <v>0</v>
      </c>
      <c r="U853" s="252">
        <v>0</v>
      </c>
      <c r="V853" s="252">
        <v>0</v>
      </c>
      <c r="W853" s="252">
        <v>0</v>
      </c>
      <c r="X853" s="252">
        <v>0</v>
      </c>
      <c r="Y853" s="252">
        <v>0</v>
      </c>
    </row>
    <row r="854" spans="1:25" x14ac:dyDescent="0.3">
      <c r="A854" s="253" t="s">
        <v>1116</v>
      </c>
      <c r="B854" s="252">
        <v>0</v>
      </c>
      <c r="C854" s="252">
        <v>0</v>
      </c>
      <c r="D854" s="252">
        <v>0</v>
      </c>
      <c r="E854" s="252">
        <v>0</v>
      </c>
      <c r="F854" s="252">
        <v>0</v>
      </c>
      <c r="G854" s="252">
        <v>0</v>
      </c>
      <c r="H854" s="252">
        <v>0</v>
      </c>
      <c r="I854" s="252">
        <v>0</v>
      </c>
      <c r="J854" s="252">
        <v>0</v>
      </c>
      <c r="K854" s="252">
        <v>0</v>
      </c>
      <c r="L854" s="252">
        <v>0</v>
      </c>
      <c r="M854" s="252">
        <v>0</v>
      </c>
      <c r="N854" s="252">
        <v>0</v>
      </c>
      <c r="O854" s="252">
        <v>0</v>
      </c>
      <c r="P854" s="252">
        <v>0</v>
      </c>
      <c r="Q854" s="252">
        <v>0</v>
      </c>
      <c r="R854" s="252">
        <v>0</v>
      </c>
      <c r="S854" s="252">
        <v>0</v>
      </c>
      <c r="T854" s="252">
        <v>0</v>
      </c>
      <c r="U854" s="252">
        <v>0</v>
      </c>
      <c r="V854" s="252">
        <v>0</v>
      </c>
      <c r="W854" s="252">
        <v>0</v>
      </c>
      <c r="X854" s="252">
        <v>0</v>
      </c>
      <c r="Y854" s="252">
        <v>0</v>
      </c>
    </row>
    <row r="855" spans="1:25" x14ac:dyDescent="0.3">
      <c r="A855" s="253" t="s">
        <v>674</v>
      </c>
      <c r="B855" s="252">
        <v>2</v>
      </c>
      <c r="C855" s="252">
        <v>2</v>
      </c>
      <c r="D855" s="252">
        <v>0</v>
      </c>
      <c r="E855" s="252">
        <v>3</v>
      </c>
      <c r="F855" s="252">
        <v>1</v>
      </c>
      <c r="G855" s="252">
        <v>0</v>
      </c>
      <c r="H855" s="252">
        <v>1</v>
      </c>
      <c r="I855" s="252">
        <v>0</v>
      </c>
      <c r="J855" s="252">
        <v>1</v>
      </c>
      <c r="K855" s="252">
        <v>2</v>
      </c>
      <c r="L855" s="252">
        <v>0</v>
      </c>
      <c r="M855" s="252">
        <v>0</v>
      </c>
      <c r="N855" s="252">
        <v>0</v>
      </c>
      <c r="O855" s="252">
        <v>2</v>
      </c>
      <c r="P855" s="252">
        <v>1</v>
      </c>
      <c r="Q855" s="252">
        <v>1</v>
      </c>
      <c r="R855" s="252">
        <v>3</v>
      </c>
      <c r="S855" s="252">
        <v>2</v>
      </c>
      <c r="T855" s="252">
        <v>0</v>
      </c>
      <c r="U855" s="252">
        <v>2</v>
      </c>
      <c r="V855" s="252">
        <v>2</v>
      </c>
      <c r="W855" s="252">
        <v>1</v>
      </c>
      <c r="X855" s="252">
        <v>2</v>
      </c>
      <c r="Y855" s="252">
        <v>28</v>
      </c>
    </row>
    <row r="856" spans="1:25" x14ac:dyDescent="0.3">
      <c r="A856" s="253" t="s">
        <v>1071</v>
      </c>
      <c r="B856" s="252">
        <v>0</v>
      </c>
      <c r="C856" s="252">
        <v>0</v>
      </c>
      <c r="D856" s="252">
        <v>0</v>
      </c>
      <c r="E856" s="252">
        <v>0</v>
      </c>
      <c r="F856" s="252">
        <v>0</v>
      </c>
      <c r="G856" s="252">
        <v>0</v>
      </c>
      <c r="H856" s="252">
        <v>0</v>
      </c>
      <c r="I856" s="252">
        <v>0</v>
      </c>
      <c r="J856" s="252">
        <v>0</v>
      </c>
      <c r="K856" s="252">
        <v>0</v>
      </c>
      <c r="L856" s="252">
        <v>0</v>
      </c>
      <c r="M856" s="252">
        <v>0</v>
      </c>
      <c r="N856" s="252">
        <v>0</v>
      </c>
      <c r="O856" s="252">
        <v>0</v>
      </c>
      <c r="P856" s="252">
        <v>0</v>
      </c>
      <c r="Q856" s="252">
        <v>0</v>
      </c>
      <c r="R856" s="252">
        <v>0</v>
      </c>
      <c r="S856" s="252">
        <v>0</v>
      </c>
      <c r="T856" s="252">
        <v>0</v>
      </c>
      <c r="U856" s="252">
        <v>0</v>
      </c>
      <c r="V856" s="252">
        <v>0</v>
      </c>
      <c r="W856" s="252">
        <v>0</v>
      </c>
      <c r="X856" s="252">
        <v>0</v>
      </c>
      <c r="Y856" s="252">
        <v>0</v>
      </c>
    </row>
    <row r="857" spans="1:25" x14ac:dyDescent="0.3">
      <c r="A857" s="253" t="s">
        <v>1062</v>
      </c>
      <c r="B857" s="252">
        <v>0</v>
      </c>
      <c r="C857" s="252">
        <v>0</v>
      </c>
      <c r="D857" s="252">
        <v>0</v>
      </c>
      <c r="E857" s="252">
        <v>0</v>
      </c>
      <c r="F857" s="252">
        <v>0</v>
      </c>
      <c r="G857" s="252">
        <v>0</v>
      </c>
      <c r="H857" s="252">
        <v>0</v>
      </c>
      <c r="I857" s="252">
        <v>0</v>
      </c>
      <c r="J857" s="252">
        <v>0</v>
      </c>
      <c r="K857" s="252">
        <v>0</v>
      </c>
      <c r="L857" s="252"/>
      <c r="M857" s="252">
        <v>0</v>
      </c>
      <c r="N857" s="252">
        <v>0</v>
      </c>
      <c r="O857" s="252">
        <v>0</v>
      </c>
      <c r="P857" s="252">
        <v>0</v>
      </c>
      <c r="Q857" s="252">
        <v>0</v>
      </c>
      <c r="R857" s="252">
        <v>0</v>
      </c>
      <c r="S857" s="252">
        <v>0</v>
      </c>
      <c r="T857" s="252">
        <v>0</v>
      </c>
      <c r="U857" s="252">
        <v>0</v>
      </c>
      <c r="V857" s="252">
        <v>0</v>
      </c>
      <c r="W857" s="252">
        <v>0</v>
      </c>
      <c r="X857" s="252">
        <v>0</v>
      </c>
      <c r="Y857" s="252">
        <v>0</v>
      </c>
    </row>
    <row r="858" spans="1:25" x14ac:dyDescent="0.3">
      <c r="A858" s="253" t="s">
        <v>831</v>
      </c>
      <c r="B858" s="252">
        <v>0</v>
      </c>
      <c r="C858" s="252">
        <v>0</v>
      </c>
      <c r="D858" s="252">
        <v>0</v>
      </c>
      <c r="E858" s="252"/>
      <c r="F858" s="252">
        <v>0</v>
      </c>
      <c r="G858" s="252">
        <v>0</v>
      </c>
      <c r="H858" s="252">
        <v>0</v>
      </c>
      <c r="I858" s="252">
        <v>0</v>
      </c>
      <c r="J858" s="252">
        <v>0</v>
      </c>
      <c r="K858" s="252">
        <v>0</v>
      </c>
      <c r="L858" s="252"/>
      <c r="M858" s="252">
        <v>0</v>
      </c>
      <c r="N858" s="252">
        <v>0</v>
      </c>
      <c r="O858" s="252">
        <v>0</v>
      </c>
      <c r="P858" s="252"/>
      <c r="Q858" s="252">
        <v>0</v>
      </c>
      <c r="R858" s="252">
        <v>0</v>
      </c>
      <c r="S858" s="252">
        <v>0</v>
      </c>
      <c r="T858" s="252">
        <v>0</v>
      </c>
      <c r="U858" s="252"/>
      <c r="V858" s="252">
        <v>0</v>
      </c>
      <c r="W858" s="252">
        <v>0</v>
      </c>
      <c r="X858" s="252"/>
      <c r="Y858" s="252">
        <v>0</v>
      </c>
    </row>
    <row r="859" spans="1:25" x14ac:dyDescent="0.3">
      <c r="A859" s="253" t="s">
        <v>675</v>
      </c>
      <c r="B859" s="252">
        <v>0</v>
      </c>
      <c r="C859" s="252">
        <v>0</v>
      </c>
      <c r="D859" s="252">
        <v>0</v>
      </c>
      <c r="E859" s="252">
        <v>0</v>
      </c>
      <c r="F859" s="252">
        <v>0</v>
      </c>
      <c r="G859" s="252">
        <v>0</v>
      </c>
      <c r="H859" s="252">
        <v>0</v>
      </c>
      <c r="I859" s="252"/>
      <c r="J859" s="252"/>
      <c r="K859" s="252">
        <v>0</v>
      </c>
      <c r="L859" s="252"/>
      <c r="M859" s="252">
        <v>0</v>
      </c>
      <c r="N859" s="252">
        <v>0</v>
      </c>
      <c r="O859" s="252">
        <v>0</v>
      </c>
      <c r="P859" s="252"/>
      <c r="Q859" s="252">
        <v>0</v>
      </c>
      <c r="R859" s="252"/>
      <c r="S859" s="252"/>
      <c r="T859" s="252">
        <v>0</v>
      </c>
      <c r="U859" s="252"/>
      <c r="V859" s="252">
        <v>0</v>
      </c>
      <c r="W859" s="252">
        <v>0</v>
      </c>
      <c r="X859" s="252"/>
      <c r="Y859" s="252">
        <v>0</v>
      </c>
    </row>
    <row r="860" spans="1:25" x14ac:dyDescent="0.3">
      <c r="A860" s="253" t="s">
        <v>676</v>
      </c>
      <c r="B860" s="252">
        <v>2</v>
      </c>
      <c r="C860" s="252">
        <v>4</v>
      </c>
      <c r="D860" s="252">
        <v>0</v>
      </c>
      <c r="E860" s="252">
        <v>2</v>
      </c>
      <c r="F860" s="252">
        <v>0</v>
      </c>
      <c r="G860" s="252">
        <v>2</v>
      </c>
      <c r="H860" s="252">
        <v>1</v>
      </c>
      <c r="I860" s="252">
        <v>0</v>
      </c>
      <c r="J860" s="252">
        <v>2</v>
      </c>
      <c r="K860" s="252">
        <v>1</v>
      </c>
      <c r="L860" s="252">
        <v>2</v>
      </c>
      <c r="M860" s="252">
        <v>1</v>
      </c>
      <c r="N860" s="252">
        <v>1</v>
      </c>
      <c r="O860" s="252">
        <v>1</v>
      </c>
      <c r="P860" s="252">
        <v>1</v>
      </c>
      <c r="Q860" s="252">
        <v>4</v>
      </c>
      <c r="R860" s="252">
        <v>4</v>
      </c>
      <c r="S860" s="252">
        <v>2</v>
      </c>
      <c r="T860" s="252">
        <v>1</v>
      </c>
      <c r="U860" s="252">
        <v>0</v>
      </c>
      <c r="V860" s="252">
        <v>1</v>
      </c>
      <c r="W860" s="252">
        <v>1</v>
      </c>
      <c r="X860" s="252">
        <v>2</v>
      </c>
      <c r="Y860" s="252">
        <v>35</v>
      </c>
    </row>
    <row r="861" spans="1:25" x14ac:dyDescent="0.3">
      <c r="A861" s="253" t="s">
        <v>677</v>
      </c>
      <c r="B861" s="252">
        <v>0</v>
      </c>
      <c r="C861" s="252">
        <v>0</v>
      </c>
      <c r="D861" s="252">
        <v>0</v>
      </c>
      <c r="E861" s="252">
        <v>0</v>
      </c>
      <c r="F861" s="252">
        <v>0</v>
      </c>
      <c r="G861" s="252">
        <v>0</v>
      </c>
      <c r="H861" s="252">
        <v>0</v>
      </c>
      <c r="I861" s="252"/>
      <c r="J861" s="252"/>
      <c r="K861" s="252">
        <v>0</v>
      </c>
      <c r="L861" s="252"/>
      <c r="M861" s="252">
        <v>0</v>
      </c>
      <c r="N861" s="252">
        <v>0</v>
      </c>
      <c r="O861" s="252">
        <v>0</v>
      </c>
      <c r="P861" s="252"/>
      <c r="Q861" s="252">
        <v>0</v>
      </c>
      <c r="R861" s="252"/>
      <c r="S861" s="252">
        <v>0</v>
      </c>
      <c r="T861" s="252">
        <v>0</v>
      </c>
      <c r="U861" s="252"/>
      <c r="V861" s="252">
        <v>0</v>
      </c>
      <c r="W861" s="252">
        <v>0</v>
      </c>
      <c r="X861" s="252"/>
      <c r="Y861" s="252">
        <v>0</v>
      </c>
    </row>
    <row r="862" spans="1:25" x14ac:dyDescent="0.3">
      <c r="A862" s="253" t="s">
        <v>678</v>
      </c>
      <c r="B862" s="252">
        <v>0</v>
      </c>
      <c r="C862" s="252">
        <v>0</v>
      </c>
      <c r="D862" s="252">
        <v>0</v>
      </c>
      <c r="E862" s="252">
        <v>0</v>
      </c>
      <c r="F862" s="252">
        <v>0</v>
      </c>
      <c r="G862" s="252">
        <v>0</v>
      </c>
      <c r="H862" s="252">
        <v>0</v>
      </c>
      <c r="I862" s="252"/>
      <c r="J862" s="252"/>
      <c r="K862" s="252">
        <v>0</v>
      </c>
      <c r="L862" s="252"/>
      <c r="M862" s="252">
        <v>0</v>
      </c>
      <c r="N862" s="252">
        <v>0</v>
      </c>
      <c r="O862" s="252">
        <v>0</v>
      </c>
      <c r="P862" s="252"/>
      <c r="Q862" s="252">
        <v>0</v>
      </c>
      <c r="R862" s="252"/>
      <c r="S862" s="252">
        <v>0</v>
      </c>
      <c r="T862" s="252">
        <v>0</v>
      </c>
      <c r="U862" s="252"/>
      <c r="V862" s="252">
        <v>0</v>
      </c>
      <c r="W862" s="252">
        <v>0</v>
      </c>
      <c r="X862" s="252"/>
      <c r="Y862" s="252">
        <v>0</v>
      </c>
    </row>
    <row r="863" spans="1:25" x14ac:dyDescent="0.3">
      <c r="A863" s="253" t="s">
        <v>83</v>
      </c>
      <c r="B863" s="252">
        <v>0</v>
      </c>
      <c r="C863" s="252">
        <v>0</v>
      </c>
      <c r="D863" s="252">
        <v>0</v>
      </c>
      <c r="E863" s="252">
        <v>2</v>
      </c>
      <c r="F863" s="252">
        <v>1</v>
      </c>
      <c r="G863" s="252">
        <v>1</v>
      </c>
      <c r="H863" s="252">
        <v>1</v>
      </c>
      <c r="I863" s="252">
        <v>0</v>
      </c>
      <c r="J863" s="252">
        <v>2</v>
      </c>
      <c r="K863" s="252">
        <v>2</v>
      </c>
      <c r="L863" s="252">
        <v>1</v>
      </c>
      <c r="M863" s="252">
        <v>2</v>
      </c>
      <c r="N863" s="252">
        <v>0</v>
      </c>
      <c r="O863" s="252">
        <v>0</v>
      </c>
      <c r="P863" s="252">
        <v>0</v>
      </c>
      <c r="Q863" s="252">
        <v>3</v>
      </c>
      <c r="R863" s="252">
        <v>2</v>
      </c>
      <c r="S863" s="252">
        <v>0</v>
      </c>
      <c r="T863" s="252">
        <v>0</v>
      </c>
      <c r="U863" s="252">
        <v>0</v>
      </c>
      <c r="V863" s="252">
        <v>1</v>
      </c>
      <c r="W863" s="252">
        <v>1</v>
      </c>
      <c r="X863" s="252">
        <v>1</v>
      </c>
      <c r="Y863" s="252">
        <v>20</v>
      </c>
    </row>
    <row r="864" spans="1:25" x14ac:dyDescent="0.3">
      <c r="A864" s="253" t="s">
        <v>679</v>
      </c>
      <c r="B864" s="252">
        <v>0</v>
      </c>
      <c r="C864" s="252"/>
      <c r="D864" s="252">
        <v>0</v>
      </c>
      <c r="E864" s="252">
        <v>0</v>
      </c>
      <c r="F864" s="252">
        <v>0</v>
      </c>
      <c r="G864" s="252">
        <v>0</v>
      </c>
      <c r="H864" s="252">
        <v>0</v>
      </c>
      <c r="I864" s="252"/>
      <c r="J864" s="252"/>
      <c r="K864" s="252">
        <v>0</v>
      </c>
      <c r="L864" s="252"/>
      <c r="M864" s="252">
        <v>0</v>
      </c>
      <c r="N864" s="252">
        <v>0</v>
      </c>
      <c r="O864" s="252">
        <v>0</v>
      </c>
      <c r="P864" s="252"/>
      <c r="Q864" s="252">
        <v>0</v>
      </c>
      <c r="R864" s="252"/>
      <c r="S864" s="252"/>
      <c r="T864" s="252">
        <v>0</v>
      </c>
      <c r="U864" s="252"/>
      <c r="V864" s="252">
        <v>0</v>
      </c>
      <c r="W864" s="252">
        <v>0</v>
      </c>
      <c r="X864" s="252"/>
      <c r="Y864" s="252">
        <v>0</v>
      </c>
    </row>
    <row r="865" spans="1:25" x14ac:dyDescent="0.3">
      <c r="A865" s="253" t="s">
        <v>680</v>
      </c>
      <c r="B865" s="252">
        <v>0</v>
      </c>
      <c r="C865" s="252">
        <v>0</v>
      </c>
      <c r="D865" s="252">
        <v>0</v>
      </c>
      <c r="E865" s="252">
        <v>0</v>
      </c>
      <c r="F865" s="252">
        <v>0</v>
      </c>
      <c r="G865" s="252">
        <v>0</v>
      </c>
      <c r="H865" s="252">
        <v>0</v>
      </c>
      <c r="I865" s="252"/>
      <c r="J865" s="252">
        <v>0</v>
      </c>
      <c r="K865" s="252">
        <v>0</v>
      </c>
      <c r="L865" s="252"/>
      <c r="M865" s="252">
        <v>0</v>
      </c>
      <c r="N865" s="252">
        <v>0</v>
      </c>
      <c r="O865" s="252">
        <v>0</v>
      </c>
      <c r="P865" s="252"/>
      <c r="Q865" s="252">
        <v>0</v>
      </c>
      <c r="R865" s="252"/>
      <c r="S865" s="252">
        <v>0</v>
      </c>
      <c r="T865" s="252">
        <v>0</v>
      </c>
      <c r="U865" s="252"/>
      <c r="V865" s="252">
        <v>0</v>
      </c>
      <c r="W865" s="252">
        <v>0</v>
      </c>
      <c r="X865" s="252"/>
      <c r="Y865" s="252">
        <v>0</v>
      </c>
    </row>
    <row r="866" spans="1:25" x14ac:dyDescent="0.3">
      <c r="A866" s="253" t="s">
        <v>964</v>
      </c>
      <c r="B866" s="252">
        <v>0</v>
      </c>
      <c r="C866" s="252">
        <v>0</v>
      </c>
      <c r="D866" s="252">
        <v>0</v>
      </c>
      <c r="E866" s="252">
        <v>0</v>
      </c>
      <c r="F866" s="252">
        <v>0</v>
      </c>
      <c r="G866" s="252">
        <v>0</v>
      </c>
      <c r="H866" s="252">
        <v>0</v>
      </c>
      <c r="I866" s="252">
        <v>0</v>
      </c>
      <c r="J866" s="252">
        <v>0</v>
      </c>
      <c r="K866" s="252">
        <v>0</v>
      </c>
      <c r="L866" s="252"/>
      <c r="M866" s="252">
        <v>0</v>
      </c>
      <c r="N866" s="252">
        <v>0</v>
      </c>
      <c r="O866" s="252">
        <v>0</v>
      </c>
      <c r="P866" s="252">
        <v>0</v>
      </c>
      <c r="Q866" s="252">
        <v>0</v>
      </c>
      <c r="R866" s="252">
        <v>0</v>
      </c>
      <c r="S866" s="252">
        <v>0</v>
      </c>
      <c r="T866" s="252">
        <v>0</v>
      </c>
      <c r="U866" s="252">
        <v>0</v>
      </c>
      <c r="V866" s="252">
        <v>0</v>
      </c>
      <c r="W866" s="252">
        <v>0</v>
      </c>
      <c r="X866" s="252"/>
      <c r="Y866" s="252">
        <v>0</v>
      </c>
    </row>
    <row r="867" spans="1:25" x14ac:dyDescent="0.3">
      <c r="A867" s="253" t="s">
        <v>969</v>
      </c>
      <c r="B867" s="252">
        <v>0</v>
      </c>
      <c r="C867" s="252">
        <v>0</v>
      </c>
      <c r="D867" s="252">
        <v>0</v>
      </c>
      <c r="E867" s="252">
        <v>0</v>
      </c>
      <c r="F867" s="252">
        <v>0</v>
      </c>
      <c r="G867" s="252">
        <v>0</v>
      </c>
      <c r="H867" s="252">
        <v>0</v>
      </c>
      <c r="I867" s="252">
        <v>0</v>
      </c>
      <c r="J867" s="252">
        <v>0</v>
      </c>
      <c r="K867" s="252">
        <v>0</v>
      </c>
      <c r="L867" s="252"/>
      <c r="M867" s="252">
        <v>0</v>
      </c>
      <c r="N867" s="252">
        <v>0</v>
      </c>
      <c r="O867" s="252">
        <v>0</v>
      </c>
      <c r="P867" s="252">
        <v>0</v>
      </c>
      <c r="Q867" s="252">
        <v>0</v>
      </c>
      <c r="R867" s="252">
        <v>0</v>
      </c>
      <c r="S867" s="252">
        <v>0</v>
      </c>
      <c r="T867" s="252">
        <v>0</v>
      </c>
      <c r="U867" s="252">
        <v>0</v>
      </c>
      <c r="V867" s="252">
        <v>0</v>
      </c>
      <c r="W867" s="252">
        <v>0</v>
      </c>
      <c r="X867" s="252"/>
      <c r="Y867" s="252">
        <v>0</v>
      </c>
    </row>
    <row r="868" spans="1:25" x14ac:dyDescent="0.3">
      <c r="A868" s="253" t="s">
        <v>681</v>
      </c>
      <c r="B868" s="252">
        <v>0</v>
      </c>
      <c r="C868" s="252">
        <v>0</v>
      </c>
      <c r="D868" s="252">
        <v>0</v>
      </c>
      <c r="E868" s="252">
        <v>0</v>
      </c>
      <c r="F868" s="252">
        <v>0</v>
      </c>
      <c r="G868" s="252">
        <v>0</v>
      </c>
      <c r="H868" s="252">
        <v>0</v>
      </c>
      <c r="I868" s="252"/>
      <c r="J868" s="252">
        <v>0</v>
      </c>
      <c r="K868" s="252">
        <v>0</v>
      </c>
      <c r="L868" s="252"/>
      <c r="M868" s="252">
        <v>0</v>
      </c>
      <c r="N868" s="252">
        <v>0</v>
      </c>
      <c r="O868" s="252">
        <v>0</v>
      </c>
      <c r="P868" s="252"/>
      <c r="Q868" s="252">
        <v>0</v>
      </c>
      <c r="R868" s="252"/>
      <c r="S868" s="252"/>
      <c r="T868" s="252">
        <v>0</v>
      </c>
      <c r="U868" s="252"/>
      <c r="V868" s="252">
        <v>0</v>
      </c>
      <c r="W868" s="252">
        <v>0</v>
      </c>
      <c r="X868" s="252"/>
      <c r="Y868" s="252">
        <v>0</v>
      </c>
    </row>
    <row r="869" spans="1:25" x14ac:dyDescent="0.3">
      <c r="A869" s="253" t="s">
        <v>682</v>
      </c>
      <c r="B869" s="252">
        <v>0</v>
      </c>
      <c r="C869" s="252"/>
      <c r="D869" s="252">
        <v>0</v>
      </c>
      <c r="E869" s="252">
        <v>0</v>
      </c>
      <c r="F869" s="252">
        <v>0</v>
      </c>
      <c r="G869" s="252">
        <v>0</v>
      </c>
      <c r="H869" s="252">
        <v>0</v>
      </c>
      <c r="I869" s="252"/>
      <c r="J869" s="252"/>
      <c r="K869" s="252">
        <v>0</v>
      </c>
      <c r="L869" s="252"/>
      <c r="M869" s="252">
        <v>0</v>
      </c>
      <c r="N869" s="252">
        <v>0</v>
      </c>
      <c r="O869" s="252">
        <v>0</v>
      </c>
      <c r="P869" s="252"/>
      <c r="Q869" s="252">
        <v>0</v>
      </c>
      <c r="R869" s="252"/>
      <c r="S869" s="252"/>
      <c r="T869" s="252">
        <v>0</v>
      </c>
      <c r="U869" s="252"/>
      <c r="V869" s="252">
        <v>0</v>
      </c>
      <c r="W869" s="252">
        <v>0</v>
      </c>
      <c r="X869" s="252"/>
      <c r="Y869" s="252">
        <v>0</v>
      </c>
    </row>
    <row r="870" spans="1:25" x14ac:dyDescent="0.3">
      <c r="A870" s="253" t="s">
        <v>683</v>
      </c>
      <c r="B870" s="252">
        <v>0</v>
      </c>
      <c r="C870" s="252"/>
      <c r="D870" s="252">
        <v>0</v>
      </c>
      <c r="E870" s="252">
        <v>0</v>
      </c>
      <c r="F870" s="252">
        <v>0</v>
      </c>
      <c r="G870" s="252">
        <v>0</v>
      </c>
      <c r="H870" s="252">
        <v>0</v>
      </c>
      <c r="I870" s="252"/>
      <c r="J870" s="252"/>
      <c r="K870" s="252">
        <v>0</v>
      </c>
      <c r="L870" s="252"/>
      <c r="M870" s="252">
        <v>0</v>
      </c>
      <c r="N870" s="252">
        <v>0</v>
      </c>
      <c r="O870" s="252">
        <v>0</v>
      </c>
      <c r="P870" s="252"/>
      <c r="Q870" s="252">
        <v>0</v>
      </c>
      <c r="R870" s="252"/>
      <c r="S870" s="252"/>
      <c r="T870" s="252">
        <v>0</v>
      </c>
      <c r="U870" s="252"/>
      <c r="V870" s="252">
        <v>0</v>
      </c>
      <c r="W870" s="252">
        <v>0</v>
      </c>
      <c r="X870" s="252"/>
      <c r="Y870" s="252">
        <v>0</v>
      </c>
    </row>
    <row r="871" spans="1:25" x14ac:dyDescent="0.3">
      <c r="A871" s="253" t="s">
        <v>684</v>
      </c>
      <c r="B871" s="252">
        <v>0</v>
      </c>
      <c r="C871" s="252"/>
      <c r="D871" s="252">
        <v>0</v>
      </c>
      <c r="E871" s="252">
        <v>0</v>
      </c>
      <c r="F871" s="252">
        <v>0</v>
      </c>
      <c r="G871" s="252">
        <v>0</v>
      </c>
      <c r="H871" s="252">
        <v>0</v>
      </c>
      <c r="I871" s="252"/>
      <c r="J871" s="252"/>
      <c r="K871" s="252">
        <v>0</v>
      </c>
      <c r="L871" s="252"/>
      <c r="M871" s="252">
        <v>0</v>
      </c>
      <c r="N871" s="252">
        <v>0</v>
      </c>
      <c r="O871" s="252">
        <v>0</v>
      </c>
      <c r="P871" s="252"/>
      <c r="Q871" s="252">
        <v>0</v>
      </c>
      <c r="R871" s="252"/>
      <c r="S871" s="252"/>
      <c r="T871" s="252">
        <v>0</v>
      </c>
      <c r="U871" s="252"/>
      <c r="V871" s="252">
        <v>0</v>
      </c>
      <c r="W871" s="252">
        <v>0</v>
      </c>
      <c r="X871" s="252"/>
      <c r="Y871" s="252">
        <v>0</v>
      </c>
    </row>
    <row r="872" spans="1:25" x14ac:dyDescent="0.3">
      <c r="A872" s="253" t="s">
        <v>57</v>
      </c>
      <c r="B872" s="252">
        <v>1</v>
      </c>
      <c r="C872" s="252">
        <v>0</v>
      </c>
      <c r="D872" s="252">
        <v>0</v>
      </c>
      <c r="E872" s="252">
        <v>3</v>
      </c>
      <c r="F872" s="252">
        <v>1</v>
      </c>
      <c r="G872" s="252">
        <v>1</v>
      </c>
      <c r="H872" s="252">
        <v>2</v>
      </c>
      <c r="I872" s="252">
        <v>0</v>
      </c>
      <c r="J872" s="252">
        <v>3</v>
      </c>
      <c r="K872" s="252">
        <v>0</v>
      </c>
      <c r="L872" s="252">
        <v>0</v>
      </c>
      <c r="M872" s="252">
        <v>1</v>
      </c>
      <c r="N872" s="252">
        <v>0</v>
      </c>
      <c r="O872" s="252">
        <v>0</v>
      </c>
      <c r="P872" s="252">
        <v>0</v>
      </c>
      <c r="Q872" s="252">
        <v>0</v>
      </c>
      <c r="R872" s="252">
        <v>0</v>
      </c>
      <c r="S872" s="252">
        <v>0</v>
      </c>
      <c r="T872" s="252">
        <v>0</v>
      </c>
      <c r="U872" s="252">
        <v>0</v>
      </c>
      <c r="V872" s="252">
        <v>0</v>
      </c>
      <c r="W872" s="252">
        <v>1</v>
      </c>
      <c r="X872" s="252">
        <v>0</v>
      </c>
      <c r="Y872" s="252">
        <v>13</v>
      </c>
    </row>
    <row r="873" spans="1:25" x14ac:dyDescent="0.3">
      <c r="A873" s="253" t="s">
        <v>685</v>
      </c>
      <c r="B873" s="252">
        <v>0</v>
      </c>
      <c r="C873" s="252"/>
      <c r="D873" s="252">
        <v>0</v>
      </c>
      <c r="E873" s="252">
        <v>0</v>
      </c>
      <c r="F873" s="252">
        <v>0</v>
      </c>
      <c r="G873" s="252">
        <v>0</v>
      </c>
      <c r="H873" s="252">
        <v>0</v>
      </c>
      <c r="I873" s="252"/>
      <c r="J873" s="252"/>
      <c r="K873" s="252">
        <v>0</v>
      </c>
      <c r="L873" s="252"/>
      <c r="M873" s="252">
        <v>0</v>
      </c>
      <c r="N873" s="252">
        <v>0</v>
      </c>
      <c r="O873" s="252">
        <v>0</v>
      </c>
      <c r="P873" s="252"/>
      <c r="Q873" s="252">
        <v>0</v>
      </c>
      <c r="R873" s="252"/>
      <c r="S873" s="252"/>
      <c r="T873" s="252">
        <v>0</v>
      </c>
      <c r="U873" s="252"/>
      <c r="V873" s="252">
        <v>0</v>
      </c>
      <c r="W873" s="252">
        <v>0</v>
      </c>
      <c r="X873" s="252"/>
      <c r="Y873" s="252">
        <v>0</v>
      </c>
    </row>
    <row r="874" spans="1:25" x14ac:dyDescent="0.3">
      <c r="A874" s="253" t="s">
        <v>58</v>
      </c>
      <c r="B874" s="252">
        <v>0</v>
      </c>
      <c r="C874" s="252">
        <v>2</v>
      </c>
      <c r="D874" s="252">
        <v>0</v>
      </c>
      <c r="E874" s="252">
        <v>0</v>
      </c>
      <c r="F874" s="252">
        <v>1</v>
      </c>
      <c r="G874" s="252">
        <v>0</v>
      </c>
      <c r="H874" s="252">
        <v>1</v>
      </c>
      <c r="I874" s="252">
        <v>0</v>
      </c>
      <c r="J874" s="252">
        <v>1</v>
      </c>
      <c r="K874" s="252">
        <v>0</v>
      </c>
      <c r="L874" s="252">
        <v>0</v>
      </c>
      <c r="M874" s="252">
        <v>1</v>
      </c>
      <c r="N874" s="252">
        <v>1</v>
      </c>
      <c r="O874" s="252">
        <v>0</v>
      </c>
      <c r="P874" s="252">
        <v>0</v>
      </c>
      <c r="Q874" s="252">
        <v>1</v>
      </c>
      <c r="R874" s="252">
        <v>0</v>
      </c>
      <c r="S874" s="252">
        <v>0</v>
      </c>
      <c r="T874" s="252">
        <v>0</v>
      </c>
      <c r="U874" s="252">
        <v>0</v>
      </c>
      <c r="V874" s="252">
        <v>0</v>
      </c>
      <c r="W874" s="252">
        <v>1</v>
      </c>
      <c r="X874" s="252">
        <v>1</v>
      </c>
      <c r="Y874" s="252">
        <v>10</v>
      </c>
    </row>
    <row r="875" spans="1:25" x14ac:dyDescent="0.3">
      <c r="A875" s="253" t="s">
        <v>61</v>
      </c>
      <c r="B875" s="252">
        <v>1</v>
      </c>
      <c r="C875" s="252">
        <v>3</v>
      </c>
      <c r="D875" s="252">
        <v>0</v>
      </c>
      <c r="E875" s="252">
        <v>3</v>
      </c>
      <c r="F875" s="252">
        <v>1</v>
      </c>
      <c r="G875" s="252">
        <v>0</v>
      </c>
      <c r="H875" s="252">
        <v>1</v>
      </c>
      <c r="I875" s="252">
        <v>0</v>
      </c>
      <c r="J875" s="252">
        <v>3</v>
      </c>
      <c r="K875" s="252">
        <v>0</v>
      </c>
      <c r="L875" s="252">
        <v>1</v>
      </c>
      <c r="M875" s="252">
        <v>0</v>
      </c>
      <c r="N875" s="252">
        <v>0</v>
      </c>
      <c r="O875" s="252">
        <v>0</v>
      </c>
      <c r="P875" s="252">
        <v>0</v>
      </c>
      <c r="Q875" s="252">
        <v>1</v>
      </c>
      <c r="R875" s="252">
        <v>0</v>
      </c>
      <c r="S875" s="252">
        <v>2</v>
      </c>
      <c r="T875" s="252">
        <v>0</v>
      </c>
      <c r="U875" s="252">
        <v>0</v>
      </c>
      <c r="V875" s="252">
        <v>0</v>
      </c>
      <c r="W875" s="252">
        <v>1</v>
      </c>
      <c r="X875" s="252">
        <v>1</v>
      </c>
      <c r="Y875" s="252">
        <v>18</v>
      </c>
    </row>
    <row r="876" spans="1:25" x14ac:dyDescent="0.3">
      <c r="A876" s="253" t="s">
        <v>84</v>
      </c>
      <c r="B876" s="252">
        <v>0</v>
      </c>
      <c r="C876" s="252">
        <v>4</v>
      </c>
      <c r="D876" s="252">
        <v>5</v>
      </c>
      <c r="E876" s="252">
        <v>3</v>
      </c>
      <c r="F876" s="252">
        <v>2</v>
      </c>
      <c r="G876" s="252">
        <v>2</v>
      </c>
      <c r="H876" s="252">
        <v>0</v>
      </c>
      <c r="I876" s="252">
        <v>0</v>
      </c>
      <c r="J876" s="252">
        <v>4</v>
      </c>
      <c r="K876" s="252">
        <v>1</v>
      </c>
      <c r="L876" s="252">
        <v>3</v>
      </c>
      <c r="M876" s="252">
        <v>4</v>
      </c>
      <c r="N876" s="252">
        <v>1</v>
      </c>
      <c r="O876" s="252">
        <v>1</v>
      </c>
      <c r="P876" s="252">
        <v>2</v>
      </c>
      <c r="Q876" s="252">
        <v>2</v>
      </c>
      <c r="R876" s="252">
        <v>5</v>
      </c>
      <c r="S876" s="252">
        <v>5</v>
      </c>
      <c r="T876" s="252">
        <v>0</v>
      </c>
      <c r="U876" s="252">
        <v>1</v>
      </c>
      <c r="V876" s="252">
        <v>2</v>
      </c>
      <c r="W876" s="252">
        <v>0</v>
      </c>
      <c r="X876" s="252">
        <v>3</v>
      </c>
      <c r="Y876" s="252">
        <v>50</v>
      </c>
    </row>
    <row r="877" spans="1:25" x14ac:dyDescent="0.3">
      <c r="A877" s="253" t="s">
        <v>71</v>
      </c>
      <c r="B877" s="252">
        <v>0</v>
      </c>
      <c r="C877" s="252">
        <v>0</v>
      </c>
      <c r="D877" s="252">
        <v>0</v>
      </c>
      <c r="E877" s="252">
        <v>0</v>
      </c>
      <c r="F877" s="252">
        <v>0</v>
      </c>
      <c r="G877" s="252">
        <v>0</v>
      </c>
      <c r="H877" s="252">
        <v>0</v>
      </c>
      <c r="I877" s="252">
        <v>0</v>
      </c>
      <c r="J877" s="252">
        <v>0</v>
      </c>
      <c r="K877" s="252">
        <v>0</v>
      </c>
      <c r="L877" s="252"/>
      <c r="M877" s="252">
        <v>0</v>
      </c>
      <c r="N877" s="252">
        <v>0</v>
      </c>
      <c r="O877" s="252">
        <v>0</v>
      </c>
      <c r="P877" s="252"/>
      <c r="Q877" s="252">
        <v>0</v>
      </c>
      <c r="R877" s="252"/>
      <c r="S877" s="252">
        <v>0</v>
      </c>
      <c r="T877" s="252">
        <v>0</v>
      </c>
      <c r="U877" s="252"/>
      <c r="V877" s="252">
        <v>0</v>
      </c>
      <c r="W877" s="252">
        <v>0</v>
      </c>
      <c r="X877" s="252"/>
      <c r="Y877" s="252">
        <v>0</v>
      </c>
    </row>
    <row r="878" spans="1:25" x14ac:dyDescent="0.3">
      <c r="A878" s="253" t="s">
        <v>686</v>
      </c>
      <c r="B878" s="252">
        <v>0</v>
      </c>
      <c r="C878" s="252">
        <v>0</v>
      </c>
      <c r="D878" s="252">
        <v>0</v>
      </c>
      <c r="E878" s="252">
        <v>0</v>
      </c>
      <c r="F878" s="252">
        <v>0</v>
      </c>
      <c r="G878" s="252">
        <v>0</v>
      </c>
      <c r="H878" s="252">
        <v>0</v>
      </c>
      <c r="I878" s="252"/>
      <c r="J878" s="252"/>
      <c r="K878" s="252">
        <v>0</v>
      </c>
      <c r="L878" s="252"/>
      <c r="M878" s="252">
        <v>0</v>
      </c>
      <c r="N878" s="252">
        <v>0</v>
      </c>
      <c r="O878" s="252">
        <v>0</v>
      </c>
      <c r="P878" s="252"/>
      <c r="Q878" s="252">
        <v>0</v>
      </c>
      <c r="R878" s="252"/>
      <c r="S878" s="252"/>
      <c r="T878" s="252">
        <v>0</v>
      </c>
      <c r="U878" s="252"/>
      <c r="V878" s="252">
        <v>0</v>
      </c>
      <c r="W878" s="252">
        <v>0</v>
      </c>
      <c r="X878" s="252"/>
      <c r="Y878" s="252">
        <v>0</v>
      </c>
    </row>
    <row r="879" spans="1:25" x14ac:dyDescent="0.3">
      <c r="A879" s="253" t="s">
        <v>687</v>
      </c>
      <c r="B879" s="252">
        <v>177</v>
      </c>
      <c r="C879" s="252">
        <v>154</v>
      </c>
      <c r="D879" s="252">
        <v>178</v>
      </c>
      <c r="E879" s="252">
        <v>174</v>
      </c>
      <c r="F879" s="252">
        <v>128</v>
      </c>
      <c r="G879" s="252">
        <v>155</v>
      </c>
      <c r="H879" s="252">
        <v>159</v>
      </c>
      <c r="I879" s="252"/>
      <c r="J879" s="252">
        <v>134</v>
      </c>
      <c r="K879" s="252">
        <v>141</v>
      </c>
      <c r="L879" s="252">
        <v>176</v>
      </c>
      <c r="M879" s="252">
        <v>174</v>
      </c>
      <c r="N879" s="252">
        <v>124</v>
      </c>
      <c r="O879" s="252">
        <v>184</v>
      </c>
      <c r="P879" s="252">
        <v>190</v>
      </c>
      <c r="Q879" s="252">
        <v>173</v>
      </c>
      <c r="R879" s="252">
        <v>170</v>
      </c>
      <c r="S879" s="252">
        <v>268</v>
      </c>
      <c r="T879" s="252">
        <v>166</v>
      </c>
      <c r="U879" s="252">
        <v>189</v>
      </c>
      <c r="V879" s="252">
        <v>121</v>
      </c>
      <c r="W879" s="252">
        <v>153</v>
      </c>
      <c r="X879" s="252">
        <v>177</v>
      </c>
      <c r="Y879" s="252">
        <v>3665</v>
      </c>
    </row>
    <row r="880" spans="1:25" x14ac:dyDescent="0.3">
      <c r="A880" s="253" t="s">
        <v>688</v>
      </c>
      <c r="B880" s="252">
        <v>6</v>
      </c>
      <c r="C880" s="252">
        <v>0</v>
      </c>
      <c r="D880" s="252">
        <v>0</v>
      </c>
      <c r="E880" s="252">
        <v>4</v>
      </c>
      <c r="F880" s="252">
        <v>3</v>
      </c>
      <c r="G880" s="252">
        <v>2</v>
      </c>
      <c r="H880" s="252">
        <v>2</v>
      </c>
      <c r="I880" s="252"/>
      <c r="J880" s="252">
        <v>2</v>
      </c>
      <c r="K880" s="252">
        <v>2</v>
      </c>
      <c r="L880" s="252">
        <v>4</v>
      </c>
      <c r="M880" s="252">
        <v>5</v>
      </c>
      <c r="N880" s="252">
        <v>2</v>
      </c>
      <c r="O880" s="252">
        <v>5</v>
      </c>
      <c r="P880" s="252">
        <v>3</v>
      </c>
      <c r="Q880" s="252">
        <v>2</v>
      </c>
      <c r="R880" s="252">
        <v>5</v>
      </c>
      <c r="S880" s="252">
        <v>3</v>
      </c>
      <c r="T880" s="252">
        <v>5</v>
      </c>
      <c r="U880" s="252">
        <v>5</v>
      </c>
      <c r="V880" s="252">
        <v>1</v>
      </c>
      <c r="W880" s="252">
        <v>3</v>
      </c>
      <c r="X880" s="252">
        <v>5</v>
      </c>
      <c r="Y880" s="252">
        <v>69</v>
      </c>
    </row>
    <row r="881" spans="1:25" x14ac:dyDescent="0.3">
      <c r="A881" s="253" t="s">
        <v>1063</v>
      </c>
      <c r="B881" s="252">
        <v>0</v>
      </c>
      <c r="C881" s="252">
        <v>0</v>
      </c>
      <c r="D881" s="252">
        <v>0</v>
      </c>
      <c r="E881" s="252">
        <v>0</v>
      </c>
      <c r="F881" s="252">
        <v>0</v>
      </c>
      <c r="G881" s="252">
        <v>0</v>
      </c>
      <c r="H881" s="252">
        <v>0</v>
      </c>
      <c r="I881" s="252">
        <v>0</v>
      </c>
      <c r="J881" s="252">
        <v>0</v>
      </c>
      <c r="K881" s="252">
        <v>0</v>
      </c>
      <c r="L881" s="252"/>
      <c r="M881" s="252">
        <v>0</v>
      </c>
      <c r="N881" s="252">
        <v>0</v>
      </c>
      <c r="O881" s="252">
        <v>0</v>
      </c>
      <c r="P881" s="252">
        <v>0</v>
      </c>
      <c r="Q881" s="252">
        <v>0</v>
      </c>
      <c r="R881" s="252">
        <v>0</v>
      </c>
      <c r="S881" s="252">
        <v>0</v>
      </c>
      <c r="T881" s="252">
        <v>0</v>
      </c>
      <c r="U881" s="252">
        <v>0</v>
      </c>
      <c r="V881" s="252">
        <v>0</v>
      </c>
      <c r="W881" s="252">
        <v>0</v>
      </c>
      <c r="X881" s="252">
        <v>0</v>
      </c>
      <c r="Y881" s="252">
        <v>0</v>
      </c>
    </row>
    <row r="882" spans="1:25" x14ac:dyDescent="0.3">
      <c r="A882" s="253" t="s">
        <v>689</v>
      </c>
      <c r="B882" s="252">
        <v>0</v>
      </c>
      <c r="C882" s="252">
        <v>0</v>
      </c>
      <c r="D882" s="252">
        <v>0</v>
      </c>
      <c r="E882" s="252">
        <v>0</v>
      </c>
      <c r="F882" s="252">
        <v>0</v>
      </c>
      <c r="G882" s="252">
        <v>0</v>
      </c>
      <c r="H882" s="252">
        <v>0</v>
      </c>
      <c r="I882" s="252"/>
      <c r="J882" s="252"/>
      <c r="K882" s="252">
        <v>0</v>
      </c>
      <c r="L882" s="252"/>
      <c r="M882" s="252">
        <v>0</v>
      </c>
      <c r="N882" s="252">
        <v>0</v>
      </c>
      <c r="O882" s="252">
        <v>0</v>
      </c>
      <c r="P882" s="252"/>
      <c r="Q882" s="252">
        <v>0</v>
      </c>
      <c r="R882" s="252"/>
      <c r="S882" s="252"/>
      <c r="T882" s="252">
        <v>0</v>
      </c>
      <c r="U882" s="252"/>
      <c r="V882" s="252">
        <v>0</v>
      </c>
      <c r="W882" s="252">
        <v>0</v>
      </c>
      <c r="X882" s="252"/>
      <c r="Y882" s="252">
        <v>0</v>
      </c>
    </row>
    <row r="883" spans="1:25" x14ac:dyDescent="0.3">
      <c r="A883" s="253" t="s">
        <v>690</v>
      </c>
      <c r="B883" s="252">
        <v>0</v>
      </c>
      <c r="C883" s="252">
        <v>0</v>
      </c>
      <c r="D883" s="252">
        <v>0</v>
      </c>
      <c r="E883" s="252"/>
      <c r="F883" s="252">
        <v>0</v>
      </c>
      <c r="G883" s="252">
        <v>0</v>
      </c>
      <c r="H883" s="252">
        <v>0</v>
      </c>
      <c r="I883" s="252"/>
      <c r="J883" s="252"/>
      <c r="K883" s="252">
        <v>0</v>
      </c>
      <c r="L883" s="252"/>
      <c r="M883" s="252">
        <v>0</v>
      </c>
      <c r="N883" s="252">
        <v>0</v>
      </c>
      <c r="O883" s="252">
        <v>0</v>
      </c>
      <c r="P883" s="252"/>
      <c r="Q883" s="252">
        <v>0</v>
      </c>
      <c r="R883" s="252"/>
      <c r="S883" s="252"/>
      <c r="T883" s="252">
        <v>0</v>
      </c>
      <c r="U883" s="252"/>
      <c r="V883" s="252">
        <v>0</v>
      </c>
      <c r="W883" s="252">
        <v>0</v>
      </c>
      <c r="X883" s="252"/>
      <c r="Y883" s="252">
        <v>0</v>
      </c>
    </row>
    <row r="884" spans="1:25" x14ac:dyDescent="0.3">
      <c r="A884" s="253" t="s">
        <v>691</v>
      </c>
      <c r="B884" s="252">
        <v>0</v>
      </c>
      <c r="C884" s="252">
        <v>0</v>
      </c>
      <c r="D884" s="252">
        <v>0</v>
      </c>
      <c r="E884" s="252"/>
      <c r="F884" s="252">
        <v>0</v>
      </c>
      <c r="G884" s="252">
        <v>0</v>
      </c>
      <c r="H884" s="252">
        <v>0</v>
      </c>
      <c r="I884" s="252"/>
      <c r="J884" s="252"/>
      <c r="K884" s="252">
        <v>0</v>
      </c>
      <c r="L884" s="252"/>
      <c r="M884" s="252">
        <v>0</v>
      </c>
      <c r="N884" s="252">
        <v>0</v>
      </c>
      <c r="O884" s="252">
        <v>0</v>
      </c>
      <c r="P884" s="252"/>
      <c r="Q884" s="252">
        <v>0</v>
      </c>
      <c r="R884" s="252"/>
      <c r="S884" s="252"/>
      <c r="T884" s="252">
        <v>0</v>
      </c>
      <c r="U884" s="252"/>
      <c r="V884" s="252">
        <v>0</v>
      </c>
      <c r="W884" s="252">
        <v>0</v>
      </c>
      <c r="X884" s="252"/>
      <c r="Y884" s="252">
        <v>0</v>
      </c>
    </row>
    <row r="885" spans="1:25" x14ac:dyDescent="0.3">
      <c r="A885" s="253" t="s">
        <v>692</v>
      </c>
      <c r="B885" s="252">
        <v>0</v>
      </c>
      <c r="C885" s="252">
        <v>0</v>
      </c>
      <c r="D885" s="252">
        <v>0</v>
      </c>
      <c r="E885" s="252"/>
      <c r="F885" s="252">
        <v>0</v>
      </c>
      <c r="G885" s="252">
        <v>0</v>
      </c>
      <c r="H885" s="252">
        <v>0</v>
      </c>
      <c r="I885" s="252"/>
      <c r="J885" s="252"/>
      <c r="K885" s="252">
        <v>0</v>
      </c>
      <c r="L885" s="252"/>
      <c r="M885" s="252">
        <v>0</v>
      </c>
      <c r="N885" s="252">
        <v>0</v>
      </c>
      <c r="O885" s="252">
        <v>0</v>
      </c>
      <c r="P885" s="252"/>
      <c r="Q885" s="252">
        <v>0</v>
      </c>
      <c r="R885" s="252"/>
      <c r="S885" s="252"/>
      <c r="T885" s="252">
        <v>0</v>
      </c>
      <c r="U885" s="252"/>
      <c r="V885" s="252">
        <v>0</v>
      </c>
      <c r="W885" s="252">
        <v>0</v>
      </c>
      <c r="X885" s="252"/>
      <c r="Y885" s="252">
        <v>0</v>
      </c>
    </row>
    <row r="886" spans="1:25" x14ac:dyDescent="0.3">
      <c r="A886" s="253" t="s">
        <v>693</v>
      </c>
      <c r="B886" s="252">
        <v>0</v>
      </c>
      <c r="C886" s="252">
        <v>0</v>
      </c>
      <c r="D886" s="252">
        <v>0</v>
      </c>
      <c r="E886" s="252"/>
      <c r="F886" s="252">
        <v>0</v>
      </c>
      <c r="G886" s="252">
        <v>0</v>
      </c>
      <c r="H886" s="252">
        <v>0</v>
      </c>
      <c r="I886" s="252"/>
      <c r="J886" s="252"/>
      <c r="K886" s="252">
        <v>0</v>
      </c>
      <c r="L886" s="252"/>
      <c r="M886" s="252">
        <v>0</v>
      </c>
      <c r="N886" s="252">
        <v>0</v>
      </c>
      <c r="O886" s="252">
        <v>0</v>
      </c>
      <c r="P886" s="252"/>
      <c r="Q886" s="252">
        <v>0</v>
      </c>
      <c r="R886" s="252"/>
      <c r="S886" s="252"/>
      <c r="T886" s="252">
        <v>0</v>
      </c>
      <c r="U886" s="252"/>
      <c r="V886" s="252">
        <v>0</v>
      </c>
      <c r="W886" s="252">
        <v>0</v>
      </c>
      <c r="X886" s="252"/>
      <c r="Y886" s="252">
        <v>0</v>
      </c>
    </row>
    <row r="887" spans="1:25" x14ac:dyDescent="0.3">
      <c r="A887" s="253" t="s">
        <v>694</v>
      </c>
      <c r="B887" s="252">
        <v>0</v>
      </c>
      <c r="C887" s="252">
        <v>0</v>
      </c>
      <c r="D887" s="252">
        <v>0</v>
      </c>
      <c r="E887" s="252"/>
      <c r="F887" s="252">
        <v>0</v>
      </c>
      <c r="G887" s="252">
        <v>0</v>
      </c>
      <c r="H887" s="252">
        <v>0</v>
      </c>
      <c r="I887" s="252"/>
      <c r="J887" s="252"/>
      <c r="K887" s="252">
        <v>0</v>
      </c>
      <c r="L887" s="252"/>
      <c r="M887" s="252">
        <v>0</v>
      </c>
      <c r="N887" s="252">
        <v>0</v>
      </c>
      <c r="O887" s="252">
        <v>0</v>
      </c>
      <c r="P887" s="252"/>
      <c r="Q887" s="252">
        <v>0</v>
      </c>
      <c r="R887" s="252"/>
      <c r="S887" s="252"/>
      <c r="T887" s="252">
        <v>0</v>
      </c>
      <c r="U887" s="252"/>
      <c r="V887" s="252">
        <v>0</v>
      </c>
      <c r="W887" s="252">
        <v>0</v>
      </c>
      <c r="X887" s="252"/>
      <c r="Y887" s="252">
        <v>0</v>
      </c>
    </row>
    <row r="888" spans="1:25" x14ac:dyDescent="0.3">
      <c r="A888" s="253" t="s">
        <v>695</v>
      </c>
      <c r="B888" s="252">
        <v>0</v>
      </c>
      <c r="C888" s="252">
        <v>0</v>
      </c>
      <c r="D888" s="252">
        <v>0</v>
      </c>
      <c r="E888" s="252"/>
      <c r="F888" s="252">
        <v>0</v>
      </c>
      <c r="G888" s="252">
        <v>0</v>
      </c>
      <c r="H888" s="252">
        <v>0</v>
      </c>
      <c r="I888" s="252"/>
      <c r="J888" s="252"/>
      <c r="K888" s="252">
        <v>0</v>
      </c>
      <c r="L888" s="252"/>
      <c r="M888" s="252">
        <v>0</v>
      </c>
      <c r="N888" s="252">
        <v>0</v>
      </c>
      <c r="O888" s="252">
        <v>0</v>
      </c>
      <c r="P888" s="252"/>
      <c r="Q888" s="252">
        <v>0</v>
      </c>
      <c r="R888" s="252"/>
      <c r="S888" s="252"/>
      <c r="T888" s="252">
        <v>0</v>
      </c>
      <c r="U888" s="252"/>
      <c r="V888" s="252">
        <v>0</v>
      </c>
      <c r="W888" s="252">
        <v>0</v>
      </c>
      <c r="X888" s="252"/>
      <c r="Y888" s="252">
        <v>0</v>
      </c>
    </row>
    <row r="889" spans="1:25" x14ac:dyDescent="0.3">
      <c r="A889" s="253" t="s">
        <v>696</v>
      </c>
      <c r="B889" s="252">
        <v>0</v>
      </c>
      <c r="C889" s="252">
        <v>0</v>
      </c>
      <c r="D889" s="252">
        <v>0</v>
      </c>
      <c r="E889" s="252"/>
      <c r="F889" s="252">
        <v>0</v>
      </c>
      <c r="G889" s="252">
        <v>0</v>
      </c>
      <c r="H889" s="252">
        <v>0</v>
      </c>
      <c r="I889" s="252"/>
      <c r="J889" s="252"/>
      <c r="K889" s="252">
        <v>0</v>
      </c>
      <c r="L889" s="252"/>
      <c r="M889" s="252">
        <v>0</v>
      </c>
      <c r="N889" s="252">
        <v>0</v>
      </c>
      <c r="O889" s="252">
        <v>0</v>
      </c>
      <c r="P889" s="252"/>
      <c r="Q889" s="252">
        <v>0</v>
      </c>
      <c r="R889" s="252"/>
      <c r="S889" s="252"/>
      <c r="T889" s="252">
        <v>0</v>
      </c>
      <c r="U889" s="252"/>
      <c r="V889" s="252">
        <v>0</v>
      </c>
      <c r="W889" s="252">
        <v>0</v>
      </c>
      <c r="X889" s="252"/>
      <c r="Y889" s="252">
        <v>0</v>
      </c>
    </row>
    <row r="890" spans="1:25" x14ac:dyDescent="0.3">
      <c r="A890" s="253" t="s">
        <v>697</v>
      </c>
      <c r="B890" s="252">
        <v>0</v>
      </c>
      <c r="C890" s="252">
        <v>0</v>
      </c>
      <c r="D890" s="252">
        <v>0</v>
      </c>
      <c r="E890" s="252"/>
      <c r="F890" s="252">
        <v>0</v>
      </c>
      <c r="G890" s="252">
        <v>0</v>
      </c>
      <c r="H890" s="252">
        <v>0</v>
      </c>
      <c r="I890" s="252"/>
      <c r="J890" s="252"/>
      <c r="K890" s="252">
        <v>0</v>
      </c>
      <c r="L890" s="252"/>
      <c r="M890" s="252">
        <v>0</v>
      </c>
      <c r="N890" s="252">
        <v>0</v>
      </c>
      <c r="O890" s="252">
        <v>0</v>
      </c>
      <c r="P890" s="252"/>
      <c r="Q890" s="252">
        <v>0</v>
      </c>
      <c r="R890" s="252"/>
      <c r="S890" s="252"/>
      <c r="T890" s="252">
        <v>0</v>
      </c>
      <c r="U890" s="252"/>
      <c r="V890" s="252">
        <v>0</v>
      </c>
      <c r="W890" s="252">
        <v>0</v>
      </c>
      <c r="X890" s="252"/>
      <c r="Y890" s="252">
        <v>0</v>
      </c>
    </row>
    <row r="891" spans="1:25" x14ac:dyDescent="0.3">
      <c r="A891" s="253" t="s">
        <v>49</v>
      </c>
      <c r="B891" s="252">
        <v>1</v>
      </c>
      <c r="C891" s="252">
        <v>2</v>
      </c>
      <c r="D891" s="252">
        <v>0</v>
      </c>
      <c r="E891" s="252">
        <v>2</v>
      </c>
      <c r="F891" s="252">
        <v>1</v>
      </c>
      <c r="G891" s="252">
        <v>1</v>
      </c>
      <c r="H891" s="252">
        <v>1</v>
      </c>
      <c r="I891" s="252">
        <v>0</v>
      </c>
      <c r="J891" s="252">
        <v>2</v>
      </c>
      <c r="K891" s="252">
        <v>1</v>
      </c>
      <c r="L891" s="252">
        <v>1</v>
      </c>
      <c r="M891" s="252">
        <v>1</v>
      </c>
      <c r="N891" s="252">
        <v>1</v>
      </c>
      <c r="O891" s="252">
        <v>0</v>
      </c>
      <c r="P891" s="252">
        <v>1</v>
      </c>
      <c r="Q891" s="252">
        <v>1</v>
      </c>
      <c r="R891" s="252">
        <v>2</v>
      </c>
      <c r="S891" s="252">
        <v>0</v>
      </c>
      <c r="T891" s="252">
        <v>0</v>
      </c>
      <c r="U891" s="252">
        <v>0</v>
      </c>
      <c r="V891" s="252">
        <v>1</v>
      </c>
      <c r="W891" s="252">
        <v>1</v>
      </c>
      <c r="X891" s="252">
        <v>0</v>
      </c>
      <c r="Y891" s="252">
        <v>20</v>
      </c>
    </row>
    <row r="892" spans="1:25" x14ac:dyDescent="0.3">
      <c r="A892" s="253" t="s">
        <v>48</v>
      </c>
      <c r="B892" s="252">
        <v>1</v>
      </c>
      <c r="C892" s="252">
        <v>2</v>
      </c>
      <c r="D892" s="252">
        <v>0</v>
      </c>
      <c r="E892" s="252">
        <v>2</v>
      </c>
      <c r="F892" s="252">
        <v>1</v>
      </c>
      <c r="G892" s="252">
        <v>1</v>
      </c>
      <c r="H892" s="252">
        <v>1</v>
      </c>
      <c r="I892" s="252">
        <v>0</v>
      </c>
      <c r="J892" s="252">
        <v>2</v>
      </c>
      <c r="K892" s="252">
        <v>1</v>
      </c>
      <c r="L892" s="252">
        <v>2</v>
      </c>
      <c r="M892" s="252">
        <v>1</v>
      </c>
      <c r="N892" s="252">
        <v>0</v>
      </c>
      <c r="O892" s="252">
        <v>0</v>
      </c>
      <c r="P892" s="252">
        <v>1</v>
      </c>
      <c r="Q892" s="252">
        <v>1</v>
      </c>
      <c r="R892" s="252">
        <v>1</v>
      </c>
      <c r="S892" s="252">
        <v>3</v>
      </c>
      <c r="T892" s="252">
        <v>1</v>
      </c>
      <c r="U892" s="252">
        <v>0</v>
      </c>
      <c r="V892" s="252">
        <v>0</v>
      </c>
      <c r="W892" s="252">
        <v>1</v>
      </c>
      <c r="X892" s="252">
        <v>2</v>
      </c>
      <c r="Y892" s="252">
        <v>24</v>
      </c>
    </row>
    <row r="893" spans="1:25" x14ac:dyDescent="0.3">
      <c r="A893" s="253" t="s">
        <v>698</v>
      </c>
      <c r="B893" s="252">
        <v>0</v>
      </c>
      <c r="C893" s="252"/>
      <c r="D893" s="252">
        <v>0</v>
      </c>
      <c r="E893" s="252">
        <v>0</v>
      </c>
      <c r="F893" s="252">
        <v>0</v>
      </c>
      <c r="G893" s="252"/>
      <c r="H893" s="252">
        <v>0</v>
      </c>
      <c r="I893" s="252"/>
      <c r="J893" s="252"/>
      <c r="K893" s="252"/>
      <c r="L893" s="252"/>
      <c r="M893" s="252">
        <v>0</v>
      </c>
      <c r="N893" s="252"/>
      <c r="O893" s="252">
        <v>0</v>
      </c>
      <c r="P893" s="252"/>
      <c r="Q893" s="252"/>
      <c r="R893" s="252"/>
      <c r="S893" s="252">
        <v>0</v>
      </c>
      <c r="T893" s="252"/>
      <c r="U893" s="252"/>
      <c r="V893" s="252"/>
      <c r="W893" s="252">
        <v>0</v>
      </c>
      <c r="X893" s="252"/>
      <c r="Y893" s="252">
        <v>0</v>
      </c>
    </row>
    <row r="894" spans="1:25" x14ac:dyDescent="0.3">
      <c r="A894" s="253" t="s">
        <v>50</v>
      </c>
      <c r="B894" s="252">
        <v>1</v>
      </c>
      <c r="C894" s="252">
        <v>3</v>
      </c>
      <c r="D894" s="252">
        <v>0</v>
      </c>
      <c r="E894" s="252">
        <v>4</v>
      </c>
      <c r="F894" s="252">
        <v>2</v>
      </c>
      <c r="G894" s="252">
        <v>2</v>
      </c>
      <c r="H894" s="252">
        <v>1</v>
      </c>
      <c r="I894" s="252">
        <v>0</v>
      </c>
      <c r="J894" s="252">
        <v>4</v>
      </c>
      <c r="K894" s="252">
        <v>2</v>
      </c>
      <c r="L894" s="252">
        <v>2</v>
      </c>
      <c r="M894" s="252">
        <v>1</v>
      </c>
      <c r="N894" s="252">
        <v>1</v>
      </c>
      <c r="O894" s="252">
        <v>3</v>
      </c>
      <c r="P894" s="252">
        <v>1</v>
      </c>
      <c r="Q894" s="252">
        <v>2</v>
      </c>
      <c r="R894" s="252">
        <v>2</v>
      </c>
      <c r="S894" s="252">
        <v>2</v>
      </c>
      <c r="T894" s="252">
        <v>0</v>
      </c>
      <c r="U894" s="252">
        <v>1</v>
      </c>
      <c r="V894" s="252">
        <v>1</v>
      </c>
      <c r="W894" s="252">
        <v>0</v>
      </c>
      <c r="X894" s="252">
        <v>4</v>
      </c>
      <c r="Y894" s="252">
        <v>39</v>
      </c>
    </row>
    <row r="895" spans="1:25" x14ac:dyDescent="0.3">
      <c r="A895" s="253" t="s">
        <v>908</v>
      </c>
      <c r="B895" s="252">
        <v>0</v>
      </c>
      <c r="C895" s="252">
        <v>0</v>
      </c>
      <c r="D895" s="252">
        <v>0</v>
      </c>
      <c r="E895" s="252">
        <v>0</v>
      </c>
      <c r="F895" s="252">
        <v>0</v>
      </c>
      <c r="G895" s="252">
        <v>0</v>
      </c>
      <c r="H895" s="252">
        <v>0</v>
      </c>
      <c r="I895" s="252">
        <v>0</v>
      </c>
      <c r="J895" s="252">
        <v>0</v>
      </c>
      <c r="K895" s="252">
        <v>0</v>
      </c>
      <c r="L895" s="252"/>
      <c r="M895" s="252">
        <v>0</v>
      </c>
      <c r="N895" s="252">
        <v>0</v>
      </c>
      <c r="O895" s="252">
        <v>0</v>
      </c>
      <c r="P895" s="252">
        <v>0</v>
      </c>
      <c r="Q895" s="252">
        <v>0</v>
      </c>
      <c r="R895" s="252">
        <v>0</v>
      </c>
      <c r="S895" s="252">
        <v>0</v>
      </c>
      <c r="T895" s="252">
        <v>0</v>
      </c>
      <c r="U895" s="252">
        <v>0</v>
      </c>
      <c r="V895" s="252">
        <v>0</v>
      </c>
      <c r="W895" s="252">
        <v>0</v>
      </c>
      <c r="X895" s="252">
        <v>0</v>
      </c>
      <c r="Y895" s="252">
        <v>0</v>
      </c>
    </row>
    <row r="896" spans="1:25" x14ac:dyDescent="0.3">
      <c r="A896" s="253" t="s">
        <v>998</v>
      </c>
      <c r="B896" s="252">
        <v>0</v>
      </c>
      <c r="C896" s="252">
        <v>0</v>
      </c>
      <c r="D896" s="252">
        <v>0</v>
      </c>
      <c r="E896" s="252">
        <v>0</v>
      </c>
      <c r="F896" s="252">
        <v>0</v>
      </c>
      <c r="G896" s="252">
        <v>0</v>
      </c>
      <c r="H896" s="252">
        <v>0</v>
      </c>
      <c r="I896" s="252">
        <v>0</v>
      </c>
      <c r="J896" s="252">
        <v>0</v>
      </c>
      <c r="K896" s="252">
        <v>0</v>
      </c>
      <c r="L896" s="252">
        <v>0</v>
      </c>
      <c r="M896" s="252">
        <v>0</v>
      </c>
      <c r="N896" s="252">
        <v>0</v>
      </c>
      <c r="O896" s="252">
        <v>0</v>
      </c>
      <c r="P896" s="252">
        <v>0</v>
      </c>
      <c r="Q896" s="252">
        <v>0</v>
      </c>
      <c r="R896" s="252">
        <v>0</v>
      </c>
      <c r="S896" s="252">
        <v>0</v>
      </c>
      <c r="T896" s="252">
        <v>0</v>
      </c>
      <c r="U896" s="252">
        <v>0</v>
      </c>
      <c r="V896" s="252">
        <v>0</v>
      </c>
      <c r="W896" s="252">
        <v>0</v>
      </c>
      <c r="X896" s="252">
        <v>0</v>
      </c>
      <c r="Y896" s="252">
        <v>0</v>
      </c>
    </row>
    <row r="897" spans="1:25" x14ac:dyDescent="0.3">
      <c r="A897" s="253" t="s">
        <v>999</v>
      </c>
      <c r="B897" s="252">
        <v>0</v>
      </c>
      <c r="C897" s="252">
        <v>0</v>
      </c>
      <c r="D897" s="252">
        <v>0</v>
      </c>
      <c r="E897" s="252">
        <v>0</v>
      </c>
      <c r="F897" s="252">
        <v>0</v>
      </c>
      <c r="G897" s="252">
        <v>0</v>
      </c>
      <c r="H897" s="252">
        <v>0</v>
      </c>
      <c r="I897" s="252">
        <v>0</v>
      </c>
      <c r="J897" s="252">
        <v>0</v>
      </c>
      <c r="K897" s="252">
        <v>0</v>
      </c>
      <c r="L897" s="252">
        <v>0</v>
      </c>
      <c r="M897" s="252">
        <v>0</v>
      </c>
      <c r="N897" s="252">
        <v>0</v>
      </c>
      <c r="O897" s="252">
        <v>0</v>
      </c>
      <c r="P897" s="252">
        <v>0</v>
      </c>
      <c r="Q897" s="252">
        <v>0</v>
      </c>
      <c r="R897" s="252">
        <v>0</v>
      </c>
      <c r="S897" s="252">
        <v>0</v>
      </c>
      <c r="T897" s="252">
        <v>0</v>
      </c>
      <c r="U897" s="252">
        <v>0</v>
      </c>
      <c r="V897" s="252">
        <v>0</v>
      </c>
      <c r="W897" s="252">
        <v>0</v>
      </c>
      <c r="X897" s="252">
        <v>0</v>
      </c>
      <c r="Y897" s="252">
        <v>0</v>
      </c>
    </row>
    <row r="898" spans="1:25" x14ac:dyDescent="0.3">
      <c r="A898" s="253" t="s">
        <v>699</v>
      </c>
      <c r="B898" s="252">
        <v>0</v>
      </c>
      <c r="C898" s="252">
        <v>0</v>
      </c>
      <c r="D898" s="252">
        <v>0</v>
      </c>
      <c r="E898" s="252">
        <v>0</v>
      </c>
      <c r="F898" s="252">
        <v>0</v>
      </c>
      <c r="G898" s="252">
        <v>0</v>
      </c>
      <c r="H898" s="252">
        <v>0</v>
      </c>
      <c r="I898" s="252">
        <v>0</v>
      </c>
      <c r="J898" s="252">
        <v>0</v>
      </c>
      <c r="K898" s="252">
        <v>0</v>
      </c>
      <c r="L898" s="252"/>
      <c r="M898" s="252">
        <v>0</v>
      </c>
      <c r="N898" s="252">
        <v>0</v>
      </c>
      <c r="O898" s="252">
        <v>0</v>
      </c>
      <c r="P898" s="252"/>
      <c r="Q898" s="252">
        <v>0</v>
      </c>
      <c r="R898" s="252"/>
      <c r="S898" s="252">
        <v>0</v>
      </c>
      <c r="T898" s="252">
        <v>0</v>
      </c>
      <c r="U898" s="252"/>
      <c r="V898" s="252">
        <v>0</v>
      </c>
      <c r="W898" s="252">
        <v>0</v>
      </c>
      <c r="X898" s="252"/>
      <c r="Y898" s="252">
        <v>0</v>
      </c>
    </row>
    <row r="899" spans="1:25" x14ac:dyDescent="0.3">
      <c r="A899" s="253" t="s">
        <v>700</v>
      </c>
      <c r="B899" s="252">
        <v>0</v>
      </c>
      <c r="C899" s="252"/>
      <c r="D899" s="252">
        <v>0</v>
      </c>
      <c r="E899" s="252">
        <v>0</v>
      </c>
      <c r="F899" s="252">
        <v>0</v>
      </c>
      <c r="G899" s="252">
        <v>0</v>
      </c>
      <c r="H899" s="252">
        <v>0</v>
      </c>
      <c r="I899" s="252"/>
      <c r="J899" s="252"/>
      <c r="K899" s="252"/>
      <c r="L899" s="252"/>
      <c r="M899" s="252">
        <v>0</v>
      </c>
      <c r="N899" s="252">
        <v>0</v>
      </c>
      <c r="O899" s="252">
        <v>0</v>
      </c>
      <c r="P899" s="252"/>
      <c r="Q899" s="252">
        <v>0</v>
      </c>
      <c r="R899" s="252"/>
      <c r="S899" s="252"/>
      <c r="T899" s="252">
        <v>0</v>
      </c>
      <c r="U899" s="252"/>
      <c r="V899" s="252">
        <v>0</v>
      </c>
      <c r="W899" s="252">
        <v>0</v>
      </c>
      <c r="X899" s="252"/>
      <c r="Y899" s="252">
        <v>0</v>
      </c>
    </row>
    <row r="900" spans="1:25" x14ac:dyDescent="0.3">
      <c r="A900" s="253" t="s">
        <v>106</v>
      </c>
      <c r="B900" s="252">
        <v>702</v>
      </c>
      <c r="C900" s="252">
        <v>618</v>
      </c>
      <c r="D900" s="252">
        <v>273</v>
      </c>
      <c r="E900" s="252">
        <v>894</v>
      </c>
      <c r="F900" s="252">
        <v>327</v>
      </c>
      <c r="G900" s="252">
        <v>494</v>
      </c>
      <c r="H900" s="252">
        <v>578</v>
      </c>
      <c r="I900" s="252">
        <v>11</v>
      </c>
      <c r="J900" s="252">
        <v>748</v>
      </c>
      <c r="K900" s="252">
        <v>555</v>
      </c>
      <c r="L900" s="252">
        <v>493</v>
      </c>
      <c r="M900" s="252">
        <v>629</v>
      </c>
      <c r="N900" s="252">
        <v>436</v>
      </c>
      <c r="O900" s="252">
        <v>695</v>
      </c>
      <c r="P900" s="252">
        <v>587</v>
      </c>
      <c r="Q900" s="252">
        <v>632</v>
      </c>
      <c r="R900" s="252">
        <v>688</v>
      </c>
      <c r="S900" s="252">
        <v>687</v>
      </c>
      <c r="T900" s="252">
        <v>404</v>
      </c>
      <c r="U900" s="252">
        <v>561</v>
      </c>
      <c r="V900" s="252">
        <v>502</v>
      </c>
      <c r="W900" s="252">
        <v>552</v>
      </c>
      <c r="X900" s="252">
        <v>664</v>
      </c>
      <c r="Y900" s="252">
        <v>12730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7E491-137B-4B68-9D62-2A2EB061876E}">
  <sheetPr codeName="Hoja2">
    <tabColor rgb="FF00B0F0"/>
  </sheetPr>
  <dimension ref="A1:G150"/>
  <sheetViews>
    <sheetView zoomScale="80" zoomScaleNormal="80" workbookViewId="0">
      <pane xSplit="2" ySplit="2" topLeftCell="D76" activePane="bottomRight" state="frozen"/>
      <selection activeCell="B141" sqref="B141"/>
      <selection pane="topRight" activeCell="B141" sqref="B141"/>
      <selection pane="bottomLeft" activeCell="B141" sqref="B141"/>
      <selection pane="bottomRight" activeCell="G83" sqref="G83"/>
    </sheetView>
  </sheetViews>
  <sheetFormatPr baseColWidth="10" defaultRowHeight="18" x14ac:dyDescent="0.35"/>
  <cols>
    <col min="1" max="1" width="55.6640625" customWidth="1"/>
    <col min="2" max="2" width="7.88671875" style="91" customWidth="1"/>
    <col min="3" max="3" width="14" customWidth="1"/>
    <col min="4" max="5" width="15" customWidth="1"/>
    <col min="6" max="6" width="14.5546875" customWidth="1"/>
  </cols>
  <sheetData>
    <row r="1" spans="1:7" ht="18.600000000000001" thickBot="1" x14ac:dyDescent="0.4">
      <c r="A1" s="1">
        <f>RAIZ!B1</f>
        <v>46301</v>
      </c>
      <c r="C1" s="2"/>
      <c r="D1" s="2" t="s">
        <v>702</v>
      </c>
      <c r="E1" s="2"/>
      <c r="F1" s="2" t="s">
        <v>900</v>
      </c>
    </row>
    <row r="2" spans="1:7" ht="43.8" thickBot="1" x14ac:dyDescent="0.35">
      <c r="A2" s="90" t="s">
        <v>0</v>
      </c>
      <c r="B2" s="92" t="s">
        <v>755</v>
      </c>
      <c r="C2" s="39" t="s">
        <v>703</v>
      </c>
      <c r="D2" s="40" t="s">
        <v>951</v>
      </c>
      <c r="E2" s="88" t="s">
        <v>726</v>
      </c>
      <c r="F2" s="41" t="s">
        <v>705</v>
      </c>
      <c r="G2" s="62" t="s">
        <v>725</v>
      </c>
    </row>
    <row r="3" spans="1:7" s="157" customFormat="1" ht="18.75" customHeight="1" thickBot="1" x14ac:dyDescent="0.4">
      <c r="A3" s="93" t="s">
        <v>1</v>
      </c>
      <c r="B3" s="112" t="s">
        <v>756</v>
      </c>
      <c r="C3" s="149">
        <f>+IFERROR(VLOOKUP($A3,RAIZ!$A$3:$X$1500,MATCH('Suc. Amado Nervo'!$F$1,RAIZ!$A$2:$X$2,0),FALSE),0)-1-1</f>
        <v>1</v>
      </c>
      <c r="D3" s="156">
        <v>3</v>
      </c>
      <c r="E3" s="154" t="s">
        <v>952</v>
      </c>
      <c r="F3" s="149">
        <f>IF(D3-C3&gt;=0,D3-C3,0)</f>
        <v>2</v>
      </c>
      <c r="G3" s="5">
        <v>2</v>
      </c>
    </row>
    <row r="4" spans="1:7" s="157" customFormat="1" ht="18.75" customHeight="1" x14ac:dyDescent="0.35">
      <c r="A4" s="93" t="s">
        <v>2</v>
      </c>
      <c r="B4" s="112" t="s">
        <v>865</v>
      </c>
      <c r="C4" s="149">
        <f>+IFERROR(VLOOKUP($A4,RAIZ!$A$3:$X$1500,MATCH('Suc. Amado Nervo'!$F$1,RAIZ!$A$2:$X$2,0),FALSE),0)</f>
        <v>2</v>
      </c>
      <c r="D4" s="158">
        <v>2</v>
      </c>
      <c r="E4" s="149"/>
      <c r="F4" s="149">
        <f>IF(D4-C4&gt;=0,D4-C4,0)</f>
        <v>0</v>
      </c>
      <c r="G4" s="5"/>
    </row>
    <row r="5" spans="1:7" s="157" customFormat="1" ht="18.75" customHeight="1" x14ac:dyDescent="0.35">
      <c r="A5" s="93" t="s">
        <v>3</v>
      </c>
      <c r="B5" s="112" t="s">
        <v>757</v>
      </c>
      <c r="C5" s="149">
        <f>+IFERROR(VLOOKUP($A5,RAIZ!$A$3:$X$1500,MATCH('Suc. Amado Nervo'!$F$1,RAIZ!$A$2:$X$2,0),FALSE),0)</f>
        <v>2</v>
      </c>
      <c r="D5" s="158">
        <v>2</v>
      </c>
      <c r="E5" s="149"/>
      <c r="F5" s="149">
        <f t="shared" ref="F5:F10" si="0">IF(D5-C5&gt;=0,D5-C5,0)</f>
        <v>0</v>
      </c>
      <c r="G5" s="5"/>
    </row>
    <row r="6" spans="1:7" s="157" customFormat="1" ht="18.75" customHeight="1" x14ac:dyDescent="0.35">
      <c r="A6" s="93" t="s">
        <v>4</v>
      </c>
      <c r="B6" s="112" t="s">
        <v>758</v>
      </c>
      <c r="C6" s="149">
        <f>+IFERROR(VLOOKUP($A6,RAIZ!$A$3:$X$1500,MATCH('Suc. Amado Nervo'!$F$1,RAIZ!$A$2:$X$2,0),FALSE),0)</f>
        <v>3</v>
      </c>
      <c r="D6" s="158">
        <v>3</v>
      </c>
      <c r="E6" s="149"/>
      <c r="F6" s="149">
        <f t="shared" si="0"/>
        <v>0</v>
      </c>
      <c r="G6" s="5"/>
    </row>
    <row r="7" spans="1:7" s="157" customFormat="1" ht="18.75" customHeight="1" x14ac:dyDescent="0.35">
      <c r="A7" s="93" t="s">
        <v>5</v>
      </c>
      <c r="B7" s="112" t="s">
        <v>759</v>
      </c>
      <c r="C7" s="149">
        <f>+IFERROR(VLOOKUP($A7,RAIZ!$A$3:$X$1500,MATCH('Suc. Amado Nervo'!$F$1,RAIZ!$A$2:$X$2,0),FALSE),0)</f>
        <v>2</v>
      </c>
      <c r="D7" s="158">
        <v>2</v>
      </c>
      <c r="E7" s="149"/>
      <c r="F7" s="149">
        <f t="shared" si="0"/>
        <v>0</v>
      </c>
      <c r="G7" s="5"/>
    </row>
    <row r="8" spans="1:7" s="157" customFormat="1" ht="18.75" customHeight="1" x14ac:dyDescent="0.35">
      <c r="A8" s="93" t="s">
        <v>6</v>
      </c>
      <c r="B8" s="112" t="s">
        <v>760</v>
      </c>
      <c r="C8" s="149">
        <f>+IFERROR(VLOOKUP($A8,RAIZ!$A$3:$X$1500,MATCH('Suc. Amado Nervo'!$F$1,RAIZ!$A$2:$X$2,0),FALSE),0)-1</f>
        <v>4</v>
      </c>
      <c r="D8" s="158">
        <v>5</v>
      </c>
      <c r="E8" s="149"/>
      <c r="F8" s="149">
        <f t="shared" si="0"/>
        <v>1</v>
      </c>
      <c r="G8" s="5">
        <v>1</v>
      </c>
    </row>
    <row r="9" spans="1:7" s="157" customFormat="1" ht="18.75" customHeight="1" x14ac:dyDescent="0.35">
      <c r="A9" s="93" t="s">
        <v>7</v>
      </c>
      <c r="B9" s="112" t="s">
        <v>761</v>
      </c>
      <c r="C9" s="149">
        <f>+IFERROR(VLOOKUP($A9,RAIZ!$A$3:$X$1500,MATCH('Suc. Amado Nervo'!$F$1,RAIZ!$A$2:$X$2,0),FALSE),0)</f>
        <v>2</v>
      </c>
      <c r="D9" s="158">
        <v>2</v>
      </c>
      <c r="E9" s="149"/>
      <c r="F9" s="149">
        <f t="shared" si="0"/>
        <v>0</v>
      </c>
      <c r="G9" s="5"/>
    </row>
    <row r="10" spans="1:7" s="157" customFormat="1" ht="18.75" customHeight="1" x14ac:dyDescent="0.35">
      <c r="A10" s="93" t="s">
        <v>8</v>
      </c>
      <c r="B10" s="112" t="s">
        <v>762</v>
      </c>
      <c r="C10" s="149">
        <f>+IFERROR(VLOOKUP($A10,RAIZ!$A$3:$X$1500,MATCH('Suc. Amado Nervo'!$F$1,RAIZ!$A$2:$X$2,0),FALSE),0)</f>
        <v>3</v>
      </c>
      <c r="D10" s="158">
        <v>3</v>
      </c>
      <c r="E10" s="149"/>
      <c r="F10" s="149">
        <f t="shared" si="0"/>
        <v>0</v>
      </c>
      <c r="G10" s="5"/>
    </row>
    <row r="11" spans="1:7" s="157" customFormat="1" ht="18.75" customHeight="1" x14ac:dyDescent="0.35">
      <c r="A11" s="93" t="s">
        <v>9</v>
      </c>
      <c r="B11" s="112" t="s">
        <v>763</v>
      </c>
      <c r="C11" s="149">
        <f>+IFERROR(VLOOKUP($A11,RAIZ!$A$3:$X$1500,MATCH('Suc. Amado Nervo'!$F$1,RAIZ!$A$2:$X$2,0),FALSE),0)</f>
        <v>2</v>
      </c>
      <c r="D11" s="159">
        <v>2</v>
      </c>
      <c r="E11" s="149"/>
      <c r="F11" s="149">
        <f t="shared" ref="F11:F12" si="1">IF(D11-C11&gt;=0,D11-C11,0)</f>
        <v>0</v>
      </c>
      <c r="G11" s="5"/>
    </row>
    <row r="12" spans="1:7" s="157" customFormat="1" ht="18.75" customHeight="1" x14ac:dyDescent="0.35">
      <c r="A12" s="93"/>
      <c r="B12" s="112"/>
      <c r="C12" s="149">
        <f>+IFERROR(VLOOKUP($A12,RAIZ!$A$3:$X$1500,MATCH('Suc. Amado Nervo'!$F$1,RAIZ!$A$2:$X$2,0),FALSE),0)</f>
        <v>0</v>
      </c>
      <c r="D12" s="160"/>
      <c r="E12" s="149"/>
      <c r="F12" s="149">
        <f t="shared" si="1"/>
        <v>0</v>
      </c>
      <c r="G12" s="5"/>
    </row>
    <row r="13" spans="1:7" s="157" customFormat="1" ht="18.75" customHeight="1" x14ac:dyDescent="0.35">
      <c r="A13" s="93"/>
      <c r="B13" s="112"/>
      <c r="C13" s="149">
        <f>+IFERROR(VLOOKUP($A13,RAIZ!$A$3:$X$1500,MATCH('Suc. Amado Nervo'!$F$1,RAIZ!$A$2:$X$2,0),FALSE),0)</f>
        <v>0</v>
      </c>
      <c r="D13" s="160"/>
      <c r="E13" s="149"/>
      <c r="F13" s="149">
        <f t="shared" ref="F13:F17" si="2">IF(D13-C13&gt;=0,D13-C13,0)</f>
        <v>0</v>
      </c>
      <c r="G13" s="5"/>
    </row>
    <row r="14" spans="1:7" s="157" customFormat="1" ht="18.75" customHeight="1" x14ac:dyDescent="0.35">
      <c r="A14" s="93"/>
      <c r="B14" s="112"/>
      <c r="C14" s="149">
        <f>+IFERROR(VLOOKUP($A14,RAIZ!$A$3:$X$1500,MATCH('Suc. Amado Nervo'!$F$1,RAIZ!$A$2:$X$2,0),FALSE),0)</f>
        <v>0</v>
      </c>
      <c r="D14" s="160"/>
      <c r="E14" s="149"/>
      <c r="F14" s="149">
        <f t="shared" si="2"/>
        <v>0</v>
      </c>
      <c r="G14" s="5"/>
    </row>
    <row r="15" spans="1:7" s="157" customFormat="1" ht="18.75" customHeight="1" x14ac:dyDescent="0.35">
      <c r="A15" s="93"/>
      <c r="B15" s="112"/>
      <c r="C15" s="149">
        <f>+IFERROR(VLOOKUP($A15,RAIZ!$A$3:$X$1500,MATCH('Suc. Amado Nervo'!$F$1,RAIZ!$A$2:$X$2,0),FALSE),0)</f>
        <v>0</v>
      </c>
      <c r="D15" s="159"/>
      <c r="E15" s="149"/>
      <c r="F15" s="149">
        <f t="shared" si="2"/>
        <v>0</v>
      </c>
      <c r="G15" s="5"/>
    </row>
    <row r="16" spans="1:7" s="157" customFormat="1" ht="18.75" customHeight="1" x14ac:dyDescent="0.35">
      <c r="A16" s="93"/>
      <c r="B16" s="112"/>
      <c r="C16" s="149">
        <f>+IFERROR(VLOOKUP($A16,RAIZ!$A$3:$X$1500,MATCH('Suc. Amado Nervo'!$F$1,RAIZ!$A$2:$X$2,0),FALSE),0)</f>
        <v>0</v>
      </c>
      <c r="D16" s="159"/>
      <c r="E16" s="149"/>
      <c r="F16" s="149">
        <f t="shared" si="2"/>
        <v>0</v>
      </c>
      <c r="G16" s="5"/>
    </row>
    <row r="17" spans="1:7" s="157" customFormat="1" ht="18.75" customHeight="1" thickBot="1" x14ac:dyDescent="0.4">
      <c r="A17" s="93"/>
      <c r="B17" s="112"/>
      <c r="C17" s="149">
        <f>+IFERROR(VLOOKUP($A17,RAIZ!$A$3:$X$1500,MATCH('Suc. Amado Nervo'!$F$1,RAIZ!$A$2:$X$2,0),FALSE),0)</f>
        <v>0</v>
      </c>
      <c r="D17" s="159"/>
      <c r="E17" s="149"/>
      <c r="F17" s="149">
        <f t="shared" si="2"/>
        <v>0</v>
      </c>
      <c r="G17" s="5"/>
    </row>
    <row r="18" spans="1:7" ht="18.75" customHeight="1" thickBot="1" x14ac:dyDescent="0.4">
      <c r="A18" s="96" t="s">
        <v>10</v>
      </c>
      <c r="B18" s="111"/>
      <c r="C18" s="63">
        <f>SUM(C3:C17)</f>
        <v>21</v>
      </c>
      <c r="D18" s="43">
        <f>SUM(D3:D17)</f>
        <v>24</v>
      </c>
      <c r="E18" s="43">
        <f>SUM(E3:E17)</f>
        <v>0</v>
      </c>
      <c r="F18" s="63">
        <f>SUM(F3:F17)</f>
        <v>3</v>
      </c>
      <c r="G18" s="44">
        <f>SUM(G3:G17)</f>
        <v>3</v>
      </c>
    </row>
    <row r="19" spans="1:7" ht="18.75" customHeight="1" x14ac:dyDescent="0.35">
      <c r="A19" s="97" t="s">
        <v>676</v>
      </c>
      <c r="B19" s="112" t="s">
        <v>764</v>
      </c>
      <c r="C19" s="149">
        <f>+IFERROR(VLOOKUP($A19,RAIZ!$A$3:$X$1500,MATCH('Suc. Amado Nervo'!$F$1,RAIZ!$A$2:$X$2,0),FALSE),0)</f>
        <v>2</v>
      </c>
      <c r="D19" s="12">
        <v>2</v>
      </c>
      <c r="E19" s="5"/>
      <c r="F19" s="5">
        <f t="shared" ref="F19:F21" si="3">IF(D19-C19&gt;=0,D19-C19,0)</f>
        <v>0</v>
      </c>
      <c r="G19" s="5"/>
    </row>
    <row r="20" spans="1:7" ht="18.75" customHeight="1" x14ac:dyDescent="0.35">
      <c r="A20" s="97" t="s">
        <v>11</v>
      </c>
      <c r="B20" s="112" t="s">
        <v>827</v>
      </c>
      <c r="C20" s="149">
        <f>+IFERROR(VLOOKUP($A20,RAIZ!$A$3:$X$1500,MATCH('Suc. Amado Nervo'!$F$1,RAIZ!$A$2:$X$2,0),FALSE),0)</f>
        <v>2</v>
      </c>
      <c r="D20" s="14">
        <v>2</v>
      </c>
      <c r="E20" s="5"/>
      <c r="F20" s="5">
        <f t="shared" si="3"/>
        <v>0</v>
      </c>
      <c r="G20" s="5"/>
    </row>
    <row r="21" spans="1:7" ht="18.75" customHeight="1" x14ac:dyDescent="0.35">
      <c r="A21" s="97" t="s">
        <v>344</v>
      </c>
      <c r="B21" s="112" t="s">
        <v>765</v>
      </c>
      <c r="C21" s="149">
        <f>+IFERROR(VLOOKUP($A21,RAIZ!$A$3:$X$1500,MATCH('Suc. Amado Nervo'!$F$1,RAIZ!$A$2:$X$2,0),FALSE),0)</f>
        <v>2</v>
      </c>
      <c r="D21" s="14">
        <v>2</v>
      </c>
      <c r="E21" s="5"/>
      <c r="F21" s="5">
        <f t="shared" si="3"/>
        <v>0</v>
      </c>
      <c r="G21" s="5"/>
    </row>
    <row r="22" spans="1:7" ht="18.75" customHeight="1" x14ac:dyDescent="0.35">
      <c r="A22" s="97" t="s">
        <v>832</v>
      </c>
      <c r="B22" s="112" t="s">
        <v>833</v>
      </c>
      <c r="C22" s="149">
        <f>+IFERROR(VLOOKUP($A22,RAIZ!$A$3:$X$1500,MATCH('Suc. Amado Nervo'!$F$1,RAIZ!$A$2:$X$2,0),FALSE),0)</f>
        <v>1</v>
      </c>
      <c r="D22" s="14">
        <v>2</v>
      </c>
      <c r="E22" s="5"/>
      <c r="F22" s="5">
        <f t="shared" ref="F22:F31" si="4">IF(D22-C22&gt;=0,D22-C22,0)</f>
        <v>1</v>
      </c>
      <c r="G22" s="5">
        <v>1</v>
      </c>
    </row>
    <row r="23" spans="1:7" ht="18.75" customHeight="1" x14ac:dyDescent="0.35">
      <c r="A23" s="97" t="s">
        <v>12</v>
      </c>
      <c r="B23" s="112" t="s">
        <v>766</v>
      </c>
      <c r="C23" s="149">
        <f>+IFERROR(VLOOKUP($A23,RAIZ!$A$3:$X$1500,MATCH('Suc. Amado Nervo'!$F$1,RAIZ!$A$2:$X$2,0),FALSE),0)</f>
        <v>0</v>
      </c>
      <c r="D23" s="14">
        <v>2</v>
      </c>
      <c r="E23" s="5"/>
      <c r="F23" s="5">
        <f t="shared" si="4"/>
        <v>2</v>
      </c>
      <c r="G23" s="5">
        <v>2</v>
      </c>
    </row>
    <row r="24" spans="1:7" ht="18.75" customHeight="1" x14ac:dyDescent="0.35">
      <c r="A24" s="97" t="s">
        <v>432</v>
      </c>
      <c r="B24" s="112" t="s">
        <v>767</v>
      </c>
      <c r="C24" s="149">
        <f>+IFERROR(VLOOKUP($A24,RAIZ!$A$3:$X$1500,MATCH('Suc. Amado Nervo'!$F$1,RAIZ!$A$2:$X$2,0),FALSE),0)</f>
        <v>1</v>
      </c>
      <c r="D24" s="14">
        <v>2</v>
      </c>
      <c r="E24" s="5"/>
      <c r="F24" s="5">
        <f t="shared" si="4"/>
        <v>1</v>
      </c>
      <c r="G24" s="5"/>
    </row>
    <row r="25" spans="1:7" ht="18.75" customHeight="1" x14ac:dyDescent="0.35">
      <c r="A25" s="97" t="s">
        <v>468</v>
      </c>
      <c r="B25" s="112" t="s">
        <v>768</v>
      </c>
      <c r="C25" s="149">
        <f>+IFERROR(VLOOKUP($A25,RAIZ!$A$3:$X$1500,MATCH('Suc. Amado Nervo'!$F$1,RAIZ!$A$2:$X$2,0),FALSE),0)</f>
        <v>4</v>
      </c>
      <c r="D25" s="16">
        <v>4</v>
      </c>
      <c r="E25" s="5"/>
      <c r="F25" s="5">
        <f t="shared" si="4"/>
        <v>0</v>
      </c>
      <c r="G25" s="5"/>
    </row>
    <row r="26" spans="1:7" ht="18.75" customHeight="1" x14ac:dyDescent="0.35">
      <c r="A26" s="97"/>
      <c r="B26" s="112"/>
      <c r="C26" s="149">
        <f>+IFERROR(VLOOKUP($A26,RAIZ!$A$3:$X$1500,MATCH('Suc. Amado Nervo'!$F$1,RAIZ!$A$2:$X$2,0),FALSE),0)</f>
        <v>0</v>
      </c>
      <c r="D26" s="20"/>
      <c r="E26" s="5"/>
      <c r="F26" s="5">
        <f t="shared" si="4"/>
        <v>0</v>
      </c>
      <c r="G26" s="5"/>
    </row>
    <row r="27" spans="1:7" ht="18.75" customHeight="1" x14ac:dyDescent="0.35">
      <c r="A27" s="97"/>
      <c r="B27" s="112"/>
      <c r="C27" s="149">
        <f>+IFERROR(VLOOKUP($A27,RAIZ!$A$3:$X$1500,MATCH('Suc. Amado Nervo'!$F$1,RAIZ!$A$2:$X$2,0),FALSE),0)</f>
        <v>0</v>
      </c>
      <c r="D27" s="16"/>
      <c r="E27" s="5"/>
      <c r="F27" s="5">
        <f t="shared" si="4"/>
        <v>0</v>
      </c>
      <c r="G27" s="5"/>
    </row>
    <row r="28" spans="1:7" ht="18.75" customHeight="1" x14ac:dyDescent="0.35">
      <c r="A28" s="97"/>
      <c r="B28" s="112"/>
      <c r="C28" s="149">
        <f>+IFERROR(VLOOKUP($A28,RAIZ!$A$3:$X$1500,MATCH('Suc. Amado Nervo'!$F$1,RAIZ!$A$2:$X$2,0),FALSE),0)</f>
        <v>0</v>
      </c>
      <c r="D28" s="16"/>
      <c r="E28" s="5"/>
      <c r="F28" s="5">
        <f t="shared" si="4"/>
        <v>0</v>
      </c>
      <c r="G28" s="5"/>
    </row>
    <row r="29" spans="1:7" ht="18.75" customHeight="1" x14ac:dyDescent="0.35">
      <c r="A29" s="97"/>
      <c r="B29" s="112"/>
      <c r="C29" s="149">
        <f>+IFERROR(VLOOKUP($A29,RAIZ!$A$3:$X$1500,MATCH('Suc. Amado Nervo'!$F$1,RAIZ!$A$2:$X$2,0),FALSE),0)</f>
        <v>0</v>
      </c>
      <c r="D29" s="16"/>
      <c r="E29" s="5"/>
      <c r="F29" s="5">
        <f t="shared" si="4"/>
        <v>0</v>
      </c>
      <c r="G29" s="5"/>
    </row>
    <row r="30" spans="1:7" ht="18.75" customHeight="1" x14ac:dyDescent="0.35">
      <c r="A30" s="97"/>
      <c r="B30" s="112"/>
      <c r="C30" s="149">
        <f>+IFERROR(VLOOKUP($A30,RAIZ!$A$3:$X$1500,MATCH('Suc. Amado Nervo'!$F$1,RAIZ!$A$2:$X$2,0),FALSE),0)</f>
        <v>0</v>
      </c>
      <c r="D30" s="16"/>
      <c r="E30" s="5"/>
      <c r="F30" s="5">
        <f t="shared" si="4"/>
        <v>0</v>
      </c>
      <c r="G30" s="5"/>
    </row>
    <row r="31" spans="1:7" ht="18.75" customHeight="1" thickBot="1" x14ac:dyDescent="0.4">
      <c r="A31" s="97"/>
      <c r="B31" s="112"/>
      <c r="C31" s="149">
        <f>+IFERROR(VLOOKUP($A31,RAIZ!$A$3:$X$1500,MATCH('Suc. Amado Nervo'!$F$1,RAIZ!$A$2:$X$2,0),FALSE),0)</f>
        <v>0</v>
      </c>
      <c r="D31" s="16"/>
      <c r="E31" s="5"/>
      <c r="F31" s="5">
        <f t="shared" si="4"/>
        <v>0</v>
      </c>
      <c r="G31" s="5"/>
    </row>
    <row r="32" spans="1:7" ht="18.75" customHeight="1" thickBot="1" x14ac:dyDescent="0.4">
      <c r="A32" s="98" t="s">
        <v>13</v>
      </c>
      <c r="B32" s="111"/>
      <c r="C32" s="64">
        <f>SUM(C19:C31)</f>
        <v>12</v>
      </c>
      <c r="D32" s="45">
        <f>SUM(D19:D31)</f>
        <v>16</v>
      </c>
      <c r="E32" s="45">
        <f>SUM(E19:E31)</f>
        <v>0</v>
      </c>
      <c r="F32" s="64">
        <f>SUM(F19:F31)</f>
        <v>4</v>
      </c>
      <c r="G32" s="46">
        <f>SUM(G19:G31)</f>
        <v>3</v>
      </c>
    </row>
    <row r="33" spans="1:7" ht="18.75" customHeight="1" x14ac:dyDescent="0.35">
      <c r="A33" s="97" t="s">
        <v>14</v>
      </c>
      <c r="B33" s="112" t="s">
        <v>769</v>
      </c>
      <c r="C33" s="149">
        <f>+IFERROR(VLOOKUP($A33,RAIZ!$A$3:$X$1500,MATCH('Suc. Amado Nervo'!$F$1,RAIZ!$A$2:$X$2,0),FALSE),0)-1</f>
        <v>2</v>
      </c>
      <c r="D33" s="4">
        <v>3</v>
      </c>
      <c r="E33" s="5"/>
      <c r="F33" s="5">
        <f t="shared" ref="F33:F48" si="5">IF(D33-C33&gt;=0,D33-C33,0)</f>
        <v>1</v>
      </c>
      <c r="G33" s="5">
        <v>1</v>
      </c>
    </row>
    <row r="34" spans="1:7" ht="18.75" customHeight="1" x14ac:dyDescent="0.35">
      <c r="A34" s="97" t="s">
        <v>15</v>
      </c>
      <c r="B34" s="112" t="s">
        <v>770</v>
      </c>
      <c r="C34" s="149">
        <f>+IFERROR(VLOOKUP($A34,RAIZ!$A$3:$X$1500,MATCH('Suc. Amado Nervo'!$F$1,RAIZ!$A$2:$X$2,0),FALSE),0)</f>
        <v>3</v>
      </c>
      <c r="D34" s="7">
        <v>2</v>
      </c>
      <c r="E34" s="5"/>
      <c r="F34" s="5">
        <f t="shared" si="5"/>
        <v>0</v>
      </c>
      <c r="G34" s="5"/>
    </row>
    <row r="35" spans="1:7" ht="18.75" customHeight="1" x14ac:dyDescent="0.35">
      <c r="A35" s="97" t="s">
        <v>16</v>
      </c>
      <c r="B35" s="112" t="s">
        <v>771</v>
      </c>
      <c r="C35" s="149">
        <f>+IFERROR(VLOOKUP($A35,RAIZ!$A$3:$X$1500,MATCH('Suc. Amado Nervo'!$F$1,RAIZ!$A$2:$X$2,0),FALSE),0)</f>
        <v>2</v>
      </c>
      <c r="D35" s="7">
        <v>2</v>
      </c>
      <c r="E35" s="5"/>
      <c r="F35" s="5">
        <f t="shared" si="5"/>
        <v>0</v>
      </c>
      <c r="G35" s="5"/>
    </row>
    <row r="36" spans="1:7" ht="18.75" customHeight="1" x14ac:dyDescent="0.35">
      <c r="A36" s="97" t="s">
        <v>17</v>
      </c>
      <c r="B36" s="112" t="s">
        <v>772</v>
      </c>
      <c r="C36" s="149">
        <f>+IFERROR(VLOOKUP($A36,RAIZ!$A$3:$X$1500,MATCH('Suc. Amado Nervo'!$F$1,RAIZ!$A$2:$X$2,0),FALSE),0)</f>
        <v>3</v>
      </c>
      <c r="D36" s="7">
        <v>2</v>
      </c>
      <c r="E36" s="5"/>
      <c r="F36" s="5">
        <f t="shared" si="5"/>
        <v>0</v>
      </c>
      <c r="G36" s="5"/>
    </row>
    <row r="37" spans="1:7" ht="18.75" customHeight="1" x14ac:dyDescent="0.35">
      <c r="A37" s="97" t="s">
        <v>18</v>
      </c>
      <c r="B37" s="112" t="s">
        <v>773</v>
      </c>
      <c r="C37" s="149">
        <f>+IFERROR(VLOOKUP($A37,RAIZ!$A$3:$X$1500,MATCH('Suc. Amado Nervo'!$F$1,RAIZ!$A$2:$X$2,0),FALSE),0)</f>
        <v>3</v>
      </c>
      <c r="D37" s="7">
        <v>3</v>
      </c>
      <c r="E37" s="5"/>
      <c r="F37" s="5">
        <f t="shared" si="5"/>
        <v>0</v>
      </c>
      <c r="G37" s="5"/>
    </row>
    <row r="38" spans="1:7" ht="18.75" customHeight="1" x14ac:dyDescent="0.35">
      <c r="A38" s="97" t="s">
        <v>22</v>
      </c>
      <c r="B38" s="112" t="s">
        <v>774</v>
      </c>
      <c r="C38" s="149">
        <f>+IFERROR(VLOOKUP($A38,RAIZ!$A$3:$X$1500,MATCH('Suc. Amado Nervo'!$F$1,RAIZ!$A$2:$X$2,0),FALSE),0)-1</f>
        <v>2</v>
      </c>
      <c r="D38" s="18">
        <v>3</v>
      </c>
      <c r="E38" s="5"/>
      <c r="F38" s="5">
        <f t="shared" si="5"/>
        <v>1</v>
      </c>
      <c r="G38" s="5">
        <v>1</v>
      </c>
    </row>
    <row r="39" spans="1:7" ht="18.75" customHeight="1" x14ac:dyDescent="0.35">
      <c r="A39" s="97" t="s">
        <v>23</v>
      </c>
      <c r="B39" s="112" t="s">
        <v>775</v>
      </c>
      <c r="C39" s="149">
        <f>+IFERROR(VLOOKUP($A39,RAIZ!$A$3:$X$1500,MATCH('Suc. Amado Nervo'!$F$1,RAIZ!$A$2:$X$2,0),FALSE),0)</f>
        <v>1</v>
      </c>
      <c r="D39" s="18">
        <v>2</v>
      </c>
      <c r="E39" s="5"/>
      <c r="F39" s="5">
        <f t="shared" si="5"/>
        <v>1</v>
      </c>
      <c r="G39" s="5">
        <v>1</v>
      </c>
    </row>
    <row r="40" spans="1:7" ht="18.75" customHeight="1" x14ac:dyDescent="0.35">
      <c r="A40" s="97" t="s">
        <v>24</v>
      </c>
      <c r="B40" s="112" t="s">
        <v>776</v>
      </c>
      <c r="C40" s="149">
        <f>+IFERROR(VLOOKUP($A40,RAIZ!$A$3:$X$1500,MATCH('Suc. Amado Nervo'!$F$1,RAIZ!$A$2:$X$2,0),FALSE),0)</f>
        <v>2</v>
      </c>
      <c r="D40" s="7">
        <v>2</v>
      </c>
      <c r="E40" s="5"/>
      <c r="F40" s="5">
        <f t="shared" si="5"/>
        <v>0</v>
      </c>
      <c r="G40" s="5"/>
    </row>
    <row r="41" spans="1:7" ht="18.75" customHeight="1" x14ac:dyDescent="0.35">
      <c r="A41" s="97" t="s">
        <v>25</v>
      </c>
      <c r="B41" s="112" t="s">
        <v>777</v>
      </c>
      <c r="C41" s="149">
        <f>+IFERROR(VLOOKUP($A41,RAIZ!$A$3:$X$1500,MATCH('Suc. Amado Nervo'!$F$1,RAIZ!$A$2:$X$2,0),FALSE),0)</f>
        <v>2</v>
      </c>
      <c r="D41" s="18">
        <v>2</v>
      </c>
      <c r="E41" s="5"/>
      <c r="F41" s="5">
        <f t="shared" si="5"/>
        <v>0</v>
      </c>
      <c r="G41" s="5"/>
    </row>
    <row r="42" spans="1:7" ht="18.75" customHeight="1" x14ac:dyDescent="0.35">
      <c r="A42" s="97"/>
      <c r="B42" s="112"/>
      <c r="C42" s="149">
        <f>+IFERROR(VLOOKUP($A42,RAIZ!$A$3:$X$1500,MATCH('Suc. Amado Nervo'!$F$1,RAIZ!$A$2:$X$2,0),FALSE),0)</f>
        <v>0</v>
      </c>
      <c r="D42" s="20"/>
      <c r="E42" s="5"/>
      <c r="F42" s="5">
        <f t="shared" si="5"/>
        <v>0</v>
      </c>
      <c r="G42" s="5"/>
    </row>
    <row r="43" spans="1:7" ht="18.75" customHeight="1" x14ac:dyDescent="0.35">
      <c r="A43" s="97"/>
      <c r="B43" s="112"/>
      <c r="C43" s="149">
        <f>+IFERROR(VLOOKUP($A43,RAIZ!$A$3:$X$1500,MATCH('Suc. Amado Nervo'!$F$1,RAIZ!$A$2:$X$2,0),FALSE),0)</f>
        <v>0</v>
      </c>
      <c r="D43" s="18"/>
      <c r="E43" s="5"/>
      <c r="F43" s="5">
        <f t="shared" si="5"/>
        <v>0</v>
      </c>
      <c r="G43" s="5"/>
    </row>
    <row r="44" spans="1:7" ht="18.75" customHeight="1" x14ac:dyDescent="0.35">
      <c r="A44" s="97"/>
      <c r="B44" s="112"/>
      <c r="C44" s="149">
        <f>+IFERROR(VLOOKUP($A44,RAIZ!$A$3:$X$1500,MATCH('Suc. Amado Nervo'!$F$1,RAIZ!$A$2:$X$2,0),FALSE),0)</f>
        <v>0</v>
      </c>
      <c r="D44" s="18"/>
      <c r="E44" s="5"/>
      <c r="F44" s="5">
        <f t="shared" si="5"/>
        <v>0</v>
      </c>
      <c r="G44" s="5"/>
    </row>
    <row r="45" spans="1:7" ht="18.75" customHeight="1" x14ac:dyDescent="0.35">
      <c r="A45" s="97"/>
      <c r="B45" s="112"/>
      <c r="C45" s="149">
        <f>+IFERROR(VLOOKUP($A45,RAIZ!$A$3:$X$1500,MATCH('Suc. Amado Nervo'!$F$1,RAIZ!$A$2:$X$2,0),FALSE),0)</f>
        <v>0</v>
      </c>
      <c r="D45" s="18"/>
      <c r="E45" s="5"/>
      <c r="F45" s="5">
        <f t="shared" si="5"/>
        <v>0</v>
      </c>
      <c r="G45" s="5"/>
    </row>
    <row r="46" spans="1:7" ht="18.75" customHeight="1" x14ac:dyDescent="0.35">
      <c r="A46" s="97"/>
      <c r="B46" s="112"/>
      <c r="C46" s="149">
        <f>+IFERROR(VLOOKUP($A46,RAIZ!$A$3:$X$1500,MATCH('Suc. Amado Nervo'!$F$1,RAIZ!$A$2:$X$2,0),FALSE),0)</f>
        <v>0</v>
      </c>
      <c r="D46" s="18"/>
      <c r="E46" s="5"/>
      <c r="F46" s="5">
        <f t="shared" si="5"/>
        <v>0</v>
      </c>
      <c r="G46" s="5"/>
    </row>
    <row r="47" spans="1:7" ht="18.75" customHeight="1" x14ac:dyDescent="0.35">
      <c r="A47" s="97"/>
      <c r="B47" s="112"/>
      <c r="C47" s="149">
        <f>+IFERROR(VLOOKUP($A47,RAIZ!$A$3:$X$1500,MATCH('Suc. Amado Nervo'!$F$1,RAIZ!$A$2:$X$2,0),FALSE),0)</f>
        <v>0</v>
      </c>
      <c r="D47" s="18"/>
      <c r="E47" s="5"/>
      <c r="F47" s="5">
        <f t="shared" si="5"/>
        <v>0</v>
      </c>
      <c r="G47" s="5"/>
    </row>
    <row r="48" spans="1:7" ht="18.75" customHeight="1" thickBot="1" x14ac:dyDescent="0.4">
      <c r="A48" s="97"/>
      <c r="B48" s="112"/>
      <c r="C48" s="149">
        <f>+IFERROR(VLOOKUP($A48,RAIZ!$A$3:$X$1500,MATCH('Suc. Amado Nervo'!$F$1,RAIZ!$A$2:$X$2,0),FALSE),0)</f>
        <v>0</v>
      </c>
      <c r="D48" s="18"/>
      <c r="E48" s="5"/>
      <c r="F48" s="5">
        <f t="shared" si="5"/>
        <v>0</v>
      </c>
      <c r="G48" s="5"/>
    </row>
    <row r="49" spans="1:7" ht="18.75" customHeight="1" thickBot="1" x14ac:dyDescent="0.4">
      <c r="A49" s="99" t="s">
        <v>29</v>
      </c>
      <c r="B49" s="111"/>
      <c r="C49" s="65">
        <f>SUM(C33:C48)</f>
        <v>20</v>
      </c>
      <c r="D49" s="47">
        <f>SUM(D33:D48)</f>
        <v>21</v>
      </c>
      <c r="E49" s="47">
        <f>SUM(E33:E48)</f>
        <v>0</v>
      </c>
      <c r="F49" s="65">
        <f>SUM(F33:F48)</f>
        <v>3</v>
      </c>
      <c r="G49" s="48">
        <f>SUM(G33:G48)</f>
        <v>3</v>
      </c>
    </row>
    <row r="50" spans="1:7" ht="18.75" customHeight="1" x14ac:dyDescent="0.35">
      <c r="A50" s="93" t="s">
        <v>30</v>
      </c>
      <c r="B50" s="112" t="s">
        <v>778</v>
      </c>
      <c r="C50" s="149">
        <f>+IFERROR(VLOOKUP($A50,RAIZ!$A$3:$X$1500,MATCH('Suc. Amado Nervo'!$F$1,RAIZ!$A$2:$X$2,0),FALSE),0)-1</f>
        <v>5</v>
      </c>
      <c r="D50" s="4">
        <v>6</v>
      </c>
      <c r="E50" s="5"/>
      <c r="F50" s="5">
        <f>IF(D50-C50&gt;=0,D50-C50,0)</f>
        <v>1</v>
      </c>
      <c r="G50" s="5">
        <v>1</v>
      </c>
    </row>
    <row r="51" spans="1:7" ht="18.75" customHeight="1" thickBot="1" x14ac:dyDescent="0.4">
      <c r="A51" s="95" t="s">
        <v>31</v>
      </c>
      <c r="B51" s="112" t="s">
        <v>779</v>
      </c>
      <c r="C51" s="149">
        <f>+IFERROR(VLOOKUP($A51,RAIZ!$A$3:$X$1500,MATCH('Suc. Amado Nervo'!$F$1,RAIZ!$A$2:$X$2,0),FALSE),0)-1-1</f>
        <v>3</v>
      </c>
      <c r="D51" s="20">
        <v>6</v>
      </c>
      <c r="E51" s="5"/>
      <c r="F51" s="5">
        <f t="shared" ref="F51" si="6">IF(D51-C51&gt;=0,D51-C51,0)</f>
        <v>3</v>
      </c>
      <c r="G51" s="5">
        <v>3</v>
      </c>
    </row>
    <row r="52" spans="1:7" ht="18.75" customHeight="1" thickBot="1" x14ac:dyDescent="0.4">
      <c r="A52" s="100" t="s">
        <v>32</v>
      </c>
      <c r="B52" s="111"/>
      <c r="C52" s="66">
        <f>SUM(C50:C51)</f>
        <v>8</v>
      </c>
      <c r="D52" s="49">
        <f t="shared" ref="D52:E52" si="7">SUM(D50:D51)</f>
        <v>12</v>
      </c>
      <c r="E52" s="49">
        <f t="shared" si="7"/>
        <v>0</v>
      </c>
      <c r="F52" s="66">
        <f t="shared" ref="F52:G52" si="8">SUM(F50:F51)</f>
        <v>4</v>
      </c>
      <c r="G52" s="50">
        <f t="shared" si="8"/>
        <v>4</v>
      </c>
    </row>
    <row r="53" spans="1:7" ht="18.75" customHeight="1" x14ac:dyDescent="0.35">
      <c r="A53" s="93" t="s">
        <v>33</v>
      </c>
      <c r="B53" s="112" t="s">
        <v>780</v>
      </c>
      <c r="C53" s="149">
        <f>+IFERROR(VLOOKUP($A53,RAIZ!$A$3:$X$1500,MATCH('Suc. Amado Nervo'!$F$1,RAIZ!$A$2:$X$2,0),FALSE),0)</f>
        <v>6</v>
      </c>
      <c r="D53" s="4">
        <v>6</v>
      </c>
      <c r="E53" s="5"/>
      <c r="F53" s="5">
        <f t="shared" ref="F53:F54" si="9">IF(D53-C53&gt;=0,D53-C53,0)</f>
        <v>0</v>
      </c>
      <c r="G53" s="5"/>
    </row>
    <row r="54" spans="1:7" ht="18.75" customHeight="1" thickBot="1" x14ac:dyDescent="0.4">
      <c r="A54" s="95" t="s">
        <v>34</v>
      </c>
      <c r="B54" s="112" t="s">
        <v>781</v>
      </c>
      <c r="C54" s="149">
        <f>+IFERROR(VLOOKUP($A54,RAIZ!$A$3:$X$1500,MATCH('Suc. Amado Nervo'!$F$1,RAIZ!$A$2:$X$2,0),FALSE),0)</f>
        <v>6</v>
      </c>
      <c r="D54" s="20">
        <v>6</v>
      </c>
      <c r="E54" s="5"/>
      <c r="F54" s="5">
        <f t="shared" si="9"/>
        <v>0</v>
      </c>
      <c r="G54" s="5"/>
    </row>
    <row r="55" spans="1:7" ht="18.75" customHeight="1" thickBot="1" x14ac:dyDescent="0.4">
      <c r="A55" s="99" t="s">
        <v>35</v>
      </c>
      <c r="B55" s="111"/>
      <c r="C55" s="65">
        <f>SUM(C53:C54)</f>
        <v>12</v>
      </c>
      <c r="D55" s="47">
        <f t="shared" ref="D55:E55" si="10">SUM(D53:D54)</f>
        <v>12</v>
      </c>
      <c r="E55" s="47">
        <f t="shared" si="10"/>
        <v>0</v>
      </c>
      <c r="F55" s="65">
        <f t="shared" ref="F55:G55" si="11">SUM(F53:F54)</f>
        <v>0</v>
      </c>
      <c r="G55" s="48">
        <f t="shared" si="11"/>
        <v>0</v>
      </c>
    </row>
    <row r="56" spans="1:7" ht="18.75" customHeight="1" x14ac:dyDescent="0.35">
      <c r="A56" s="93" t="s">
        <v>36</v>
      </c>
      <c r="B56" s="112" t="s">
        <v>782</v>
      </c>
      <c r="C56" s="149">
        <f>+IFERROR(VLOOKUP($A56,RAIZ!$A$3:$X$1500,MATCH('Suc. Amado Nervo'!$F$1,RAIZ!$A$2:$X$2,0),FALSE),0)</f>
        <v>2</v>
      </c>
      <c r="D56" s="4">
        <v>2</v>
      </c>
      <c r="E56" s="5"/>
      <c r="F56" s="5">
        <f t="shared" ref="F56:F70" si="12">IF(D56-C56&gt;=0,D56-C56,0)</f>
        <v>0</v>
      </c>
      <c r="G56" s="5"/>
    </row>
    <row r="57" spans="1:7" ht="18.75" customHeight="1" x14ac:dyDescent="0.35">
      <c r="A57" s="93" t="s">
        <v>37</v>
      </c>
      <c r="B57" s="112" t="s">
        <v>783</v>
      </c>
      <c r="C57" s="149">
        <f>+IFERROR(VLOOKUP($A57,RAIZ!$A$3:$X$1500,MATCH('Suc. Amado Nervo'!$F$1,RAIZ!$A$2:$X$2,0),FALSE),0)</f>
        <v>2</v>
      </c>
      <c r="D57" s="7">
        <v>2</v>
      </c>
      <c r="E57" s="5"/>
      <c r="F57" s="5">
        <f t="shared" si="12"/>
        <v>0</v>
      </c>
      <c r="G57" s="5"/>
    </row>
    <row r="58" spans="1:7" ht="18.75" customHeight="1" x14ac:dyDescent="0.35">
      <c r="A58" s="93" t="s">
        <v>39</v>
      </c>
      <c r="B58" s="112" t="s">
        <v>784</v>
      </c>
      <c r="C58" s="149">
        <f>+IFERROR(VLOOKUP($A58,RAIZ!$A$3:$X$1500,MATCH('Suc. Amado Nervo'!$F$1,RAIZ!$A$2:$X$2,0),FALSE),0)</f>
        <v>2</v>
      </c>
      <c r="D58" s="7">
        <v>2</v>
      </c>
      <c r="E58" s="5"/>
      <c r="F58" s="5">
        <f t="shared" ref="F58" si="13">IF(D58-C58&gt;=0,D58-C58,0)</f>
        <v>0</v>
      </c>
      <c r="G58" s="5"/>
    </row>
    <row r="59" spans="1:7" ht="18.75" customHeight="1" x14ac:dyDescent="0.35">
      <c r="A59" s="93" t="s">
        <v>40</v>
      </c>
      <c r="B59" s="112" t="s">
        <v>785</v>
      </c>
      <c r="C59" s="149">
        <f>+IFERROR(VLOOKUP($A59,RAIZ!$A$3:$X$1500,MATCH('Suc. Amado Nervo'!$F$1,RAIZ!$A$2:$X$2,0),FALSE),0)</f>
        <v>2</v>
      </c>
      <c r="D59" s="7">
        <v>2</v>
      </c>
      <c r="E59" s="5"/>
      <c r="F59" s="5">
        <f t="shared" si="12"/>
        <v>0</v>
      </c>
      <c r="G59" s="5"/>
    </row>
    <row r="60" spans="1:7" ht="18.75" customHeight="1" x14ac:dyDescent="0.35">
      <c r="A60" s="93" t="s">
        <v>41</v>
      </c>
      <c r="B60" s="112" t="s">
        <v>786</v>
      </c>
      <c r="C60" s="149">
        <f>+IFERROR(VLOOKUP($A60,RAIZ!$A$3:$X$1500,MATCH('Suc. Amado Nervo'!$F$1,RAIZ!$A$2:$X$2,0),FALSE),0)</f>
        <v>2</v>
      </c>
      <c r="D60" s="7">
        <v>2</v>
      </c>
      <c r="E60" s="5"/>
      <c r="F60" s="5">
        <f t="shared" si="12"/>
        <v>0</v>
      </c>
      <c r="G60" s="5"/>
    </row>
    <row r="61" spans="1:7" ht="18.75" customHeight="1" x14ac:dyDescent="0.35">
      <c r="A61" s="101" t="s">
        <v>42</v>
      </c>
      <c r="B61" s="112" t="s">
        <v>787</v>
      </c>
      <c r="C61" s="149">
        <f>+IFERROR(VLOOKUP($A61,RAIZ!$A$3:$X$1500,MATCH('Suc. Amado Nervo'!$F$1,RAIZ!$A$2:$X$2,0),FALSE),0)</f>
        <v>2</v>
      </c>
      <c r="D61" s="4">
        <v>2</v>
      </c>
      <c r="E61" s="5"/>
      <c r="F61" s="5">
        <f t="shared" si="12"/>
        <v>0</v>
      </c>
      <c r="G61" s="5"/>
    </row>
    <row r="62" spans="1:7" ht="18.75" customHeight="1" x14ac:dyDescent="0.35">
      <c r="A62" s="102" t="s">
        <v>43</v>
      </c>
      <c r="B62" s="112" t="s">
        <v>788</v>
      </c>
      <c r="C62" s="149">
        <f>+IFERROR(VLOOKUP($A62,RAIZ!$A$3:$X$1500,MATCH('Suc. Amado Nervo'!$F$1,RAIZ!$A$2:$X$2,0),FALSE),0)</f>
        <v>2</v>
      </c>
      <c r="D62" s="7">
        <v>2</v>
      </c>
      <c r="E62" s="5"/>
      <c r="F62" s="5">
        <f t="shared" si="12"/>
        <v>0</v>
      </c>
      <c r="G62" s="5"/>
    </row>
    <row r="63" spans="1:7" ht="18.75" customHeight="1" x14ac:dyDescent="0.35">
      <c r="A63" s="93" t="s">
        <v>44</v>
      </c>
      <c r="B63" s="112" t="s">
        <v>789</v>
      </c>
      <c r="C63" s="149">
        <f>+IFERROR(VLOOKUP($A63,RAIZ!$A$3:$X$1500,MATCH('Suc. Amado Nervo'!$F$1,RAIZ!$A$2:$X$2,0),FALSE),0)</f>
        <v>2</v>
      </c>
      <c r="D63" s="7">
        <v>2</v>
      </c>
      <c r="E63" s="5"/>
      <c r="F63" s="5">
        <f t="shared" si="12"/>
        <v>0</v>
      </c>
      <c r="G63" s="5"/>
    </row>
    <row r="64" spans="1:7" ht="18.75" customHeight="1" x14ac:dyDescent="0.35">
      <c r="A64" s="93" t="s">
        <v>45</v>
      </c>
      <c r="B64" s="112" t="s">
        <v>790</v>
      </c>
      <c r="C64" s="149">
        <f>+IFERROR(VLOOKUP($A64,RAIZ!$A$3:$X$1500,MATCH('Suc. Amado Nervo'!$F$1,RAIZ!$A$2:$X$2,0),FALSE),0)</f>
        <v>1</v>
      </c>
      <c r="D64" s="4">
        <v>2</v>
      </c>
      <c r="E64" s="5"/>
      <c r="F64" s="5">
        <f t="shared" si="12"/>
        <v>1</v>
      </c>
      <c r="G64" s="5"/>
    </row>
    <row r="65" spans="1:7" ht="18.75" customHeight="1" x14ac:dyDescent="0.35">
      <c r="A65" s="93" t="s">
        <v>46</v>
      </c>
      <c r="B65" s="112" t="s">
        <v>791</v>
      </c>
      <c r="C65" s="149">
        <f>+IFERROR(VLOOKUP($A65,RAIZ!$A$3:$X$1500,MATCH('Suc. Amado Nervo'!$F$1,RAIZ!$A$2:$X$2,0),FALSE),0)</f>
        <v>3</v>
      </c>
      <c r="D65" s="7">
        <v>3</v>
      </c>
      <c r="E65" s="5"/>
      <c r="F65" s="5">
        <f t="shared" si="12"/>
        <v>0</v>
      </c>
      <c r="G65" s="5"/>
    </row>
    <row r="66" spans="1:7" ht="18.75" customHeight="1" x14ac:dyDescent="0.35">
      <c r="A66" s="93" t="s">
        <v>48</v>
      </c>
      <c r="B66" s="112" t="s">
        <v>792</v>
      </c>
      <c r="C66" s="149">
        <f>+IFERROR(VLOOKUP($A66,RAIZ!$A$3:$X$1500,MATCH('Suc. Amado Nervo'!$F$1,RAIZ!$A$2:$X$2,0),FALSE),0)</f>
        <v>2</v>
      </c>
      <c r="D66" s="7">
        <v>2</v>
      </c>
      <c r="E66" s="5"/>
      <c r="F66" s="5">
        <f t="shared" si="12"/>
        <v>0</v>
      </c>
      <c r="G66" s="5"/>
    </row>
    <row r="67" spans="1:7" ht="18.75" customHeight="1" x14ac:dyDescent="0.35">
      <c r="A67" s="93" t="s">
        <v>49</v>
      </c>
      <c r="B67" s="112" t="s">
        <v>793</v>
      </c>
      <c r="C67" s="149">
        <f>+IFERROR(VLOOKUP($A67,RAIZ!$A$3:$X$1500,MATCH('Suc. Amado Nervo'!$F$1,RAIZ!$A$2:$X$2,0),FALSE),0)</f>
        <v>2</v>
      </c>
      <c r="D67" s="7">
        <v>2</v>
      </c>
      <c r="E67" s="5"/>
      <c r="F67" s="5">
        <f t="shared" si="12"/>
        <v>0</v>
      </c>
      <c r="G67" s="5"/>
    </row>
    <row r="68" spans="1:7" ht="18.75" customHeight="1" x14ac:dyDescent="0.35">
      <c r="A68" s="93" t="s">
        <v>50</v>
      </c>
      <c r="B68" s="112" t="s">
        <v>794</v>
      </c>
      <c r="C68" s="149">
        <f>+IFERROR(VLOOKUP($A68,RAIZ!$A$3:$X$1500,MATCH('Suc. Amado Nervo'!$F$1,RAIZ!$A$2:$X$2,0),FALSE),0)</f>
        <v>4</v>
      </c>
      <c r="D68" s="4">
        <v>3</v>
      </c>
      <c r="E68" s="5"/>
      <c r="F68" s="5">
        <f t="shared" si="12"/>
        <v>0</v>
      </c>
      <c r="G68" s="5"/>
    </row>
    <row r="69" spans="1:7" ht="18.75" customHeight="1" x14ac:dyDescent="0.35">
      <c r="A69" s="93" t="s">
        <v>51</v>
      </c>
      <c r="B69" s="112" t="s">
        <v>795</v>
      </c>
      <c r="C69" s="149">
        <f>+IFERROR(VLOOKUP($A69,RAIZ!$A$3:$X$1500,MATCH('Suc. Amado Nervo'!$F$1,RAIZ!$A$2:$X$2,0),FALSE),0)</f>
        <v>2</v>
      </c>
      <c r="D69" s="7">
        <v>2</v>
      </c>
      <c r="E69" s="5"/>
      <c r="F69" s="5">
        <f t="shared" si="12"/>
        <v>0</v>
      </c>
      <c r="G69" s="5"/>
    </row>
    <row r="70" spans="1:7" ht="18.75" customHeight="1" x14ac:dyDescent="0.35">
      <c r="A70" s="93" t="s">
        <v>53</v>
      </c>
      <c r="B70" s="112" t="s">
        <v>796</v>
      </c>
      <c r="C70" s="149">
        <f>+IFERROR(VLOOKUP($A70,RAIZ!$A$3:$X$1500,MATCH('Suc. Amado Nervo'!$F$1,RAIZ!$A$2:$X$2,0),FALSE),0)</f>
        <v>2</v>
      </c>
      <c r="D70" s="20">
        <v>2</v>
      </c>
      <c r="E70" s="5"/>
      <c r="F70" s="5">
        <f t="shared" si="12"/>
        <v>0</v>
      </c>
      <c r="G70" s="5"/>
    </row>
    <row r="71" spans="1:7" ht="18.75" customHeight="1" x14ac:dyDescent="0.35">
      <c r="A71" s="93" t="s">
        <v>47</v>
      </c>
      <c r="B71" s="112" t="s">
        <v>873</v>
      </c>
      <c r="C71" s="149">
        <f>+IFERROR(VLOOKUP($A71,RAIZ!$A$3:$X$1500,MATCH('Suc. Amado Nervo'!$F$1,RAIZ!$A$2:$X$2,0),FALSE),0)</f>
        <v>2</v>
      </c>
      <c r="D71" s="20">
        <v>2</v>
      </c>
      <c r="E71" s="5"/>
      <c r="F71" s="5">
        <f t="shared" ref="F71:F77" si="14">IF(D71-C71&gt;=0,D71-C71,0)</f>
        <v>0</v>
      </c>
      <c r="G71" s="5"/>
    </row>
    <row r="72" spans="1:7" ht="18.75" customHeight="1" x14ac:dyDescent="0.35">
      <c r="A72" s="86" t="s">
        <v>1089</v>
      </c>
      <c r="B72" s="112" t="s">
        <v>1090</v>
      </c>
      <c r="C72" s="149">
        <f>+IFERROR(VLOOKUP($A72,RAIZ!$A$3:$X$1500,MATCH('Suc. Amado Nervo'!$F$1,RAIZ!$A$2:$X$2,0),FALSE),0)</f>
        <v>0</v>
      </c>
      <c r="D72" s="20">
        <v>0</v>
      </c>
      <c r="E72" s="5"/>
      <c r="F72" s="5">
        <f t="shared" si="14"/>
        <v>0</v>
      </c>
      <c r="G72" s="5"/>
    </row>
    <row r="73" spans="1:7" ht="18.75" customHeight="1" x14ac:dyDescent="0.35">
      <c r="A73" s="93"/>
      <c r="B73" s="112"/>
      <c r="C73" s="149">
        <f>+IFERROR(VLOOKUP($A73,RAIZ!$A$3:$X$1500,MATCH('Suc. Amado Nervo'!$F$1,RAIZ!$A$2:$X$2,0),FALSE),0)</f>
        <v>0</v>
      </c>
      <c r="D73" s="20"/>
      <c r="E73" s="5"/>
      <c r="F73" s="5">
        <f t="shared" si="14"/>
        <v>0</v>
      </c>
      <c r="G73" s="5"/>
    </row>
    <row r="74" spans="1:7" ht="18.75" customHeight="1" x14ac:dyDescent="0.35">
      <c r="A74" s="93"/>
      <c r="B74" s="112"/>
      <c r="C74" s="149">
        <f>+IFERROR(VLOOKUP($A74,RAIZ!$A$3:$X$1500,MATCH('Suc. Amado Nervo'!$F$1,RAIZ!$A$2:$X$2,0),FALSE),0)</f>
        <v>0</v>
      </c>
      <c r="D74" s="20"/>
      <c r="E74" s="5"/>
      <c r="F74" s="5">
        <f t="shared" si="14"/>
        <v>0</v>
      </c>
      <c r="G74" s="5"/>
    </row>
    <row r="75" spans="1:7" ht="18.75" customHeight="1" x14ac:dyDescent="0.35">
      <c r="A75" s="93"/>
      <c r="B75" s="112"/>
      <c r="C75" s="149">
        <f>+IFERROR(VLOOKUP($A75,RAIZ!$A$3:$X$1500,MATCH('Suc. Amado Nervo'!$F$1,RAIZ!$A$2:$X$2,0),FALSE),0)</f>
        <v>0</v>
      </c>
      <c r="D75" s="20"/>
      <c r="E75" s="5"/>
      <c r="F75" s="5">
        <f t="shared" si="14"/>
        <v>0</v>
      </c>
      <c r="G75" s="5"/>
    </row>
    <row r="76" spans="1:7" ht="18.75" customHeight="1" x14ac:dyDescent="0.35">
      <c r="A76" s="93"/>
      <c r="B76" s="112"/>
      <c r="C76" s="149">
        <f>+IFERROR(VLOOKUP($A76,RAIZ!$A$3:$X$1500,MATCH('Suc. Amado Nervo'!$F$1,RAIZ!$A$2:$X$2,0),FALSE),0)</f>
        <v>0</v>
      </c>
      <c r="D76" s="20"/>
      <c r="E76" s="5"/>
      <c r="F76" s="5">
        <f t="shared" si="14"/>
        <v>0</v>
      </c>
      <c r="G76" s="5"/>
    </row>
    <row r="77" spans="1:7" ht="18.75" customHeight="1" thickBot="1" x14ac:dyDescent="0.4">
      <c r="A77" s="93"/>
      <c r="B77" s="112"/>
      <c r="C77" s="149">
        <f>+IFERROR(VLOOKUP($A77,RAIZ!$A$3:$X$1500,MATCH('Suc. Amado Nervo'!$F$1,RAIZ!$A$2:$X$2,0),FALSE),0)</f>
        <v>0</v>
      </c>
      <c r="D77" s="20"/>
      <c r="E77" s="5"/>
      <c r="F77" s="5">
        <f t="shared" si="14"/>
        <v>0</v>
      </c>
      <c r="G77" s="5"/>
    </row>
    <row r="78" spans="1:7" ht="18.75" customHeight="1" thickBot="1" x14ac:dyDescent="0.4">
      <c r="A78" s="99" t="s">
        <v>54</v>
      </c>
      <c r="B78" s="111"/>
      <c r="C78" s="65">
        <f>SUM(C56:C77)</f>
        <v>34</v>
      </c>
      <c r="D78" s="47">
        <f>SUM(D56:D77)</f>
        <v>34</v>
      </c>
      <c r="E78" s="47">
        <f>SUM(E56:E77)</f>
        <v>0</v>
      </c>
      <c r="F78" s="65">
        <f>SUM(F56:F77)</f>
        <v>1</v>
      </c>
      <c r="G78" s="48">
        <f>SUM(G56:G77)</f>
        <v>0</v>
      </c>
    </row>
    <row r="79" spans="1:7" ht="18.75" customHeight="1" thickBot="1" x14ac:dyDescent="0.4">
      <c r="A79" s="103" t="s">
        <v>55</v>
      </c>
      <c r="B79" s="111"/>
      <c r="C79" s="67">
        <f>C18+C32+C49+C52+C55+C78</f>
        <v>107</v>
      </c>
      <c r="D79" s="51">
        <f>D18+D32+D49+D52+D55+D78</f>
        <v>119</v>
      </c>
      <c r="E79" s="51">
        <f>E18+E32+E49+E52+E55+E78</f>
        <v>0</v>
      </c>
      <c r="F79" s="67">
        <f>F18+F32+F49+F52+F55+F78</f>
        <v>15</v>
      </c>
      <c r="G79" s="52">
        <f>G18+G32+G49+G52+G55+G78</f>
        <v>13</v>
      </c>
    </row>
    <row r="80" spans="1:7" ht="18.75" customHeight="1" x14ac:dyDescent="0.35">
      <c r="A80" s="104" t="s">
        <v>56</v>
      </c>
      <c r="B80" s="111"/>
      <c r="C80" s="68"/>
      <c r="D80" s="26"/>
      <c r="E80" s="27"/>
      <c r="F80" s="27"/>
      <c r="G80" s="27"/>
    </row>
    <row r="81" spans="1:7" ht="18.75" customHeight="1" x14ac:dyDescent="0.35">
      <c r="A81" s="94" t="s">
        <v>57</v>
      </c>
      <c r="B81" s="112" t="s">
        <v>797</v>
      </c>
      <c r="C81" s="149">
        <f>+IFERROR(VLOOKUP($A81,RAIZ!$A$3:$X$1500,MATCH('Suc. Amado Nervo'!$F$1,RAIZ!$A$2:$X$2,0),FALSE),0)</f>
        <v>3</v>
      </c>
      <c r="D81" s="4">
        <v>3</v>
      </c>
      <c r="E81" s="5"/>
      <c r="F81" s="5">
        <f t="shared" ref="F81:F85" si="15">IF(D81-C81&gt;=0,D81-C81,0)</f>
        <v>0</v>
      </c>
      <c r="G81" s="5"/>
    </row>
    <row r="82" spans="1:7" ht="18.75" customHeight="1" x14ac:dyDescent="0.35">
      <c r="A82" s="94" t="s">
        <v>58</v>
      </c>
      <c r="B82" s="112" t="s">
        <v>867</v>
      </c>
      <c r="C82" s="149">
        <f>+IFERROR(VLOOKUP($A82,RAIZ!$A$3:$X$1500,MATCH('Suc. Amado Nervo'!$F$1,RAIZ!$A$2:$X$2,0),FALSE),0)</f>
        <v>0</v>
      </c>
      <c r="D82" s="4">
        <v>2</v>
      </c>
      <c r="E82" s="5"/>
      <c r="F82" s="5">
        <f t="shared" ref="F82" si="16">IF(D82-C82&gt;=0,D82-C82,0)</f>
        <v>2</v>
      </c>
      <c r="G82" s="5">
        <v>1</v>
      </c>
    </row>
    <row r="83" spans="1:7" ht="18.75" customHeight="1" x14ac:dyDescent="0.35">
      <c r="A83" s="94" t="s">
        <v>59</v>
      </c>
      <c r="B83" s="112" t="s">
        <v>798</v>
      </c>
      <c r="C83" s="149">
        <f>+IFERROR(VLOOKUP($A83,RAIZ!$A$3:$X$1500,MATCH('Suc. Amado Nervo'!$F$1,RAIZ!$A$2:$X$2,0),FALSE),0)</f>
        <v>2</v>
      </c>
      <c r="D83" s="7">
        <v>2</v>
      </c>
      <c r="E83" s="5"/>
      <c r="F83" s="5">
        <f t="shared" si="15"/>
        <v>0</v>
      </c>
      <c r="G83" s="5"/>
    </row>
    <row r="84" spans="1:7" ht="18.75" customHeight="1" x14ac:dyDescent="0.35">
      <c r="A84" s="94" t="s">
        <v>60</v>
      </c>
      <c r="B84" s="112" t="s">
        <v>799</v>
      </c>
      <c r="C84" s="149">
        <f>+IFERROR(VLOOKUP($A84,RAIZ!$A$3:$X$1500,MATCH('Suc. Amado Nervo'!$F$1,RAIZ!$A$2:$X$2,0),FALSE),0)</f>
        <v>2</v>
      </c>
      <c r="D84" s="7">
        <v>3</v>
      </c>
      <c r="E84" s="5"/>
      <c r="F84" s="5">
        <f t="shared" si="15"/>
        <v>1</v>
      </c>
      <c r="G84" s="5">
        <v>1</v>
      </c>
    </row>
    <row r="85" spans="1:7" ht="18.75" customHeight="1" x14ac:dyDescent="0.35">
      <c r="A85" s="94" t="s">
        <v>61</v>
      </c>
      <c r="B85" s="112" t="s">
        <v>800</v>
      </c>
      <c r="C85" s="149">
        <f>+IFERROR(VLOOKUP($A85,RAIZ!$A$3:$X$1500,MATCH('Suc. Amado Nervo'!$F$1,RAIZ!$A$2:$X$2,0),FALSE),0)</f>
        <v>3</v>
      </c>
      <c r="D85" s="7">
        <v>3</v>
      </c>
      <c r="E85" s="5"/>
      <c r="F85" s="5">
        <f t="shared" si="15"/>
        <v>0</v>
      </c>
      <c r="G85" s="5"/>
    </row>
    <row r="86" spans="1:7" ht="18.75" customHeight="1" x14ac:dyDescent="0.35">
      <c r="A86" s="94" t="s">
        <v>63</v>
      </c>
      <c r="B86" s="112" t="s">
        <v>801</v>
      </c>
      <c r="C86" s="149">
        <f>+IFERROR(VLOOKUP($A86,RAIZ!$A$3:$X$1500,MATCH('Suc. Amado Nervo'!$F$1,RAIZ!$A$2:$X$2,0),FALSE),0)</f>
        <v>2</v>
      </c>
      <c r="D86" s="7">
        <v>3</v>
      </c>
      <c r="E86" s="5"/>
      <c r="F86" s="5">
        <f t="shared" ref="F86:F90" si="17">IF(D86-C86&gt;=0,D86-C86,0)</f>
        <v>1</v>
      </c>
      <c r="G86" s="5">
        <v>1</v>
      </c>
    </row>
    <row r="87" spans="1:7" ht="18.75" customHeight="1" x14ac:dyDescent="0.35">
      <c r="A87" s="94"/>
      <c r="B87" s="112" t="s">
        <v>1091</v>
      </c>
      <c r="C87" s="149">
        <f>+IFERROR(VLOOKUP($A87,RAIZ!$A$3:$X$1500,MATCH('Suc. Amado Nervo'!$F$1,RAIZ!$A$2:$X$2,0),FALSE),0)</f>
        <v>0</v>
      </c>
      <c r="D87" s="20"/>
      <c r="E87" s="5"/>
      <c r="F87" s="5">
        <f t="shared" si="17"/>
        <v>0</v>
      </c>
      <c r="G87" s="5"/>
    </row>
    <row r="88" spans="1:7" ht="18.75" customHeight="1" x14ac:dyDescent="0.35">
      <c r="A88" s="94"/>
      <c r="B88" s="112" t="s">
        <v>1094</v>
      </c>
      <c r="C88" s="149">
        <f>+IFERROR(VLOOKUP($A88,RAIZ!$A$3:$X$1500,MATCH('Suc. Amado Nervo'!$F$1,RAIZ!$A$2:$X$2,0),FALSE),0)</f>
        <v>0</v>
      </c>
      <c r="D88" s="7"/>
      <c r="E88" s="5"/>
      <c r="F88" s="5">
        <f t="shared" si="17"/>
        <v>0</v>
      </c>
      <c r="G88" s="5"/>
    </row>
    <row r="89" spans="1:7" ht="18.75" customHeight="1" x14ac:dyDescent="0.35">
      <c r="A89" s="94"/>
      <c r="B89" s="112" t="s">
        <v>1095</v>
      </c>
      <c r="C89" s="149">
        <f>+IFERROR(VLOOKUP($A89,RAIZ!$A$3:$X$1500,MATCH('Suc. Amado Nervo'!$F$1,RAIZ!$A$2:$X$2,0),FALSE),0)</f>
        <v>0</v>
      </c>
      <c r="D89" s="7"/>
      <c r="E89" s="5"/>
      <c r="F89" s="5">
        <f t="shared" si="17"/>
        <v>0</v>
      </c>
      <c r="G89" s="5"/>
    </row>
    <row r="90" spans="1:7" ht="18.75" customHeight="1" thickBot="1" x14ac:dyDescent="0.4">
      <c r="A90" s="94"/>
      <c r="B90" s="112" t="s">
        <v>1093</v>
      </c>
      <c r="C90" s="149">
        <f>+IFERROR(VLOOKUP($A90,RAIZ!$A$3:$X$1500,MATCH('Suc. Amado Nervo'!$F$1,RAIZ!$A$2:$X$2,0),FALSE),0)</f>
        <v>0</v>
      </c>
      <c r="D90" s="7"/>
      <c r="E90" s="5"/>
      <c r="F90" s="5">
        <f t="shared" si="17"/>
        <v>0</v>
      </c>
      <c r="G90" s="5"/>
    </row>
    <row r="91" spans="1:7" ht="18.75" customHeight="1" thickBot="1" x14ac:dyDescent="0.4">
      <c r="A91" s="105" t="s">
        <v>55</v>
      </c>
      <c r="B91" s="111"/>
      <c r="C91" s="69">
        <f>SUM(C81:C90)</f>
        <v>12</v>
      </c>
      <c r="D91" s="53">
        <f>SUM(D81:D90)</f>
        <v>16</v>
      </c>
      <c r="E91" s="53">
        <f>SUM(E81:E90)</f>
        <v>0</v>
      </c>
      <c r="F91" s="69">
        <f>SUM(F81:F90)</f>
        <v>4</v>
      </c>
      <c r="G91" s="54">
        <f>SUM(G81:G90)</f>
        <v>3</v>
      </c>
    </row>
    <row r="92" spans="1:7" ht="18.75" customHeight="1" x14ac:dyDescent="0.35">
      <c r="A92" s="106" t="s">
        <v>64</v>
      </c>
      <c r="B92" s="111"/>
      <c r="C92" s="70"/>
      <c r="D92" s="30"/>
      <c r="E92" s="31"/>
      <c r="F92" s="31"/>
      <c r="G92" s="31"/>
    </row>
    <row r="93" spans="1:7" ht="18.75" customHeight="1" x14ac:dyDescent="0.35">
      <c r="A93" s="94" t="s">
        <v>65</v>
      </c>
      <c r="B93" s="112" t="s">
        <v>802</v>
      </c>
      <c r="C93" s="149">
        <f>+IFERROR(VLOOKUP($A93,RAIZ!$A$3:$X$1500,MATCH('Suc. Amado Nervo'!$F$1,RAIZ!$A$2:$X$2,0),FALSE),0)</f>
        <v>3</v>
      </c>
      <c r="D93" s="4">
        <v>3</v>
      </c>
      <c r="E93" s="5"/>
      <c r="F93" s="5">
        <f t="shared" ref="F93:F104" si="18">IF(D93-C93&gt;=0,D93-C93,0)</f>
        <v>0</v>
      </c>
      <c r="G93" s="5"/>
    </row>
    <row r="94" spans="1:7" ht="18.75" customHeight="1" x14ac:dyDescent="0.35">
      <c r="A94" s="94" t="s">
        <v>66</v>
      </c>
      <c r="B94" s="112" t="s">
        <v>803</v>
      </c>
      <c r="C94" s="149">
        <f>+IFERROR(VLOOKUP($A94,RAIZ!$A$3:$X$1500,MATCH('Suc. Amado Nervo'!$F$1,RAIZ!$A$2:$X$2,0),FALSE),0)</f>
        <v>2</v>
      </c>
      <c r="D94" s="7">
        <v>2</v>
      </c>
      <c r="E94" s="5"/>
      <c r="F94" s="5">
        <f t="shared" si="18"/>
        <v>0</v>
      </c>
      <c r="G94" s="5"/>
    </row>
    <row r="95" spans="1:7" ht="18.75" customHeight="1" x14ac:dyDescent="0.35">
      <c r="A95" s="94" t="s">
        <v>68</v>
      </c>
      <c r="B95" s="112" t="s">
        <v>805</v>
      </c>
      <c r="C95" s="149">
        <f>+IFERROR(VLOOKUP($A95,RAIZ!$A$3:$X$1500,MATCH('Suc. Amado Nervo'!$F$1,RAIZ!$A$2:$X$2,0),FALSE),0)</f>
        <v>2</v>
      </c>
      <c r="D95" s="7">
        <v>3</v>
      </c>
      <c r="E95" s="5"/>
      <c r="F95" s="5">
        <f t="shared" si="18"/>
        <v>1</v>
      </c>
      <c r="G95" s="5">
        <v>1</v>
      </c>
    </row>
    <row r="96" spans="1:7" ht="18.75" customHeight="1" x14ac:dyDescent="0.35">
      <c r="A96" s="94" t="s">
        <v>69</v>
      </c>
      <c r="B96" s="112" t="s">
        <v>806</v>
      </c>
      <c r="C96" s="149">
        <f>+IFERROR(VLOOKUP($A96,RAIZ!$A$3:$X$1500,MATCH('Suc. Amado Nervo'!$F$1,RAIZ!$A$2:$X$2,0),FALSE),0)</f>
        <v>8</v>
      </c>
      <c r="D96" s="7">
        <v>8</v>
      </c>
      <c r="E96" s="5"/>
      <c r="F96" s="5">
        <f t="shared" si="18"/>
        <v>0</v>
      </c>
      <c r="G96" s="5"/>
    </row>
    <row r="97" spans="1:7" ht="18.75" customHeight="1" x14ac:dyDescent="0.35">
      <c r="A97" s="94" t="s">
        <v>70</v>
      </c>
      <c r="B97" s="112" t="s">
        <v>807</v>
      </c>
      <c r="C97" s="149">
        <f>+IFERROR(VLOOKUP($A97,RAIZ!$A$3:$X$1500,MATCH('Suc. Amado Nervo'!$F$1,RAIZ!$A$2:$X$2,0),FALSE),0)</f>
        <v>6</v>
      </c>
      <c r="D97" s="7">
        <v>6</v>
      </c>
      <c r="E97" s="5"/>
      <c r="F97" s="5">
        <f t="shared" si="18"/>
        <v>0</v>
      </c>
      <c r="G97" s="5"/>
    </row>
    <row r="98" spans="1:7" ht="18.75" customHeight="1" x14ac:dyDescent="0.35">
      <c r="A98" s="94" t="s">
        <v>857</v>
      </c>
      <c r="B98" s="112" t="s">
        <v>808</v>
      </c>
      <c r="C98" s="149">
        <f>+IFERROR(VLOOKUP($A98,RAIZ!$A$3:$X$1500,MATCH('Suc. Amado Nervo'!$F$1,RAIZ!$A$2:$X$2,0),FALSE),0)</f>
        <v>7</v>
      </c>
      <c r="D98" s="7">
        <v>4</v>
      </c>
      <c r="E98" s="201">
        <v>15</v>
      </c>
      <c r="F98" s="5">
        <f t="shared" si="18"/>
        <v>0</v>
      </c>
      <c r="G98" s="5"/>
    </row>
    <row r="99" spans="1:7" ht="18.75" customHeight="1" x14ac:dyDescent="0.35">
      <c r="A99" s="94" t="s">
        <v>835</v>
      </c>
      <c r="B99" s="112" t="s">
        <v>836</v>
      </c>
      <c r="C99" s="149">
        <f>+IFERROR(VLOOKUP($A99,RAIZ!$A$3:$X$1500,MATCH('Suc. Amado Nervo'!$F$1,RAIZ!$A$2:$X$2,0),FALSE),0)</f>
        <v>3</v>
      </c>
      <c r="D99" s="7">
        <v>3</v>
      </c>
      <c r="E99" s="5"/>
      <c r="F99" s="5">
        <f t="shared" ref="F99:F103" si="19">IF(D99-C99&gt;=0,D99-C99,0)</f>
        <v>0</v>
      </c>
      <c r="G99" s="5"/>
    </row>
    <row r="100" spans="1:7" ht="18.75" customHeight="1" x14ac:dyDescent="0.35">
      <c r="A100" s="94" t="s">
        <v>72</v>
      </c>
      <c r="B100" s="112" t="s">
        <v>834</v>
      </c>
      <c r="C100" s="149">
        <f>+IFERROR(VLOOKUP($A100,RAIZ!$A$3:$X$1500,MATCH('Suc. Amado Nervo'!$F$1,RAIZ!$A$2:$X$2,0),FALSE),0)</f>
        <v>32</v>
      </c>
      <c r="D100" s="7">
        <v>30</v>
      </c>
      <c r="E100" s="5">
        <v>30</v>
      </c>
      <c r="F100" s="5">
        <f t="shared" si="19"/>
        <v>0</v>
      </c>
      <c r="G100" s="5"/>
    </row>
    <row r="101" spans="1:7" ht="18.75" customHeight="1" x14ac:dyDescent="0.35">
      <c r="A101" s="94" t="s">
        <v>73</v>
      </c>
      <c r="B101" s="112" t="s">
        <v>809</v>
      </c>
      <c r="C101" s="149">
        <f>+IFERROR(VLOOKUP($A101,RAIZ!$A$3:$X$1500,MATCH('Suc. Amado Nervo'!$F$1,RAIZ!$A$2:$X$2,0),FALSE),0)</f>
        <v>3</v>
      </c>
      <c r="D101" s="7">
        <v>3</v>
      </c>
      <c r="E101" s="5"/>
      <c r="F101" s="5">
        <f t="shared" si="19"/>
        <v>0</v>
      </c>
      <c r="G101" s="5"/>
    </row>
    <row r="102" spans="1:7" ht="18.75" customHeight="1" x14ac:dyDescent="0.35">
      <c r="A102" s="94" t="s">
        <v>74</v>
      </c>
      <c r="B102" s="112" t="s">
        <v>810</v>
      </c>
      <c r="C102" s="149">
        <f>+IFERROR(VLOOKUP($A102,RAIZ!$A$3:$X$1500,MATCH('Suc. Amado Nervo'!$F$1,RAIZ!$A$2:$X$2,0),FALSE),0)</f>
        <v>2</v>
      </c>
      <c r="D102" s="7">
        <v>3</v>
      </c>
      <c r="E102" s="5"/>
      <c r="F102" s="5">
        <f t="shared" si="19"/>
        <v>1</v>
      </c>
      <c r="G102" s="5">
        <v>1</v>
      </c>
    </row>
    <row r="103" spans="1:7" ht="18.75" customHeight="1" x14ac:dyDescent="0.35">
      <c r="A103" s="94" t="s">
        <v>75</v>
      </c>
      <c r="B103" s="112" t="s">
        <v>811</v>
      </c>
      <c r="C103" s="149">
        <f>+IFERROR(VLOOKUP($A103,RAIZ!$A$3:$X$1500,MATCH('Suc. Amado Nervo'!$F$1,RAIZ!$A$2:$X$2,0),FALSE),0)</f>
        <v>3</v>
      </c>
      <c r="D103" s="20">
        <v>3</v>
      </c>
      <c r="E103" s="5"/>
      <c r="F103" s="5">
        <f t="shared" si="19"/>
        <v>0</v>
      </c>
      <c r="G103" s="5"/>
    </row>
    <row r="104" spans="1:7" ht="18.75" customHeight="1" thickBot="1" x14ac:dyDescent="0.4">
      <c r="A104" s="94"/>
      <c r="B104" s="112" t="s">
        <v>1096</v>
      </c>
      <c r="C104" s="149">
        <f>+IFERROR(VLOOKUP($A104,RAIZ!$A$3:$X$1500,MATCH('Suc. Amado Nervo'!$F$1,RAIZ!$A$2:$X$2,0),FALSE),0)</f>
        <v>0</v>
      </c>
      <c r="D104" s="7"/>
      <c r="E104" s="5"/>
      <c r="F104" s="5">
        <f t="shared" si="18"/>
        <v>0</v>
      </c>
      <c r="G104" s="5"/>
    </row>
    <row r="105" spans="1:7" ht="18.75" customHeight="1" thickBot="1" x14ac:dyDescent="0.4">
      <c r="A105" s="107" t="s">
        <v>55</v>
      </c>
      <c r="B105" s="111"/>
      <c r="C105" s="71">
        <f>SUM(C93:C104)</f>
        <v>71</v>
      </c>
      <c r="D105" s="55">
        <f>SUM(D93:D104)</f>
        <v>68</v>
      </c>
      <c r="E105" s="55">
        <f>SUM(E93:E104)</f>
        <v>45</v>
      </c>
      <c r="F105" s="71">
        <f>SUM(F93:F104)</f>
        <v>2</v>
      </c>
      <c r="G105" s="56">
        <f>SUM(G93:G104)</f>
        <v>2</v>
      </c>
    </row>
    <row r="106" spans="1:7" ht="18.75" customHeight="1" x14ac:dyDescent="0.35">
      <c r="A106" s="108" t="s">
        <v>76</v>
      </c>
      <c r="B106" s="111"/>
      <c r="C106" s="72"/>
      <c r="D106" s="34"/>
      <c r="E106" s="35"/>
      <c r="F106" s="35"/>
      <c r="G106" s="35"/>
    </row>
    <row r="107" spans="1:7" ht="18.75" customHeight="1" x14ac:dyDescent="0.35">
      <c r="A107" s="94" t="s">
        <v>77</v>
      </c>
      <c r="B107" s="112" t="s">
        <v>812</v>
      </c>
      <c r="C107" s="149">
        <f>+IFERROR(VLOOKUP($A107,RAIZ!$A$3:$X$1500,MATCH('Suc. Amado Nervo'!$F$1,RAIZ!$A$2:$X$2,0),FALSE),0)</f>
        <v>2</v>
      </c>
      <c r="D107" s="7">
        <v>2</v>
      </c>
      <c r="E107" s="5"/>
      <c r="F107" s="5">
        <f t="shared" ref="F107:F112" si="20">IF(D107-C107&gt;=0,D107-C107,0)</f>
        <v>0</v>
      </c>
      <c r="G107" s="5"/>
    </row>
    <row r="108" spans="1:7" ht="18.75" customHeight="1" x14ac:dyDescent="0.35">
      <c r="A108" s="94" t="s">
        <v>621</v>
      </c>
      <c r="B108" s="112" t="s">
        <v>813</v>
      </c>
      <c r="C108" s="149">
        <f>+IFERROR(VLOOKUP($A108,RAIZ!$A$3:$X$1500,MATCH('Suc. Amado Nervo'!$F$1,RAIZ!$A$2:$X$2,0),FALSE),0)</f>
        <v>0</v>
      </c>
      <c r="D108" s="7">
        <v>0</v>
      </c>
      <c r="E108" s="5"/>
      <c r="F108" s="5">
        <f t="shared" si="20"/>
        <v>0</v>
      </c>
      <c r="G108" s="5"/>
    </row>
    <row r="109" spans="1:7" ht="18.75" customHeight="1" x14ac:dyDescent="0.35">
      <c r="A109" s="94" t="s">
        <v>80</v>
      </c>
      <c r="B109" s="112" t="s">
        <v>815</v>
      </c>
      <c r="C109" s="149">
        <f>+IFERROR(VLOOKUP($A109,RAIZ!$A$3:$X$1500,MATCH('Suc. Amado Nervo'!$F$1,RAIZ!$A$2:$X$2,0),FALSE),0)</f>
        <v>40</v>
      </c>
      <c r="D109" s="7">
        <v>40</v>
      </c>
      <c r="E109" s="5"/>
      <c r="F109" s="5">
        <f t="shared" si="20"/>
        <v>0</v>
      </c>
      <c r="G109" s="5"/>
    </row>
    <row r="110" spans="1:7" ht="18.75" customHeight="1" x14ac:dyDescent="0.35">
      <c r="A110" s="94" t="s">
        <v>81</v>
      </c>
      <c r="B110" s="112" t="s">
        <v>816</v>
      </c>
      <c r="C110" s="149">
        <f>+IFERROR(VLOOKUP($A110,RAIZ!$A$3:$X$1500,MATCH('Suc. Amado Nervo'!$F$1,RAIZ!$A$2:$X$2,0),FALSE),0)</f>
        <v>40</v>
      </c>
      <c r="D110" s="7">
        <v>40</v>
      </c>
      <c r="E110" s="5"/>
      <c r="F110" s="5">
        <f t="shared" si="20"/>
        <v>0</v>
      </c>
      <c r="G110" s="5"/>
    </row>
    <row r="111" spans="1:7" ht="18.75" customHeight="1" x14ac:dyDescent="0.35">
      <c r="A111" s="95" t="s">
        <v>83</v>
      </c>
      <c r="B111" s="112" t="s">
        <v>818</v>
      </c>
      <c r="C111" s="149">
        <f>+IFERROR(VLOOKUP($A111,RAIZ!$A$3:$X$1500,MATCH('Suc. Amado Nervo'!$F$1,RAIZ!$A$2:$X$2,0),FALSE),0)</f>
        <v>2</v>
      </c>
      <c r="D111" s="20">
        <v>2</v>
      </c>
      <c r="E111" s="5"/>
      <c r="F111" s="5">
        <f t="shared" si="20"/>
        <v>0</v>
      </c>
      <c r="G111" s="5"/>
    </row>
    <row r="112" spans="1:7" ht="18.75" customHeight="1" thickBot="1" x14ac:dyDescent="0.4">
      <c r="A112" s="95"/>
      <c r="B112" s="112"/>
      <c r="C112" s="149">
        <f>+IFERROR(VLOOKUP($A112,RAIZ!$A$3:$X$1500,MATCH('Suc. Amado Nervo'!$F$1,RAIZ!$A$2:$X$2,0),FALSE),0)</f>
        <v>0</v>
      </c>
      <c r="D112" s="20"/>
      <c r="E112" s="5"/>
      <c r="F112" s="5">
        <f t="shared" si="20"/>
        <v>0</v>
      </c>
      <c r="G112" s="5"/>
    </row>
    <row r="113" spans="1:7" ht="18.75" customHeight="1" thickBot="1" x14ac:dyDescent="0.4">
      <c r="A113" s="109" t="s">
        <v>55</v>
      </c>
      <c r="B113" s="111"/>
      <c r="C113" s="73">
        <f>SUM(C107:C112,C114:C116)</f>
        <v>93</v>
      </c>
      <c r="D113" s="57">
        <f>SUM(D107:D112,D114:D116)</f>
        <v>93</v>
      </c>
      <c r="E113" s="57">
        <f>SUM(E107:E112,E114:E116)</f>
        <v>0</v>
      </c>
      <c r="F113" s="73">
        <f>SUM(F107:F112,F114:F116)</f>
        <v>0</v>
      </c>
      <c r="G113" s="58">
        <f>SUM(G107:G112,G114:G116)</f>
        <v>0</v>
      </c>
    </row>
    <row r="114" spans="1:7" ht="18.75" customHeight="1" x14ac:dyDescent="0.35">
      <c r="A114" s="93" t="s">
        <v>84</v>
      </c>
      <c r="B114" s="112" t="s">
        <v>819</v>
      </c>
      <c r="C114" s="149">
        <f>+IFERROR(VLOOKUP($A114,RAIZ!$A$3:$X$1500,MATCH('Suc. Amado Nervo'!$F$1,RAIZ!$A$2:$X$2,0),FALSE),0)</f>
        <v>3</v>
      </c>
      <c r="D114" s="4">
        <v>3</v>
      </c>
      <c r="E114" s="5"/>
      <c r="F114" s="5">
        <f t="shared" ref="F114" si="21">IF(D114-C114&gt;=0,D114-C114,0)</f>
        <v>0</v>
      </c>
      <c r="G114" s="5"/>
    </row>
    <row r="115" spans="1:7" ht="18.75" customHeight="1" x14ac:dyDescent="0.35">
      <c r="A115" s="95" t="s">
        <v>85</v>
      </c>
      <c r="B115" s="112" t="s">
        <v>820</v>
      </c>
      <c r="C115" s="149">
        <f>+IFERROR(VLOOKUP($A115,RAIZ!$A$3:$X$1500,MATCH('Suc. Amado Nervo'!$F$1,RAIZ!$A$2:$X$2,0),FALSE),0)</f>
        <v>3</v>
      </c>
      <c r="D115" s="20">
        <v>3</v>
      </c>
      <c r="E115" s="5"/>
      <c r="F115" s="5">
        <f t="shared" ref="F115:F141" si="22">IF(D115-C115&gt;=0,D115-C115,0)</f>
        <v>0</v>
      </c>
      <c r="G115" s="5"/>
    </row>
    <row r="116" spans="1:7" ht="18.75" customHeight="1" thickBot="1" x14ac:dyDescent="0.4">
      <c r="A116" s="95" t="s">
        <v>881</v>
      </c>
      <c r="B116" s="112" t="s">
        <v>882</v>
      </c>
      <c r="C116" s="149">
        <f>+IFERROR(VLOOKUP($A116,RAIZ!$A$3:$X$1500,MATCH('Suc. Amado Nervo'!$F$1,RAIZ!$A$2:$X$2,0),FALSE),0)</f>
        <v>3</v>
      </c>
      <c r="D116" s="20">
        <v>3</v>
      </c>
      <c r="E116" s="5"/>
      <c r="F116" s="5">
        <f t="shared" si="22"/>
        <v>0</v>
      </c>
      <c r="G116" s="5"/>
    </row>
    <row r="117" spans="1:7" ht="18.75" customHeight="1" thickBot="1" x14ac:dyDescent="0.4">
      <c r="A117" s="110" t="s">
        <v>86</v>
      </c>
      <c r="B117" s="111"/>
      <c r="C117" s="74">
        <f>C79+C91+C105+C113</f>
        <v>283</v>
      </c>
      <c r="D117" s="59">
        <f>D79+D91+D105+D113</f>
        <v>296</v>
      </c>
      <c r="E117" s="59">
        <f>E79+E91+E105+E113</f>
        <v>45</v>
      </c>
      <c r="F117" s="74">
        <f>F79+F91+F105+F113</f>
        <v>21</v>
      </c>
      <c r="G117" s="60">
        <f>G79+G91+G105+G113</f>
        <v>18</v>
      </c>
    </row>
    <row r="118" spans="1:7" ht="18.75" customHeight="1" x14ac:dyDescent="0.35">
      <c r="A118" s="95" t="s">
        <v>975</v>
      </c>
      <c r="B118" s="112" t="s">
        <v>976</v>
      </c>
      <c r="C118" s="149">
        <f>+IFERROR(VLOOKUP($A118,RAIZ!$A$3:$X$1500,MATCH('Suc. Amado Nervo'!$F$1,RAIZ!$A$2:$X$2,0),FALSE),0)</f>
        <v>2</v>
      </c>
      <c r="D118" s="20">
        <v>4</v>
      </c>
      <c r="E118" s="5"/>
      <c r="F118" s="5">
        <f t="shared" si="22"/>
        <v>2</v>
      </c>
      <c r="G118" s="5">
        <v>2</v>
      </c>
    </row>
    <row r="119" spans="1:7" ht="18.75" customHeight="1" x14ac:dyDescent="0.35">
      <c r="A119" s="95" t="s">
        <v>974</v>
      </c>
      <c r="B119" s="112" t="s">
        <v>977</v>
      </c>
      <c r="C119" s="149">
        <f>+IFERROR(VLOOKUP($A119,RAIZ!$A$3:$X$1500,MATCH('Suc. Amado Nervo'!$F$1,RAIZ!$A$2:$X$2,0),FALSE),0)</f>
        <v>4</v>
      </c>
      <c r="D119" s="20">
        <v>4</v>
      </c>
      <c r="E119" s="5"/>
      <c r="F119" s="5">
        <f t="shared" si="22"/>
        <v>0</v>
      </c>
      <c r="G119" s="5"/>
    </row>
    <row r="120" spans="1:7" ht="18.75" customHeight="1" thickBot="1" x14ac:dyDescent="0.4">
      <c r="A120" s="95" t="s">
        <v>1077</v>
      </c>
      <c r="B120" s="112" t="s">
        <v>817</v>
      </c>
      <c r="C120" s="149">
        <f>+IFERROR(VLOOKUP($A120,RAIZ!$A$3:$X$1500,MATCH('Suc. Amado Nervo'!$F$1,RAIZ!$A$2:$X$2,0),FALSE),0)</f>
        <v>0</v>
      </c>
      <c r="D120" s="20"/>
      <c r="E120" s="5"/>
      <c r="F120" s="5">
        <f t="shared" si="22"/>
        <v>0</v>
      </c>
      <c r="G120" s="5"/>
    </row>
    <row r="121" spans="1:7" ht="18.75" customHeight="1" thickBot="1" x14ac:dyDescent="0.4">
      <c r="A121" s="95" t="s">
        <v>1076</v>
      </c>
      <c r="B121" s="194" t="s">
        <v>1121</v>
      </c>
      <c r="C121" s="149">
        <f>+IFERROR(VLOOKUP($A121,RAIZ!$A$3:$X$1500,MATCH('Suc. Amado Nervo'!$F$1,RAIZ!$A$2:$X$2,0),FALSE),0)</f>
        <v>0</v>
      </c>
      <c r="D121" s="20"/>
      <c r="E121" s="5"/>
      <c r="F121" s="5">
        <f t="shared" si="22"/>
        <v>0</v>
      </c>
      <c r="G121" s="5"/>
    </row>
    <row r="122" spans="1:7" ht="18.75" customHeight="1" thickBot="1" x14ac:dyDescent="0.4">
      <c r="A122" s="95" t="s">
        <v>1014</v>
      </c>
      <c r="B122" s="194" t="s">
        <v>1010</v>
      </c>
      <c r="C122" s="149">
        <f>+IFERROR(VLOOKUP($A122,RAIZ!$A$3:$X$1500,MATCH('Suc. Amado Nervo'!$F$1,RAIZ!$A$2:$X$2,0),FALSE),0)</f>
        <v>10</v>
      </c>
      <c r="D122" s="20">
        <v>10</v>
      </c>
      <c r="E122" s="5"/>
      <c r="F122" s="5">
        <f t="shared" si="22"/>
        <v>0</v>
      </c>
      <c r="G122" s="5"/>
    </row>
    <row r="123" spans="1:7" ht="18.75" customHeight="1" thickBot="1" x14ac:dyDescent="0.4">
      <c r="A123" s="95" t="s">
        <v>1015</v>
      </c>
      <c r="B123" s="194" t="s">
        <v>1011</v>
      </c>
      <c r="C123" s="153">
        <f>+IFERROR(VLOOKUP($A123,RAIZ!$A$3:$X$1500,MATCH('Suc. Amado Nervo'!$F$1,RAIZ!$A$2:$X$2,0),FALSE),0)</f>
        <v>5</v>
      </c>
      <c r="D123" s="20">
        <v>5</v>
      </c>
      <c r="E123" s="5"/>
      <c r="F123" s="5">
        <f t="shared" si="22"/>
        <v>0</v>
      </c>
      <c r="G123" s="5"/>
    </row>
    <row r="124" spans="1:7" ht="18.75" customHeight="1" thickBot="1" x14ac:dyDescent="0.4">
      <c r="A124" s="95" t="s">
        <v>1016</v>
      </c>
      <c r="B124" s="194" t="s">
        <v>1012</v>
      </c>
      <c r="C124" s="153">
        <f>+IFERROR(VLOOKUP($A124,RAIZ!$A$3:$X$1500,MATCH('Suc. Amado Nervo'!$F$1,RAIZ!$A$2:$X$2,0),FALSE),0)</f>
        <v>5</v>
      </c>
      <c r="D124" s="20">
        <v>5</v>
      </c>
      <c r="E124" s="5"/>
      <c r="F124" s="5">
        <f t="shared" si="22"/>
        <v>0</v>
      </c>
      <c r="G124" s="5"/>
    </row>
    <row r="125" spans="1:7" ht="18.75" customHeight="1" thickBot="1" x14ac:dyDescent="0.4">
      <c r="A125" s="95" t="s">
        <v>1017</v>
      </c>
      <c r="B125" s="194" t="s">
        <v>1013</v>
      </c>
      <c r="C125" s="153">
        <f>+IFERROR(VLOOKUP($A125,RAIZ!$A$3:$X$1500,MATCH('Suc. Amado Nervo'!$F$1,RAIZ!$A$2:$X$2,0),FALSE),0)</f>
        <v>10</v>
      </c>
      <c r="D125" s="18">
        <v>10</v>
      </c>
      <c r="E125" s="5"/>
      <c r="F125" s="5">
        <f t="shared" si="22"/>
        <v>0</v>
      </c>
      <c r="G125" s="5"/>
    </row>
    <row r="126" spans="1:7" ht="18.75" customHeight="1" thickBot="1" x14ac:dyDescent="0.4">
      <c r="A126" s="95" t="s">
        <v>1125</v>
      </c>
      <c r="B126" s="194" t="s">
        <v>1127</v>
      </c>
      <c r="C126" s="153">
        <f>+IFERROR(VLOOKUP($A126,RAIZ!$A$3:$X$1500,MATCH('Suc. Amado Nervo'!$F$1,RAIZ!$A$2:$X$2,0),FALSE),0)</f>
        <v>7</v>
      </c>
      <c r="D126" s="20"/>
      <c r="E126" s="5"/>
      <c r="F126" s="5">
        <f t="shared" si="22"/>
        <v>0</v>
      </c>
      <c r="G126" s="5"/>
    </row>
    <row r="127" spans="1:7" ht="18.75" customHeight="1" thickBot="1" x14ac:dyDescent="0.4">
      <c r="A127" s="95" t="s">
        <v>1126</v>
      </c>
      <c r="B127" s="194" t="s">
        <v>1128</v>
      </c>
      <c r="C127" s="153">
        <f>+IFERROR(VLOOKUP($A127,RAIZ!$A$3:$X$1500,MATCH('Suc. Amado Nervo'!$F$1,RAIZ!$A$2:$X$2,0),FALSE),0)</f>
        <v>0</v>
      </c>
      <c r="D127" s="18"/>
      <c r="E127" s="184"/>
      <c r="F127" s="184">
        <f t="shared" si="22"/>
        <v>0</v>
      </c>
      <c r="G127" s="181"/>
    </row>
    <row r="128" spans="1:7" ht="18.75" customHeight="1" thickBot="1" x14ac:dyDescent="0.4">
      <c r="A128" s="95" t="s">
        <v>568</v>
      </c>
      <c r="B128" s="194" t="s">
        <v>1131</v>
      </c>
      <c r="C128" s="189">
        <f>+IFERROR(VLOOKUP($A128,RAIZ!$A$3:$X$1500,MATCH('Suc. Amado Nervo'!$F$1,RAIZ!$A$2:$X$2,0),FALSE),0)</f>
        <v>2</v>
      </c>
      <c r="D128" s="18">
        <v>3</v>
      </c>
      <c r="E128" s="185"/>
      <c r="F128" s="185">
        <f t="shared" si="22"/>
        <v>1</v>
      </c>
      <c r="G128" s="185"/>
    </row>
    <row r="129" spans="1:7" ht="18.75" customHeight="1" thickBot="1" x14ac:dyDescent="0.4">
      <c r="A129" s="95" t="s">
        <v>565</v>
      </c>
      <c r="B129" s="194" t="s">
        <v>1142</v>
      </c>
      <c r="C129" s="190">
        <f>+IFERROR(VLOOKUP($A129,RAIZ!$A$3:$X$1500,MATCH('Suc. Amado Nervo'!$F$1,RAIZ!$A$2:$X$2,0),FALSE),0)</f>
        <v>2</v>
      </c>
      <c r="D129" s="18">
        <v>2</v>
      </c>
      <c r="E129" s="185"/>
      <c r="F129" s="185">
        <f t="shared" si="22"/>
        <v>0</v>
      </c>
      <c r="G129" s="185"/>
    </row>
    <row r="130" spans="1:7" ht="18.75" customHeight="1" thickBot="1" x14ac:dyDescent="0.4">
      <c r="A130" s="95" t="s">
        <v>912</v>
      </c>
      <c r="B130" s="194" t="s">
        <v>1136</v>
      </c>
      <c r="C130" s="190">
        <f>+IFERROR(VLOOKUP($A130,RAIZ!$A$3:$X$1500,MATCH('Suc. Amado Nervo'!$F$1,RAIZ!$A$2:$X$2,0),FALSE),0)</f>
        <v>0</v>
      </c>
      <c r="D130" s="18">
        <v>2</v>
      </c>
      <c r="E130" s="185"/>
      <c r="F130" s="185">
        <f t="shared" si="22"/>
        <v>2</v>
      </c>
      <c r="G130" s="185">
        <v>2</v>
      </c>
    </row>
    <row r="131" spans="1:7" ht="18.75" customHeight="1" thickBot="1" x14ac:dyDescent="0.4">
      <c r="A131" s="95" t="s">
        <v>557</v>
      </c>
      <c r="B131" s="194" t="s">
        <v>1137</v>
      </c>
      <c r="C131" s="190">
        <f>+IFERROR(VLOOKUP($A131,RAIZ!$A$3:$X$1500,MATCH('Suc. Amado Nervo'!$F$1,RAIZ!$A$2:$X$2,0),FALSE),0)</f>
        <v>1</v>
      </c>
      <c r="D131" s="18">
        <v>2</v>
      </c>
      <c r="E131" s="185"/>
      <c r="F131" s="185">
        <f t="shared" si="22"/>
        <v>1</v>
      </c>
      <c r="G131" s="185">
        <v>1</v>
      </c>
    </row>
    <row r="132" spans="1:7" ht="18.75" customHeight="1" thickBot="1" x14ac:dyDescent="0.4">
      <c r="A132" s="95" t="s">
        <v>573</v>
      </c>
      <c r="B132" s="194" t="s">
        <v>1138</v>
      </c>
      <c r="C132" s="190">
        <f>+IFERROR(VLOOKUP($A132,RAIZ!$A$3:$X$1500,MATCH('Suc. Amado Nervo'!$F$1,RAIZ!$A$2:$X$2,0),FALSE),0)</f>
        <v>0</v>
      </c>
      <c r="D132" s="18">
        <v>1</v>
      </c>
      <c r="E132" s="185"/>
      <c r="F132" s="185">
        <f t="shared" si="22"/>
        <v>1</v>
      </c>
      <c r="G132" s="185"/>
    </row>
    <row r="133" spans="1:7" ht="18.75" customHeight="1" thickBot="1" x14ac:dyDescent="0.4">
      <c r="A133" s="95" t="s">
        <v>421</v>
      </c>
      <c r="B133" s="194" t="s">
        <v>1140</v>
      </c>
      <c r="C133" s="190">
        <f>+IFERROR(VLOOKUP($A133,RAIZ!$A$3:$X$1500,MATCH('Suc. Amado Nervo'!$F$1,RAIZ!$A$2:$X$2,0),FALSE),0)</f>
        <v>2</v>
      </c>
      <c r="D133" s="18">
        <v>2</v>
      </c>
      <c r="E133" s="185"/>
      <c r="F133" s="185">
        <f t="shared" si="22"/>
        <v>0</v>
      </c>
      <c r="G133" s="185"/>
    </row>
    <row r="134" spans="1:7" ht="18.75" customHeight="1" thickBot="1" x14ac:dyDescent="0.4">
      <c r="A134" s="95" t="s">
        <v>249</v>
      </c>
      <c r="B134" s="194" t="s">
        <v>1134</v>
      </c>
      <c r="C134" s="190">
        <f>+IFERROR(VLOOKUP($A134,RAIZ!$A$3:$X$1500,MATCH('Suc. Amado Nervo'!$F$1,RAIZ!$A$2:$X$2,0),FALSE),0)</f>
        <v>1</v>
      </c>
      <c r="D134" s="18">
        <v>2</v>
      </c>
      <c r="E134" s="185"/>
      <c r="F134" s="185">
        <f t="shared" si="22"/>
        <v>1</v>
      </c>
      <c r="G134" s="185">
        <v>1</v>
      </c>
    </row>
    <row r="135" spans="1:7" ht="18.75" customHeight="1" thickBot="1" x14ac:dyDescent="0.4">
      <c r="A135" s="95" t="s">
        <v>1030</v>
      </c>
      <c r="B135" s="194" t="s">
        <v>1143</v>
      </c>
      <c r="C135" s="190">
        <f>+IFERROR(VLOOKUP($A135,RAIZ!$A$3:$X$1500,MATCH('Suc. Amado Nervo'!$F$1,RAIZ!$A$2:$X$2,0),FALSE),0)</f>
        <v>1</v>
      </c>
      <c r="D135" s="18">
        <v>6</v>
      </c>
      <c r="E135" s="185"/>
      <c r="F135" s="185">
        <f t="shared" si="22"/>
        <v>5</v>
      </c>
      <c r="G135" s="185"/>
    </row>
    <row r="136" spans="1:7" ht="18.75" customHeight="1" thickBot="1" x14ac:dyDescent="0.4">
      <c r="A136" s="95" t="s">
        <v>253</v>
      </c>
      <c r="B136" s="194" t="s">
        <v>1135</v>
      </c>
      <c r="C136" s="190">
        <f>+IFERROR(VLOOKUP($A136,RAIZ!$A$3:$X$1500,MATCH('Suc. Amado Nervo'!$F$1,RAIZ!$A$2:$X$2,0),FALSE),0)</f>
        <v>6</v>
      </c>
      <c r="D136" s="18">
        <v>2</v>
      </c>
      <c r="E136" s="185"/>
      <c r="F136" s="185">
        <f t="shared" si="22"/>
        <v>0</v>
      </c>
      <c r="G136" s="185"/>
    </row>
    <row r="137" spans="1:7" ht="18.75" customHeight="1" thickBot="1" x14ac:dyDescent="0.4">
      <c r="A137" s="95" t="s">
        <v>240</v>
      </c>
      <c r="B137" s="194" t="s">
        <v>1139</v>
      </c>
      <c r="C137" s="190">
        <f>+IFERROR(VLOOKUP($A137,RAIZ!$A$3:$X$1500,MATCH('Suc. Amado Nervo'!$F$1,RAIZ!$A$2:$X$2,0),FALSE),0)</f>
        <v>0</v>
      </c>
      <c r="D137" s="18">
        <v>0</v>
      </c>
      <c r="E137" s="185"/>
      <c r="F137" s="185">
        <f t="shared" si="22"/>
        <v>0</v>
      </c>
      <c r="G137" s="185"/>
    </row>
    <row r="138" spans="1:7" ht="18.75" customHeight="1" thickBot="1" x14ac:dyDescent="0.4">
      <c r="A138" s="95" t="s">
        <v>204</v>
      </c>
      <c r="B138" s="194" t="s">
        <v>1106</v>
      </c>
      <c r="C138" s="190">
        <f>+IFERROR(VLOOKUP($A138,RAIZ!$A$3:$X$1500,MATCH('Suc. Amado Nervo'!$F$1,RAIZ!$A$2:$X$2,0),FALSE),0)</f>
        <v>0</v>
      </c>
      <c r="D138" s="18">
        <v>0</v>
      </c>
      <c r="E138" s="185"/>
      <c r="F138" s="185">
        <f t="shared" si="22"/>
        <v>0</v>
      </c>
      <c r="G138" s="185"/>
    </row>
    <row r="139" spans="1:7" ht="18.75" customHeight="1" thickBot="1" x14ac:dyDescent="0.4">
      <c r="A139" s="95" t="s">
        <v>1132</v>
      </c>
      <c r="B139" s="194" t="s">
        <v>1141</v>
      </c>
      <c r="C139" s="190">
        <f>+IFERROR(VLOOKUP($A139,RAIZ!$A$3:$X$1500,MATCH('Suc. Amado Nervo'!$F$1,RAIZ!$A$2:$X$2,0),FALSE),0)</f>
        <v>1</v>
      </c>
      <c r="D139" s="18">
        <v>1</v>
      </c>
      <c r="E139" s="185"/>
      <c r="F139" s="185">
        <f t="shared" si="22"/>
        <v>0</v>
      </c>
      <c r="G139" s="185"/>
    </row>
    <row r="140" spans="1:7" ht="18.75" customHeight="1" thickBot="1" x14ac:dyDescent="0.4">
      <c r="A140" s="95" t="s">
        <v>914</v>
      </c>
      <c r="B140" s="194" t="s">
        <v>1133</v>
      </c>
      <c r="C140" s="190">
        <f>+IFERROR(VLOOKUP($A140,RAIZ!$A$3:$X$1500,MATCH('Suc. Amado Nervo'!$F$1,RAIZ!$A$2:$X$2,0),FALSE),0)</f>
        <v>3</v>
      </c>
      <c r="D140" s="18">
        <v>1</v>
      </c>
      <c r="E140" s="185"/>
      <c r="F140" s="185">
        <f t="shared" si="22"/>
        <v>0</v>
      </c>
      <c r="G140" s="185"/>
    </row>
    <row r="141" spans="1:7" ht="18.75" customHeight="1" thickBot="1" x14ac:dyDescent="0.4">
      <c r="A141" s="243" t="s">
        <v>1120</v>
      </c>
      <c r="B141" s="194" t="s">
        <v>1159</v>
      </c>
      <c r="C141" s="190">
        <f>+IFERROR(VLOOKUP($A141,RAIZ!$A$3:$X$1500,MATCH('Suc. Amado Nervo'!$F$1,RAIZ!$A$2:$X$2,0),FALSE),0)</f>
        <v>0</v>
      </c>
      <c r="D141" s="18"/>
      <c r="E141" s="185"/>
      <c r="F141" s="185">
        <f t="shared" si="22"/>
        <v>0</v>
      </c>
      <c r="G141" s="185"/>
    </row>
    <row r="142" spans="1:7" ht="18.75" customHeight="1" thickBot="1" x14ac:dyDescent="0.4">
      <c r="A142" s="95"/>
      <c r="B142" s="194"/>
      <c r="C142" s="190">
        <f>+IFERROR(VLOOKUP($A142,RAIZ!$A$3:$X$1500,MATCH('Suc. Amado Nervo'!$F$1,RAIZ!$A$2:$X$2,0),FALSE),0)</f>
        <v>0</v>
      </c>
      <c r="D142" s="18"/>
      <c r="E142" s="185"/>
      <c r="F142" s="185"/>
      <c r="G142" s="185"/>
    </row>
    <row r="143" spans="1:7" ht="18.75" customHeight="1" thickBot="1" x14ac:dyDescent="0.4">
      <c r="A143" s="95"/>
      <c r="B143" s="193"/>
      <c r="C143" s="190">
        <f>+IFERROR(VLOOKUP($A143,RAIZ!$A$3:$X$1500,MATCH('Suc. Amado Nervo'!$F$1,RAIZ!$A$2:$X$2,0),FALSE),0)</f>
        <v>0</v>
      </c>
      <c r="D143" s="18"/>
      <c r="E143" s="185"/>
      <c r="F143" s="185"/>
      <c r="G143" s="185"/>
    </row>
    <row r="144" spans="1:7" ht="18.75" customHeight="1" thickBot="1" x14ac:dyDescent="0.4">
      <c r="A144" s="95"/>
      <c r="B144" s="194"/>
      <c r="C144" s="190">
        <f>+IFERROR(VLOOKUP($A144,RAIZ!$A$3:$X$1500,MATCH('Suc. Amado Nervo'!$F$1,RAIZ!$A$2:$X$2,0),FALSE),0)</f>
        <v>0</v>
      </c>
      <c r="D144" s="18"/>
      <c r="E144" s="185"/>
      <c r="F144" s="185"/>
      <c r="G144" s="185"/>
    </row>
    <row r="145" spans="1:7" ht="18.75" customHeight="1" thickBot="1" x14ac:dyDescent="0.4">
      <c r="A145" s="95"/>
      <c r="B145" s="192"/>
      <c r="C145" s="190">
        <f>+IFERROR(VLOOKUP($A145,RAIZ!$A$3:$X$1500,MATCH('Suc. Amado Nervo'!$F$1,RAIZ!$A$2:$X$2,0),FALSE),0)</f>
        <v>0</v>
      </c>
      <c r="D145" s="18"/>
      <c r="E145" s="185"/>
      <c r="F145" s="185"/>
      <c r="G145" s="185"/>
    </row>
    <row r="146" spans="1:7" ht="18.75" customHeight="1" thickBot="1" x14ac:dyDescent="0.4">
      <c r="A146" s="95"/>
      <c r="B146" s="194"/>
      <c r="C146" s="190">
        <f>+IFERROR(VLOOKUP($A146,RAIZ!$A$3:$X$1500,MATCH('Suc. Amado Nervo'!$F$1,RAIZ!$A$2:$X$2,0),FALSE),0)</f>
        <v>0</v>
      </c>
      <c r="D146" s="18"/>
      <c r="E146" s="185"/>
      <c r="F146" s="185"/>
      <c r="G146" s="185"/>
    </row>
    <row r="147" spans="1:7" ht="18.75" customHeight="1" thickBot="1" x14ac:dyDescent="0.4">
      <c r="A147" s="95"/>
      <c r="B147" s="193"/>
      <c r="C147" s="190">
        <f>+IFERROR(VLOOKUP($A147,RAIZ!$A$3:$X$1500,MATCH('Suc. Amado Nervo'!$F$1,RAIZ!$A$2:$X$2,0),FALSE),0)</f>
        <v>0</v>
      </c>
      <c r="D147" s="14"/>
      <c r="E147" s="185"/>
      <c r="F147" s="185"/>
      <c r="G147" s="185"/>
    </row>
    <row r="148" spans="1:7" ht="18.75" customHeight="1" thickBot="1" x14ac:dyDescent="0.4">
      <c r="A148" s="95"/>
      <c r="B148" s="193"/>
      <c r="C148" s="191">
        <f>+IFERROR(VLOOKUP($A148,RAIZ!$A$3:$X$1500,MATCH('Suc. Amado Nervo'!$F$1,RAIZ!$A$2:$X$2,0),FALSE),0)</f>
        <v>0</v>
      </c>
      <c r="D148" s="14"/>
      <c r="E148" s="185"/>
      <c r="F148" s="185"/>
      <c r="G148" s="185"/>
    </row>
    <row r="149" spans="1:7" ht="18.75" customHeight="1" thickBot="1" x14ac:dyDescent="0.4">
      <c r="A149" s="173"/>
      <c r="B149" s="109"/>
      <c r="C149" s="183">
        <f>SUM(C118:C127,)</f>
        <v>43</v>
      </c>
      <c r="D149" s="183">
        <f>SUM(D118:D127,)</f>
        <v>38</v>
      </c>
      <c r="E149" s="183">
        <f>SUM(E118:E127,)</f>
        <v>0</v>
      </c>
      <c r="F149" s="183">
        <f>SUM(F118:F127,)</f>
        <v>2</v>
      </c>
      <c r="G149" s="182">
        <f>SUM(G118:G148,)</f>
        <v>6</v>
      </c>
    </row>
    <row r="150" spans="1:7" ht="18.75" customHeight="1" thickBot="1" x14ac:dyDescent="0.4">
      <c r="A150" s="110" t="s">
        <v>86</v>
      </c>
      <c r="B150" s="111"/>
      <c r="C150" s="74">
        <f>C149+C117</f>
        <v>326</v>
      </c>
      <c r="D150" s="74">
        <f>D149+D117</f>
        <v>334</v>
      </c>
      <c r="E150" s="74">
        <f>E149+E117</f>
        <v>45</v>
      </c>
      <c r="F150" s="74">
        <f>F149+F117</f>
        <v>23</v>
      </c>
      <c r="G150" s="83">
        <f>G149+G117</f>
        <v>24</v>
      </c>
    </row>
  </sheetData>
  <autoFilter ref="A2:G150" xr:uid="{1AF7E491-137B-4B68-9D62-2A2EB061876E}"/>
  <printOptions horizontalCentered="1"/>
  <pageMargins left="0.70866141732283472" right="0.70866141732283472" top="0.18" bottom="0.21" header="0.18" footer="0.18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A5125-B5DE-48F8-9F7A-D6404B5B691A}">
  <sheetPr codeName="Hoja3">
    <tabColor rgb="FF00B0F0"/>
  </sheetPr>
  <dimension ref="A1:H150"/>
  <sheetViews>
    <sheetView zoomScale="80" zoomScaleNormal="80" workbookViewId="0">
      <pane xSplit="2" ySplit="2" topLeftCell="F59" activePane="bottomRight" state="frozen"/>
      <selection activeCell="I134" sqref="I134"/>
      <selection pane="topRight" activeCell="I134" sqref="I134"/>
      <selection pane="bottomLeft" activeCell="I134" sqref="I134"/>
      <selection pane="bottomRight" activeCell="G60" sqref="G60"/>
    </sheetView>
  </sheetViews>
  <sheetFormatPr baseColWidth="10" defaultRowHeight="18" x14ac:dyDescent="0.35"/>
  <cols>
    <col min="1" max="1" width="55.6640625" customWidth="1"/>
    <col min="2" max="2" width="7.6640625" style="91" bestFit="1" customWidth="1"/>
    <col min="3" max="3" width="14" bestFit="1" customWidth="1"/>
    <col min="4" max="5" width="15" customWidth="1"/>
    <col min="6" max="6" width="14.5546875" customWidth="1"/>
  </cols>
  <sheetData>
    <row r="1" spans="1:8" ht="18.600000000000001" thickBot="1" x14ac:dyDescent="0.4">
      <c r="A1" s="1">
        <f>RAIZ!B1</f>
        <v>46301</v>
      </c>
      <c r="C1" s="2"/>
      <c r="D1" s="2" t="s">
        <v>702</v>
      </c>
      <c r="E1" s="2"/>
      <c r="F1" s="2" t="s">
        <v>901</v>
      </c>
      <c r="H1" t="s">
        <v>727</v>
      </c>
    </row>
    <row r="2" spans="1:8" ht="31.8" thickBot="1" x14ac:dyDescent="0.35">
      <c r="A2" s="90" t="s">
        <v>0</v>
      </c>
      <c r="B2" s="92" t="s">
        <v>755</v>
      </c>
      <c r="C2" s="39" t="s">
        <v>703</v>
      </c>
      <c r="D2" s="40" t="s">
        <v>704</v>
      </c>
      <c r="E2" s="88" t="s">
        <v>726</v>
      </c>
      <c r="F2" s="41" t="s">
        <v>705</v>
      </c>
      <c r="G2" s="62" t="s">
        <v>725</v>
      </c>
      <c r="H2" s="87"/>
    </row>
    <row r="3" spans="1:8" ht="18.75" customHeight="1" x14ac:dyDescent="0.35">
      <c r="A3" s="93" t="s">
        <v>1</v>
      </c>
      <c r="B3" s="112" t="s">
        <v>756</v>
      </c>
      <c r="C3" s="5">
        <f>+IFERROR(VLOOKUP($A3,RAIZ!$A$3:$X$1500,MATCH('Suc. León'!$F$1,RAIZ!$A$2:$X$2,0),FALSE),0)</f>
        <v>2</v>
      </c>
      <c r="D3" s="4">
        <v>3</v>
      </c>
      <c r="E3" s="4"/>
      <c r="F3" s="5">
        <f>IF(D3-C3&gt;=0,D3-C3,0)</f>
        <v>1</v>
      </c>
      <c r="G3" s="5">
        <v>1</v>
      </c>
    </row>
    <row r="4" spans="1:8" ht="18.75" customHeight="1" x14ac:dyDescent="0.35">
      <c r="A4" s="93" t="s">
        <v>2</v>
      </c>
      <c r="B4" s="112" t="s">
        <v>865</v>
      </c>
      <c r="C4" s="5">
        <f>+IFERROR(VLOOKUP($A4,RAIZ!$A$3:$X$1500,MATCH('Suc. León'!$F$1,RAIZ!$A$2:$X$2,0),FALSE),0)</f>
        <v>2</v>
      </c>
      <c r="D4" s="4">
        <v>2</v>
      </c>
      <c r="E4" s="4"/>
      <c r="F4" s="5">
        <f>IF(D4-C4&gt;=0,D4-C4,0)</f>
        <v>0</v>
      </c>
      <c r="G4" s="5"/>
    </row>
    <row r="5" spans="1:8" ht="18.75" customHeight="1" x14ac:dyDescent="0.35">
      <c r="A5" s="93" t="s">
        <v>3</v>
      </c>
      <c r="B5" s="112" t="s">
        <v>757</v>
      </c>
      <c r="C5" s="5">
        <f>+IFERROR(VLOOKUP($A5,RAIZ!$A$3:$X$1500,MATCH('Suc. León'!$F$1,RAIZ!$A$2:$X$2,0),FALSE),0)</f>
        <v>2</v>
      </c>
      <c r="D5" s="7">
        <v>2</v>
      </c>
      <c r="E5" s="4"/>
      <c r="F5" s="5">
        <f t="shared" ref="F5:F10" si="0">IF(D5-C5&gt;=0,D5-C5,0)</f>
        <v>0</v>
      </c>
      <c r="G5" s="5"/>
    </row>
    <row r="6" spans="1:8" ht="18.75" customHeight="1" x14ac:dyDescent="0.35">
      <c r="A6" s="93" t="s">
        <v>4</v>
      </c>
      <c r="B6" s="112" t="s">
        <v>758</v>
      </c>
      <c r="C6" s="5">
        <f>+IFERROR(VLOOKUP($A6,RAIZ!$A$3:$X$1500,MATCH('Suc. León'!$F$1,RAIZ!$A$2:$X$2,0),FALSE),0)</f>
        <v>3</v>
      </c>
      <c r="D6" s="7">
        <v>3</v>
      </c>
      <c r="E6" s="4"/>
      <c r="F6" s="5">
        <f t="shared" si="0"/>
        <v>0</v>
      </c>
      <c r="G6" s="5"/>
    </row>
    <row r="7" spans="1:8" ht="18.75" customHeight="1" x14ac:dyDescent="0.35">
      <c r="A7" s="93" t="s">
        <v>5</v>
      </c>
      <c r="B7" s="112" t="s">
        <v>759</v>
      </c>
      <c r="C7" s="5">
        <f>+IFERROR(VLOOKUP($A7,RAIZ!$A$3:$X$1500,MATCH('Suc. León'!$F$1,RAIZ!$A$2:$X$2,0),FALSE),0)</f>
        <v>2</v>
      </c>
      <c r="D7" s="7">
        <v>2</v>
      </c>
      <c r="E7" s="4"/>
      <c r="F7" s="5">
        <f t="shared" si="0"/>
        <v>0</v>
      </c>
      <c r="G7" s="5"/>
    </row>
    <row r="8" spans="1:8" ht="18.75" customHeight="1" x14ac:dyDescent="0.35">
      <c r="A8" s="93" t="s">
        <v>6</v>
      </c>
      <c r="B8" s="112" t="s">
        <v>760</v>
      </c>
      <c r="C8" s="5">
        <f>+IFERROR(VLOOKUP($A8,RAIZ!$A$3:$X$1500,MATCH('Suc. León'!$F$1,RAIZ!$A$2:$X$2,0),FALSE),0)</f>
        <v>3</v>
      </c>
      <c r="D8" s="7">
        <v>4</v>
      </c>
      <c r="E8" s="4"/>
      <c r="F8" s="5">
        <f t="shared" si="0"/>
        <v>1</v>
      </c>
      <c r="G8" s="5">
        <v>1</v>
      </c>
    </row>
    <row r="9" spans="1:8" ht="18.75" customHeight="1" x14ac:dyDescent="0.35">
      <c r="A9" s="93" t="s">
        <v>7</v>
      </c>
      <c r="B9" s="112" t="s">
        <v>761</v>
      </c>
      <c r="C9" s="5">
        <f>+IFERROR(VLOOKUP($A9,RAIZ!$A$3:$X$1500,MATCH('Suc. León'!$F$1,RAIZ!$A$2:$X$2,0),FALSE),0)</f>
        <v>2</v>
      </c>
      <c r="D9" s="7">
        <v>2</v>
      </c>
      <c r="E9" s="4"/>
      <c r="F9" s="5">
        <f t="shared" si="0"/>
        <v>0</v>
      </c>
      <c r="G9" s="5"/>
    </row>
    <row r="10" spans="1:8" ht="18.75" customHeight="1" x14ac:dyDescent="0.35">
      <c r="A10" s="93" t="s">
        <v>8</v>
      </c>
      <c r="B10" s="112" t="s">
        <v>762</v>
      </c>
      <c r="C10" s="5">
        <f>+IFERROR(VLOOKUP($A10,RAIZ!$A$3:$X$1500,MATCH('Suc. León'!$F$1,RAIZ!$A$2:$X$2,0),FALSE),0)</f>
        <v>3</v>
      </c>
      <c r="D10" s="7">
        <v>3</v>
      </c>
      <c r="E10" s="4"/>
      <c r="F10" s="5">
        <f t="shared" si="0"/>
        <v>0</v>
      </c>
      <c r="G10" s="5"/>
    </row>
    <row r="11" spans="1:8" ht="18.75" customHeight="1" x14ac:dyDescent="0.35">
      <c r="A11" s="93" t="s">
        <v>9</v>
      </c>
      <c r="B11" s="112" t="s">
        <v>763</v>
      </c>
      <c r="C11" s="5">
        <f>+IFERROR(VLOOKUP($A11,RAIZ!$A$3:$X$1500,MATCH('Suc. León'!$F$1,RAIZ!$A$2:$X$2,0),FALSE),0)</f>
        <v>2</v>
      </c>
      <c r="D11" s="9">
        <v>2</v>
      </c>
      <c r="E11" s="4"/>
      <c r="F11" s="5">
        <f t="shared" ref="F11:F12" si="1">IF(D11-C11&gt;=0,D11-C11,0)</f>
        <v>0</v>
      </c>
      <c r="G11" s="5"/>
    </row>
    <row r="12" spans="1:8" ht="18.75" customHeight="1" x14ac:dyDescent="0.35">
      <c r="A12" s="93"/>
      <c r="B12" s="112"/>
      <c r="C12" s="5">
        <f>+IFERROR(VLOOKUP($A12,RAIZ!$A$3:$X$1500,MATCH('Suc. León'!$F$1,RAIZ!$A$2:$X$2,0),FALSE),0)</f>
        <v>0</v>
      </c>
      <c r="D12" s="20"/>
      <c r="E12" s="4"/>
      <c r="F12" s="5">
        <f t="shared" si="1"/>
        <v>0</v>
      </c>
      <c r="G12" s="5"/>
    </row>
    <row r="13" spans="1:8" ht="18.75" customHeight="1" x14ac:dyDescent="0.35">
      <c r="A13" s="93"/>
      <c r="B13" s="112"/>
      <c r="C13" s="5">
        <f>+IFERROR(VLOOKUP($A13,RAIZ!$A$3:$X$1500,MATCH('Suc. León'!$F$1,RAIZ!$A$2:$X$2,0),FALSE),0)</f>
        <v>0</v>
      </c>
      <c r="D13" s="20"/>
      <c r="E13" s="4"/>
      <c r="F13" s="5">
        <f t="shared" ref="F13:F17" si="2">IF(D13-C13&gt;=0,D13-C13,0)</f>
        <v>0</v>
      </c>
      <c r="G13" s="5"/>
    </row>
    <row r="14" spans="1:8" ht="18.75" customHeight="1" x14ac:dyDescent="0.35">
      <c r="A14" s="93"/>
      <c r="B14" s="112"/>
      <c r="C14" s="5">
        <f>+IFERROR(VLOOKUP($A14,RAIZ!$A$3:$X$1500,MATCH('Suc. León'!$F$1,RAIZ!$A$2:$X$2,0),FALSE),0)</f>
        <v>0</v>
      </c>
      <c r="D14" s="20"/>
      <c r="E14" s="4"/>
      <c r="F14" s="5">
        <f t="shared" si="2"/>
        <v>0</v>
      </c>
      <c r="G14" s="5"/>
    </row>
    <row r="15" spans="1:8" ht="18.75" customHeight="1" x14ac:dyDescent="0.35">
      <c r="A15" s="93"/>
      <c r="B15" s="112"/>
      <c r="C15" s="5">
        <f>+IFERROR(VLOOKUP($A15,RAIZ!$A$3:$X$1500,MATCH('Suc. León'!$F$1,RAIZ!$A$2:$X$2,0),FALSE),0)</f>
        <v>0</v>
      </c>
      <c r="D15" s="9"/>
      <c r="E15" s="4"/>
      <c r="F15" s="5">
        <f t="shared" si="2"/>
        <v>0</v>
      </c>
      <c r="G15" s="5"/>
    </row>
    <row r="16" spans="1:8" ht="18.75" customHeight="1" x14ac:dyDescent="0.35">
      <c r="A16" s="93"/>
      <c r="B16" s="112"/>
      <c r="C16" s="5">
        <f>+IFERROR(VLOOKUP($A16,RAIZ!$A$3:$X$1500,MATCH('Suc. León'!$F$1,RAIZ!$A$2:$X$2,0),FALSE),0)</f>
        <v>0</v>
      </c>
      <c r="D16" s="9"/>
      <c r="E16" s="4"/>
      <c r="F16" s="5">
        <f t="shared" si="2"/>
        <v>0</v>
      </c>
      <c r="G16" s="5"/>
    </row>
    <row r="17" spans="1:7" ht="18.75" customHeight="1" thickBot="1" x14ac:dyDescent="0.4">
      <c r="A17" s="93"/>
      <c r="B17" s="112"/>
      <c r="C17" s="5">
        <f>+IFERROR(VLOOKUP($A17,RAIZ!$A$3:$X$1500,MATCH('Suc. León'!$F$1,RAIZ!$A$2:$X$2,0),FALSE),0)</f>
        <v>0</v>
      </c>
      <c r="D17" s="9"/>
      <c r="E17" s="4"/>
      <c r="F17" s="5">
        <f t="shared" si="2"/>
        <v>0</v>
      </c>
      <c r="G17" s="5"/>
    </row>
    <row r="18" spans="1:7" ht="18.75" customHeight="1" thickBot="1" x14ac:dyDescent="0.4">
      <c r="A18" s="96" t="s">
        <v>10</v>
      </c>
      <c r="B18" s="111"/>
      <c r="C18" s="75">
        <f>SUM(C3:C17)</f>
        <v>21</v>
      </c>
      <c r="D18" s="75">
        <f>SUM(D3:D17)</f>
        <v>23</v>
      </c>
      <c r="E18" s="75">
        <v>0</v>
      </c>
      <c r="F18" s="63">
        <f>SUM(F3:F17)</f>
        <v>2</v>
      </c>
      <c r="G18" s="44">
        <f>SUM(G3:G17)</f>
        <v>2</v>
      </c>
    </row>
    <row r="19" spans="1:7" ht="18.75" customHeight="1" x14ac:dyDescent="0.35">
      <c r="A19" s="97" t="s">
        <v>676</v>
      </c>
      <c r="B19" s="112" t="s">
        <v>764</v>
      </c>
      <c r="C19" s="5">
        <f>+IFERROR(VLOOKUP($A19,RAIZ!$A$3:$X$1500,MATCH('Suc. León'!$F$1,RAIZ!$A$2:$X$2,0),FALSE),0)</f>
        <v>2</v>
      </c>
      <c r="D19" s="12">
        <v>2</v>
      </c>
      <c r="E19" s="4"/>
      <c r="F19" s="5">
        <f t="shared" ref="F19:F21" si="3">IF(D19-C19&gt;=0,D19-C19,0)</f>
        <v>0</v>
      </c>
      <c r="G19" s="5"/>
    </row>
    <row r="20" spans="1:7" ht="18.75" customHeight="1" x14ac:dyDescent="0.35">
      <c r="A20" s="97" t="s">
        <v>11</v>
      </c>
      <c r="B20" s="112" t="s">
        <v>827</v>
      </c>
      <c r="C20" s="5">
        <f>+IFERROR(VLOOKUP($A20,RAIZ!$A$3:$X$1500,MATCH('Suc. León'!$F$1,RAIZ!$A$2:$X$2,0),FALSE),0)</f>
        <v>2</v>
      </c>
      <c r="D20" s="14">
        <v>3</v>
      </c>
      <c r="E20" s="4"/>
      <c r="F20" s="5">
        <f t="shared" si="3"/>
        <v>1</v>
      </c>
      <c r="G20" s="5">
        <v>1</v>
      </c>
    </row>
    <row r="21" spans="1:7" ht="18.75" customHeight="1" x14ac:dyDescent="0.35">
      <c r="A21" s="97" t="s">
        <v>344</v>
      </c>
      <c r="B21" s="112" t="s">
        <v>765</v>
      </c>
      <c r="C21" s="5">
        <f>+IFERROR(VLOOKUP($A21,RAIZ!$A$3:$X$1500,MATCH('Suc. León'!$F$1,RAIZ!$A$2:$X$2,0),FALSE),0)</f>
        <v>0</v>
      </c>
      <c r="D21" s="14">
        <v>2</v>
      </c>
      <c r="E21" s="4"/>
      <c r="F21" s="5">
        <f t="shared" si="3"/>
        <v>2</v>
      </c>
      <c r="G21" s="5">
        <v>2</v>
      </c>
    </row>
    <row r="22" spans="1:7" ht="18.75" customHeight="1" x14ac:dyDescent="0.35">
      <c r="A22" s="97" t="s">
        <v>832</v>
      </c>
      <c r="B22" s="112" t="s">
        <v>833</v>
      </c>
      <c r="C22" s="5">
        <f>+IFERROR(VLOOKUP($A22,RAIZ!$A$3:$X$1500,MATCH('Suc. León'!$F$1,RAIZ!$A$2:$X$2,0),FALSE),0)</f>
        <v>2</v>
      </c>
      <c r="D22" s="14">
        <v>2</v>
      </c>
      <c r="E22" s="4"/>
      <c r="F22" s="5">
        <f t="shared" ref="F22:F31" si="4">IF(D22-C22&gt;=0,D22-C22,0)</f>
        <v>0</v>
      </c>
      <c r="G22" s="5"/>
    </row>
    <row r="23" spans="1:7" ht="18.75" customHeight="1" x14ac:dyDescent="0.35">
      <c r="A23" s="97" t="s">
        <v>12</v>
      </c>
      <c r="B23" s="112" t="s">
        <v>766</v>
      </c>
      <c r="C23" s="5">
        <f>+IFERROR(VLOOKUP($A23,RAIZ!$A$3:$X$1500,MATCH('Suc. León'!$F$1,RAIZ!$A$2:$X$2,0),FALSE),0)</f>
        <v>0</v>
      </c>
      <c r="D23" s="14">
        <v>3</v>
      </c>
      <c r="E23" s="4"/>
      <c r="F23" s="5">
        <f t="shared" si="4"/>
        <v>3</v>
      </c>
      <c r="G23" s="5">
        <v>3</v>
      </c>
    </row>
    <row r="24" spans="1:7" ht="18.75" customHeight="1" x14ac:dyDescent="0.35">
      <c r="A24" s="97" t="s">
        <v>432</v>
      </c>
      <c r="B24" s="112" t="s">
        <v>767</v>
      </c>
      <c r="C24" s="5">
        <f>+IFERROR(VLOOKUP($A24,RAIZ!$A$3:$X$1500,MATCH('Suc. León'!$F$1,RAIZ!$A$2:$X$2,0),FALSE),0)</f>
        <v>0</v>
      </c>
      <c r="D24" s="14">
        <v>2</v>
      </c>
      <c r="E24" s="4"/>
      <c r="F24" s="5">
        <f t="shared" si="4"/>
        <v>2</v>
      </c>
      <c r="G24" s="5"/>
    </row>
    <row r="25" spans="1:7" ht="18.75" customHeight="1" x14ac:dyDescent="0.35">
      <c r="A25" s="97" t="s">
        <v>468</v>
      </c>
      <c r="B25" s="112" t="s">
        <v>768</v>
      </c>
      <c r="C25" s="5">
        <f>+IFERROR(VLOOKUP($A25,RAIZ!$A$3:$X$1500,MATCH('Suc. León'!$F$1,RAIZ!$A$2:$X$2,0),FALSE),0)</f>
        <v>4</v>
      </c>
      <c r="D25" s="16">
        <v>4</v>
      </c>
      <c r="E25" s="4"/>
      <c r="F25" s="5">
        <f t="shared" si="4"/>
        <v>0</v>
      </c>
      <c r="G25" s="5"/>
    </row>
    <row r="26" spans="1:7" ht="18.75" customHeight="1" x14ac:dyDescent="0.35">
      <c r="A26" s="97"/>
      <c r="B26" s="112"/>
      <c r="C26" s="5">
        <f>+IFERROR(VLOOKUP($A26,RAIZ!$A$3:$X$1500,MATCH('Suc. León'!$F$1,RAIZ!$A$2:$X$2,0),FALSE),0)</f>
        <v>0</v>
      </c>
      <c r="D26" s="20"/>
      <c r="E26" s="4"/>
      <c r="F26" s="5">
        <f t="shared" si="4"/>
        <v>0</v>
      </c>
      <c r="G26" s="5"/>
    </row>
    <row r="27" spans="1:7" ht="18.75" customHeight="1" x14ac:dyDescent="0.35">
      <c r="A27" s="97"/>
      <c r="B27" s="112"/>
      <c r="C27" s="5">
        <f>+IFERROR(VLOOKUP($A27,RAIZ!$A$3:$X$1500,MATCH('Suc. León'!$F$1,RAIZ!$A$2:$X$2,0),FALSE),0)</f>
        <v>0</v>
      </c>
      <c r="D27" s="16"/>
      <c r="E27" s="4"/>
      <c r="F27" s="5">
        <f t="shared" si="4"/>
        <v>0</v>
      </c>
      <c r="G27" s="5"/>
    </row>
    <row r="28" spans="1:7" ht="18.75" customHeight="1" x14ac:dyDescent="0.35">
      <c r="A28" s="97"/>
      <c r="B28" s="112"/>
      <c r="C28" s="5">
        <f>+IFERROR(VLOOKUP($A28,RAIZ!$A$3:$X$1500,MATCH('Suc. León'!$F$1,RAIZ!$A$2:$X$2,0),FALSE),0)</f>
        <v>0</v>
      </c>
      <c r="D28" s="16"/>
      <c r="E28" s="4"/>
      <c r="F28" s="5">
        <f t="shared" si="4"/>
        <v>0</v>
      </c>
      <c r="G28" s="5"/>
    </row>
    <row r="29" spans="1:7" ht="18.75" customHeight="1" x14ac:dyDescent="0.35">
      <c r="A29" s="97"/>
      <c r="B29" s="112"/>
      <c r="C29" s="5">
        <f>+IFERROR(VLOOKUP($A29,RAIZ!$A$3:$X$1500,MATCH('Suc. León'!$F$1,RAIZ!$A$2:$X$2,0),FALSE),0)</f>
        <v>0</v>
      </c>
      <c r="D29" s="16"/>
      <c r="E29" s="4"/>
      <c r="F29" s="5">
        <f t="shared" si="4"/>
        <v>0</v>
      </c>
      <c r="G29" s="5"/>
    </row>
    <row r="30" spans="1:7" ht="18.75" customHeight="1" x14ac:dyDescent="0.35">
      <c r="A30" s="97"/>
      <c r="B30" s="112"/>
      <c r="C30" s="5">
        <f>+IFERROR(VLOOKUP($A30,RAIZ!$A$3:$X$1500,MATCH('Suc. León'!$F$1,RAIZ!$A$2:$X$2,0),FALSE),0)</f>
        <v>0</v>
      </c>
      <c r="D30" s="16"/>
      <c r="E30" s="4"/>
      <c r="F30" s="5">
        <f t="shared" si="4"/>
        <v>0</v>
      </c>
      <c r="G30" s="5"/>
    </row>
    <row r="31" spans="1:7" ht="18.75" customHeight="1" thickBot="1" x14ac:dyDescent="0.4">
      <c r="A31" s="97"/>
      <c r="B31" s="112"/>
      <c r="C31" s="5">
        <f>+IFERROR(VLOOKUP($A31,RAIZ!$A$3:$X$1500,MATCH('Suc. León'!$F$1,RAIZ!$A$2:$X$2,0),FALSE),0)</f>
        <v>0</v>
      </c>
      <c r="D31" s="16"/>
      <c r="E31" s="4"/>
      <c r="F31" s="5">
        <f t="shared" si="4"/>
        <v>0</v>
      </c>
      <c r="G31" s="5"/>
    </row>
    <row r="32" spans="1:7" ht="18.75" customHeight="1" thickBot="1" x14ac:dyDescent="0.4">
      <c r="A32" s="98" t="s">
        <v>13</v>
      </c>
      <c r="B32" s="111"/>
      <c r="C32" s="76">
        <f>SUM(C19:C31)</f>
        <v>10</v>
      </c>
      <c r="D32" s="76">
        <f>SUM(D19:D31)</f>
        <v>18</v>
      </c>
      <c r="E32" s="76">
        <v>0</v>
      </c>
      <c r="F32" s="64">
        <f>SUM(F19:F31)</f>
        <v>8</v>
      </c>
      <c r="G32" s="46">
        <f>SUM(G19:G31)</f>
        <v>6</v>
      </c>
    </row>
    <row r="33" spans="1:7" ht="18.75" customHeight="1" x14ac:dyDescent="0.35">
      <c r="A33" s="97" t="s">
        <v>14</v>
      </c>
      <c r="B33" s="112" t="s">
        <v>769</v>
      </c>
      <c r="C33" s="5">
        <f>+IFERROR(VLOOKUP($A33,RAIZ!$A$3:$X$1500,MATCH('Suc. León'!$F$1,RAIZ!$A$2:$X$2,0),FALSE),0)</f>
        <v>3</v>
      </c>
      <c r="D33" s="4">
        <v>3</v>
      </c>
      <c r="E33" s="4"/>
      <c r="F33" s="5">
        <f t="shared" ref="F33:F48" si="5">IF(D33-C33&gt;=0,D33-C33,0)</f>
        <v>0</v>
      </c>
      <c r="G33" s="5"/>
    </row>
    <row r="34" spans="1:7" ht="18.75" customHeight="1" x14ac:dyDescent="0.35">
      <c r="A34" s="97" t="s">
        <v>15</v>
      </c>
      <c r="B34" s="112" t="s">
        <v>770</v>
      </c>
      <c r="C34" s="5">
        <f>+IFERROR(VLOOKUP($A34,RAIZ!$A$3:$X$1500,MATCH('Suc. León'!$F$1,RAIZ!$A$2:$X$2,0),FALSE),0)</f>
        <v>2</v>
      </c>
      <c r="D34" s="7">
        <v>2</v>
      </c>
      <c r="E34" s="4"/>
      <c r="F34" s="5">
        <f t="shared" si="5"/>
        <v>0</v>
      </c>
      <c r="G34" s="5"/>
    </row>
    <row r="35" spans="1:7" ht="18.75" customHeight="1" x14ac:dyDescent="0.35">
      <c r="A35" s="97" t="s">
        <v>16</v>
      </c>
      <c r="B35" s="112" t="s">
        <v>771</v>
      </c>
      <c r="C35" s="5">
        <f>+IFERROR(VLOOKUP($A35,RAIZ!$A$3:$X$1500,MATCH('Suc. León'!$F$1,RAIZ!$A$2:$X$2,0),FALSE),0)</f>
        <v>1</v>
      </c>
      <c r="D35" s="7">
        <v>2</v>
      </c>
      <c r="E35" s="4"/>
      <c r="F35" s="5">
        <f t="shared" si="5"/>
        <v>1</v>
      </c>
      <c r="G35" s="5">
        <v>1</v>
      </c>
    </row>
    <row r="36" spans="1:7" ht="18.75" customHeight="1" x14ac:dyDescent="0.35">
      <c r="A36" s="97" t="s">
        <v>17</v>
      </c>
      <c r="B36" s="112" t="s">
        <v>772</v>
      </c>
      <c r="C36" s="5">
        <f>+IFERROR(VLOOKUP($A36,RAIZ!$A$3:$X$1500,MATCH('Suc. León'!$F$1,RAIZ!$A$2:$X$2,0),FALSE),0)</f>
        <v>2</v>
      </c>
      <c r="D36" s="7">
        <v>2</v>
      </c>
      <c r="E36" s="4"/>
      <c r="F36" s="5">
        <f t="shared" si="5"/>
        <v>0</v>
      </c>
      <c r="G36" s="5"/>
    </row>
    <row r="37" spans="1:7" ht="18.75" customHeight="1" x14ac:dyDescent="0.35">
      <c r="A37" s="97" t="s">
        <v>18</v>
      </c>
      <c r="B37" s="112" t="s">
        <v>773</v>
      </c>
      <c r="C37" s="5">
        <f>+IFERROR(VLOOKUP($A37,RAIZ!$A$3:$X$1500,MATCH('Suc. León'!$F$1,RAIZ!$A$2:$X$2,0),FALSE),0)</f>
        <v>3</v>
      </c>
      <c r="D37" s="7">
        <v>3</v>
      </c>
      <c r="E37" s="4"/>
      <c r="F37" s="5">
        <f t="shared" si="5"/>
        <v>0</v>
      </c>
      <c r="G37" s="5"/>
    </row>
    <row r="38" spans="1:7" ht="18.75" customHeight="1" x14ac:dyDescent="0.35">
      <c r="A38" s="97" t="s">
        <v>22</v>
      </c>
      <c r="B38" s="112" t="s">
        <v>774</v>
      </c>
      <c r="C38" s="5">
        <f>+IFERROR(VLOOKUP($A38,RAIZ!$A$3:$X$1500,MATCH('Suc. León'!$F$1,RAIZ!$A$2:$X$2,0),FALSE),0)</f>
        <v>3</v>
      </c>
      <c r="D38" s="18">
        <v>3</v>
      </c>
      <c r="E38" s="4"/>
      <c r="F38" s="5">
        <f t="shared" si="5"/>
        <v>0</v>
      </c>
      <c r="G38" s="5"/>
    </row>
    <row r="39" spans="1:7" ht="18.75" customHeight="1" x14ac:dyDescent="0.35">
      <c r="A39" s="97" t="s">
        <v>23</v>
      </c>
      <c r="B39" s="112" t="s">
        <v>775</v>
      </c>
      <c r="C39" s="5">
        <f>+IFERROR(VLOOKUP($A39,RAIZ!$A$3:$X$1500,MATCH('Suc. León'!$F$1,RAIZ!$A$2:$X$2,0),FALSE),0)</f>
        <v>2</v>
      </c>
      <c r="D39" s="18">
        <v>2</v>
      </c>
      <c r="E39" s="4"/>
      <c r="F39" s="5">
        <f t="shared" si="5"/>
        <v>0</v>
      </c>
      <c r="G39" s="5"/>
    </row>
    <row r="40" spans="1:7" ht="18.75" customHeight="1" x14ac:dyDescent="0.35">
      <c r="A40" s="97" t="s">
        <v>24</v>
      </c>
      <c r="B40" s="112" t="s">
        <v>776</v>
      </c>
      <c r="C40" s="5">
        <f>+IFERROR(VLOOKUP($A40,RAIZ!$A$3:$X$1500,MATCH('Suc. León'!$F$1,RAIZ!$A$2:$X$2,0),FALSE),0)</f>
        <v>3</v>
      </c>
      <c r="D40" s="7">
        <v>3</v>
      </c>
      <c r="E40" s="4"/>
      <c r="F40" s="5">
        <f t="shared" si="5"/>
        <v>0</v>
      </c>
      <c r="G40" s="5"/>
    </row>
    <row r="41" spans="1:7" ht="18.75" customHeight="1" x14ac:dyDescent="0.35">
      <c r="A41" s="97" t="s">
        <v>25</v>
      </c>
      <c r="B41" s="112" t="s">
        <v>777</v>
      </c>
      <c r="C41" s="5">
        <f>+IFERROR(VLOOKUP($A41,RAIZ!$A$3:$X$1500,MATCH('Suc. León'!$F$1,RAIZ!$A$2:$X$2,0),FALSE),0)</f>
        <v>1</v>
      </c>
      <c r="D41" s="18">
        <v>2</v>
      </c>
      <c r="E41" s="4"/>
      <c r="F41" s="5">
        <f t="shared" si="5"/>
        <v>1</v>
      </c>
      <c r="G41" s="5">
        <v>1</v>
      </c>
    </row>
    <row r="42" spans="1:7" ht="18.75" customHeight="1" x14ac:dyDescent="0.35">
      <c r="A42" s="97"/>
      <c r="B42" s="112"/>
      <c r="C42" s="5">
        <f>+IFERROR(VLOOKUP($A42,RAIZ!$A$3:$X$1500,MATCH('Suc. León'!$F$1,RAIZ!$A$2:$X$2,0),FALSE),0)</f>
        <v>0</v>
      </c>
      <c r="D42" s="20"/>
      <c r="E42" s="4"/>
      <c r="F42" s="5">
        <f t="shared" si="5"/>
        <v>0</v>
      </c>
      <c r="G42" s="5"/>
    </row>
    <row r="43" spans="1:7" ht="18.75" customHeight="1" x14ac:dyDescent="0.35">
      <c r="A43" s="97"/>
      <c r="B43" s="112"/>
      <c r="C43" s="5">
        <f>+IFERROR(VLOOKUP($A43,RAIZ!$A$3:$X$1500,MATCH('Suc. León'!$F$1,RAIZ!$A$2:$X$2,0),FALSE),0)</f>
        <v>0</v>
      </c>
      <c r="D43" s="18"/>
      <c r="E43" s="4"/>
      <c r="F43" s="5">
        <f t="shared" si="5"/>
        <v>0</v>
      </c>
      <c r="G43" s="5"/>
    </row>
    <row r="44" spans="1:7" ht="18.75" customHeight="1" x14ac:dyDescent="0.35">
      <c r="A44" s="97"/>
      <c r="B44" s="112"/>
      <c r="C44" s="5">
        <f>+IFERROR(VLOOKUP($A44,RAIZ!$A$3:$X$1500,MATCH('Suc. León'!$F$1,RAIZ!$A$2:$X$2,0),FALSE),0)</f>
        <v>0</v>
      </c>
      <c r="D44" s="18"/>
      <c r="E44" s="4"/>
      <c r="F44" s="5">
        <f t="shared" si="5"/>
        <v>0</v>
      </c>
      <c r="G44" s="5"/>
    </row>
    <row r="45" spans="1:7" ht="18.75" customHeight="1" x14ac:dyDescent="0.35">
      <c r="A45" s="97"/>
      <c r="B45" s="112"/>
      <c r="C45" s="5">
        <f>+IFERROR(VLOOKUP($A45,RAIZ!$A$3:$X$1500,MATCH('Suc. León'!$F$1,RAIZ!$A$2:$X$2,0),FALSE),0)</f>
        <v>0</v>
      </c>
      <c r="D45" s="18"/>
      <c r="E45" s="4"/>
      <c r="F45" s="5">
        <f t="shared" si="5"/>
        <v>0</v>
      </c>
      <c r="G45" s="5"/>
    </row>
    <row r="46" spans="1:7" ht="18.75" customHeight="1" x14ac:dyDescent="0.35">
      <c r="A46" s="97"/>
      <c r="B46" s="112"/>
      <c r="C46" s="5">
        <f>+IFERROR(VLOOKUP($A46,RAIZ!$A$3:$X$1500,MATCH('Suc. León'!$F$1,RAIZ!$A$2:$X$2,0),FALSE),0)</f>
        <v>0</v>
      </c>
      <c r="D46" s="18"/>
      <c r="E46" s="4"/>
      <c r="F46" s="5">
        <f t="shared" si="5"/>
        <v>0</v>
      </c>
      <c r="G46" s="5"/>
    </row>
    <row r="47" spans="1:7" ht="18.75" customHeight="1" x14ac:dyDescent="0.35">
      <c r="A47" s="97"/>
      <c r="B47" s="112"/>
      <c r="C47" s="5">
        <f>+IFERROR(VLOOKUP($A47,RAIZ!$A$3:$X$1500,MATCH('Suc. León'!$F$1,RAIZ!$A$2:$X$2,0),FALSE),0)</f>
        <v>0</v>
      </c>
      <c r="D47" s="18"/>
      <c r="E47" s="4"/>
      <c r="F47" s="5">
        <f t="shared" si="5"/>
        <v>0</v>
      </c>
      <c r="G47" s="5"/>
    </row>
    <row r="48" spans="1:7" ht="18.75" customHeight="1" thickBot="1" x14ac:dyDescent="0.4">
      <c r="A48" s="97"/>
      <c r="B48" s="112"/>
      <c r="C48" s="5">
        <f>+IFERROR(VLOOKUP($A48,RAIZ!$A$3:$X$1500,MATCH('Suc. León'!$F$1,RAIZ!$A$2:$X$2,0),FALSE),0)</f>
        <v>0</v>
      </c>
      <c r="D48" s="18"/>
      <c r="E48" s="4"/>
      <c r="F48" s="5">
        <f t="shared" si="5"/>
        <v>0</v>
      </c>
      <c r="G48" s="5"/>
    </row>
    <row r="49" spans="1:7" ht="18.75" customHeight="1" thickBot="1" x14ac:dyDescent="0.4">
      <c r="A49" s="99" t="s">
        <v>29</v>
      </c>
      <c r="B49" s="111"/>
      <c r="C49" s="77">
        <f>SUM(C33:C48)</f>
        <v>20</v>
      </c>
      <c r="D49" s="77">
        <f>SUM(D33:D48)</f>
        <v>22</v>
      </c>
      <c r="E49" s="77">
        <v>0</v>
      </c>
      <c r="F49" s="65">
        <f>SUM(F33:F48)</f>
        <v>2</v>
      </c>
      <c r="G49" s="48">
        <f>SUM(G33:G48)</f>
        <v>2</v>
      </c>
    </row>
    <row r="50" spans="1:7" ht="18.75" customHeight="1" x14ac:dyDescent="0.35">
      <c r="A50" s="93" t="s">
        <v>30</v>
      </c>
      <c r="B50" s="112" t="s">
        <v>778</v>
      </c>
      <c r="C50" s="5">
        <f>+IFERROR(VLOOKUP($A50,RAIZ!$A$3:$X$1500,MATCH('Suc. León'!$F$1,RAIZ!$A$2:$X$2,0),FALSE),0)-1</f>
        <v>6</v>
      </c>
      <c r="D50" s="4">
        <v>7</v>
      </c>
      <c r="E50" s="4"/>
      <c r="F50" s="5">
        <f>IF(D50-C50&gt;=0,D50-C50,0)</f>
        <v>1</v>
      </c>
      <c r="G50" s="5">
        <v>1</v>
      </c>
    </row>
    <row r="51" spans="1:7" ht="18.75" customHeight="1" thickBot="1" x14ac:dyDescent="0.4">
      <c r="A51" s="95" t="s">
        <v>31</v>
      </c>
      <c r="B51" s="112" t="s">
        <v>779</v>
      </c>
      <c r="C51" s="5">
        <f>+IFERROR(VLOOKUP($A51,RAIZ!$A$3:$X$1500,MATCH('Suc. León'!$F$1,RAIZ!$A$2:$X$2,0),FALSE),0)</f>
        <v>7</v>
      </c>
      <c r="D51" s="20">
        <v>7</v>
      </c>
      <c r="E51" s="4"/>
      <c r="F51" s="5">
        <f t="shared" ref="F51" si="6">IF(D51-C51&gt;=0,D51-C51,0)</f>
        <v>0</v>
      </c>
      <c r="G51" s="5"/>
    </row>
    <row r="52" spans="1:7" ht="18.75" customHeight="1" thickBot="1" x14ac:dyDescent="0.4">
      <c r="A52" s="100" t="s">
        <v>32</v>
      </c>
      <c r="B52" s="111"/>
      <c r="C52" s="78">
        <f>SUM(C50:C51)</f>
        <v>13</v>
      </c>
      <c r="D52" s="78">
        <f>SUM(D50:D51)</f>
        <v>14</v>
      </c>
      <c r="E52" s="78">
        <v>0</v>
      </c>
      <c r="F52" s="66">
        <f t="shared" ref="F52:G52" si="7">SUM(F50:F51)</f>
        <v>1</v>
      </c>
      <c r="G52" s="50">
        <f t="shared" si="7"/>
        <v>1</v>
      </c>
    </row>
    <row r="53" spans="1:7" ht="18.75" customHeight="1" x14ac:dyDescent="0.35">
      <c r="A53" s="93" t="s">
        <v>33</v>
      </c>
      <c r="B53" s="112" t="s">
        <v>780</v>
      </c>
      <c r="C53" s="5">
        <f>+IFERROR(VLOOKUP($A53,RAIZ!$A$3:$X$1500,MATCH('Suc. León'!$F$1,RAIZ!$A$2:$X$2,0),FALSE),0)</f>
        <v>7</v>
      </c>
      <c r="D53" s="4">
        <v>7</v>
      </c>
      <c r="E53" s="4"/>
      <c r="F53" s="5">
        <f t="shared" ref="F53:F54" si="8">IF(D53-C53&gt;=0,D53-C53,0)</f>
        <v>0</v>
      </c>
      <c r="G53" s="5"/>
    </row>
    <row r="54" spans="1:7" ht="18.75" customHeight="1" thickBot="1" x14ac:dyDescent="0.4">
      <c r="A54" s="95" t="s">
        <v>34</v>
      </c>
      <c r="B54" s="112" t="s">
        <v>781</v>
      </c>
      <c r="C54" s="5">
        <f>+IFERROR(VLOOKUP($A54,RAIZ!$A$3:$X$1500,MATCH('Suc. León'!$F$1,RAIZ!$A$2:$X$2,0),FALSE),0)</f>
        <v>7</v>
      </c>
      <c r="D54" s="20">
        <v>7</v>
      </c>
      <c r="E54" s="4"/>
      <c r="F54" s="5">
        <f t="shared" si="8"/>
        <v>0</v>
      </c>
      <c r="G54" s="5"/>
    </row>
    <row r="55" spans="1:7" ht="18.75" customHeight="1" thickBot="1" x14ac:dyDescent="0.4">
      <c r="A55" s="99" t="s">
        <v>35</v>
      </c>
      <c r="B55" s="111"/>
      <c r="C55" s="77">
        <f>SUM(C53:C54)</f>
        <v>14</v>
      </c>
      <c r="D55" s="77">
        <f>SUM(D53:D54)</f>
        <v>14</v>
      </c>
      <c r="E55" s="77">
        <v>0</v>
      </c>
      <c r="F55" s="65">
        <f t="shared" ref="F55:G55" si="9">SUM(F53:F54)</f>
        <v>0</v>
      </c>
      <c r="G55" s="48">
        <f t="shared" si="9"/>
        <v>0</v>
      </c>
    </row>
    <row r="56" spans="1:7" s="157" customFormat="1" ht="18.75" customHeight="1" x14ac:dyDescent="0.35">
      <c r="A56" s="93" t="s">
        <v>36</v>
      </c>
      <c r="B56" s="112" t="s">
        <v>782</v>
      </c>
      <c r="C56" s="5">
        <f>+IFERROR(VLOOKUP($A56,RAIZ!$A$3:$X$1500,MATCH('Suc. León'!$F$1,RAIZ!$A$2:$X$2,0),FALSE),0)</f>
        <v>1</v>
      </c>
      <c r="D56" s="161">
        <v>2</v>
      </c>
      <c r="E56" s="254" t="s">
        <v>953</v>
      </c>
      <c r="F56" s="153">
        <f t="shared" ref="F56:F70" si="10">IF(D56-C56&gt;=0,D56-C56,0)</f>
        <v>1</v>
      </c>
      <c r="G56" s="5">
        <v>1</v>
      </c>
    </row>
    <row r="57" spans="1:7" s="157" customFormat="1" ht="18.75" customHeight="1" thickBot="1" x14ac:dyDescent="0.4">
      <c r="A57" s="93" t="s">
        <v>37</v>
      </c>
      <c r="B57" s="112" t="s">
        <v>783</v>
      </c>
      <c r="C57" s="5">
        <f>+IFERROR(VLOOKUP($A57,RAIZ!$A$3:$X$1500,MATCH('Suc. León'!$F$1,RAIZ!$A$2:$X$2,0),FALSE),0)</f>
        <v>2</v>
      </c>
      <c r="D57" s="155">
        <v>2</v>
      </c>
      <c r="E57" s="255"/>
      <c r="F57" s="153">
        <f t="shared" si="10"/>
        <v>0</v>
      </c>
      <c r="G57" s="5"/>
    </row>
    <row r="58" spans="1:7" s="157" customFormat="1" ht="18.75" customHeight="1" x14ac:dyDescent="0.35">
      <c r="A58" s="93" t="s">
        <v>39</v>
      </c>
      <c r="B58" s="112" t="s">
        <v>784</v>
      </c>
      <c r="C58" s="5">
        <f>+IFERROR(VLOOKUP($A58,RAIZ!$A$3:$X$1500,MATCH('Suc. León'!$F$1,RAIZ!$A$2:$X$2,0),FALSE),0)</f>
        <v>2</v>
      </c>
      <c r="D58" s="158">
        <v>2</v>
      </c>
      <c r="E58" s="254" t="s">
        <v>953</v>
      </c>
      <c r="F58" s="149">
        <f t="shared" ref="F58" si="11">IF(D58-C58&gt;=0,D58-C58,0)</f>
        <v>0</v>
      </c>
      <c r="G58" s="5"/>
    </row>
    <row r="59" spans="1:7" s="157" customFormat="1" ht="18.75" customHeight="1" x14ac:dyDescent="0.35">
      <c r="A59" s="93" t="s">
        <v>40</v>
      </c>
      <c r="B59" s="112" t="s">
        <v>785</v>
      </c>
      <c r="C59" s="5">
        <f>+IFERROR(VLOOKUP($A59,RAIZ!$A$3:$X$1500,MATCH('Suc. León'!$F$1,RAIZ!$A$2:$X$2,0),FALSE),0)</f>
        <v>2</v>
      </c>
      <c r="D59" s="158">
        <v>2</v>
      </c>
      <c r="E59" s="256"/>
      <c r="F59" s="149">
        <f t="shared" si="10"/>
        <v>0</v>
      </c>
      <c r="G59" s="5"/>
    </row>
    <row r="60" spans="1:7" s="157" customFormat="1" ht="18.75" customHeight="1" x14ac:dyDescent="0.35">
      <c r="A60" s="93" t="s">
        <v>41</v>
      </c>
      <c r="B60" s="112" t="s">
        <v>786</v>
      </c>
      <c r="C60" s="5">
        <f>+IFERROR(VLOOKUP($A60,RAIZ!$A$3:$X$1500,MATCH('Suc. León'!$F$1,RAIZ!$A$2:$X$2,0),FALSE),0)</f>
        <v>1</v>
      </c>
      <c r="D60" s="158">
        <v>2</v>
      </c>
      <c r="E60" s="256"/>
      <c r="F60" s="149">
        <f t="shared" si="10"/>
        <v>1</v>
      </c>
      <c r="G60" s="5"/>
    </row>
    <row r="61" spans="1:7" s="157" customFormat="1" ht="18.75" customHeight="1" x14ac:dyDescent="0.35">
      <c r="A61" s="101" t="s">
        <v>42</v>
      </c>
      <c r="B61" s="112" t="s">
        <v>787</v>
      </c>
      <c r="C61" s="5">
        <f>+IFERROR(VLOOKUP($A61,RAIZ!$A$3:$X$1500,MATCH('Suc. León'!$F$1,RAIZ!$A$2:$X$2,0),FALSE),0)</f>
        <v>2</v>
      </c>
      <c r="D61" s="156">
        <v>2</v>
      </c>
      <c r="E61" s="256"/>
      <c r="F61" s="149">
        <f t="shared" si="10"/>
        <v>0</v>
      </c>
      <c r="G61" s="5"/>
    </row>
    <row r="62" spans="1:7" s="157" customFormat="1" ht="18.75" customHeight="1" thickBot="1" x14ac:dyDescent="0.4">
      <c r="A62" s="102" t="s">
        <v>43</v>
      </c>
      <c r="B62" s="112" t="s">
        <v>788</v>
      </c>
      <c r="C62" s="5">
        <f>+IFERROR(VLOOKUP($A62,RAIZ!$A$3:$X$1500,MATCH('Suc. León'!$F$1,RAIZ!$A$2:$X$2,0),FALSE),0)</f>
        <v>2</v>
      </c>
      <c r="D62" s="158">
        <v>2</v>
      </c>
      <c r="E62" s="255"/>
      <c r="F62" s="149">
        <f t="shared" si="10"/>
        <v>0</v>
      </c>
      <c r="G62" s="5"/>
    </row>
    <row r="63" spans="1:7" s="157" customFormat="1" ht="18.75" customHeight="1" x14ac:dyDescent="0.35">
      <c r="A63" s="93" t="s">
        <v>44</v>
      </c>
      <c r="B63" s="112" t="s">
        <v>789</v>
      </c>
      <c r="C63" s="5">
        <f>+IFERROR(VLOOKUP($A63,RAIZ!$A$3:$X$1500,MATCH('Suc. León'!$F$1,RAIZ!$A$2:$X$2,0),FALSE),0)-1</f>
        <v>2</v>
      </c>
      <c r="D63" s="7">
        <v>2</v>
      </c>
      <c r="E63" s="4"/>
      <c r="F63" s="149">
        <f t="shared" si="10"/>
        <v>0</v>
      </c>
      <c r="G63" s="5"/>
    </row>
    <row r="64" spans="1:7" ht="18.75" customHeight="1" x14ac:dyDescent="0.35">
      <c r="A64" s="93" t="s">
        <v>45</v>
      </c>
      <c r="B64" s="112" t="s">
        <v>790</v>
      </c>
      <c r="C64" s="5">
        <f>+IFERROR(VLOOKUP($A64,RAIZ!$A$3:$X$1500,MATCH('Suc. León'!$F$1,RAIZ!$A$2:$X$2,0),FALSE),0)</f>
        <v>2</v>
      </c>
      <c r="D64" s="4">
        <v>2</v>
      </c>
      <c r="E64" s="4"/>
      <c r="F64" s="5">
        <f t="shared" si="10"/>
        <v>0</v>
      </c>
      <c r="G64" s="5"/>
    </row>
    <row r="65" spans="1:7" ht="18.75" customHeight="1" x14ac:dyDescent="0.35">
      <c r="A65" s="93" t="s">
        <v>46</v>
      </c>
      <c r="B65" s="112" t="s">
        <v>791</v>
      </c>
      <c r="C65" s="5">
        <f>+IFERROR(VLOOKUP($A65,RAIZ!$A$3:$X$1500,MATCH('Suc. León'!$F$1,RAIZ!$A$2:$X$2,0),FALSE),0)</f>
        <v>3</v>
      </c>
      <c r="D65" s="7">
        <v>3</v>
      </c>
      <c r="E65" s="4"/>
      <c r="F65" s="5">
        <f t="shared" si="10"/>
        <v>0</v>
      </c>
      <c r="G65" s="5"/>
    </row>
    <row r="66" spans="1:7" ht="18.75" customHeight="1" x14ac:dyDescent="0.35">
      <c r="A66" s="93" t="s">
        <v>48</v>
      </c>
      <c r="B66" s="112" t="s">
        <v>792</v>
      </c>
      <c r="C66" s="5">
        <f>+IFERROR(VLOOKUP($A66,RAIZ!$A$3:$X$1500,MATCH('Suc. León'!$F$1,RAIZ!$A$2:$X$2,0),FALSE),0)</f>
        <v>2</v>
      </c>
      <c r="D66" s="7">
        <v>2</v>
      </c>
      <c r="E66" s="4"/>
      <c r="F66" s="5">
        <f t="shared" si="10"/>
        <v>0</v>
      </c>
      <c r="G66" s="5"/>
    </row>
    <row r="67" spans="1:7" ht="18.75" customHeight="1" x14ac:dyDescent="0.35">
      <c r="A67" s="93" t="s">
        <v>49</v>
      </c>
      <c r="B67" s="112" t="s">
        <v>793</v>
      </c>
      <c r="C67" s="5">
        <f>+IFERROR(VLOOKUP($A67,RAIZ!$A$3:$X$1500,MATCH('Suc. León'!$F$1,RAIZ!$A$2:$X$2,0),FALSE),0)</f>
        <v>2</v>
      </c>
      <c r="D67" s="7">
        <v>2</v>
      </c>
      <c r="E67" s="4"/>
      <c r="F67" s="5">
        <f t="shared" si="10"/>
        <v>0</v>
      </c>
      <c r="G67" s="5"/>
    </row>
    <row r="68" spans="1:7" ht="18.75" customHeight="1" x14ac:dyDescent="0.35">
      <c r="A68" s="93" t="s">
        <v>50</v>
      </c>
      <c r="B68" s="112" t="s">
        <v>794</v>
      </c>
      <c r="C68" s="5">
        <f>+IFERROR(VLOOKUP($A68,RAIZ!$A$3:$X$1500,MATCH('Suc. León'!$F$1,RAIZ!$A$2:$X$2,0),FALSE),0)</f>
        <v>4</v>
      </c>
      <c r="D68" s="4">
        <v>3</v>
      </c>
      <c r="E68" s="4"/>
      <c r="F68" s="5">
        <f t="shared" si="10"/>
        <v>0</v>
      </c>
      <c r="G68" s="5"/>
    </row>
    <row r="69" spans="1:7" ht="18.75" customHeight="1" thickBot="1" x14ac:dyDescent="0.4">
      <c r="A69" s="93" t="s">
        <v>51</v>
      </c>
      <c r="B69" s="112" t="s">
        <v>795</v>
      </c>
      <c r="C69" s="5">
        <f>+IFERROR(VLOOKUP($A69,RAIZ!$A$3:$X$1500,MATCH('Suc. León'!$F$1,RAIZ!$A$2:$X$2,0),FALSE),0)</f>
        <v>0</v>
      </c>
      <c r="D69" s="7">
        <v>3</v>
      </c>
      <c r="E69" s="4"/>
      <c r="F69" s="5">
        <f t="shared" si="10"/>
        <v>3</v>
      </c>
      <c r="G69" s="5"/>
    </row>
    <row r="70" spans="1:7" ht="18.75" customHeight="1" thickBot="1" x14ac:dyDescent="0.4">
      <c r="A70" s="93" t="s">
        <v>53</v>
      </c>
      <c r="B70" s="112" t="s">
        <v>796</v>
      </c>
      <c r="C70" s="5">
        <f>+IFERROR(VLOOKUP($A70,RAIZ!$A$3:$X$1500,MATCH('Suc. León'!$F$1,RAIZ!$A$2:$X$2,0),FALSE),0)</f>
        <v>3</v>
      </c>
      <c r="D70" s="160">
        <v>3</v>
      </c>
      <c r="E70" s="154" t="s">
        <v>953</v>
      </c>
      <c r="F70" s="5">
        <f t="shared" si="10"/>
        <v>0</v>
      </c>
      <c r="G70" s="5"/>
    </row>
    <row r="71" spans="1:7" s="157" customFormat="1" ht="18.75" customHeight="1" x14ac:dyDescent="0.35">
      <c r="A71" s="93" t="s">
        <v>47</v>
      </c>
      <c r="B71" s="112" t="s">
        <v>873</v>
      </c>
      <c r="C71" s="5">
        <f>+IFERROR(VLOOKUP($A71,RAIZ!$A$3:$X$1500,MATCH('Suc. León'!$F$1,RAIZ!$A$2:$X$2,0),FALSE),0)</f>
        <v>2</v>
      </c>
      <c r="D71" s="20">
        <v>2</v>
      </c>
      <c r="E71" s="4"/>
      <c r="F71" s="149">
        <f t="shared" ref="F71:F77" si="12">IF(D71-C71&gt;=0,D71-C71,0)</f>
        <v>0</v>
      </c>
      <c r="G71" s="5"/>
    </row>
    <row r="72" spans="1:7" ht="18.75" customHeight="1" x14ac:dyDescent="0.35">
      <c r="A72" s="86" t="s">
        <v>1089</v>
      </c>
      <c r="B72" s="112" t="s">
        <v>1090</v>
      </c>
      <c r="C72" s="5">
        <f>+IFERROR(VLOOKUP($A72,RAIZ!$A$3:$X$1500,MATCH('Suc. León'!$F$1,RAIZ!$A$2:$X$2,0),FALSE),0)</f>
        <v>0</v>
      </c>
      <c r="D72" s="20">
        <v>0</v>
      </c>
      <c r="E72" s="4"/>
      <c r="F72" s="5">
        <f t="shared" si="12"/>
        <v>0</v>
      </c>
      <c r="G72" s="5"/>
    </row>
    <row r="73" spans="1:7" ht="18.75" customHeight="1" x14ac:dyDescent="0.35">
      <c r="A73" s="93"/>
      <c r="B73" s="112"/>
      <c r="C73" s="5">
        <f>+IFERROR(VLOOKUP($A73,RAIZ!$A$3:$X$1500,MATCH('Suc. León'!$F$1,RAIZ!$A$2:$X$2,0),FALSE),0)</f>
        <v>0</v>
      </c>
      <c r="D73" s="20"/>
      <c r="E73" s="4"/>
      <c r="F73" s="5">
        <f t="shared" si="12"/>
        <v>0</v>
      </c>
      <c r="G73" s="5"/>
    </row>
    <row r="74" spans="1:7" ht="18.75" customHeight="1" x14ac:dyDescent="0.35">
      <c r="A74" s="93"/>
      <c r="B74" s="112"/>
      <c r="C74" s="5">
        <f>+IFERROR(VLOOKUP($A74,RAIZ!$A$3:$X$1500,MATCH('Suc. León'!$F$1,RAIZ!$A$2:$X$2,0),FALSE),0)</f>
        <v>0</v>
      </c>
      <c r="D74" s="20"/>
      <c r="E74" s="4"/>
      <c r="F74" s="5">
        <f t="shared" si="12"/>
        <v>0</v>
      </c>
      <c r="G74" s="5"/>
    </row>
    <row r="75" spans="1:7" ht="18.75" customHeight="1" x14ac:dyDescent="0.35">
      <c r="A75" s="93"/>
      <c r="B75" s="112"/>
      <c r="C75" s="5">
        <f>+IFERROR(VLOOKUP($A75,RAIZ!$A$3:$X$1500,MATCH('Suc. León'!$F$1,RAIZ!$A$2:$X$2,0),FALSE),0)</f>
        <v>0</v>
      </c>
      <c r="D75" s="20"/>
      <c r="E75" s="4"/>
      <c r="F75" s="5">
        <f t="shared" si="12"/>
        <v>0</v>
      </c>
      <c r="G75" s="5"/>
    </row>
    <row r="76" spans="1:7" ht="18.75" customHeight="1" x14ac:dyDescent="0.35">
      <c r="A76" s="93"/>
      <c r="B76" s="112"/>
      <c r="C76" s="5">
        <f>+IFERROR(VLOOKUP($A76,RAIZ!$A$3:$X$1500,MATCH('Suc. León'!$F$1,RAIZ!$A$2:$X$2,0),FALSE),0)</f>
        <v>0</v>
      </c>
      <c r="D76" s="20"/>
      <c r="E76" s="4"/>
      <c r="F76" s="5">
        <f t="shared" si="12"/>
        <v>0</v>
      </c>
      <c r="G76" s="5"/>
    </row>
    <row r="77" spans="1:7" ht="18.75" customHeight="1" thickBot="1" x14ac:dyDescent="0.4">
      <c r="A77" s="93"/>
      <c r="B77" s="112"/>
      <c r="C77" s="5">
        <f>+IFERROR(VLOOKUP($A77,RAIZ!$A$3:$X$1500,MATCH('Suc. León'!$F$1,RAIZ!$A$2:$X$2,0),FALSE),0)</f>
        <v>0</v>
      </c>
      <c r="D77" s="20"/>
      <c r="E77" s="4"/>
      <c r="F77" s="5">
        <f t="shared" si="12"/>
        <v>0</v>
      </c>
      <c r="G77" s="5"/>
    </row>
    <row r="78" spans="1:7" ht="18.75" customHeight="1" thickBot="1" x14ac:dyDescent="0.4">
      <c r="A78" s="99" t="s">
        <v>54</v>
      </c>
      <c r="B78" s="111"/>
      <c r="C78" s="77">
        <f>SUM(C56:C77)</f>
        <v>32</v>
      </c>
      <c r="D78" s="77">
        <f>SUM(D56:D77)</f>
        <v>36</v>
      </c>
      <c r="E78" s="77">
        <v>0</v>
      </c>
      <c r="F78" s="65">
        <f>SUM(F56:F77)</f>
        <v>5</v>
      </c>
      <c r="G78" s="48">
        <f>SUM(G56:G77)</f>
        <v>1</v>
      </c>
    </row>
    <row r="79" spans="1:7" ht="18.75" customHeight="1" thickBot="1" x14ac:dyDescent="0.4">
      <c r="A79" s="103" t="s">
        <v>55</v>
      </c>
      <c r="B79" s="111"/>
      <c r="C79" s="79">
        <f>C18+C32+C49+C52+C55+C78</f>
        <v>110</v>
      </c>
      <c r="D79" s="79">
        <f>D18+D32+D49+D52+D55+D78</f>
        <v>127</v>
      </c>
      <c r="E79" s="79">
        <v>0</v>
      </c>
      <c r="F79" s="67">
        <f>F18+F32+F49+F52+F55+F78</f>
        <v>18</v>
      </c>
      <c r="G79" s="52">
        <f>G18+G32+G49+G52+G55+G78</f>
        <v>12</v>
      </c>
    </row>
    <row r="80" spans="1:7" ht="18.75" customHeight="1" x14ac:dyDescent="0.35">
      <c r="A80" s="104" t="s">
        <v>56</v>
      </c>
      <c r="B80" s="111"/>
      <c r="C80" s="68"/>
      <c r="D80" s="26"/>
      <c r="E80" s="26"/>
      <c r="F80" s="27"/>
      <c r="G80" s="27"/>
    </row>
    <row r="81" spans="1:7" ht="18.75" customHeight="1" x14ac:dyDescent="0.35">
      <c r="A81" s="94" t="s">
        <v>57</v>
      </c>
      <c r="B81" s="112" t="s">
        <v>797</v>
      </c>
      <c r="C81" s="5">
        <f>+IFERROR(VLOOKUP($A81,RAIZ!$A$3:$X$1500,MATCH('Suc. León'!$F$1,RAIZ!$A$2:$X$2,0),FALSE),0)</f>
        <v>3</v>
      </c>
      <c r="D81" s="4">
        <v>3</v>
      </c>
      <c r="E81" s="4"/>
      <c r="F81" s="5">
        <f t="shared" ref="F81:F85" si="13">IF(D81-C81&gt;=0,D81-C81,0)</f>
        <v>0</v>
      </c>
      <c r="G81" s="5"/>
    </row>
    <row r="82" spans="1:7" ht="18.75" customHeight="1" x14ac:dyDescent="0.35">
      <c r="A82" s="94" t="s">
        <v>58</v>
      </c>
      <c r="B82" s="112" t="s">
        <v>867</v>
      </c>
      <c r="C82" s="5">
        <f>+IFERROR(VLOOKUP($A82,RAIZ!$A$3:$X$1500,MATCH('Suc. León'!$F$1,RAIZ!$A$2:$X$2,0),FALSE),0)</f>
        <v>1</v>
      </c>
      <c r="D82" s="4">
        <v>2</v>
      </c>
      <c r="E82" s="4"/>
      <c r="F82" s="5">
        <f t="shared" ref="F82" si="14">IF(D82-C82&gt;=0,D82-C82,0)</f>
        <v>1</v>
      </c>
      <c r="G82" s="5">
        <v>1</v>
      </c>
    </row>
    <row r="83" spans="1:7" ht="18.75" customHeight="1" x14ac:dyDescent="0.35">
      <c r="A83" s="94" t="s">
        <v>59</v>
      </c>
      <c r="B83" s="112" t="s">
        <v>798</v>
      </c>
      <c r="C83" s="5">
        <f>+IFERROR(VLOOKUP($A83,RAIZ!$A$3:$X$1500,MATCH('Suc. León'!$F$1,RAIZ!$A$2:$X$2,0),FALSE),0)</f>
        <v>2</v>
      </c>
      <c r="D83" s="7">
        <v>2</v>
      </c>
      <c r="E83" s="4"/>
      <c r="F83" s="5">
        <f t="shared" si="13"/>
        <v>0</v>
      </c>
      <c r="G83" s="5"/>
    </row>
    <row r="84" spans="1:7" ht="18.75" customHeight="1" x14ac:dyDescent="0.35">
      <c r="A84" s="94" t="s">
        <v>60</v>
      </c>
      <c r="B84" s="112" t="s">
        <v>799</v>
      </c>
      <c r="C84" s="5">
        <f>+IFERROR(VLOOKUP($A84,RAIZ!$A$3:$X$1500,MATCH('Suc. León'!$F$1,RAIZ!$A$2:$X$2,0),FALSE),0)</f>
        <v>4</v>
      </c>
      <c r="D84" s="7">
        <v>4</v>
      </c>
      <c r="E84" s="4"/>
      <c r="F84" s="5">
        <f t="shared" si="13"/>
        <v>0</v>
      </c>
      <c r="G84" s="5"/>
    </row>
    <row r="85" spans="1:7" ht="18.75" customHeight="1" x14ac:dyDescent="0.35">
      <c r="A85" s="94" t="s">
        <v>61</v>
      </c>
      <c r="B85" s="112" t="s">
        <v>800</v>
      </c>
      <c r="C85" s="5">
        <f>+IFERROR(VLOOKUP($A85,RAIZ!$A$3:$X$1500,MATCH('Suc. León'!$F$1,RAIZ!$A$2:$X$2,0),FALSE),0)</f>
        <v>3</v>
      </c>
      <c r="D85" s="7">
        <v>4</v>
      </c>
      <c r="E85" s="4"/>
      <c r="F85" s="5">
        <f t="shared" si="13"/>
        <v>1</v>
      </c>
      <c r="G85" s="5"/>
    </row>
    <row r="86" spans="1:7" ht="18.75" customHeight="1" x14ac:dyDescent="0.35">
      <c r="A86" s="94" t="s">
        <v>63</v>
      </c>
      <c r="B86" s="112" t="s">
        <v>801</v>
      </c>
      <c r="C86" s="5">
        <f>+IFERROR(VLOOKUP($A86,RAIZ!$A$3:$X$1500,MATCH('Suc. León'!$F$1,RAIZ!$A$2:$X$2,0),FALSE),0)</f>
        <v>5</v>
      </c>
      <c r="D86" s="7">
        <v>5</v>
      </c>
      <c r="E86" s="4"/>
      <c r="F86" s="5">
        <f t="shared" ref="F86:F90" si="15">IF(D86-C86&gt;=0,D86-C86,0)</f>
        <v>0</v>
      </c>
      <c r="G86" s="5"/>
    </row>
    <row r="87" spans="1:7" ht="18.75" customHeight="1" x14ac:dyDescent="0.35">
      <c r="A87" s="94"/>
      <c r="B87" s="112" t="s">
        <v>1091</v>
      </c>
      <c r="C87" s="5">
        <f>+IFERROR(VLOOKUP($A87,RAIZ!$A$3:$X$1500,MATCH('Suc. León'!$F$1,RAIZ!$A$2:$X$2,0),FALSE),0)</f>
        <v>0</v>
      </c>
      <c r="D87" s="20"/>
      <c r="E87" s="4"/>
      <c r="F87" s="5">
        <f t="shared" si="15"/>
        <v>0</v>
      </c>
      <c r="G87" s="5"/>
    </row>
    <row r="88" spans="1:7" ht="18.75" customHeight="1" x14ac:dyDescent="0.35">
      <c r="A88" s="94"/>
      <c r="B88" s="112" t="s">
        <v>1094</v>
      </c>
      <c r="C88" s="5">
        <f>+IFERROR(VLOOKUP($A88,RAIZ!$A$3:$X$1500,MATCH('Suc. León'!$F$1,RAIZ!$A$2:$X$2,0),FALSE),0)</f>
        <v>0</v>
      </c>
      <c r="D88" s="7"/>
      <c r="E88" s="4"/>
      <c r="F88" s="5">
        <f t="shared" si="15"/>
        <v>0</v>
      </c>
      <c r="G88" s="5"/>
    </row>
    <row r="89" spans="1:7" ht="18.75" customHeight="1" x14ac:dyDescent="0.35">
      <c r="A89" s="94"/>
      <c r="B89" s="112" t="s">
        <v>1095</v>
      </c>
      <c r="C89" s="5">
        <f>+IFERROR(VLOOKUP($A89,RAIZ!$A$3:$X$1500,MATCH('Suc. León'!$F$1,RAIZ!$A$2:$X$2,0),FALSE),0)</f>
        <v>0</v>
      </c>
      <c r="D89" s="7"/>
      <c r="E89" s="4"/>
      <c r="F89" s="5">
        <f t="shared" si="15"/>
        <v>0</v>
      </c>
      <c r="G89" s="5"/>
    </row>
    <row r="90" spans="1:7" ht="18.75" customHeight="1" thickBot="1" x14ac:dyDescent="0.4">
      <c r="A90" s="94"/>
      <c r="B90" s="112" t="s">
        <v>1093</v>
      </c>
      <c r="C90" s="5">
        <f>+IFERROR(VLOOKUP($A90,RAIZ!$A$3:$X$1500,MATCH('Suc. León'!$F$1,RAIZ!$A$2:$X$2,0),FALSE),0)</f>
        <v>0</v>
      </c>
      <c r="D90" s="7"/>
      <c r="E90" s="4"/>
      <c r="F90" s="5">
        <f t="shared" si="15"/>
        <v>0</v>
      </c>
      <c r="G90" s="5"/>
    </row>
    <row r="91" spans="1:7" ht="18.75" customHeight="1" thickBot="1" x14ac:dyDescent="0.4">
      <c r="A91" s="105" t="s">
        <v>55</v>
      </c>
      <c r="B91" s="111"/>
      <c r="C91" s="80">
        <f>SUM(C81:C90)</f>
        <v>18</v>
      </c>
      <c r="D91" s="80">
        <f>SUM(D81:D90)</f>
        <v>20</v>
      </c>
      <c r="E91" s="80">
        <v>0</v>
      </c>
      <c r="F91" s="69">
        <f>SUM(F81:F90)</f>
        <v>2</v>
      </c>
      <c r="G91" s="54">
        <f>SUM(G81:G90)</f>
        <v>1</v>
      </c>
    </row>
    <row r="92" spans="1:7" ht="18.75" customHeight="1" x14ac:dyDescent="0.35">
      <c r="A92" s="106" t="s">
        <v>64</v>
      </c>
      <c r="B92" s="111"/>
      <c r="C92" s="70"/>
      <c r="D92" s="30"/>
      <c r="E92" s="30"/>
      <c r="F92" s="31"/>
      <c r="G92" s="31"/>
    </row>
    <row r="93" spans="1:7" ht="18.75" customHeight="1" x14ac:dyDescent="0.35">
      <c r="A93" s="94" t="s">
        <v>65</v>
      </c>
      <c r="B93" s="112" t="s">
        <v>802</v>
      </c>
      <c r="C93" s="5">
        <f>+IFERROR(VLOOKUP($A93,RAIZ!$A$3:$X$1500,MATCH('Suc. León'!$F$1,RAIZ!$A$2:$X$2,0),FALSE),0)</f>
        <v>3</v>
      </c>
      <c r="D93" s="4">
        <v>3</v>
      </c>
      <c r="E93" s="4"/>
      <c r="F93" s="5">
        <f t="shared" ref="F93:F104" si="16">IF(D93-C93&gt;=0,D93-C93,0)</f>
        <v>0</v>
      </c>
      <c r="G93" s="5"/>
    </row>
    <row r="94" spans="1:7" ht="18.75" customHeight="1" x14ac:dyDescent="0.35">
      <c r="A94" s="94" t="s">
        <v>66</v>
      </c>
      <c r="B94" s="112" t="s">
        <v>803</v>
      </c>
      <c r="C94" s="5">
        <f>+IFERROR(VLOOKUP($A94,RAIZ!$A$3:$X$1500,MATCH('Suc. León'!$F$1,RAIZ!$A$2:$X$2,0),FALSE),0)</f>
        <v>3</v>
      </c>
      <c r="D94" s="7">
        <v>2</v>
      </c>
      <c r="E94" s="4"/>
      <c r="F94" s="5">
        <f t="shared" si="16"/>
        <v>0</v>
      </c>
      <c r="G94" s="5"/>
    </row>
    <row r="95" spans="1:7" ht="18.75" customHeight="1" x14ac:dyDescent="0.35">
      <c r="A95" s="94" t="s">
        <v>68</v>
      </c>
      <c r="B95" s="112" t="s">
        <v>805</v>
      </c>
      <c r="C95" s="5">
        <f>+IFERROR(VLOOKUP($A95,RAIZ!$A$3:$X$1500,MATCH('Suc. León'!$F$1,RAIZ!$A$2:$X$2,0),FALSE),0)</f>
        <v>2</v>
      </c>
      <c r="D95" s="7">
        <v>2</v>
      </c>
      <c r="E95" s="4"/>
      <c r="F95" s="5">
        <f t="shared" si="16"/>
        <v>0</v>
      </c>
      <c r="G95" s="5"/>
    </row>
    <row r="96" spans="1:7" ht="18.75" customHeight="1" x14ac:dyDescent="0.35">
      <c r="A96" s="94" t="s">
        <v>69</v>
      </c>
      <c r="B96" s="112" t="s">
        <v>806</v>
      </c>
      <c r="C96" s="5">
        <f>+IFERROR(VLOOKUP($A96,RAIZ!$A$3:$X$1500,MATCH('Suc. León'!$F$1,RAIZ!$A$2:$X$2,0),FALSE),0)</f>
        <v>10</v>
      </c>
      <c r="D96" s="7">
        <v>10</v>
      </c>
      <c r="E96" s="4"/>
      <c r="F96" s="5">
        <f t="shared" si="16"/>
        <v>0</v>
      </c>
      <c r="G96" s="5"/>
    </row>
    <row r="97" spans="1:7" ht="18.75" customHeight="1" x14ac:dyDescent="0.35">
      <c r="A97" s="94" t="s">
        <v>70</v>
      </c>
      <c r="B97" s="112" t="s">
        <v>807</v>
      </c>
      <c r="C97" s="5">
        <f>+IFERROR(VLOOKUP($A97,RAIZ!$A$3:$X$1500,MATCH('Suc. León'!$F$1,RAIZ!$A$2:$X$2,0),FALSE),0)</f>
        <v>5</v>
      </c>
      <c r="D97" s="7">
        <v>6</v>
      </c>
      <c r="E97" s="4"/>
      <c r="F97" s="5">
        <f t="shared" si="16"/>
        <v>1</v>
      </c>
      <c r="G97" s="5">
        <v>1</v>
      </c>
    </row>
    <row r="98" spans="1:7" ht="18.75" customHeight="1" x14ac:dyDescent="0.35">
      <c r="A98" s="94" t="s">
        <v>857</v>
      </c>
      <c r="B98" s="112" t="s">
        <v>808</v>
      </c>
      <c r="C98" s="5">
        <f>+IFERROR(VLOOKUP($A98,RAIZ!$A$3:$X$1500,MATCH('Suc. León'!$F$1,RAIZ!$A$2:$X$2,0),FALSE),0)</f>
        <v>10</v>
      </c>
      <c r="D98" s="7">
        <v>4</v>
      </c>
      <c r="E98" s="202">
        <v>15</v>
      </c>
      <c r="F98" s="5">
        <f t="shared" si="16"/>
        <v>0</v>
      </c>
      <c r="G98" s="5"/>
    </row>
    <row r="99" spans="1:7" ht="18.75" customHeight="1" x14ac:dyDescent="0.35">
      <c r="A99" s="94" t="s">
        <v>835</v>
      </c>
      <c r="B99" s="112" t="s">
        <v>836</v>
      </c>
      <c r="C99" s="5">
        <f>+IFERROR(VLOOKUP($A99,RAIZ!$A$3:$X$1500,MATCH('Suc. León'!$F$1,RAIZ!$A$2:$X$2,0),FALSE),0)</f>
        <v>3</v>
      </c>
      <c r="D99" s="7">
        <v>3</v>
      </c>
      <c r="E99" s="4"/>
      <c r="F99" s="5">
        <f t="shared" ref="F99:F103" si="17">IF(D99-C99&gt;=0,D99-C99,0)</f>
        <v>0</v>
      </c>
      <c r="G99" s="5"/>
    </row>
    <row r="100" spans="1:7" ht="18.75" customHeight="1" x14ac:dyDescent="0.35">
      <c r="A100" s="94" t="s">
        <v>72</v>
      </c>
      <c r="B100" s="112" t="s">
        <v>834</v>
      </c>
      <c r="C100" s="5">
        <f>+IFERROR(VLOOKUP($A100,RAIZ!$A$3:$X$1500,MATCH('Suc. León'!$F$1,RAIZ!$A$2:$X$2,0),FALSE),0)</f>
        <v>28</v>
      </c>
      <c r="D100" s="7">
        <v>30</v>
      </c>
      <c r="E100" s="4">
        <v>30</v>
      </c>
      <c r="F100" s="5">
        <f t="shared" si="17"/>
        <v>2</v>
      </c>
      <c r="G100" s="5">
        <v>2</v>
      </c>
    </row>
    <row r="101" spans="1:7" ht="18.75" customHeight="1" x14ac:dyDescent="0.35">
      <c r="A101" s="94" t="s">
        <v>73</v>
      </c>
      <c r="B101" s="112" t="s">
        <v>809</v>
      </c>
      <c r="C101" s="5">
        <f>+IFERROR(VLOOKUP($A101,RAIZ!$A$3:$X$1500,MATCH('Suc. León'!$F$1,RAIZ!$A$2:$X$2,0),FALSE),0)</f>
        <v>2</v>
      </c>
      <c r="D101" s="7">
        <v>2</v>
      </c>
      <c r="E101" s="4"/>
      <c r="F101" s="5">
        <f t="shared" si="17"/>
        <v>0</v>
      </c>
      <c r="G101" s="5"/>
    </row>
    <row r="102" spans="1:7" ht="18.75" customHeight="1" x14ac:dyDescent="0.35">
      <c r="A102" s="94" t="s">
        <v>74</v>
      </c>
      <c r="B102" s="112" t="s">
        <v>810</v>
      </c>
      <c r="C102" s="5">
        <f>+IFERROR(VLOOKUP($A102,RAIZ!$A$3:$X$1500,MATCH('Suc. León'!$F$1,RAIZ!$A$2:$X$2,0),FALSE),0)</f>
        <v>3</v>
      </c>
      <c r="D102" s="7">
        <v>3</v>
      </c>
      <c r="E102" s="4"/>
      <c r="F102" s="5">
        <f t="shared" si="17"/>
        <v>0</v>
      </c>
      <c r="G102" s="5"/>
    </row>
    <row r="103" spans="1:7" ht="18.75" customHeight="1" x14ac:dyDescent="0.35">
      <c r="A103" s="94" t="s">
        <v>75</v>
      </c>
      <c r="B103" s="112" t="s">
        <v>811</v>
      </c>
      <c r="C103" s="5">
        <f>+IFERROR(VLOOKUP($A103,RAIZ!$A$3:$X$1500,MATCH('Suc. León'!$F$1,RAIZ!$A$2:$X$2,0),FALSE),0)</f>
        <v>1</v>
      </c>
      <c r="D103" s="20">
        <v>2</v>
      </c>
      <c r="E103" s="4"/>
      <c r="F103" s="5">
        <f t="shared" si="17"/>
        <v>1</v>
      </c>
      <c r="G103" s="5">
        <v>1</v>
      </c>
    </row>
    <row r="104" spans="1:7" ht="18.75" customHeight="1" thickBot="1" x14ac:dyDescent="0.4">
      <c r="A104" s="94"/>
      <c r="B104" s="112" t="s">
        <v>1096</v>
      </c>
      <c r="C104" s="5">
        <f>+IFERROR(VLOOKUP($A104,RAIZ!$A$3:$X$1500,MATCH('Suc. León'!$F$1,RAIZ!$A$2:$X$2,0),FALSE),0)</f>
        <v>0</v>
      </c>
      <c r="D104" s="7"/>
      <c r="E104" s="4"/>
      <c r="F104" s="5">
        <f t="shared" si="16"/>
        <v>0</v>
      </c>
      <c r="G104" s="5"/>
    </row>
    <row r="105" spans="1:7" ht="18.75" customHeight="1" thickBot="1" x14ac:dyDescent="0.4">
      <c r="A105" s="107" t="s">
        <v>55</v>
      </c>
      <c r="B105" s="111"/>
      <c r="C105" s="81">
        <f>SUM(C93:C104)</f>
        <v>70</v>
      </c>
      <c r="D105" s="81">
        <f>SUM(D93:D104)</f>
        <v>67</v>
      </c>
      <c r="E105" s="81">
        <v>0</v>
      </c>
      <c r="F105" s="71">
        <f>SUM(F93:F104)</f>
        <v>4</v>
      </c>
      <c r="G105" s="56">
        <f>SUM(G93:G104)</f>
        <v>4</v>
      </c>
    </row>
    <row r="106" spans="1:7" ht="18.75" customHeight="1" x14ac:dyDescent="0.35">
      <c r="A106" s="108" t="s">
        <v>76</v>
      </c>
      <c r="B106" s="111"/>
      <c r="C106" s="72"/>
      <c r="D106" s="34"/>
      <c r="E106" s="34"/>
      <c r="F106" s="35"/>
      <c r="G106" s="35"/>
    </row>
    <row r="107" spans="1:7" ht="18.75" customHeight="1" x14ac:dyDescent="0.35">
      <c r="A107" s="94" t="s">
        <v>77</v>
      </c>
      <c r="B107" s="112" t="s">
        <v>812</v>
      </c>
      <c r="C107" s="5">
        <f>+IFERROR(VLOOKUP($A107,RAIZ!$A$3:$X$1500,MATCH('Suc. León'!$F$1,RAIZ!$A$2:$X$2,0),FALSE),0)</f>
        <v>2</v>
      </c>
      <c r="D107" s="7">
        <v>2</v>
      </c>
      <c r="E107" s="4"/>
      <c r="F107" s="5">
        <f t="shared" ref="F107:F112" si="18">IF(D107-C107&gt;=0,D107-C107,0)</f>
        <v>0</v>
      </c>
      <c r="G107" s="5"/>
    </row>
    <row r="108" spans="1:7" ht="18.75" customHeight="1" x14ac:dyDescent="0.35">
      <c r="A108" s="94" t="s">
        <v>621</v>
      </c>
      <c r="B108" s="112" t="s">
        <v>813</v>
      </c>
      <c r="C108" s="5">
        <f>+IFERROR(VLOOKUP($A108,RAIZ!$A$3:$X$1500,MATCH('Suc. León'!$F$1,RAIZ!$A$2:$X$2,0),FALSE),0)</f>
        <v>1</v>
      </c>
      <c r="D108" s="7">
        <v>0</v>
      </c>
      <c r="E108" s="4"/>
      <c r="F108" s="5">
        <f t="shared" si="18"/>
        <v>0</v>
      </c>
      <c r="G108" s="5"/>
    </row>
    <row r="109" spans="1:7" ht="18.75" customHeight="1" x14ac:dyDescent="0.35">
      <c r="A109" s="94" t="s">
        <v>80</v>
      </c>
      <c r="B109" s="112" t="s">
        <v>815</v>
      </c>
      <c r="C109" s="5">
        <f>+IFERROR(VLOOKUP($A109,RAIZ!$A$3:$X$1500,MATCH('Suc. León'!$F$1,RAIZ!$A$2:$X$2,0),FALSE),0)</f>
        <v>48</v>
      </c>
      <c r="D109" s="7">
        <v>50</v>
      </c>
      <c r="E109" s="4"/>
      <c r="F109" s="5">
        <f t="shared" si="18"/>
        <v>2</v>
      </c>
      <c r="G109" s="5">
        <v>2</v>
      </c>
    </row>
    <row r="110" spans="1:7" ht="18.75" customHeight="1" x14ac:dyDescent="0.35">
      <c r="A110" s="94" t="s">
        <v>81</v>
      </c>
      <c r="B110" s="112" t="s">
        <v>816</v>
      </c>
      <c r="C110" s="5">
        <f>+IFERROR(VLOOKUP($A110,RAIZ!$A$3:$X$1500,MATCH('Suc. León'!$F$1,RAIZ!$A$2:$X$2,0),FALSE),0)</f>
        <v>50</v>
      </c>
      <c r="D110" s="7">
        <v>50</v>
      </c>
      <c r="E110" s="4"/>
      <c r="F110" s="5">
        <f t="shared" si="18"/>
        <v>0</v>
      </c>
      <c r="G110" s="5"/>
    </row>
    <row r="111" spans="1:7" ht="18.75" customHeight="1" x14ac:dyDescent="0.35">
      <c r="A111" s="95" t="s">
        <v>83</v>
      </c>
      <c r="B111" s="112" t="s">
        <v>818</v>
      </c>
      <c r="C111" s="5">
        <f>+IFERROR(VLOOKUP($A111,RAIZ!$A$3:$X$1500,MATCH('Suc. León'!$F$1,RAIZ!$A$2:$X$2,0),FALSE),0)</f>
        <v>2</v>
      </c>
      <c r="D111" s="20">
        <v>2</v>
      </c>
      <c r="E111" s="4"/>
      <c r="F111" s="5">
        <f t="shared" si="18"/>
        <v>0</v>
      </c>
      <c r="G111" s="5"/>
    </row>
    <row r="112" spans="1:7" ht="18.75" customHeight="1" thickBot="1" x14ac:dyDescent="0.4">
      <c r="A112" s="95"/>
      <c r="B112" s="112"/>
      <c r="C112" s="5">
        <f>+IFERROR(VLOOKUP($A112,RAIZ!$A$3:$X$1500,MATCH('Suc. León'!$F$1,RAIZ!$A$2:$X$2,0),FALSE),0)</f>
        <v>0</v>
      </c>
      <c r="D112" s="20"/>
      <c r="E112" s="4"/>
      <c r="F112" s="5">
        <f t="shared" si="18"/>
        <v>0</v>
      </c>
      <c r="G112" s="5"/>
    </row>
    <row r="113" spans="1:7" ht="18.75" customHeight="1" thickBot="1" x14ac:dyDescent="0.4">
      <c r="A113" s="109" t="s">
        <v>55</v>
      </c>
      <c r="B113" s="111"/>
      <c r="C113" s="82">
        <f>SUM(C107:C112,C114:C116)</f>
        <v>114</v>
      </c>
      <c r="D113" s="82">
        <f>SUM(D107:D112,D114:D116)</f>
        <v>116</v>
      </c>
      <c r="E113" s="82">
        <v>0</v>
      </c>
      <c r="F113" s="73">
        <f>SUM(F107:F112,F114:F116)</f>
        <v>3</v>
      </c>
      <c r="G113" s="58">
        <f>SUM(G107:G112,G114:G116)</f>
        <v>2</v>
      </c>
    </row>
    <row r="114" spans="1:7" ht="18.75" customHeight="1" x14ac:dyDescent="0.35">
      <c r="A114" s="93" t="s">
        <v>84</v>
      </c>
      <c r="B114" s="112" t="s">
        <v>819</v>
      </c>
      <c r="C114" s="5">
        <f>+IFERROR(VLOOKUP($A114,RAIZ!$A$3:$X$1500,MATCH('Suc. León'!$F$1,RAIZ!$A$2:$X$2,0),FALSE),0)</f>
        <v>4</v>
      </c>
      <c r="D114" s="4">
        <v>4</v>
      </c>
      <c r="E114" s="4"/>
      <c r="F114" s="5">
        <f t="shared" ref="F114" si="19">IF(D114-C114&gt;=0,D114-C114,0)</f>
        <v>0</v>
      </c>
      <c r="G114" s="5"/>
    </row>
    <row r="115" spans="1:7" ht="18.75" customHeight="1" x14ac:dyDescent="0.35">
      <c r="A115" s="95" t="s">
        <v>85</v>
      </c>
      <c r="B115" s="112" t="s">
        <v>820</v>
      </c>
      <c r="C115" s="5">
        <f>+IFERROR(VLOOKUP($A115,RAIZ!$A$3:$X$1500,MATCH('Suc. León'!$F$1,RAIZ!$A$2:$X$2,0),FALSE),0)</f>
        <v>4</v>
      </c>
      <c r="D115" s="20">
        <v>4</v>
      </c>
      <c r="E115" s="4"/>
      <c r="F115" s="5">
        <f t="shared" ref="F115:F141" si="20">IF(D115-C115&gt;=0,D115-C115,0)</f>
        <v>0</v>
      </c>
      <c r="G115" s="5"/>
    </row>
    <row r="116" spans="1:7" ht="18.75" customHeight="1" thickBot="1" x14ac:dyDescent="0.4">
      <c r="A116" s="95" t="s">
        <v>881</v>
      </c>
      <c r="B116" s="112" t="s">
        <v>882</v>
      </c>
      <c r="C116" s="5">
        <f>+IFERROR(VLOOKUP($A116,RAIZ!$A$3:$X$1500,MATCH('Suc. León'!$F$1,RAIZ!$A$2:$X$2,0),FALSE),0)</f>
        <v>3</v>
      </c>
      <c r="D116" s="20">
        <v>4</v>
      </c>
      <c r="E116" s="4"/>
      <c r="F116" s="5">
        <f t="shared" si="20"/>
        <v>1</v>
      </c>
      <c r="G116" s="5"/>
    </row>
    <row r="117" spans="1:7" ht="18.75" customHeight="1" thickBot="1" x14ac:dyDescent="0.4">
      <c r="A117" s="110" t="s">
        <v>86</v>
      </c>
      <c r="B117" s="111"/>
      <c r="C117" s="83">
        <f>C79+C91+C105+C113</f>
        <v>312</v>
      </c>
      <c r="D117" s="60">
        <f>D79+D91+D105+D113</f>
        <v>330</v>
      </c>
      <c r="E117" s="60">
        <v>0</v>
      </c>
      <c r="F117" s="74">
        <f>F79+F91+F105+F113</f>
        <v>27</v>
      </c>
      <c r="G117" s="60">
        <f>G79+G91+G105+G113</f>
        <v>19</v>
      </c>
    </row>
    <row r="118" spans="1:7" ht="18.75" customHeight="1" x14ac:dyDescent="0.35">
      <c r="A118" s="95" t="s">
        <v>975</v>
      </c>
      <c r="B118" s="112" t="s">
        <v>976</v>
      </c>
      <c r="C118" s="5">
        <f>+IFERROR(VLOOKUP($A118,RAIZ!$A$3:$X$1500,MATCH('Suc. León'!$F$1,RAIZ!$A$2:$X$2,0),FALSE),0)</f>
        <v>2</v>
      </c>
      <c r="D118" s="20">
        <v>4</v>
      </c>
      <c r="E118" s="4"/>
      <c r="F118" s="5">
        <f t="shared" si="20"/>
        <v>2</v>
      </c>
      <c r="G118" s="5">
        <v>1</v>
      </c>
    </row>
    <row r="119" spans="1:7" ht="18.75" customHeight="1" x14ac:dyDescent="0.35">
      <c r="A119" s="95" t="s">
        <v>974</v>
      </c>
      <c r="B119" s="112" t="s">
        <v>977</v>
      </c>
      <c r="C119" s="5">
        <f>+IFERROR(VLOOKUP($A119,RAIZ!$A$3:$X$1500,MATCH('Suc. León'!$F$1,RAIZ!$A$2:$X$2,0),FALSE),0)</f>
        <v>4</v>
      </c>
      <c r="D119" s="20">
        <v>4</v>
      </c>
      <c r="E119" s="4"/>
      <c r="F119" s="5">
        <f t="shared" si="20"/>
        <v>0</v>
      </c>
      <c r="G119" s="5"/>
    </row>
    <row r="120" spans="1:7" ht="18.75" customHeight="1" thickBot="1" x14ac:dyDescent="0.4">
      <c r="A120" s="95" t="s">
        <v>1077</v>
      </c>
      <c r="B120" s="112" t="s">
        <v>817</v>
      </c>
      <c r="C120" s="5">
        <f>+IFERROR(VLOOKUP($A120,RAIZ!$A$3:$X$1500,MATCH('Suc. León'!$F$1,RAIZ!$A$2:$X$2,0),FALSE),0)</f>
        <v>0</v>
      </c>
      <c r="D120" s="20"/>
      <c r="E120" s="4"/>
      <c r="F120" s="5">
        <f t="shared" si="20"/>
        <v>0</v>
      </c>
      <c r="G120" s="5"/>
    </row>
    <row r="121" spans="1:7" ht="18.75" customHeight="1" thickBot="1" x14ac:dyDescent="0.4">
      <c r="A121" s="95" t="s">
        <v>1076</v>
      </c>
      <c r="B121" s="194" t="s">
        <v>1121</v>
      </c>
      <c r="C121" s="5">
        <f>+IFERROR(VLOOKUP($A121,RAIZ!$A$3:$X$1500,MATCH('Suc. León'!$F$1,RAIZ!$A$2:$X$2,0),FALSE),0)</f>
        <v>0</v>
      </c>
      <c r="D121" s="20"/>
      <c r="E121" s="4"/>
      <c r="F121" s="5">
        <f t="shared" si="20"/>
        <v>0</v>
      </c>
      <c r="G121" s="5"/>
    </row>
    <row r="122" spans="1:7" ht="18.75" customHeight="1" thickBot="1" x14ac:dyDescent="0.4">
      <c r="A122" s="95" t="s">
        <v>1014</v>
      </c>
      <c r="B122" s="194" t="s">
        <v>1010</v>
      </c>
      <c r="C122" s="5">
        <f>+IFERROR(VLOOKUP($A122,RAIZ!$A$3:$X$1500,MATCH('Suc. León'!$F$1,RAIZ!$A$2:$X$2,0),FALSE),0)</f>
        <v>11</v>
      </c>
      <c r="D122" s="20">
        <v>10</v>
      </c>
      <c r="E122" s="4"/>
      <c r="F122" s="5">
        <f t="shared" si="20"/>
        <v>0</v>
      </c>
      <c r="G122" s="5"/>
    </row>
    <row r="123" spans="1:7" ht="18.75" customHeight="1" thickBot="1" x14ac:dyDescent="0.4">
      <c r="A123" s="95" t="s">
        <v>1015</v>
      </c>
      <c r="B123" s="194" t="s">
        <v>1011</v>
      </c>
      <c r="C123" s="147">
        <f>+IFERROR(VLOOKUP($A123,RAIZ!$A$3:$X$1500,MATCH('Suc. León'!$F$1,RAIZ!$A$2:$X$2,0),FALSE),0)</f>
        <v>12</v>
      </c>
      <c r="D123" s="20">
        <v>10</v>
      </c>
      <c r="E123" s="4"/>
      <c r="F123" s="5">
        <f t="shared" si="20"/>
        <v>0</v>
      </c>
      <c r="G123" s="5"/>
    </row>
    <row r="124" spans="1:7" ht="18.75" customHeight="1" thickBot="1" x14ac:dyDescent="0.4">
      <c r="A124" s="95" t="s">
        <v>1016</v>
      </c>
      <c r="B124" s="194" t="s">
        <v>1012</v>
      </c>
      <c r="C124" s="147">
        <f>+IFERROR(VLOOKUP($A124,RAIZ!$A$3:$X$1500,MATCH('Suc. León'!$F$1,RAIZ!$A$2:$X$2,0),FALSE),0)</f>
        <v>10</v>
      </c>
      <c r="D124" s="20">
        <v>10</v>
      </c>
      <c r="E124" s="4"/>
      <c r="F124" s="5">
        <f t="shared" si="20"/>
        <v>0</v>
      </c>
      <c r="G124" s="5"/>
    </row>
    <row r="125" spans="1:7" ht="18.75" customHeight="1" thickBot="1" x14ac:dyDescent="0.4">
      <c r="A125" s="95" t="s">
        <v>1017</v>
      </c>
      <c r="B125" s="194" t="s">
        <v>1013</v>
      </c>
      <c r="C125" s="147">
        <f>+IFERROR(VLOOKUP($A125,RAIZ!$A$3:$X$1500,MATCH('Suc. León'!$F$1,RAIZ!$A$2:$X$2,0),FALSE),0)</f>
        <v>10</v>
      </c>
      <c r="D125" s="18">
        <v>10</v>
      </c>
      <c r="E125" s="4"/>
      <c r="F125" s="5">
        <f t="shared" si="20"/>
        <v>0</v>
      </c>
      <c r="G125" s="5"/>
    </row>
    <row r="126" spans="1:7" ht="18.75" customHeight="1" thickBot="1" x14ac:dyDescent="0.4">
      <c r="A126" s="95" t="s">
        <v>1125</v>
      </c>
      <c r="B126" s="194" t="s">
        <v>1127</v>
      </c>
      <c r="C126" s="147">
        <f>+IFERROR(VLOOKUP($A126,RAIZ!$A$3:$X$1500,MATCH('Suc. León'!$F$1,RAIZ!$A$2:$X$2,0),FALSE),0)</f>
        <v>0</v>
      </c>
      <c r="D126" s="20"/>
      <c r="E126" s="4"/>
      <c r="F126" s="5">
        <f t="shared" si="20"/>
        <v>0</v>
      </c>
      <c r="G126" s="5"/>
    </row>
    <row r="127" spans="1:7" ht="18.75" customHeight="1" thickBot="1" x14ac:dyDescent="0.4">
      <c r="A127" s="95" t="s">
        <v>1126</v>
      </c>
      <c r="B127" s="194" t="s">
        <v>1128</v>
      </c>
      <c r="C127" s="147">
        <f>+IFERROR(VLOOKUP($A127,RAIZ!$A$3:$X$1500,MATCH('Suc. León'!$F$1,RAIZ!$A$2:$X$2,0),FALSE),0)</f>
        <v>0</v>
      </c>
      <c r="D127" s="18"/>
      <c r="E127" s="18"/>
      <c r="F127" s="184">
        <f t="shared" si="20"/>
        <v>0</v>
      </c>
      <c r="G127" s="181"/>
    </row>
    <row r="128" spans="1:7" ht="18.75" customHeight="1" thickBot="1" x14ac:dyDescent="0.4">
      <c r="A128" s="95" t="s">
        <v>568</v>
      </c>
      <c r="B128" s="194" t="s">
        <v>1131</v>
      </c>
      <c r="C128" s="186">
        <f>+IFERROR(VLOOKUP($A128,RAIZ!$A$3:$X$1500,MATCH('Suc. León'!$F$1,RAIZ!$A$2:$X$2,0),FALSE),0)</f>
        <v>3</v>
      </c>
      <c r="D128" s="18">
        <v>3</v>
      </c>
      <c r="E128" s="14"/>
      <c r="F128" s="185">
        <f t="shared" si="20"/>
        <v>0</v>
      </c>
      <c r="G128" s="185"/>
    </row>
    <row r="129" spans="1:7" ht="18.75" customHeight="1" thickBot="1" x14ac:dyDescent="0.4">
      <c r="A129" s="95" t="s">
        <v>565</v>
      </c>
      <c r="B129" s="194" t="s">
        <v>1142</v>
      </c>
      <c r="C129" s="187">
        <f>+IFERROR(VLOOKUP($A129,RAIZ!$A$3:$X$1500,MATCH('Suc. León'!$F$1,RAIZ!$A$2:$X$2,0),FALSE),0)</f>
        <v>2</v>
      </c>
      <c r="D129" s="18">
        <v>2</v>
      </c>
      <c r="E129" s="14"/>
      <c r="F129" s="185">
        <f t="shared" si="20"/>
        <v>0</v>
      </c>
      <c r="G129" s="185"/>
    </row>
    <row r="130" spans="1:7" ht="18.75" customHeight="1" thickBot="1" x14ac:dyDescent="0.4">
      <c r="A130" s="95" t="s">
        <v>912</v>
      </c>
      <c r="B130" s="194" t="s">
        <v>1136</v>
      </c>
      <c r="C130" s="187">
        <f>+IFERROR(VLOOKUP($A130,RAIZ!$A$3:$X$1500,MATCH('Suc. León'!$F$1,RAIZ!$A$2:$X$2,0),FALSE),0)</f>
        <v>0</v>
      </c>
      <c r="D130" s="18">
        <v>2</v>
      </c>
      <c r="E130" s="14"/>
      <c r="F130" s="185">
        <f t="shared" si="20"/>
        <v>2</v>
      </c>
      <c r="G130" s="185">
        <v>2</v>
      </c>
    </row>
    <row r="131" spans="1:7" ht="18.75" customHeight="1" thickBot="1" x14ac:dyDescent="0.4">
      <c r="A131" s="95" t="s">
        <v>557</v>
      </c>
      <c r="B131" s="194" t="s">
        <v>1137</v>
      </c>
      <c r="C131" s="187">
        <f>+IFERROR(VLOOKUP($A131,RAIZ!$A$3:$X$1500,MATCH('Suc. León'!$F$1,RAIZ!$A$2:$X$2,0),FALSE),0)</f>
        <v>0</v>
      </c>
      <c r="D131" s="18">
        <v>2</v>
      </c>
      <c r="E131" s="14"/>
      <c r="F131" s="185">
        <f t="shared" si="20"/>
        <v>2</v>
      </c>
      <c r="G131" s="185">
        <v>2</v>
      </c>
    </row>
    <row r="132" spans="1:7" ht="18.75" customHeight="1" thickBot="1" x14ac:dyDescent="0.4">
      <c r="A132" s="95" t="s">
        <v>573</v>
      </c>
      <c r="B132" s="194" t="s">
        <v>1138</v>
      </c>
      <c r="C132" s="187">
        <f>+IFERROR(VLOOKUP($A132,RAIZ!$A$3:$X$1500,MATCH('Suc. León'!$F$1,RAIZ!$A$2:$X$2,0),FALSE),0)</f>
        <v>2</v>
      </c>
      <c r="D132" s="18">
        <v>1</v>
      </c>
      <c r="E132" s="14"/>
      <c r="F132" s="185">
        <f t="shared" si="20"/>
        <v>0</v>
      </c>
      <c r="G132" s="185"/>
    </row>
    <row r="133" spans="1:7" ht="18.75" customHeight="1" thickBot="1" x14ac:dyDescent="0.4">
      <c r="A133" s="95" t="s">
        <v>421</v>
      </c>
      <c r="B133" s="194" t="s">
        <v>1140</v>
      </c>
      <c r="C133" s="187">
        <f>+IFERROR(VLOOKUP($A133,RAIZ!$A$3:$X$1500,MATCH('Suc. León'!$F$1,RAIZ!$A$2:$X$2,0),FALSE),0)</f>
        <v>1</v>
      </c>
      <c r="D133" s="18">
        <v>2</v>
      </c>
      <c r="E133" s="14"/>
      <c r="F133" s="185">
        <f t="shared" si="20"/>
        <v>1</v>
      </c>
      <c r="G133" s="185">
        <v>1</v>
      </c>
    </row>
    <row r="134" spans="1:7" ht="18.75" customHeight="1" thickBot="1" x14ac:dyDescent="0.4">
      <c r="A134" s="95" t="s">
        <v>249</v>
      </c>
      <c r="B134" s="194" t="s">
        <v>1134</v>
      </c>
      <c r="C134" s="187">
        <f>+IFERROR(VLOOKUP($A134,RAIZ!$A$3:$X$1500,MATCH('Suc. León'!$F$1,RAIZ!$A$2:$X$2,0),FALSE),0)</f>
        <v>0</v>
      </c>
      <c r="D134" s="18">
        <v>2</v>
      </c>
      <c r="E134" s="14"/>
      <c r="F134" s="185">
        <f t="shared" si="20"/>
        <v>2</v>
      </c>
      <c r="G134" s="185"/>
    </row>
    <row r="135" spans="1:7" ht="18.75" customHeight="1" thickBot="1" x14ac:dyDescent="0.4">
      <c r="A135" s="95" t="s">
        <v>1030</v>
      </c>
      <c r="B135" s="194" t="s">
        <v>1143</v>
      </c>
      <c r="C135" s="187">
        <f>+IFERROR(VLOOKUP($A135,RAIZ!$A$3:$X$1500,MATCH('Suc. León'!$F$1,RAIZ!$A$2:$X$2,0),FALSE),0)</f>
        <v>0</v>
      </c>
      <c r="D135" s="18">
        <v>6</v>
      </c>
      <c r="E135" s="14"/>
      <c r="F135" s="185">
        <f t="shared" si="20"/>
        <v>6</v>
      </c>
      <c r="G135" s="185"/>
    </row>
    <row r="136" spans="1:7" ht="18.75" customHeight="1" thickBot="1" x14ac:dyDescent="0.4">
      <c r="A136" s="95" t="s">
        <v>253</v>
      </c>
      <c r="B136" s="194" t="s">
        <v>1135</v>
      </c>
      <c r="C136" s="187">
        <f>+IFERROR(VLOOKUP($A136,RAIZ!$A$3:$X$1500,MATCH('Suc. León'!$F$1,RAIZ!$A$2:$X$2,0),FALSE),0)</f>
        <v>6</v>
      </c>
      <c r="D136" s="18">
        <v>2</v>
      </c>
      <c r="E136" s="14"/>
      <c r="F136" s="185">
        <f t="shared" si="20"/>
        <v>0</v>
      </c>
      <c r="G136" s="185"/>
    </row>
    <row r="137" spans="1:7" ht="18.75" customHeight="1" thickBot="1" x14ac:dyDescent="0.4">
      <c r="A137" s="95" t="s">
        <v>240</v>
      </c>
      <c r="B137" s="194" t="s">
        <v>1139</v>
      </c>
      <c r="C137" s="187">
        <f>+IFERROR(VLOOKUP($A137,RAIZ!$A$3:$X$1500,MATCH('Suc. León'!$F$1,RAIZ!$A$2:$X$2,0),FALSE),0)</f>
        <v>0</v>
      </c>
      <c r="D137" s="18">
        <v>0</v>
      </c>
      <c r="E137" s="14"/>
      <c r="F137" s="185">
        <f t="shared" si="20"/>
        <v>0</v>
      </c>
      <c r="G137" s="185"/>
    </row>
    <row r="138" spans="1:7" ht="18.75" customHeight="1" thickBot="1" x14ac:dyDescent="0.4">
      <c r="A138" s="95" t="s">
        <v>204</v>
      </c>
      <c r="B138" s="194" t="s">
        <v>1106</v>
      </c>
      <c r="C138" s="187">
        <f>+IFERROR(VLOOKUP($A138,RAIZ!$A$3:$X$1500,MATCH('Suc. León'!$F$1,RAIZ!$A$2:$X$2,0),FALSE),0)</f>
        <v>0</v>
      </c>
      <c r="D138" s="18">
        <v>0</v>
      </c>
      <c r="E138" s="14"/>
      <c r="F138" s="185">
        <f t="shared" si="20"/>
        <v>0</v>
      </c>
      <c r="G138" s="185"/>
    </row>
    <row r="139" spans="1:7" ht="18.75" customHeight="1" thickBot="1" x14ac:dyDescent="0.4">
      <c r="A139" s="95" t="s">
        <v>1132</v>
      </c>
      <c r="B139" s="194" t="s">
        <v>1141</v>
      </c>
      <c r="C139" s="187">
        <f>+IFERROR(VLOOKUP($A139,RAIZ!$A$3:$X$1500,MATCH('Suc. León'!$F$1,RAIZ!$A$2:$X$2,0),FALSE),0)</f>
        <v>1</v>
      </c>
      <c r="D139" s="18">
        <v>1</v>
      </c>
      <c r="E139" s="14"/>
      <c r="F139" s="185">
        <f t="shared" si="20"/>
        <v>0</v>
      </c>
      <c r="G139" s="185"/>
    </row>
    <row r="140" spans="1:7" ht="18.75" customHeight="1" thickBot="1" x14ac:dyDescent="0.4">
      <c r="A140" s="95" t="s">
        <v>914</v>
      </c>
      <c r="B140" s="194" t="s">
        <v>1133</v>
      </c>
      <c r="C140" s="187">
        <f>+IFERROR(VLOOKUP($A140,RAIZ!$A$3:$X$1500,MATCH('Suc. León'!$F$1,RAIZ!$A$2:$X$2,0),FALSE),0)</f>
        <v>1</v>
      </c>
      <c r="D140" s="18">
        <v>1</v>
      </c>
      <c r="E140" s="14"/>
      <c r="F140" s="185">
        <f t="shared" si="20"/>
        <v>0</v>
      </c>
      <c r="G140" s="185"/>
    </row>
    <row r="141" spans="1:7" ht="18.75" customHeight="1" thickBot="1" x14ac:dyDescent="0.4">
      <c r="A141" s="243" t="s">
        <v>1120</v>
      </c>
      <c r="B141" s="194" t="s">
        <v>1159</v>
      </c>
      <c r="C141" s="187">
        <f>+IFERROR(VLOOKUP($A141,RAIZ!$A$3:$X$1500,MATCH('Suc. León'!$F$1,RAIZ!$A$2:$X$2,0),FALSE),0)</f>
        <v>0</v>
      </c>
      <c r="D141" s="18"/>
      <c r="E141" s="14"/>
      <c r="F141" s="185">
        <f t="shared" si="20"/>
        <v>0</v>
      </c>
      <c r="G141" s="185"/>
    </row>
    <row r="142" spans="1:7" ht="18.75" customHeight="1" thickBot="1" x14ac:dyDescent="0.4">
      <c r="A142" s="95"/>
      <c r="B142" s="194"/>
      <c r="C142" s="187">
        <f>+IFERROR(VLOOKUP($A142,RAIZ!$A$3:$X$1500,MATCH('Suc. León'!$F$1,RAIZ!$A$2:$X$2,0),FALSE),0)</f>
        <v>0</v>
      </c>
      <c r="D142" s="18"/>
      <c r="E142" s="14"/>
      <c r="F142" s="185"/>
      <c r="G142" s="185"/>
    </row>
    <row r="143" spans="1:7" ht="18.75" customHeight="1" thickBot="1" x14ac:dyDescent="0.4">
      <c r="A143" s="95"/>
      <c r="B143" s="193"/>
      <c r="C143" s="187">
        <f>+IFERROR(VLOOKUP($A143,RAIZ!$A$3:$X$1500,MATCH('Suc. León'!$F$1,RAIZ!$A$2:$X$2,0),FALSE),0)</f>
        <v>0</v>
      </c>
      <c r="D143" s="18"/>
      <c r="E143" s="14"/>
      <c r="F143" s="185"/>
      <c r="G143" s="185"/>
    </row>
    <row r="144" spans="1:7" ht="18.75" customHeight="1" thickBot="1" x14ac:dyDescent="0.4">
      <c r="A144" s="95"/>
      <c r="B144" s="194"/>
      <c r="C144" s="187">
        <f>+IFERROR(VLOOKUP($A144,RAIZ!$A$3:$X$1500,MATCH('Suc. León'!$F$1,RAIZ!$A$2:$X$2,0),FALSE),0)</f>
        <v>0</v>
      </c>
      <c r="D144" s="18"/>
      <c r="E144" s="14"/>
      <c r="F144" s="185"/>
      <c r="G144" s="185"/>
    </row>
    <row r="145" spans="1:7" ht="18.75" customHeight="1" thickBot="1" x14ac:dyDescent="0.4">
      <c r="A145" s="95"/>
      <c r="B145" s="192"/>
      <c r="C145" s="187">
        <f>+IFERROR(VLOOKUP($A145,RAIZ!$A$3:$X$1500,MATCH('Suc. León'!$F$1,RAIZ!$A$2:$X$2,0),FALSE),0)</f>
        <v>0</v>
      </c>
      <c r="D145" s="18"/>
      <c r="E145" s="14"/>
      <c r="F145" s="185"/>
      <c r="G145" s="185"/>
    </row>
    <row r="146" spans="1:7" ht="18.75" customHeight="1" thickBot="1" x14ac:dyDescent="0.4">
      <c r="A146" s="95"/>
      <c r="B146" s="194"/>
      <c r="C146" s="187">
        <f>+IFERROR(VLOOKUP($A146,RAIZ!$A$3:$X$1500,MATCH('Suc. León'!$F$1,RAIZ!$A$2:$X$2,0),FALSE),0)</f>
        <v>0</v>
      </c>
      <c r="D146" s="18"/>
      <c r="E146" s="14"/>
      <c r="F146" s="185"/>
      <c r="G146" s="185"/>
    </row>
    <row r="147" spans="1:7" ht="18.75" customHeight="1" thickBot="1" x14ac:dyDescent="0.4">
      <c r="A147" s="95"/>
      <c r="B147" s="193"/>
      <c r="C147" s="187">
        <f>+IFERROR(VLOOKUP($A147,RAIZ!$A$3:$X$1500,MATCH('Suc. León'!$F$1,RAIZ!$A$2:$X$2,0),FALSE),0)</f>
        <v>0</v>
      </c>
      <c r="D147" s="14"/>
      <c r="E147" s="14"/>
      <c r="F147" s="185"/>
      <c r="G147" s="185"/>
    </row>
    <row r="148" spans="1:7" ht="18.75" customHeight="1" thickBot="1" x14ac:dyDescent="0.4">
      <c r="A148" s="95"/>
      <c r="B148" s="193"/>
      <c r="C148" s="188">
        <f>+IFERROR(VLOOKUP($A148,RAIZ!$A$3:$X$1500,MATCH('Suc. León'!$F$1,RAIZ!$A$2:$X$2,0),FALSE),0)</f>
        <v>0</v>
      </c>
      <c r="D148" s="14"/>
      <c r="E148" s="14"/>
      <c r="F148" s="185"/>
      <c r="G148" s="185"/>
    </row>
    <row r="149" spans="1:7" ht="18.75" customHeight="1" thickBot="1" x14ac:dyDescent="0.4">
      <c r="A149" s="173"/>
      <c r="B149" s="109"/>
      <c r="C149" s="182">
        <f>SUM(C118:C127,)</f>
        <v>49</v>
      </c>
      <c r="D149" s="182">
        <f>SUM(D118:D127,)</f>
        <v>48</v>
      </c>
      <c r="E149" s="182">
        <f>SUM(E118:E127,)</f>
        <v>0</v>
      </c>
      <c r="F149" s="182">
        <f>SUM(F118:F127,)</f>
        <v>2</v>
      </c>
      <c r="G149" s="182">
        <f>SUM(G118:G148,)</f>
        <v>6</v>
      </c>
    </row>
    <row r="150" spans="1:7" ht="18.75" customHeight="1" thickBot="1" x14ac:dyDescent="0.4">
      <c r="A150" s="110" t="s">
        <v>86</v>
      </c>
      <c r="B150" s="111"/>
      <c r="C150" s="83">
        <f>C149+C117</f>
        <v>361</v>
      </c>
      <c r="D150" s="83">
        <f>D149+D117</f>
        <v>378</v>
      </c>
      <c r="E150" s="83">
        <f>E149+E117</f>
        <v>0</v>
      </c>
      <c r="F150" s="83">
        <f>F149+F117</f>
        <v>29</v>
      </c>
      <c r="G150" s="83">
        <f>G149+G117</f>
        <v>25</v>
      </c>
    </row>
  </sheetData>
  <mergeCells count="2">
    <mergeCell ref="E56:E57"/>
    <mergeCell ref="E58:E6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C69FDDB-1104-438F-868A-8CD2B140376F}">
          <x14:formula1>
            <xm:f>Hoja1!$C$2:$C$9</xm:f>
          </x14:formula1>
          <xm:sqref>H2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7ADF2-77B2-4971-A8F9-AF02E6776F97}">
  <sheetPr codeName="Hoja18" filterMode="1">
    <tabColor rgb="FF00B050"/>
  </sheetPr>
  <dimension ref="A1:H150"/>
  <sheetViews>
    <sheetView zoomScale="80" zoomScaleNormal="80" workbookViewId="0">
      <pane xSplit="2" ySplit="2" topLeftCell="G85" activePane="bottomRight" state="frozen"/>
      <selection activeCell="I134" sqref="I134"/>
      <selection pane="topRight" activeCell="I134" sqref="I134"/>
      <selection pane="bottomLeft" activeCell="I134" sqref="I134"/>
      <selection pane="bottomRight" activeCell="G118" sqref="G118"/>
    </sheetView>
  </sheetViews>
  <sheetFormatPr baseColWidth="10" defaultRowHeight="18" x14ac:dyDescent="0.35"/>
  <cols>
    <col min="1" max="1" width="55.6640625" customWidth="1"/>
    <col min="2" max="2" width="7.6640625" style="91" bestFit="1" customWidth="1"/>
    <col min="3" max="3" width="14" bestFit="1" customWidth="1"/>
    <col min="4" max="5" width="15" style="84" customWidth="1"/>
    <col min="6" max="6" width="14.5546875" customWidth="1"/>
  </cols>
  <sheetData>
    <row r="1" spans="1:8" ht="18.600000000000001" thickBot="1" x14ac:dyDescent="0.4">
      <c r="A1" s="1">
        <f>RAIZ!B1</f>
        <v>46301</v>
      </c>
      <c r="C1" s="2"/>
      <c r="D1" s="2" t="s">
        <v>702</v>
      </c>
      <c r="E1" s="2"/>
      <c r="F1" s="2" t="s">
        <v>104</v>
      </c>
      <c r="H1" t="s">
        <v>742</v>
      </c>
    </row>
    <row r="2" spans="1:8" ht="31.8" thickBot="1" x14ac:dyDescent="0.35">
      <c r="A2" s="90" t="s">
        <v>0</v>
      </c>
      <c r="B2" s="92" t="s">
        <v>755</v>
      </c>
      <c r="C2" s="39" t="s">
        <v>703</v>
      </c>
      <c r="D2" s="40" t="s">
        <v>704</v>
      </c>
      <c r="E2" s="88" t="s">
        <v>726</v>
      </c>
      <c r="F2" s="41" t="s">
        <v>705</v>
      </c>
      <c r="G2" s="62" t="s">
        <v>725</v>
      </c>
      <c r="H2" s="87"/>
    </row>
    <row r="3" spans="1:8" ht="18.75" customHeight="1" x14ac:dyDescent="0.35">
      <c r="A3" s="93" t="s">
        <v>1</v>
      </c>
      <c r="B3" s="112" t="s">
        <v>756</v>
      </c>
      <c r="C3" s="5">
        <f>+IFERROR(VLOOKUP($A3,RAIZ!$A$3:$X$1500,MATCH('Suc. Vistas'!$F$1,RAIZ!$A$2:$X$2,0),FALSE),0)</f>
        <v>1</v>
      </c>
      <c r="D3" s="4">
        <v>2</v>
      </c>
      <c r="E3" s="5"/>
      <c r="F3" s="5">
        <f>IF(D3-C3&gt;=0,D3-C3,0)</f>
        <v>1</v>
      </c>
      <c r="G3" s="5">
        <v>1</v>
      </c>
    </row>
    <row r="4" spans="1:8" ht="18.75" hidden="1" customHeight="1" x14ac:dyDescent="0.35">
      <c r="A4" s="93" t="s">
        <v>2</v>
      </c>
      <c r="B4" s="112" t="s">
        <v>865</v>
      </c>
      <c r="C4" s="5">
        <f>+IFERROR(VLOOKUP($A4,RAIZ!$A$3:$X$1500,MATCH('Suc. Vistas'!$F$1,RAIZ!$A$2:$X$2,0),FALSE),0)</f>
        <v>2</v>
      </c>
      <c r="D4" s="4">
        <v>2</v>
      </c>
      <c r="E4" s="5"/>
      <c r="F4" s="5">
        <f>IF(D4-C4&gt;=0,D4-C4,0)</f>
        <v>0</v>
      </c>
      <c r="G4" s="5"/>
    </row>
    <row r="5" spans="1:8" ht="18.75" hidden="1" customHeight="1" x14ac:dyDescent="0.35">
      <c r="A5" s="93" t="s">
        <v>3</v>
      </c>
      <c r="B5" s="112" t="s">
        <v>757</v>
      </c>
      <c r="C5" s="5">
        <f>+IFERROR(VLOOKUP($A5,RAIZ!$A$3:$X$1500,MATCH('Suc. Vistas'!$F$1,RAIZ!$A$2:$X$2,0),FALSE),0)</f>
        <v>2</v>
      </c>
      <c r="D5" s="7">
        <v>2</v>
      </c>
      <c r="E5" s="5"/>
      <c r="F5" s="5">
        <f t="shared" ref="F5:F10" si="0">IF(D5-C5&gt;=0,D5-C5,0)</f>
        <v>0</v>
      </c>
      <c r="G5" s="5"/>
    </row>
    <row r="6" spans="1:8" ht="18.75" customHeight="1" x14ac:dyDescent="0.35">
      <c r="A6" s="93" t="s">
        <v>4</v>
      </c>
      <c r="B6" s="112" t="s">
        <v>758</v>
      </c>
      <c r="C6" s="5">
        <f>+IFERROR(VLOOKUP($A6,RAIZ!$A$3:$X$1500,MATCH('Suc. Vistas'!$F$1,RAIZ!$A$2:$X$2,0),FALSE),0)</f>
        <v>2</v>
      </c>
      <c r="D6" s="7">
        <v>4</v>
      </c>
      <c r="E6" s="5"/>
      <c r="F6" s="5">
        <f t="shared" si="0"/>
        <v>2</v>
      </c>
      <c r="G6" s="5">
        <v>2</v>
      </c>
    </row>
    <row r="7" spans="1:8" ht="18.75" hidden="1" customHeight="1" x14ac:dyDescent="0.35">
      <c r="A7" s="93" t="s">
        <v>5</v>
      </c>
      <c r="B7" s="112" t="s">
        <v>759</v>
      </c>
      <c r="C7" s="5">
        <f>+IFERROR(VLOOKUP($A7,RAIZ!$A$3:$X$1500,MATCH('Suc. Vistas'!$F$1,RAIZ!$A$2:$X$2,0),FALSE),0)</f>
        <v>2</v>
      </c>
      <c r="D7" s="7">
        <v>2</v>
      </c>
      <c r="E7" s="5"/>
      <c r="F7" s="5">
        <f t="shared" si="0"/>
        <v>0</v>
      </c>
      <c r="G7" s="5"/>
    </row>
    <row r="8" spans="1:8" ht="18.75" customHeight="1" x14ac:dyDescent="0.35">
      <c r="A8" s="93" t="s">
        <v>6</v>
      </c>
      <c r="B8" s="112" t="s">
        <v>760</v>
      </c>
      <c r="C8" s="5">
        <f>+IFERROR(VLOOKUP($A8,RAIZ!$A$3:$X$1500,MATCH('Suc. Vistas'!$F$1,RAIZ!$A$2:$X$2,0),FALSE),0)</f>
        <v>2</v>
      </c>
      <c r="D8" s="7">
        <v>4</v>
      </c>
      <c r="E8" s="5"/>
      <c r="F8" s="5">
        <f t="shared" si="0"/>
        <v>2</v>
      </c>
      <c r="G8" s="5">
        <v>2</v>
      </c>
    </row>
    <row r="9" spans="1:8" ht="18.75" customHeight="1" x14ac:dyDescent="0.35">
      <c r="A9" s="93" t="s">
        <v>7</v>
      </c>
      <c r="B9" s="112" t="s">
        <v>761</v>
      </c>
      <c r="C9" s="5">
        <f>+IFERROR(VLOOKUP($A9,RAIZ!$A$3:$X$1500,MATCH('Suc. Vistas'!$F$1,RAIZ!$A$2:$X$2,0),FALSE),0)</f>
        <v>1</v>
      </c>
      <c r="D9" s="7">
        <v>2</v>
      </c>
      <c r="E9" s="5"/>
      <c r="F9" s="5">
        <f t="shared" si="0"/>
        <v>1</v>
      </c>
      <c r="G9" s="5">
        <v>1</v>
      </c>
    </row>
    <row r="10" spans="1:8" ht="18.75" hidden="1" customHeight="1" x14ac:dyDescent="0.35">
      <c r="A10" s="93" t="s">
        <v>8</v>
      </c>
      <c r="B10" s="112" t="s">
        <v>762</v>
      </c>
      <c r="C10" s="5">
        <f>+IFERROR(VLOOKUP($A10,RAIZ!$A$3:$X$1500,MATCH('Suc. Vistas'!$F$1,RAIZ!$A$2:$X$2,0),FALSE),0)</f>
        <v>4</v>
      </c>
      <c r="D10" s="7">
        <v>4</v>
      </c>
      <c r="E10" s="5"/>
      <c r="F10" s="5">
        <f t="shared" si="0"/>
        <v>0</v>
      </c>
      <c r="G10" s="5"/>
    </row>
    <row r="11" spans="1:8" ht="18.75" customHeight="1" thickBot="1" x14ac:dyDescent="0.4">
      <c r="A11" s="93" t="s">
        <v>9</v>
      </c>
      <c r="B11" s="112" t="s">
        <v>763</v>
      </c>
      <c r="C11" s="5">
        <f>+IFERROR(VLOOKUP($A11,RAIZ!$A$3:$X$1500,MATCH('Suc. Vistas'!$F$1,RAIZ!$A$2:$X$2,0),FALSE),0)</f>
        <v>1</v>
      </c>
      <c r="D11" s="9">
        <v>2</v>
      </c>
      <c r="E11" s="5"/>
      <c r="F11" s="5">
        <f t="shared" ref="F11:F12" si="1">IF(D11-C11&gt;=0,D11-C11,0)</f>
        <v>1</v>
      </c>
      <c r="G11" s="5">
        <v>1</v>
      </c>
    </row>
    <row r="12" spans="1:8" ht="18.75" hidden="1" customHeight="1" x14ac:dyDescent="0.35">
      <c r="A12" s="93"/>
      <c r="B12" s="112"/>
      <c r="C12" s="5">
        <f>+IFERROR(VLOOKUP($A12,RAIZ!$A$3:$X$1500,MATCH('Suc. Vistas'!$F$1,RAIZ!$A$2:$X$2,0),FALSE),0)</f>
        <v>0</v>
      </c>
      <c r="D12" s="7"/>
      <c r="E12" s="5"/>
      <c r="F12" s="5">
        <f t="shared" si="1"/>
        <v>0</v>
      </c>
      <c r="G12" s="5"/>
    </row>
    <row r="13" spans="1:8" ht="18.75" hidden="1" customHeight="1" x14ac:dyDescent="0.35">
      <c r="A13" s="93"/>
      <c r="B13" s="112"/>
      <c r="C13" s="5">
        <f>+IFERROR(VLOOKUP($A13,RAIZ!$A$3:$X$1500,MATCH('Suc. Vistas'!$F$1,RAIZ!$A$2:$X$2,0),FALSE),0)</f>
        <v>0</v>
      </c>
      <c r="D13" s="7"/>
      <c r="E13" s="5"/>
      <c r="F13" s="5">
        <f t="shared" ref="F13:F17" si="2">IF(D13-C13&gt;=0,D13-C13,0)</f>
        <v>0</v>
      </c>
      <c r="G13" s="5"/>
    </row>
    <row r="14" spans="1:8" ht="18.75" hidden="1" customHeight="1" x14ac:dyDescent="0.35">
      <c r="A14" s="93"/>
      <c r="B14" s="112"/>
      <c r="C14" s="5">
        <f>+IFERROR(VLOOKUP($A14,RAIZ!$A$3:$X$1500,MATCH('Suc. Vistas'!$F$1,RAIZ!$A$2:$X$2,0),FALSE),0)</f>
        <v>0</v>
      </c>
      <c r="D14" s="7"/>
      <c r="E14" s="5"/>
      <c r="F14" s="5">
        <f>IF(D14-C14&gt;=0,D14-C14,0)</f>
        <v>0</v>
      </c>
      <c r="G14" s="5"/>
    </row>
    <row r="15" spans="1:8" ht="18.75" hidden="1" customHeight="1" x14ac:dyDescent="0.35">
      <c r="A15" s="93"/>
      <c r="B15" s="112"/>
      <c r="C15" s="5">
        <f>+IFERROR(VLOOKUP($A15,RAIZ!$A$3:$X$1500,MATCH('Suc. Vistas'!$F$1,RAIZ!$A$2:$X$2,0),FALSE),0)</f>
        <v>0</v>
      </c>
      <c r="D15" s="9"/>
      <c r="E15" s="5"/>
      <c r="F15" s="5">
        <f t="shared" si="2"/>
        <v>0</v>
      </c>
      <c r="G15" s="5"/>
    </row>
    <row r="16" spans="1:8" ht="18.75" hidden="1" customHeight="1" x14ac:dyDescent="0.35">
      <c r="A16" s="93"/>
      <c r="B16" s="112"/>
      <c r="C16" s="5">
        <f>+IFERROR(VLOOKUP($A16,RAIZ!$A$3:$X$1500,MATCH('Suc. Vistas'!$F$1,RAIZ!$A$2:$X$2,0),FALSE),0)</f>
        <v>0</v>
      </c>
      <c r="D16" s="9"/>
      <c r="E16" s="5"/>
      <c r="F16" s="5">
        <f t="shared" si="2"/>
        <v>0</v>
      </c>
      <c r="G16" s="5"/>
    </row>
    <row r="17" spans="1:7" ht="18.75" hidden="1" customHeight="1" thickBot="1" x14ac:dyDescent="0.4">
      <c r="A17" s="93"/>
      <c r="B17" s="112"/>
      <c r="C17" s="5">
        <f>+IFERROR(VLOOKUP($A17,RAIZ!$A$3:$X$1500,MATCH('Suc. Vistas'!$F$1,RAIZ!$A$2:$X$2,0),FALSE),0)</f>
        <v>0</v>
      </c>
      <c r="D17" s="9"/>
      <c r="E17" s="5"/>
      <c r="F17" s="5">
        <f t="shared" si="2"/>
        <v>0</v>
      </c>
      <c r="G17" s="5"/>
    </row>
    <row r="18" spans="1:7" ht="18.75" customHeight="1" thickBot="1" x14ac:dyDescent="0.4">
      <c r="A18" s="96" t="s">
        <v>10</v>
      </c>
      <c r="B18" s="111"/>
      <c r="C18" s="75">
        <f>SUM(C3:C17)</f>
        <v>17</v>
      </c>
      <c r="D18" s="75">
        <f t="shared" ref="D18" si="3">SUM(D3:D17)</f>
        <v>24</v>
      </c>
      <c r="E18" s="44">
        <f>SUM(E3:E17)</f>
        <v>0</v>
      </c>
      <c r="F18" s="63">
        <f>SUM(F3:F17)</f>
        <v>7</v>
      </c>
      <c r="G18" s="44">
        <f>SUM(G3:G17)</f>
        <v>7</v>
      </c>
    </row>
    <row r="19" spans="1:7" ht="18.75" customHeight="1" x14ac:dyDescent="0.35">
      <c r="A19" s="97" t="s">
        <v>676</v>
      </c>
      <c r="B19" s="112" t="s">
        <v>764</v>
      </c>
      <c r="C19" s="5">
        <f>+IFERROR(VLOOKUP($A19,RAIZ!$A$3:$X$1500,MATCH('Suc. Vistas'!$F$1,RAIZ!$A$2:$X$2,0),FALSE),0)</f>
        <v>1</v>
      </c>
      <c r="D19" s="7">
        <v>2</v>
      </c>
      <c r="E19" s="5"/>
      <c r="F19" s="5">
        <f t="shared" ref="F19:F21" si="4">IF(D19-C19&gt;=0,D19-C19,0)</f>
        <v>1</v>
      </c>
      <c r="G19" s="5">
        <v>1</v>
      </c>
    </row>
    <row r="20" spans="1:7" ht="18.75" customHeight="1" x14ac:dyDescent="0.35">
      <c r="A20" s="97" t="s">
        <v>11</v>
      </c>
      <c r="B20" s="112" t="s">
        <v>827</v>
      </c>
      <c r="C20" s="5">
        <f>+IFERROR(VLOOKUP($A20,RAIZ!$A$3:$X$1500,MATCH('Suc. Vistas'!$F$1,RAIZ!$A$2:$X$2,0),FALSE),0)</f>
        <v>2</v>
      </c>
      <c r="D20" s="7">
        <v>4</v>
      </c>
      <c r="E20" s="5"/>
      <c r="F20" s="5">
        <f t="shared" si="4"/>
        <v>2</v>
      </c>
      <c r="G20" s="5">
        <v>2</v>
      </c>
    </row>
    <row r="21" spans="1:7" ht="18.75" customHeight="1" x14ac:dyDescent="0.35">
      <c r="A21" s="97" t="s">
        <v>344</v>
      </c>
      <c r="B21" s="112" t="s">
        <v>765</v>
      </c>
      <c r="C21" s="5">
        <f>+IFERROR(VLOOKUP($A21,RAIZ!$A$3:$X$1500,MATCH('Suc. Vistas'!$F$1,RAIZ!$A$2:$X$2,0),FALSE),0)</f>
        <v>1</v>
      </c>
      <c r="D21" s="7">
        <v>2</v>
      </c>
      <c r="E21" s="5"/>
      <c r="F21" s="5">
        <f t="shared" si="4"/>
        <v>1</v>
      </c>
      <c r="G21" s="5">
        <v>1</v>
      </c>
    </row>
    <row r="22" spans="1:7" ht="18.75" hidden="1" customHeight="1" x14ac:dyDescent="0.35">
      <c r="A22" s="97" t="s">
        <v>832</v>
      </c>
      <c r="B22" s="112" t="s">
        <v>833</v>
      </c>
      <c r="C22" s="5">
        <f>+IFERROR(VLOOKUP($A22,RAIZ!$A$3:$X$1500,MATCH('Suc. Vistas'!$F$1,RAIZ!$A$2:$X$2,0),FALSE),0)</f>
        <v>3</v>
      </c>
      <c r="D22" s="7">
        <v>3</v>
      </c>
      <c r="E22" s="5"/>
      <c r="F22" s="5">
        <f t="shared" ref="F22:F31" si="5">IF(D22-C22&gt;=0,D22-C22,0)</f>
        <v>0</v>
      </c>
      <c r="G22" s="5"/>
    </row>
    <row r="23" spans="1:7" ht="18.75" customHeight="1" x14ac:dyDescent="0.35">
      <c r="A23" s="97" t="s">
        <v>12</v>
      </c>
      <c r="B23" s="112" t="s">
        <v>766</v>
      </c>
      <c r="C23" s="5">
        <f>+IFERROR(VLOOKUP($A23,RAIZ!$A$3:$X$1500,MATCH('Suc. Vistas'!$F$1,RAIZ!$A$2:$X$2,0),FALSE),0)</f>
        <v>3</v>
      </c>
      <c r="D23" s="7">
        <v>4</v>
      </c>
      <c r="E23" s="5"/>
      <c r="F23" s="5">
        <f t="shared" si="5"/>
        <v>1</v>
      </c>
      <c r="G23" s="5">
        <v>1</v>
      </c>
    </row>
    <row r="24" spans="1:7" ht="18.75" hidden="1" customHeight="1" x14ac:dyDescent="0.35">
      <c r="A24" s="97" t="s">
        <v>432</v>
      </c>
      <c r="B24" s="112" t="s">
        <v>767</v>
      </c>
      <c r="C24" s="5">
        <f>+IFERROR(VLOOKUP($A24,RAIZ!$A$3:$X$1500,MATCH('Suc. Vistas'!$F$1,RAIZ!$A$2:$X$2,0),FALSE),0)</f>
        <v>0</v>
      </c>
      <c r="D24" s="7">
        <v>2</v>
      </c>
      <c r="E24" s="5"/>
      <c r="F24" s="5">
        <f t="shared" si="5"/>
        <v>2</v>
      </c>
      <c r="G24" s="5"/>
    </row>
    <row r="25" spans="1:7" ht="18.75" customHeight="1" thickBot="1" x14ac:dyDescent="0.4">
      <c r="A25" s="97" t="s">
        <v>468</v>
      </c>
      <c r="B25" s="112" t="s">
        <v>768</v>
      </c>
      <c r="C25" s="5">
        <f>+IFERROR(VLOOKUP($A25,RAIZ!$A$3:$X$1500,MATCH('Suc. Vistas'!$F$1,RAIZ!$A$2:$X$2,0),FALSE),0)</f>
        <v>0</v>
      </c>
      <c r="D25" s="7">
        <v>4</v>
      </c>
      <c r="E25" s="5"/>
      <c r="F25" s="5">
        <f t="shared" si="5"/>
        <v>4</v>
      </c>
      <c r="G25" s="5">
        <v>4</v>
      </c>
    </row>
    <row r="26" spans="1:7" ht="18.75" hidden="1" customHeight="1" x14ac:dyDescent="0.35">
      <c r="A26" s="97"/>
      <c r="B26" s="112"/>
      <c r="C26" s="5">
        <f>+IFERROR(VLOOKUP($A26,RAIZ!$A$3:$X$1500,MATCH('Suc. Vistas'!$F$1,RAIZ!$A$2:$X$2,0),FALSE),0)</f>
        <v>0</v>
      </c>
      <c r="D26" s="7"/>
      <c r="E26" s="5"/>
      <c r="F26" s="5">
        <f t="shared" si="5"/>
        <v>0</v>
      </c>
      <c r="G26" s="5"/>
    </row>
    <row r="27" spans="1:7" ht="18.75" hidden="1" customHeight="1" x14ac:dyDescent="0.35">
      <c r="A27" s="97"/>
      <c r="B27" s="112"/>
      <c r="C27" s="5">
        <f>+IFERROR(VLOOKUP($A27,RAIZ!$A$3:$X$1500,MATCH('Suc. Vistas'!$F$1,RAIZ!$A$2:$X$2,0),FALSE),0)</f>
        <v>0</v>
      </c>
      <c r="D27" s="7"/>
      <c r="E27" s="5"/>
      <c r="F27" s="5">
        <f>IF(D27-C27&gt;=0,D27-C27,0)</f>
        <v>0</v>
      </c>
      <c r="G27" s="5"/>
    </row>
    <row r="28" spans="1:7" ht="18.75" hidden="1" customHeight="1" x14ac:dyDescent="0.35">
      <c r="A28" s="97"/>
      <c r="B28" s="112"/>
      <c r="C28" s="5">
        <f>+IFERROR(VLOOKUP($A28,RAIZ!$A$3:$X$1500,MATCH('Suc. Vistas'!$F$1,RAIZ!$A$2:$X$2,0),FALSE),0)</f>
        <v>0</v>
      </c>
      <c r="D28" s="7"/>
      <c r="E28" s="5"/>
      <c r="F28" s="5">
        <f t="shared" si="5"/>
        <v>0</v>
      </c>
      <c r="G28" s="5"/>
    </row>
    <row r="29" spans="1:7" ht="18.75" hidden="1" customHeight="1" x14ac:dyDescent="0.35">
      <c r="A29" s="97"/>
      <c r="B29" s="112"/>
      <c r="C29" s="5">
        <f>+IFERROR(VLOOKUP($A29,RAIZ!$A$3:$X$1500,MATCH('Suc. Vistas'!$F$1,RAIZ!$A$2:$X$2,0),FALSE),0)</f>
        <v>0</v>
      </c>
      <c r="D29" s="7"/>
      <c r="E29" s="5"/>
      <c r="F29" s="5">
        <f t="shared" si="5"/>
        <v>0</v>
      </c>
      <c r="G29" s="5"/>
    </row>
    <row r="30" spans="1:7" ht="18.75" hidden="1" customHeight="1" x14ac:dyDescent="0.35">
      <c r="A30" s="97"/>
      <c r="B30" s="112"/>
      <c r="C30" s="5">
        <f>+IFERROR(VLOOKUP($A30,RAIZ!$A$3:$X$1500,MATCH('Suc. Vistas'!$F$1,RAIZ!$A$2:$X$2,0),FALSE),0)</f>
        <v>0</v>
      </c>
      <c r="D30" s="7"/>
      <c r="E30" s="5"/>
      <c r="F30" s="5">
        <f t="shared" si="5"/>
        <v>0</v>
      </c>
      <c r="G30" s="5"/>
    </row>
    <row r="31" spans="1:7" ht="18.75" hidden="1" customHeight="1" thickBot="1" x14ac:dyDescent="0.4">
      <c r="A31" s="97"/>
      <c r="B31" s="112"/>
      <c r="C31" s="5">
        <f>+IFERROR(VLOOKUP($A31,RAIZ!$A$3:$X$1500,MATCH('Suc. Vistas'!$F$1,RAIZ!$A$2:$X$2,0),FALSE),0)</f>
        <v>0</v>
      </c>
      <c r="D31" s="7"/>
      <c r="E31" s="5"/>
      <c r="F31" s="5">
        <f t="shared" si="5"/>
        <v>0</v>
      </c>
      <c r="G31" s="5"/>
    </row>
    <row r="32" spans="1:7" ht="18.75" customHeight="1" thickBot="1" x14ac:dyDescent="0.4">
      <c r="A32" s="98" t="s">
        <v>13</v>
      </c>
      <c r="B32" s="111"/>
      <c r="C32" s="76">
        <f>SUM(C19:C31)</f>
        <v>10</v>
      </c>
      <c r="D32" s="46">
        <f>SUM(D19:D31)</f>
        <v>21</v>
      </c>
      <c r="E32" s="46">
        <f>SUM(E19:E31)</f>
        <v>0</v>
      </c>
      <c r="F32" s="64">
        <f>SUM(F19:F31)</f>
        <v>11</v>
      </c>
      <c r="G32" s="46">
        <f>SUM(G19:G31)</f>
        <v>9</v>
      </c>
    </row>
    <row r="33" spans="1:7" ht="18.75" customHeight="1" x14ac:dyDescent="0.35">
      <c r="A33" s="97" t="s">
        <v>14</v>
      </c>
      <c r="B33" s="112" t="s">
        <v>769</v>
      </c>
      <c r="C33" s="5">
        <f>+IFERROR(VLOOKUP($A33,RAIZ!$A$3:$X$1500,MATCH('Suc. Vistas'!$F$1,RAIZ!$A$2:$X$2,0),FALSE),0)</f>
        <v>0</v>
      </c>
      <c r="D33" s="7">
        <v>2</v>
      </c>
      <c r="E33" s="5"/>
      <c r="F33" s="5">
        <f t="shared" ref="F33:F48" si="6">IF(D33-C33&gt;=0,D33-C33,0)</f>
        <v>2</v>
      </c>
      <c r="G33" s="5">
        <v>2</v>
      </c>
    </row>
    <row r="34" spans="1:7" ht="18.75" hidden="1" customHeight="1" x14ac:dyDescent="0.35">
      <c r="A34" s="97" t="s">
        <v>15</v>
      </c>
      <c r="B34" s="112" t="s">
        <v>770</v>
      </c>
      <c r="C34" s="5">
        <f>+IFERROR(VLOOKUP($A34,RAIZ!$A$3:$X$1500,MATCH('Suc. Vistas'!$F$1,RAIZ!$A$2:$X$2,0),FALSE),0)</f>
        <v>2</v>
      </c>
      <c r="D34" s="7">
        <v>2</v>
      </c>
      <c r="E34" s="5"/>
      <c r="F34" s="5">
        <f t="shared" si="6"/>
        <v>0</v>
      </c>
      <c r="G34" s="5"/>
    </row>
    <row r="35" spans="1:7" ht="18.75" customHeight="1" x14ac:dyDescent="0.35">
      <c r="A35" s="97" t="s">
        <v>16</v>
      </c>
      <c r="B35" s="112" t="s">
        <v>771</v>
      </c>
      <c r="C35" s="5">
        <f>+IFERROR(VLOOKUP($A35,RAIZ!$A$3:$X$1500,MATCH('Suc. Vistas'!$F$1,RAIZ!$A$2:$X$2,0),FALSE),0)</f>
        <v>1</v>
      </c>
      <c r="D35" s="7">
        <v>2</v>
      </c>
      <c r="E35" s="5"/>
      <c r="F35" s="5">
        <f t="shared" si="6"/>
        <v>1</v>
      </c>
      <c r="G35" s="5">
        <v>1</v>
      </c>
    </row>
    <row r="36" spans="1:7" ht="18.75" customHeight="1" x14ac:dyDescent="0.35">
      <c r="A36" s="97" t="s">
        <v>17</v>
      </c>
      <c r="B36" s="112" t="s">
        <v>772</v>
      </c>
      <c r="C36" s="5">
        <f>+IFERROR(VLOOKUP($A36,RAIZ!$A$3:$X$1500,MATCH('Suc. Vistas'!$F$1,RAIZ!$A$2:$X$2,0),FALSE),0)</f>
        <v>1</v>
      </c>
      <c r="D36" s="7">
        <v>2</v>
      </c>
      <c r="E36" s="5"/>
      <c r="F36" s="5">
        <f t="shared" si="6"/>
        <v>1</v>
      </c>
      <c r="G36" s="5">
        <v>1</v>
      </c>
    </row>
    <row r="37" spans="1:7" ht="18.75" customHeight="1" x14ac:dyDescent="0.35">
      <c r="A37" s="97" t="s">
        <v>18</v>
      </c>
      <c r="B37" s="112" t="s">
        <v>773</v>
      </c>
      <c r="C37" s="5">
        <f>+IFERROR(VLOOKUP($A37,RAIZ!$A$3:$X$1500,MATCH('Suc. Vistas'!$F$1,RAIZ!$A$2:$X$2,0),FALSE),0)</f>
        <v>0</v>
      </c>
      <c r="D37" s="7">
        <v>4</v>
      </c>
      <c r="E37" s="5"/>
      <c r="F37" s="5">
        <f t="shared" si="6"/>
        <v>4</v>
      </c>
      <c r="G37" s="5">
        <v>4</v>
      </c>
    </row>
    <row r="38" spans="1:7" ht="18.75" customHeight="1" x14ac:dyDescent="0.35">
      <c r="A38" s="97" t="s">
        <v>22</v>
      </c>
      <c r="B38" s="112" t="s">
        <v>774</v>
      </c>
      <c r="C38" s="5">
        <f>+IFERROR(VLOOKUP($A38,RAIZ!$A$3:$X$1500,MATCH('Suc. Vistas'!$F$1,RAIZ!$A$2:$X$2,0),FALSE),0)</f>
        <v>0</v>
      </c>
      <c r="D38" s="7">
        <v>4</v>
      </c>
      <c r="E38" s="5"/>
      <c r="F38" s="5">
        <f t="shared" si="6"/>
        <v>4</v>
      </c>
      <c r="G38" s="5">
        <v>4</v>
      </c>
    </row>
    <row r="39" spans="1:7" ht="18.75" customHeight="1" x14ac:dyDescent="0.35">
      <c r="A39" s="97" t="s">
        <v>23</v>
      </c>
      <c r="B39" s="112" t="s">
        <v>775</v>
      </c>
      <c r="C39" s="5">
        <f>+IFERROR(VLOOKUP($A39,RAIZ!$A$3:$X$1500,MATCH('Suc. Vistas'!$F$1,RAIZ!$A$2:$X$2,0),FALSE),0)</f>
        <v>1</v>
      </c>
      <c r="D39" s="7">
        <v>2</v>
      </c>
      <c r="E39" s="5"/>
      <c r="F39" s="5">
        <f t="shared" si="6"/>
        <v>1</v>
      </c>
      <c r="G39" s="5">
        <v>1</v>
      </c>
    </row>
    <row r="40" spans="1:7" ht="18.75" customHeight="1" thickBot="1" x14ac:dyDescent="0.4">
      <c r="A40" s="97" t="s">
        <v>24</v>
      </c>
      <c r="B40" s="112" t="s">
        <v>776</v>
      </c>
      <c r="C40" s="5">
        <f>+IFERROR(VLOOKUP($A40,RAIZ!$A$3:$X$1500,MATCH('Suc. Vistas'!$F$1,RAIZ!$A$2:$X$2,0),FALSE),0)</f>
        <v>0</v>
      </c>
      <c r="D40" s="7">
        <v>4</v>
      </c>
      <c r="E40" s="5"/>
      <c r="F40" s="5">
        <f t="shared" si="6"/>
        <v>4</v>
      </c>
      <c r="G40" s="5">
        <v>4</v>
      </c>
    </row>
    <row r="41" spans="1:7" ht="18.75" hidden="1" customHeight="1" x14ac:dyDescent="0.35">
      <c r="A41" s="97" t="s">
        <v>25</v>
      </c>
      <c r="B41" s="112" t="s">
        <v>777</v>
      </c>
      <c r="C41" s="5">
        <f>+IFERROR(VLOOKUP($A41,RAIZ!$A$3:$X$1500,MATCH('Suc. Vistas'!$F$1,RAIZ!$A$2:$X$2,0),FALSE),0)</f>
        <v>2</v>
      </c>
      <c r="D41" s="7">
        <v>2</v>
      </c>
      <c r="E41" s="5"/>
      <c r="F41" s="5">
        <f t="shared" si="6"/>
        <v>0</v>
      </c>
      <c r="G41" s="5"/>
    </row>
    <row r="42" spans="1:7" ht="18.75" hidden="1" customHeight="1" x14ac:dyDescent="0.35">
      <c r="A42" s="97"/>
      <c r="B42" s="112"/>
      <c r="C42" s="5">
        <f>+IFERROR(VLOOKUP($A42,RAIZ!$A$3:$X$1500,MATCH('Suc. Vistas'!$F$1,RAIZ!$A$2:$X$2,0),FALSE),0)</f>
        <v>0</v>
      </c>
      <c r="D42" s="7"/>
      <c r="E42" s="5"/>
      <c r="F42" s="5">
        <f t="shared" si="6"/>
        <v>0</v>
      </c>
      <c r="G42" s="5"/>
    </row>
    <row r="43" spans="1:7" ht="18.75" hidden="1" customHeight="1" x14ac:dyDescent="0.35">
      <c r="A43" s="97"/>
      <c r="B43" s="112"/>
      <c r="C43" s="5">
        <f>+IFERROR(VLOOKUP($A43,RAIZ!$A$3:$X$1500,MATCH('Suc. Vistas'!$F$1,RAIZ!$A$2:$X$2,0),FALSE),0)</f>
        <v>0</v>
      </c>
      <c r="D43" s="7"/>
      <c r="E43" s="5"/>
      <c r="F43" s="5">
        <f t="shared" si="6"/>
        <v>0</v>
      </c>
      <c r="G43" s="5"/>
    </row>
    <row r="44" spans="1:7" ht="18.75" hidden="1" customHeight="1" x14ac:dyDescent="0.35">
      <c r="A44" s="97"/>
      <c r="B44" s="112"/>
      <c r="C44" s="5">
        <f>+IFERROR(VLOOKUP($A44,RAIZ!$A$3:$X$1500,MATCH('Suc. Vistas'!$F$1,RAIZ!$A$2:$X$2,0),FALSE),0)</f>
        <v>0</v>
      </c>
      <c r="D44" s="7"/>
      <c r="E44" s="5"/>
      <c r="F44" s="5">
        <f t="shared" si="6"/>
        <v>0</v>
      </c>
      <c r="G44" s="5"/>
    </row>
    <row r="45" spans="1:7" ht="18.75" hidden="1" customHeight="1" x14ac:dyDescent="0.35">
      <c r="A45" s="97"/>
      <c r="B45" s="112"/>
      <c r="C45" s="5">
        <f>+IFERROR(VLOOKUP($A45,RAIZ!$A$3:$X$1500,MATCH('Suc. Vistas'!$F$1,RAIZ!$A$2:$X$2,0),FALSE),0)</f>
        <v>0</v>
      </c>
      <c r="D45" s="7"/>
      <c r="E45" s="5"/>
      <c r="F45" s="5">
        <f t="shared" si="6"/>
        <v>0</v>
      </c>
      <c r="G45" s="5"/>
    </row>
    <row r="46" spans="1:7" ht="18.75" hidden="1" customHeight="1" x14ac:dyDescent="0.35">
      <c r="A46" s="97"/>
      <c r="B46" s="112"/>
      <c r="C46" s="5">
        <f>+IFERROR(VLOOKUP($A46,RAIZ!$A$3:$X$1500,MATCH('Suc. Vistas'!$F$1,RAIZ!$A$2:$X$2,0),FALSE),0)</f>
        <v>0</v>
      </c>
      <c r="D46" s="7"/>
      <c r="E46" s="5"/>
      <c r="F46" s="5">
        <f t="shared" si="6"/>
        <v>0</v>
      </c>
      <c r="G46" s="5"/>
    </row>
    <row r="47" spans="1:7" ht="18.75" hidden="1" customHeight="1" x14ac:dyDescent="0.35">
      <c r="A47" s="97"/>
      <c r="B47" s="112"/>
      <c r="C47" s="5">
        <f>+IFERROR(VLOOKUP($A47,RAIZ!$A$3:$X$1500,MATCH('Suc. Vistas'!$F$1,RAIZ!$A$2:$X$2,0),FALSE),0)</f>
        <v>0</v>
      </c>
      <c r="D47" s="7"/>
      <c r="E47" s="5"/>
      <c r="F47" s="5">
        <f t="shared" si="6"/>
        <v>0</v>
      </c>
      <c r="G47" s="5"/>
    </row>
    <row r="48" spans="1:7" ht="18.75" hidden="1" customHeight="1" thickBot="1" x14ac:dyDescent="0.4">
      <c r="A48" s="97"/>
      <c r="B48" s="112"/>
      <c r="C48" s="5">
        <f>+IFERROR(VLOOKUP($A48,RAIZ!$A$3:$X$1500,MATCH('Suc. Vistas'!$F$1,RAIZ!$A$2:$X$2,0),FALSE),0)</f>
        <v>0</v>
      </c>
      <c r="D48" s="7"/>
      <c r="E48" s="5"/>
      <c r="F48" s="5">
        <f t="shared" si="6"/>
        <v>0</v>
      </c>
      <c r="G48" s="5"/>
    </row>
    <row r="49" spans="1:7" ht="18.75" customHeight="1" thickBot="1" x14ac:dyDescent="0.4">
      <c r="A49" s="99" t="s">
        <v>29</v>
      </c>
      <c r="B49" s="111"/>
      <c r="C49" s="77">
        <f>SUM(C33:C48)</f>
        <v>7</v>
      </c>
      <c r="D49" s="48">
        <f>SUM(D33:D48)</f>
        <v>24</v>
      </c>
      <c r="E49" s="48">
        <f>SUM(E33:E48)</f>
        <v>0</v>
      </c>
      <c r="F49" s="65">
        <f>SUM(F33:F48)</f>
        <v>17</v>
      </c>
      <c r="G49" s="48">
        <f>SUM(G33:G48)</f>
        <v>17</v>
      </c>
    </row>
    <row r="50" spans="1:7" ht="18.75" customHeight="1" x14ac:dyDescent="0.35">
      <c r="A50" s="93" t="s">
        <v>30</v>
      </c>
      <c r="B50" s="112" t="s">
        <v>778</v>
      </c>
      <c r="C50" s="5">
        <f>+IFERROR(VLOOKUP($A50,RAIZ!$A$3:$X$1500,MATCH('Suc. Vistas'!$F$1,RAIZ!$A$2:$X$2,0),FALSE),0)</f>
        <v>7</v>
      </c>
      <c r="D50" s="7">
        <v>8</v>
      </c>
      <c r="E50" s="5"/>
      <c r="F50" s="5">
        <f>IF(D50-C50&gt;=0,D50-C50,0)</f>
        <v>1</v>
      </c>
      <c r="G50" s="5">
        <v>1</v>
      </c>
    </row>
    <row r="51" spans="1:7" ht="18.75" customHeight="1" thickBot="1" x14ac:dyDescent="0.4">
      <c r="A51" s="95" t="s">
        <v>31</v>
      </c>
      <c r="B51" s="112" t="s">
        <v>779</v>
      </c>
      <c r="C51" s="5">
        <f>+IFERROR(VLOOKUP($A51,RAIZ!$A$3:$X$1500,MATCH('Suc. Vistas'!$F$1,RAIZ!$A$2:$X$2,0),FALSE),0)</f>
        <v>6</v>
      </c>
      <c r="D51" s="7">
        <v>8</v>
      </c>
      <c r="E51" s="5"/>
      <c r="F51" s="5">
        <f t="shared" ref="F51" si="7">IF(D51-C51&gt;=0,D51-C51,0)</f>
        <v>2</v>
      </c>
      <c r="G51" s="5">
        <v>2</v>
      </c>
    </row>
    <row r="52" spans="1:7" ht="18.75" customHeight="1" thickBot="1" x14ac:dyDescent="0.4">
      <c r="A52" s="100" t="s">
        <v>32</v>
      </c>
      <c r="B52" s="111"/>
      <c r="C52" s="78">
        <f>SUM(C50:C51)</f>
        <v>13</v>
      </c>
      <c r="D52" s="50">
        <f t="shared" ref="D52" si="8">SUM(D50:D51)</f>
        <v>16</v>
      </c>
      <c r="E52" s="50">
        <f t="shared" ref="E52" si="9">SUM(E50:E51)</f>
        <v>0</v>
      </c>
      <c r="F52" s="66">
        <f t="shared" ref="F52:G52" si="10">SUM(F50:F51)</f>
        <v>3</v>
      </c>
      <c r="G52" s="50">
        <f t="shared" si="10"/>
        <v>3</v>
      </c>
    </row>
    <row r="53" spans="1:7" ht="18.75" customHeight="1" x14ac:dyDescent="0.35">
      <c r="A53" s="93" t="s">
        <v>33</v>
      </c>
      <c r="B53" s="112" t="s">
        <v>780</v>
      </c>
      <c r="C53" s="5">
        <f>+IFERROR(VLOOKUP($A53,RAIZ!$A$3:$X$1500,MATCH('Suc. Vistas'!$F$1,RAIZ!$A$2:$X$2,0),FALSE),0)</f>
        <v>7</v>
      </c>
      <c r="D53" s="4">
        <v>10</v>
      </c>
      <c r="E53" s="5"/>
      <c r="F53" s="5">
        <f t="shared" ref="F53:F54" si="11">IF(D53-C53&gt;=0,D53-C53,0)</f>
        <v>3</v>
      </c>
      <c r="G53" s="5">
        <v>3</v>
      </c>
    </row>
    <row r="54" spans="1:7" ht="18.75" customHeight="1" thickBot="1" x14ac:dyDescent="0.4">
      <c r="A54" s="95" t="s">
        <v>34</v>
      </c>
      <c r="B54" s="112" t="s">
        <v>781</v>
      </c>
      <c r="C54" s="5">
        <f>+IFERROR(VLOOKUP($A54,RAIZ!$A$3:$X$1500,MATCH('Suc. Vistas'!$F$1,RAIZ!$A$2:$X$2,0),FALSE),0)</f>
        <v>6</v>
      </c>
      <c r="D54" s="20">
        <v>10</v>
      </c>
      <c r="E54" s="5"/>
      <c r="F54" s="5">
        <f t="shared" si="11"/>
        <v>4</v>
      </c>
      <c r="G54" s="5">
        <v>4</v>
      </c>
    </row>
    <row r="55" spans="1:7" ht="18.75" customHeight="1" thickBot="1" x14ac:dyDescent="0.4">
      <c r="A55" s="99" t="s">
        <v>35</v>
      </c>
      <c r="B55" s="111"/>
      <c r="C55" s="77">
        <f>SUM(C53:C54)</f>
        <v>13</v>
      </c>
      <c r="D55" s="48">
        <f t="shared" ref="D55" si="12">SUM(D53:D54)</f>
        <v>20</v>
      </c>
      <c r="E55" s="48">
        <f t="shared" ref="E55" si="13">SUM(E53:E54)</f>
        <v>0</v>
      </c>
      <c r="F55" s="65">
        <f t="shared" ref="F55:G55" si="14">SUM(F53:F54)</f>
        <v>7</v>
      </c>
      <c r="G55" s="48">
        <f t="shared" si="14"/>
        <v>7</v>
      </c>
    </row>
    <row r="56" spans="1:7" ht="18.75" hidden="1" customHeight="1" x14ac:dyDescent="0.35">
      <c r="A56" s="93" t="s">
        <v>36</v>
      </c>
      <c r="B56" s="112" t="s">
        <v>782</v>
      </c>
      <c r="C56" s="5">
        <f>+IFERROR(VLOOKUP($A56,RAIZ!$A$3:$X$1500,MATCH('Suc. Vistas'!$F$1,RAIZ!$A$2:$X$2,0),FALSE),0)</f>
        <v>2</v>
      </c>
      <c r="D56" s="7">
        <v>2</v>
      </c>
      <c r="E56" s="5"/>
      <c r="F56" s="5">
        <f t="shared" ref="F56:F70" si="15">IF(D56-C56&gt;=0,D56-C56,0)</f>
        <v>0</v>
      </c>
      <c r="G56" s="5"/>
    </row>
    <row r="57" spans="1:7" ht="18.75" hidden="1" customHeight="1" x14ac:dyDescent="0.35">
      <c r="A57" s="93" t="s">
        <v>37</v>
      </c>
      <c r="B57" s="112" t="s">
        <v>783</v>
      </c>
      <c r="C57" s="5">
        <f>+IFERROR(VLOOKUP($A57,RAIZ!$A$3:$X$1500,MATCH('Suc. Vistas'!$F$1,RAIZ!$A$2:$X$2,0),FALSE),0)</f>
        <v>2</v>
      </c>
      <c r="D57" s="7">
        <v>2</v>
      </c>
      <c r="E57" s="5"/>
      <c r="F57" s="5">
        <f t="shared" si="15"/>
        <v>0</v>
      </c>
      <c r="G57" s="5"/>
    </row>
    <row r="58" spans="1:7" ht="18.75" hidden="1" customHeight="1" x14ac:dyDescent="0.35">
      <c r="A58" s="93" t="s">
        <v>39</v>
      </c>
      <c r="B58" s="112" t="s">
        <v>784</v>
      </c>
      <c r="C58" s="5">
        <f>+IFERROR(VLOOKUP($A58,RAIZ!$A$3:$X$1500,MATCH('Suc. Vistas'!$F$1,RAIZ!$A$2:$X$2,0),FALSE),0)</f>
        <v>1</v>
      </c>
      <c r="D58" s="7">
        <v>1</v>
      </c>
      <c r="E58" s="5"/>
      <c r="F58" s="5">
        <f t="shared" ref="F58" si="16">IF(D58-C58&gt;=0,D58-C58,0)</f>
        <v>0</v>
      </c>
      <c r="G58" s="5"/>
    </row>
    <row r="59" spans="1:7" ht="18.75" hidden="1" customHeight="1" x14ac:dyDescent="0.35">
      <c r="A59" s="93" t="s">
        <v>40</v>
      </c>
      <c r="B59" s="112" t="s">
        <v>785</v>
      </c>
      <c r="C59" s="5">
        <f>+IFERROR(VLOOKUP($A59,RAIZ!$A$3:$X$1500,MATCH('Suc. Vistas'!$F$1,RAIZ!$A$2:$X$2,0),FALSE),0)</f>
        <v>1</v>
      </c>
      <c r="D59" s="7">
        <v>1</v>
      </c>
      <c r="E59" s="5"/>
      <c r="F59" s="5">
        <f t="shared" si="15"/>
        <v>0</v>
      </c>
      <c r="G59" s="5"/>
    </row>
    <row r="60" spans="1:7" ht="18.75" hidden="1" customHeight="1" x14ac:dyDescent="0.35">
      <c r="A60" s="93" t="s">
        <v>41</v>
      </c>
      <c r="B60" s="112" t="s">
        <v>786</v>
      </c>
      <c r="C60" s="5">
        <f>+IFERROR(VLOOKUP($A60,RAIZ!$A$3:$X$1500,MATCH('Suc. Vistas'!$F$1,RAIZ!$A$2:$X$2,0),FALSE),0)</f>
        <v>1</v>
      </c>
      <c r="D60" s="7">
        <v>1</v>
      </c>
      <c r="E60" s="5"/>
      <c r="F60" s="5">
        <f t="shared" si="15"/>
        <v>0</v>
      </c>
      <c r="G60" s="5"/>
    </row>
    <row r="61" spans="1:7" ht="18.75" hidden="1" customHeight="1" x14ac:dyDescent="0.35">
      <c r="A61" s="101" t="s">
        <v>42</v>
      </c>
      <c r="B61" s="112" t="s">
        <v>787</v>
      </c>
      <c r="C61" s="5">
        <f>+IFERROR(VLOOKUP($A61,RAIZ!$A$3:$X$1500,MATCH('Suc. Vistas'!$F$1,RAIZ!$A$2:$X$2,0),FALSE),0)</f>
        <v>1</v>
      </c>
      <c r="D61" s="7">
        <v>1</v>
      </c>
      <c r="E61" s="5"/>
      <c r="F61" s="5">
        <f t="shared" si="15"/>
        <v>0</v>
      </c>
      <c r="G61" s="5"/>
    </row>
    <row r="62" spans="1:7" ht="18.75" customHeight="1" x14ac:dyDescent="0.35">
      <c r="A62" s="102" t="s">
        <v>43</v>
      </c>
      <c r="B62" s="112" t="s">
        <v>788</v>
      </c>
      <c r="C62" s="5">
        <f>+IFERROR(VLOOKUP($A62,RAIZ!$A$3:$X$1500,MATCH('Suc. Vistas'!$F$1,RAIZ!$A$2:$X$2,0),FALSE),0)</f>
        <v>0</v>
      </c>
      <c r="D62" s="7">
        <v>1</v>
      </c>
      <c r="E62" s="5"/>
      <c r="F62" s="5">
        <f t="shared" si="15"/>
        <v>1</v>
      </c>
      <c r="G62" s="5">
        <v>1</v>
      </c>
    </row>
    <row r="63" spans="1:7" ht="18.75" hidden="1" customHeight="1" x14ac:dyDescent="0.35">
      <c r="A63" s="93" t="s">
        <v>44</v>
      </c>
      <c r="B63" s="112" t="s">
        <v>789</v>
      </c>
      <c r="C63" s="5">
        <f>+IFERROR(VLOOKUP($A63,RAIZ!$A$3:$X$1500,MATCH('Suc. Vistas'!$F$1,RAIZ!$A$2:$X$2,0),FALSE),0)</f>
        <v>1</v>
      </c>
      <c r="D63" s="7">
        <v>1</v>
      </c>
      <c r="E63" s="5"/>
      <c r="F63" s="5">
        <f t="shared" si="15"/>
        <v>0</v>
      </c>
      <c r="G63" s="5"/>
    </row>
    <row r="64" spans="1:7" ht="18.75" customHeight="1" x14ac:dyDescent="0.35">
      <c r="A64" s="93" t="s">
        <v>45</v>
      </c>
      <c r="B64" s="112" t="s">
        <v>790</v>
      </c>
      <c r="C64" s="5">
        <f>+IFERROR(VLOOKUP($A64,RAIZ!$A$3:$X$1500,MATCH('Suc. Vistas'!$F$1,RAIZ!$A$2:$X$2,0),FALSE),0)</f>
        <v>1</v>
      </c>
      <c r="D64" s="7">
        <v>2</v>
      </c>
      <c r="E64" s="5"/>
      <c r="F64" s="5">
        <f t="shared" si="15"/>
        <v>1</v>
      </c>
      <c r="G64" s="5">
        <v>1</v>
      </c>
    </row>
    <row r="65" spans="1:7" ht="18.75" customHeight="1" x14ac:dyDescent="0.35">
      <c r="A65" s="93" t="s">
        <v>46</v>
      </c>
      <c r="B65" s="112" t="s">
        <v>791</v>
      </c>
      <c r="C65" s="5">
        <f>+IFERROR(VLOOKUP($A65,RAIZ!$A$3:$X$1500,MATCH('Suc. Vistas'!$F$1,RAIZ!$A$2:$X$2,0),FALSE),0)</f>
        <v>1</v>
      </c>
      <c r="D65" s="7">
        <v>3</v>
      </c>
      <c r="E65" s="5"/>
      <c r="F65" s="5">
        <f t="shared" si="15"/>
        <v>2</v>
      </c>
      <c r="G65" s="5">
        <v>2</v>
      </c>
    </row>
    <row r="66" spans="1:7" ht="18.75" customHeight="1" x14ac:dyDescent="0.35">
      <c r="A66" s="93" t="s">
        <v>48</v>
      </c>
      <c r="B66" s="112" t="s">
        <v>792</v>
      </c>
      <c r="C66" s="5">
        <f>+IFERROR(VLOOKUP($A66,RAIZ!$A$3:$X$1500,MATCH('Suc. Vistas'!$F$1,RAIZ!$A$2:$X$2,0),FALSE),0)</f>
        <v>0</v>
      </c>
      <c r="D66" s="7">
        <v>1</v>
      </c>
      <c r="E66" s="5"/>
      <c r="F66" s="5">
        <f t="shared" si="15"/>
        <v>1</v>
      </c>
      <c r="G66" s="5">
        <v>1</v>
      </c>
    </row>
    <row r="67" spans="1:7" ht="18.75" hidden="1" customHeight="1" x14ac:dyDescent="0.35">
      <c r="A67" s="93" t="s">
        <v>49</v>
      </c>
      <c r="B67" s="112" t="s">
        <v>793</v>
      </c>
      <c r="C67" s="5">
        <f>+IFERROR(VLOOKUP($A67,RAIZ!$A$3:$X$1500,MATCH('Suc. Vistas'!$F$1,RAIZ!$A$2:$X$2,0),FALSE),0)</f>
        <v>1</v>
      </c>
      <c r="D67" s="7">
        <v>1</v>
      </c>
      <c r="E67" s="5"/>
      <c r="F67" s="5">
        <f t="shared" si="15"/>
        <v>0</v>
      </c>
      <c r="G67" s="5"/>
    </row>
    <row r="68" spans="1:7" ht="18.75" customHeight="1" thickBot="1" x14ac:dyDescent="0.4">
      <c r="A68" s="93" t="s">
        <v>50</v>
      </c>
      <c r="B68" s="112" t="s">
        <v>794</v>
      </c>
      <c r="C68" s="5">
        <f>+IFERROR(VLOOKUP($A68,RAIZ!$A$3:$X$1500,MATCH('Suc. Vistas'!$F$1,RAIZ!$A$2:$X$2,0),FALSE),0)</f>
        <v>1</v>
      </c>
      <c r="D68" s="7">
        <v>2</v>
      </c>
      <c r="E68" s="5"/>
      <c r="F68" s="5">
        <f t="shared" si="15"/>
        <v>1</v>
      </c>
      <c r="G68" s="5">
        <v>1</v>
      </c>
    </row>
    <row r="69" spans="1:7" ht="18.75" hidden="1" customHeight="1" x14ac:dyDescent="0.35">
      <c r="A69" s="93" t="s">
        <v>51</v>
      </c>
      <c r="B69" s="112" t="s">
        <v>795</v>
      </c>
      <c r="C69" s="5">
        <f>+IFERROR(VLOOKUP($A69,RAIZ!$A$3:$X$1500,MATCH('Suc. Vistas'!$F$1,RAIZ!$A$2:$X$2,0),FALSE),0)</f>
        <v>1</v>
      </c>
      <c r="D69" s="7">
        <v>1</v>
      </c>
      <c r="E69" s="5"/>
      <c r="F69" s="5">
        <f t="shared" si="15"/>
        <v>0</v>
      </c>
      <c r="G69" s="5"/>
    </row>
    <row r="70" spans="1:7" ht="18.75" hidden="1" customHeight="1" x14ac:dyDescent="0.35">
      <c r="A70" s="93" t="s">
        <v>53</v>
      </c>
      <c r="B70" s="112" t="s">
        <v>796</v>
      </c>
      <c r="C70" s="5">
        <f>+IFERROR(VLOOKUP($A70,RAIZ!$A$3:$X$1500,MATCH('Suc. Vistas'!$F$1,RAIZ!$A$2:$X$2,0),FALSE),0)</f>
        <v>3</v>
      </c>
      <c r="D70" s="7">
        <v>3</v>
      </c>
      <c r="E70" s="5"/>
      <c r="F70" s="5">
        <f t="shared" si="15"/>
        <v>0</v>
      </c>
      <c r="G70" s="5"/>
    </row>
    <row r="71" spans="1:7" ht="18.75" hidden="1" customHeight="1" x14ac:dyDescent="0.35">
      <c r="A71" s="93" t="s">
        <v>47</v>
      </c>
      <c r="B71" s="112" t="s">
        <v>873</v>
      </c>
      <c r="C71" s="5">
        <f>+IFERROR(VLOOKUP($A71,RAIZ!$A$3:$X$1500,MATCH('Suc. Vistas'!$F$1,RAIZ!$A$2:$X$2,0),FALSE),0)</f>
        <v>2</v>
      </c>
      <c r="D71" s="7">
        <v>2</v>
      </c>
      <c r="E71" s="5"/>
      <c r="F71" s="5">
        <f t="shared" ref="F71:F77" si="17">IF(D71-C71&gt;=0,D71-C71,0)</f>
        <v>0</v>
      </c>
      <c r="G71" s="5"/>
    </row>
    <row r="72" spans="1:7" ht="18.75" hidden="1" customHeight="1" x14ac:dyDescent="0.35">
      <c r="A72" s="86" t="s">
        <v>1089</v>
      </c>
      <c r="B72" s="112" t="s">
        <v>1090</v>
      </c>
      <c r="C72" s="5">
        <f>+IFERROR(VLOOKUP($A72,RAIZ!$A$3:$X$1500,MATCH('Suc. Vistas'!$F$1,RAIZ!$A$2:$X$2,0),FALSE),0)</f>
        <v>0</v>
      </c>
      <c r="D72" s="7">
        <v>0</v>
      </c>
      <c r="E72" s="5"/>
      <c r="F72" s="5">
        <f>IF(D72-C72&gt;=0,D72-C72,0)</f>
        <v>0</v>
      </c>
      <c r="G72" s="5"/>
    </row>
    <row r="73" spans="1:7" ht="18.75" hidden="1" customHeight="1" x14ac:dyDescent="0.35">
      <c r="A73" s="93"/>
      <c r="B73" s="112"/>
      <c r="C73" s="5">
        <f>+IFERROR(VLOOKUP($A73,RAIZ!$A$3:$X$1500,MATCH('Suc. Vistas'!$F$1,RAIZ!$A$2:$X$2,0),FALSE),0)</f>
        <v>0</v>
      </c>
      <c r="D73" s="7"/>
      <c r="E73" s="5"/>
      <c r="F73" s="5">
        <f t="shared" si="17"/>
        <v>0</v>
      </c>
      <c r="G73" s="5"/>
    </row>
    <row r="74" spans="1:7" ht="18.75" hidden="1" customHeight="1" x14ac:dyDescent="0.35">
      <c r="A74" s="93"/>
      <c r="B74" s="112"/>
      <c r="C74" s="5">
        <f>+IFERROR(VLOOKUP($A74,RAIZ!$A$3:$X$1500,MATCH('Suc. Vistas'!$F$1,RAIZ!$A$2:$X$2,0),FALSE),0)</f>
        <v>0</v>
      </c>
      <c r="D74" s="7"/>
      <c r="E74" s="5"/>
      <c r="F74" s="5">
        <f t="shared" si="17"/>
        <v>0</v>
      </c>
      <c r="G74" s="5"/>
    </row>
    <row r="75" spans="1:7" ht="18.75" hidden="1" customHeight="1" x14ac:dyDescent="0.35">
      <c r="A75" s="93"/>
      <c r="B75" s="112"/>
      <c r="C75" s="5">
        <f>+IFERROR(VLOOKUP($A75,RAIZ!$A$3:$X$1500,MATCH('Suc. Vistas'!$F$1,RAIZ!$A$2:$X$2,0),FALSE),0)</f>
        <v>0</v>
      </c>
      <c r="D75" s="7"/>
      <c r="E75" s="5"/>
      <c r="F75" s="5">
        <f t="shared" si="17"/>
        <v>0</v>
      </c>
      <c r="G75" s="5"/>
    </row>
    <row r="76" spans="1:7" ht="18.75" hidden="1" customHeight="1" x14ac:dyDescent="0.35">
      <c r="A76" s="93"/>
      <c r="B76" s="112"/>
      <c r="C76" s="5">
        <f>+IFERROR(VLOOKUP($A76,RAIZ!$A$3:$X$1500,MATCH('Suc. Vistas'!$F$1,RAIZ!$A$2:$X$2,0),FALSE),0)</f>
        <v>0</v>
      </c>
      <c r="D76" s="7"/>
      <c r="E76" s="5"/>
      <c r="F76" s="5">
        <f t="shared" si="17"/>
        <v>0</v>
      </c>
      <c r="G76" s="5"/>
    </row>
    <row r="77" spans="1:7" ht="18.75" hidden="1" customHeight="1" thickBot="1" x14ac:dyDescent="0.4">
      <c r="A77" s="93"/>
      <c r="B77" s="112"/>
      <c r="C77" s="5">
        <f>+IFERROR(VLOOKUP($A77,RAIZ!$A$3:$X$1500,MATCH('Suc. Vistas'!$F$1,RAIZ!$A$2:$X$2,0),FALSE),0)</f>
        <v>0</v>
      </c>
      <c r="D77" s="7"/>
      <c r="E77" s="5"/>
      <c r="F77" s="5">
        <f t="shared" si="17"/>
        <v>0</v>
      </c>
      <c r="G77" s="5"/>
    </row>
    <row r="78" spans="1:7" ht="18.75" customHeight="1" thickBot="1" x14ac:dyDescent="0.4">
      <c r="A78" s="99" t="s">
        <v>54</v>
      </c>
      <c r="B78" s="111"/>
      <c r="C78" s="77">
        <f>SUM(C56:C77)</f>
        <v>19</v>
      </c>
      <c r="D78" s="48">
        <f>SUM(D56:D77)</f>
        <v>25</v>
      </c>
      <c r="E78" s="48">
        <f>SUM(E56:E77)</f>
        <v>0</v>
      </c>
      <c r="F78" s="65">
        <f>SUM(F56:F77)</f>
        <v>6</v>
      </c>
      <c r="G78" s="48">
        <f>SUM(G56:G77)</f>
        <v>6</v>
      </c>
    </row>
    <row r="79" spans="1:7" ht="18.75" customHeight="1" thickBot="1" x14ac:dyDescent="0.4">
      <c r="A79" s="103" t="s">
        <v>55</v>
      </c>
      <c r="B79" s="111"/>
      <c r="C79" s="79">
        <f>C18+C32+C49+C52+C55+C78</f>
        <v>79</v>
      </c>
      <c r="D79" s="52">
        <f>D18+D32+D49+D52+D55+D78</f>
        <v>130</v>
      </c>
      <c r="E79" s="52">
        <f>E18+E32+E49+E52+E55+E78</f>
        <v>0</v>
      </c>
      <c r="F79" s="67">
        <f>F18+F32+F49+F52+F55+F78</f>
        <v>51</v>
      </c>
      <c r="G79" s="52">
        <f>G18+G32+G49+G52+G55+G78</f>
        <v>49</v>
      </c>
    </row>
    <row r="80" spans="1:7" ht="18.75" hidden="1" customHeight="1" x14ac:dyDescent="0.35">
      <c r="A80" s="104" t="s">
        <v>56</v>
      </c>
      <c r="B80" s="111"/>
      <c r="C80" s="68"/>
      <c r="D80" s="26"/>
      <c r="E80" s="27"/>
      <c r="F80" s="27"/>
      <c r="G80" s="27"/>
    </row>
    <row r="81" spans="1:7" ht="18.75" customHeight="1" x14ac:dyDescent="0.35">
      <c r="A81" s="94" t="s">
        <v>57</v>
      </c>
      <c r="B81" s="112" t="s">
        <v>797</v>
      </c>
      <c r="C81" s="5">
        <f>+IFERROR(VLOOKUP($A81,RAIZ!$A$3:$X$1500,MATCH('Suc. Vistas'!$F$1,RAIZ!$A$2:$X$2,0),FALSE),0)</f>
        <v>0</v>
      </c>
      <c r="D81" s="7">
        <v>1</v>
      </c>
      <c r="E81" s="5"/>
      <c r="F81" s="5">
        <f t="shared" ref="F81:F85" si="18">IF(D81-C81&gt;=0,D81-C81,0)</f>
        <v>1</v>
      </c>
      <c r="G81" s="5">
        <v>1</v>
      </c>
    </row>
    <row r="82" spans="1:7" ht="18.75" customHeight="1" x14ac:dyDescent="0.35">
      <c r="A82" s="94" t="s">
        <v>58</v>
      </c>
      <c r="B82" s="112" t="s">
        <v>867</v>
      </c>
      <c r="C82" s="5">
        <f>+IFERROR(VLOOKUP($A82,RAIZ!$A$3:$X$1500,MATCH('Suc. Vistas'!$F$1,RAIZ!$A$2:$X$2,0),FALSE),0)</f>
        <v>0</v>
      </c>
      <c r="D82" s="7">
        <v>1</v>
      </c>
      <c r="E82" s="5"/>
      <c r="F82" s="5">
        <f t="shared" ref="F82" si="19">IF(D82-C82&gt;=0,D82-C82,0)</f>
        <v>1</v>
      </c>
      <c r="G82" s="5">
        <v>1</v>
      </c>
    </row>
    <row r="83" spans="1:7" ht="18.75" hidden="1" customHeight="1" x14ac:dyDescent="0.35">
      <c r="A83" s="94" t="s">
        <v>59</v>
      </c>
      <c r="B83" s="112" t="s">
        <v>798</v>
      </c>
      <c r="C83" s="5">
        <f>+IFERROR(VLOOKUP($A83,RAIZ!$A$3:$X$1500,MATCH('Suc. Vistas'!$F$1,RAIZ!$A$2:$X$2,0),FALSE),0)</f>
        <v>0</v>
      </c>
      <c r="D83" s="7">
        <v>1</v>
      </c>
      <c r="E83" s="5"/>
      <c r="F83" s="5">
        <f t="shared" si="18"/>
        <v>1</v>
      </c>
      <c r="G83" s="5"/>
    </row>
    <row r="84" spans="1:7" ht="18.75" hidden="1" customHeight="1" x14ac:dyDescent="0.35">
      <c r="A84" s="94" t="s">
        <v>60</v>
      </c>
      <c r="B84" s="112" t="s">
        <v>799</v>
      </c>
      <c r="C84" s="5">
        <f>+IFERROR(VLOOKUP($A84,RAIZ!$A$3:$X$1500,MATCH('Suc. Vistas'!$F$1,RAIZ!$A$2:$X$2,0),FALSE),0)</f>
        <v>1</v>
      </c>
      <c r="D84" s="7">
        <v>1</v>
      </c>
      <c r="E84" s="5"/>
      <c r="F84" s="5">
        <f t="shared" si="18"/>
        <v>0</v>
      </c>
      <c r="G84" s="5"/>
    </row>
    <row r="85" spans="1:7" ht="18.75" customHeight="1" x14ac:dyDescent="0.35">
      <c r="A85" s="94" t="s">
        <v>61</v>
      </c>
      <c r="B85" s="112" t="s">
        <v>800</v>
      </c>
      <c r="C85" s="5">
        <f>+IFERROR(VLOOKUP($A85,RAIZ!$A$3:$X$1500,MATCH('Suc. Vistas'!$F$1,RAIZ!$A$2:$X$2,0),FALSE),0)</f>
        <v>0</v>
      </c>
      <c r="D85" s="7">
        <v>1</v>
      </c>
      <c r="E85" s="5"/>
      <c r="F85" s="5">
        <f t="shared" si="18"/>
        <v>1</v>
      </c>
      <c r="G85" s="5">
        <v>1</v>
      </c>
    </row>
    <row r="86" spans="1:7" ht="18.75" customHeight="1" thickBot="1" x14ac:dyDescent="0.4">
      <c r="A86" s="94" t="s">
        <v>63</v>
      </c>
      <c r="B86" s="112" t="s">
        <v>801</v>
      </c>
      <c r="C86" s="5">
        <f>+IFERROR(VLOOKUP($A86,RAIZ!$A$3:$X$1500,MATCH('Suc. Vistas'!$F$1,RAIZ!$A$2:$X$2,0),FALSE),0)</f>
        <v>1</v>
      </c>
      <c r="D86" s="7">
        <v>3</v>
      </c>
      <c r="E86" s="5"/>
      <c r="F86" s="5">
        <f t="shared" ref="F86:F90" si="20">IF(D86-C86&gt;=0,D86-C86,0)</f>
        <v>2</v>
      </c>
      <c r="G86" s="5">
        <v>2</v>
      </c>
    </row>
    <row r="87" spans="1:7" ht="18.75" hidden="1" customHeight="1" x14ac:dyDescent="0.35">
      <c r="A87" s="94"/>
      <c r="B87" s="112" t="s">
        <v>1091</v>
      </c>
      <c r="C87" s="5">
        <f>+IFERROR(VLOOKUP($A87,RAIZ!$A$3:$X$1500,MATCH('Suc. Vistas'!$F$1,RAIZ!$A$2:$X$2,0),FALSE),0)</f>
        <v>0</v>
      </c>
      <c r="D87" s="7"/>
      <c r="E87" s="5"/>
      <c r="F87" s="5">
        <f>IF(D87-C87&gt;=0,D87-C87,0)</f>
        <v>0</v>
      </c>
      <c r="G87" s="5"/>
    </row>
    <row r="88" spans="1:7" ht="18.75" hidden="1" customHeight="1" x14ac:dyDescent="0.35">
      <c r="A88" s="94"/>
      <c r="B88" s="112" t="s">
        <v>1094</v>
      </c>
      <c r="C88" s="5">
        <f>+IFERROR(VLOOKUP($A88,RAIZ!$A$3:$X$1500,MATCH('Suc. Vistas'!$F$1,RAIZ!$A$2:$X$2,0),FALSE),0)</f>
        <v>0</v>
      </c>
      <c r="D88" s="7"/>
      <c r="E88" s="5"/>
      <c r="F88" s="5">
        <f t="shared" si="20"/>
        <v>0</v>
      </c>
      <c r="G88" s="5"/>
    </row>
    <row r="89" spans="1:7" ht="18.75" hidden="1" customHeight="1" x14ac:dyDescent="0.35">
      <c r="A89" s="94"/>
      <c r="B89" s="112" t="s">
        <v>1095</v>
      </c>
      <c r="C89" s="5">
        <f>+IFERROR(VLOOKUP($A89,RAIZ!$A$3:$X$1500,MATCH('Suc. Vistas'!$F$1,RAIZ!$A$2:$X$2,0),FALSE),0)</f>
        <v>0</v>
      </c>
      <c r="D89" s="7"/>
      <c r="E89" s="5"/>
      <c r="F89" s="5">
        <f t="shared" si="20"/>
        <v>0</v>
      </c>
      <c r="G89" s="5"/>
    </row>
    <row r="90" spans="1:7" ht="18.75" hidden="1" customHeight="1" thickBot="1" x14ac:dyDescent="0.4">
      <c r="A90" s="94"/>
      <c r="B90" s="112" t="s">
        <v>1093</v>
      </c>
      <c r="C90" s="5">
        <f>+IFERROR(VLOOKUP($A90,RAIZ!$A$3:$X$1500,MATCH('Suc. Vistas'!$F$1,RAIZ!$A$2:$X$2,0),FALSE),0)</f>
        <v>0</v>
      </c>
      <c r="D90" s="7"/>
      <c r="E90" s="5"/>
      <c r="F90" s="5">
        <f t="shared" si="20"/>
        <v>0</v>
      </c>
      <c r="G90" s="5"/>
    </row>
    <row r="91" spans="1:7" ht="18.75" customHeight="1" thickBot="1" x14ac:dyDescent="0.4">
      <c r="A91" s="105" t="s">
        <v>55</v>
      </c>
      <c r="B91" s="111"/>
      <c r="C91" s="80">
        <f>SUM(C81:C90)</f>
        <v>2</v>
      </c>
      <c r="D91" s="54">
        <f>SUM(D81:D90)</f>
        <v>8</v>
      </c>
      <c r="E91" s="54">
        <f>SUM(E81:E90)</f>
        <v>0</v>
      </c>
      <c r="F91" s="69">
        <f>SUM(F81:F90)</f>
        <v>6</v>
      </c>
      <c r="G91" s="54">
        <f>SUM(G81:G90)</f>
        <v>5</v>
      </c>
    </row>
    <row r="92" spans="1:7" ht="18.75" hidden="1" customHeight="1" x14ac:dyDescent="0.35">
      <c r="A92" s="106" t="s">
        <v>64</v>
      </c>
      <c r="B92" s="111"/>
      <c r="C92" s="70"/>
      <c r="D92" s="30"/>
      <c r="E92" s="31"/>
      <c r="F92" s="31"/>
      <c r="G92" s="31"/>
    </row>
    <row r="93" spans="1:7" ht="18.75" hidden="1" customHeight="1" x14ac:dyDescent="0.35">
      <c r="A93" s="94" t="s">
        <v>65</v>
      </c>
      <c r="B93" s="112" t="s">
        <v>802</v>
      </c>
      <c r="C93" s="5">
        <f>+IFERROR(VLOOKUP($A93,RAIZ!$A$3:$X$1500,MATCH('Suc. Vistas'!$F$1,RAIZ!$A$2:$X$2,0),FALSE),0)</f>
        <v>2</v>
      </c>
      <c r="D93" s="7">
        <v>2</v>
      </c>
      <c r="E93" s="5"/>
      <c r="F93" s="5">
        <f t="shared" ref="F93:F104" si="21">IF(D93-C93&gt;=0,D93-C93,0)</f>
        <v>0</v>
      </c>
      <c r="G93" s="5"/>
    </row>
    <row r="94" spans="1:7" ht="18.75" hidden="1" customHeight="1" x14ac:dyDescent="0.35">
      <c r="A94" s="94" t="s">
        <v>66</v>
      </c>
      <c r="B94" s="112" t="s">
        <v>803</v>
      </c>
      <c r="C94" s="5">
        <f>+IFERROR(VLOOKUP($A94,RAIZ!$A$3:$X$1500,MATCH('Suc. Vistas'!$F$1,RAIZ!$A$2:$X$2,0),FALSE),0)</f>
        <v>2</v>
      </c>
      <c r="D94" s="7">
        <v>2</v>
      </c>
      <c r="E94" s="5"/>
      <c r="F94" s="5">
        <f t="shared" si="21"/>
        <v>0</v>
      </c>
      <c r="G94" s="5"/>
    </row>
    <row r="95" spans="1:7" ht="18.75" hidden="1" customHeight="1" x14ac:dyDescent="0.35">
      <c r="A95" s="94" t="s">
        <v>68</v>
      </c>
      <c r="B95" s="112" t="s">
        <v>805</v>
      </c>
      <c r="C95" s="5">
        <f>+IFERROR(VLOOKUP($A95,RAIZ!$A$3:$X$1500,MATCH('Suc. Vistas'!$F$1,RAIZ!$A$2:$X$2,0),FALSE),0)</f>
        <v>2</v>
      </c>
      <c r="D95" s="7">
        <v>2</v>
      </c>
      <c r="E95" s="5"/>
      <c r="F95" s="5">
        <f t="shared" si="21"/>
        <v>0</v>
      </c>
      <c r="G95" s="5"/>
    </row>
    <row r="96" spans="1:7" ht="18.75" hidden="1" customHeight="1" x14ac:dyDescent="0.35">
      <c r="A96" s="94" t="s">
        <v>69</v>
      </c>
      <c r="B96" s="112" t="s">
        <v>806</v>
      </c>
      <c r="C96" s="5">
        <f>+IFERROR(VLOOKUP($A96,RAIZ!$A$3:$X$1500,MATCH('Suc. Vistas'!$F$1,RAIZ!$A$2:$X$2,0),FALSE),0)</f>
        <v>6</v>
      </c>
      <c r="D96" s="7">
        <v>6</v>
      </c>
      <c r="E96" s="5"/>
      <c r="F96" s="5">
        <f t="shared" si="21"/>
        <v>0</v>
      </c>
      <c r="G96" s="5"/>
    </row>
    <row r="97" spans="1:7" ht="18.75" hidden="1" customHeight="1" x14ac:dyDescent="0.35">
      <c r="A97" s="94" t="s">
        <v>70</v>
      </c>
      <c r="B97" s="112" t="s">
        <v>807</v>
      </c>
      <c r="C97" s="5">
        <f>+IFERROR(VLOOKUP($A97,RAIZ!$A$3:$X$1500,MATCH('Suc. Vistas'!$F$1,RAIZ!$A$2:$X$2,0),FALSE),0)</f>
        <v>6</v>
      </c>
      <c r="D97" s="7">
        <v>6</v>
      </c>
      <c r="E97" s="5"/>
      <c r="F97" s="5">
        <f t="shared" si="21"/>
        <v>0</v>
      </c>
      <c r="G97" s="5"/>
    </row>
    <row r="98" spans="1:7" ht="18.75" customHeight="1" x14ac:dyDescent="0.35">
      <c r="A98" s="94" t="s">
        <v>857</v>
      </c>
      <c r="B98" s="112" t="s">
        <v>808</v>
      </c>
      <c r="C98" s="5">
        <f>+IFERROR(VLOOKUP($A98,RAIZ!$A$3:$X$1500,MATCH('Suc. Vistas'!$F$1,RAIZ!$A$2:$X$2,0),FALSE),0)</f>
        <v>3</v>
      </c>
      <c r="D98" s="7">
        <v>4</v>
      </c>
      <c r="E98" s="201">
        <v>12</v>
      </c>
      <c r="F98" s="5">
        <f t="shared" si="21"/>
        <v>1</v>
      </c>
      <c r="G98" s="5">
        <v>1</v>
      </c>
    </row>
    <row r="99" spans="1:7" ht="18.75" hidden="1" customHeight="1" x14ac:dyDescent="0.35">
      <c r="A99" s="94" t="s">
        <v>835</v>
      </c>
      <c r="B99" s="112" t="s">
        <v>836</v>
      </c>
      <c r="C99" s="5">
        <f>+IFERROR(VLOOKUP($A99,RAIZ!$A$3:$X$1500,MATCH('Suc. Vistas'!$F$1,RAIZ!$A$2:$X$2,0),FALSE),0)</f>
        <v>3</v>
      </c>
      <c r="D99" s="7">
        <v>3</v>
      </c>
      <c r="E99" s="5"/>
      <c r="F99" s="5">
        <f t="shared" ref="F99:F103" si="22">IF(D99-C99&gt;=0,D99-C99,0)</f>
        <v>0</v>
      </c>
      <c r="G99" s="5"/>
    </row>
    <row r="100" spans="1:7" ht="18.75" customHeight="1" x14ac:dyDescent="0.35">
      <c r="A100" s="94" t="s">
        <v>72</v>
      </c>
      <c r="B100" s="112" t="s">
        <v>834</v>
      </c>
      <c r="C100" s="5">
        <f>+IFERROR(VLOOKUP($A100,RAIZ!$A$3:$X$1500,MATCH('Suc. Vistas'!$F$1,RAIZ!$A$2:$X$2,0),FALSE),0)</f>
        <v>7</v>
      </c>
      <c r="D100" s="7">
        <v>30</v>
      </c>
      <c r="E100" s="5">
        <v>0</v>
      </c>
      <c r="F100" s="5">
        <f t="shared" si="22"/>
        <v>23</v>
      </c>
      <c r="G100" s="5">
        <v>23</v>
      </c>
    </row>
    <row r="101" spans="1:7" ht="18.75" customHeight="1" x14ac:dyDescent="0.35">
      <c r="A101" s="94" t="s">
        <v>73</v>
      </c>
      <c r="B101" s="112" t="s">
        <v>809</v>
      </c>
      <c r="C101" s="5">
        <f>+IFERROR(VLOOKUP($A101,RAIZ!$A$3:$X$1500,MATCH('Suc. Vistas'!$F$1,RAIZ!$A$2:$X$2,0),FALSE),0)</f>
        <v>2</v>
      </c>
      <c r="D101" s="7">
        <v>3</v>
      </c>
      <c r="E101" s="5"/>
      <c r="F101" s="5">
        <f t="shared" si="22"/>
        <v>1</v>
      </c>
      <c r="G101" s="5">
        <v>1</v>
      </c>
    </row>
    <row r="102" spans="1:7" ht="18.75" customHeight="1" x14ac:dyDescent="0.35">
      <c r="A102" s="94" t="s">
        <v>74</v>
      </c>
      <c r="B102" s="112" t="s">
        <v>810</v>
      </c>
      <c r="C102" s="5">
        <f>+IFERROR(VLOOKUP($A102,RAIZ!$A$3:$X$1500,MATCH('Suc. Vistas'!$F$1,RAIZ!$A$2:$X$2,0),FALSE),0)</f>
        <v>2</v>
      </c>
      <c r="D102" s="7">
        <v>3</v>
      </c>
      <c r="E102" s="5"/>
      <c r="F102" s="5">
        <f t="shared" si="22"/>
        <v>1</v>
      </c>
      <c r="G102" s="5">
        <v>1</v>
      </c>
    </row>
    <row r="103" spans="1:7" ht="18.75" customHeight="1" thickBot="1" x14ac:dyDescent="0.4">
      <c r="A103" s="94" t="s">
        <v>75</v>
      </c>
      <c r="B103" s="112" t="s">
        <v>811</v>
      </c>
      <c r="C103" s="5">
        <f>+IFERROR(VLOOKUP($A103,RAIZ!$A$3:$X$1500,MATCH('Suc. Vistas'!$F$1,RAIZ!$A$2:$X$2,0),FALSE),0)</f>
        <v>2</v>
      </c>
      <c r="D103" s="7">
        <v>3</v>
      </c>
      <c r="E103" s="5"/>
      <c r="F103" s="5">
        <f t="shared" si="22"/>
        <v>1</v>
      </c>
      <c r="G103" s="5">
        <v>1</v>
      </c>
    </row>
    <row r="104" spans="1:7" ht="18.75" hidden="1" customHeight="1" thickBot="1" x14ac:dyDescent="0.4">
      <c r="A104" s="94"/>
      <c r="B104" s="112" t="s">
        <v>1096</v>
      </c>
      <c r="C104" s="5">
        <f>+IFERROR(VLOOKUP($A104,RAIZ!$A$3:$X$1500,MATCH('Suc. Vistas'!$F$1,RAIZ!$A$2:$X$2,0),FALSE),0)</f>
        <v>0</v>
      </c>
      <c r="D104" s="7"/>
      <c r="E104" s="5"/>
      <c r="F104" s="5">
        <f t="shared" si="21"/>
        <v>0</v>
      </c>
      <c r="G104" s="5"/>
    </row>
    <row r="105" spans="1:7" ht="18.75" customHeight="1" thickBot="1" x14ac:dyDescent="0.4">
      <c r="A105" s="107" t="s">
        <v>55</v>
      </c>
      <c r="B105" s="111"/>
      <c r="C105" s="81">
        <f>SUM(C93:C104)</f>
        <v>37</v>
      </c>
      <c r="D105" s="56">
        <f>SUM(D93:D104)</f>
        <v>64</v>
      </c>
      <c r="E105" s="56">
        <f>SUM(E93:E104)</f>
        <v>12</v>
      </c>
      <c r="F105" s="71">
        <f>SUM(F93:F104)</f>
        <v>27</v>
      </c>
      <c r="G105" s="56">
        <f>SUM(G93:G104)</f>
        <v>27</v>
      </c>
    </row>
    <row r="106" spans="1:7" ht="18.75" hidden="1" customHeight="1" x14ac:dyDescent="0.35">
      <c r="A106" s="108" t="s">
        <v>76</v>
      </c>
      <c r="B106" s="111"/>
      <c r="C106" s="72"/>
      <c r="D106" s="34"/>
      <c r="E106" s="35"/>
      <c r="F106" s="35"/>
      <c r="G106" s="35"/>
    </row>
    <row r="107" spans="1:7" ht="18.75" hidden="1" customHeight="1" x14ac:dyDescent="0.35">
      <c r="A107" s="94" t="s">
        <v>77</v>
      </c>
      <c r="B107" s="112" t="s">
        <v>812</v>
      </c>
      <c r="C107" s="5">
        <f>+IFERROR(VLOOKUP($A107,RAIZ!$A$3:$X$1500,MATCH('Suc. Vistas'!$F$1,RAIZ!$A$2:$X$2,0),FALSE),0)</f>
        <v>2</v>
      </c>
      <c r="D107" s="7">
        <v>2</v>
      </c>
      <c r="E107" s="5"/>
      <c r="F107" s="5">
        <f t="shared" ref="F107:F112" si="23">IF(D107-C107&gt;=0,D107-C107,0)</f>
        <v>0</v>
      </c>
      <c r="G107" s="5"/>
    </row>
    <row r="108" spans="1:7" ht="18.75" hidden="1" customHeight="1" x14ac:dyDescent="0.35">
      <c r="A108" s="94" t="s">
        <v>621</v>
      </c>
      <c r="B108" s="112" t="s">
        <v>813</v>
      </c>
      <c r="C108" s="5">
        <f>+IFERROR(VLOOKUP($A108,RAIZ!$A$3:$X$1500,MATCH('Suc. Vistas'!$F$1,RAIZ!$A$2:$X$2,0),FALSE),0)</f>
        <v>0</v>
      </c>
      <c r="D108" s="7">
        <v>0</v>
      </c>
      <c r="E108" s="5"/>
      <c r="F108" s="5">
        <f t="shared" si="23"/>
        <v>0</v>
      </c>
      <c r="G108" s="5"/>
    </row>
    <row r="109" spans="1:7" ht="18.75" hidden="1" customHeight="1" x14ac:dyDescent="0.35">
      <c r="A109" s="94" t="s">
        <v>80</v>
      </c>
      <c r="B109" s="112" t="s">
        <v>815</v>
      </c>
      <c r="C109" s="5">
        <f>+IFERROR(VLOOKUP($A109,RAIZ!$A$3:$X$1500,MATCH('Suc. Vistas'!$F$1,RAIZ!$A$2:$X$2,0),FALSE),0)</f>
        <v>10</v>
      </c>
      <c r="D109" s="7">
        <v>10</v>
      </c>
      <c r="E109" s="5"/>
      <c r="F109" s="5">
        <f t="shared" si="23"/>
        <v>0</v>
      </c>
      <c r="G109" s="5"/>
    </row>
    <row r="110" spans="1:7" ht="18.75" hidden="1" customHeight="1" x14ac:dyDescent="0.35">
      <c r="A110" s="94" t="s">
        <v>81</v>
      </c>
      <c r="B110" s="112" t="s">
        <v>816</v>
      </c>
      <c r="C110" s="5">
        <f>+IFERROR(VLOOKUP($A110,RAIZ!$A$3:$X$1500,MATCH('Suc. Vistas'!$F$1,RAIZ!$A$2:$X$2,0),FALSE),0)</f>
        <v>12</v>
      </c>
      <c r="D110" s="7">
        <v>10</v>
      </c>
      <c r="E110" s="5"/>
      <c r="F110" s="5">
        <f t="shared" si="23"/>
        <v>0</v>
      </c>
      <c r="G110" s="5"/>
    </row>
    <row r="111" spans="1:7" ht="18.75" customHeight="1" thickBot="1" x14ac:dyDescent="0.4">
      <c r="A111" s="95" t="s">
        <v>83</v>
      </c>
      <c r="B111" s="112" t="s">
        <v>818</v>
      </c>
      <c r="C111" s="5">
        <f>+IFERROR(VLOOKUP($A111,RAIZ!$A$3:$X$1500,MATCH('Suc. Vistas'!$F$1,RAIZ!$A$2:$X$2,0),FALSE),0)</f>
        <v>1</v>
      </c>
      <c r="D111" s="7">
        <v>2</v>
      </c>
      <c r="E111" s="5"/>
      <c r="F111" s="5">
        <f t="shared" si="23"/>
        <v>1</v>
      </c>
      <c r="G111" s="5">
        <v>1</v>
      </c>
    </row>
    <row r="112" spans="1:7" ht="18.75" hidden="1" customHeight="1" thickBot="1" x14ac:dyDescent="0.4">
      <c r="A112" s="95"/>
      <c r="B112" s="112"/>
      <c r="C112" s="5">
        <f>+IFERROR(VLOOKUP($A112,RAIZ!$A$3:$X$1500,MATCH('Suc. Vistas'!$F$1,RAIZ!$A$2:$X$2,0),FALSE),0)</f>
        <v>0</v>
      </c>
      <c r="D112" s="7"/>
      <c r="E112" s="5"/>
      <c r="F112" s="5">
        <f t="shared" si="23"/>
        <v>0</v>
      </c>
      <c r="G112" s="5"/>
    </row>
    <row r="113" spans="1:7" ht="18.75" customHeight="1" thickBot="1" x14ac:dyDescent="0.4">
      <c r="A113" s="109" t="s">
        <v>55</v>
      </c>
      <c r="B113" s="111"/>
      <c r="C113" s="82">
        <f>SUM(C107:C112,C114:C116)</f>
        <v>32</v>
      </c>
      <c r="D113" s="58">
        <f>SUM(D107:D112,D114:D116)</f>
        <v>32</v>
      </c>
      <c r="E113" s="58">
        <f>SUM(E107:E112,E114:E116)</f>
        <v>0</v>
      </c>
      <c r="F113" s="73">
        <f>SUM(F107:F112,F114:F116)</f>
        <v>2</v>
      </c>
      <c r="G113" s="58">
        <f>SUM(G107:G112,G114:G116)</f>
        <v>2</v>
      </c>
    </row>
    <row r="114" spans="1:7" ht="18.75" customHeight="1" thickBot="1" x14ac:dyDescent="0.4">
      <c r="A114" s="93" t="s">
        <v>84</v>
      </c>
      <c r="B114" s="112" t="s">
        <v>819</v>
      </c>
      <c r="C114" s="5">
        <f>+IFERROR(VLOOKUP($A114,RAIZ!$A$3:$X$1500,MATCH('Suc. Vistas'!$F$1,RAIZ!$A$2:$X$2,0),FALSE),0)</f>
        <v>2</v>
      </c>
      <c r="D114" s="7">
        <v>3</v>
      </c>
      <c r="E114" s="5"/>
      <c r="F114" s="5">
        <f t="shared" ref="F114" si="24">IF(D114-C114&gt;=0,D114-C114,0)</f>
        <v>1</v>
      </c>
      <c r="G114" s="5">
        <v>1</v>
      </c>
    </row>
    <row r="115" spans="1:7" ht="18.75" hidden="1" customHeight="1" x14ac:dyDescent="0.35">
      <c r="A115" s="95" t="s">
        <v>85</v>
      </c>
      <c r="B115" s="112" t="s">
        <v>820</v>
      </c>
      <c r="C115" s="5">
        <f>+IFERROR(VLOOKUP($A115,RAIZ!$A$3:$X$1500,MATCH('Suc. Vistas'!$F$1,RAIZ!$A$2:$X$2,0),FALSE),0)</f>
        <v>3</v>
      </c>
      <c r="D115" s="7">
        <v>3</v>
      </c>
      <c r="E115" s="5"/>
      <c r="F115" s="5">
        <f t="shared" ref="F115:F140" si="25">IF(D115-C115&gt;=0,D115-C115,0)</f>
        <v>0</v>
      </c>
      <c r="G115" s="5"/>
    </row>
    <row r="116" spans="1:7" ht="18.75" hidden="1" customHeight="1" thickBot="1" x14ac:dyDescent="0.4">
      <c r="A116" s="95" t="s">
        <v>881</v>
      </c>
      <c r="B116" s="112" t="s">
        <v>882</v>
      </c>
      <c r="C116" s="5">
        <f>+IFERROR(VLOOKUP($A116,RAIZ!$A$3:$X$1500,MATCH('Suc. Vistas'!$F$1,RAIZ!$A$2:$X$2,0),FALSE),0)</f>
        <v>2</v>
      </c>
      <c r="D116" s="7">
        <v>2</v>
      </c>
      <c r="E116" s="5"/>
      <c r="F116" s="5">
        <f t="shared" si="25"/>
        <v>0</v>
      </c>
      <c r="G116" s="5"/>
    </row>
    <row r="117" spans="1:7" ht="18.75" customHeight="1" thickBot="1" x14ac:dyDescent="0.4">
      <c r="A117" s="110" t="s">
        <v>86</v>
      </c>
      <c r="B117" s="111"/>
      <c r="C117" s="83">
        <f>C79+C91+C105+C113</f>
        <v>150</v>
      </c>
      <c r="D117" s="60">
        <f>D79+D91+D105+D113</f>
        <v>234</v>
      </c>
      <c r="E117" s="60">
        <f>E79+E91+E105+E113</f>
        <v>12</v>
      </c>
      <c r="F117" s="74">
        <f>F79+F91+F105+F113</f>
        <v>86</v>
      </c>
      <c r="G117" s="60">
        <f>G79+G91+G105+G113</f>
        <v>83</v>
      </c>
    </row>
    <row r="118" spans="1:7" ht="18.75" customHeight="1" thickBot="1" x14ac:dyDescent="0.4">
      <c r="A118" s="95" t="s">
        <v>975</v>
      </c>
      <c r="B118" s="112" t="s">
        <v>976</v>
      </c>
      <c r="C118" s="5">
        <f>+IFERROR(VLOOKUP($A118,RAIZ!$A$3:$X$1500,MATCH('Suc. Vistas'!$F$1,RAIZ!$A$2:$X$2,0),FALSE),0)</f>
        <v>0</v>
      </c>
      <c r="D118" s="7">
        <v>3</v>
      </c>
      <c r="E118" s="5"/>
      <c r="F118" s="5">
        <f>IF(D118-C118&gt;=0,D118-C118,0)</f>
        <v>3</v>
      </c>
      <c r="G118" s="5">
        <v>3</v>
      </c>
    </row>
    <row r="119" spans="1:7" ht="18.75" hidden="1" customHeight="1" x14ac:dyDescent="0.35">
      <c r="A119" s="95" t="s">
        <v>974</v>
      </c>
      <c r="B119" s="112" t="s">
        <v>977</v>
      </c>
      <c r="C119" s="5">
        <f>+IFERROR(VLOOKUP($A119,RAIZ!$A$3:$X$1500,MATCH('Suc. Vistas'!$F$1,RAIZ!$A$2:$X$2,0),FALSE),0)</f>
        <v>1</v>
      </c>
      <c r="D119" s="7">
        <v>3</v>
      </c>
      <c r="E119" s="5"/>
      <c r="F119" s="5">
        <f t="shared" si="25"/>
        <v>2</v>
      </c>
      <c r="G119" s="5"/>
    </row>
    <row r="120" spans="1:7" ht="18.75" hidden="1" customHeight="1" thickBot="1" x14ac:dyDescent="0.4">
      <c r="A120" s="95" t="s">
        <v>1077</v>
      </c>
      <c r="B120" s="112" t="s">
        <v>817</v>
      </c>
      <c r="C120" s="5">
        <f>+IFERROR(VLOOKUP($A120,RAIZ!$A$3:$X$1500,MATCH('Suc. Vistas'!$F$1,RAIZ!$A$2:$X$2,0),FALSE),0)</f>
        <v>0</v>
      </c>
      <c r="D120" s="7"/>
      <c r="E120" s="5"/>
      <c r="F120" s="5">
        <f t="shared" si="25"/>
        <v>0</v>
      </c>
      <c r="G120" s="5"/>
    </row>
    <row r="121" spans="1:7" ht="18.75" hidden="1" customHeight="1" thickBot="1" x14ac:dyDescent="0.4">
      <c r="A121" s="95" t="s">
        <v>1076</v>
      </c>
      <c r="B121" s="194" t="s">
        <v>1121</v>
      </c>
      <c r="C121" s="5">
        <f>+IFERROR(VLOOKUP($A121,RAIZ!$A$3:$X$1500,MATCH('Suc. Vistas'!$F$1,RAIZ!$A$2:$X$2,0),FALSE),0)</f>
        <v>0</v>
      </c>
      <c r="D121" s="7"/>
      <c r="E121" s="5"/>
      <c r="F121" s="5">
        <f t="shared" si="25"/>
        <v>0</v>
      </c>
      <c r="G121" s="5"/>
    </row>
    <row r="122" spans="1:7" ht="18.75" customHeight="1" thickBot="1" x14ac:dyDescent="0.4">
      <c r="A122" s="95" t="s">
        <v>1014</v>
      </c>
      <c r="B122" s="194" t="s">
        <v>1010</v>
      </c>
      <c r="C122" s="5">
        <f>+IFERROR(VLOOKUP($A122,RAIZ!$A$3:$X$1500,MATCH('Suc. Vistas'!$F$1,RAIZ!$A$2:$X$2,0),FALSE),0)</f>
        <v>4</v>
      </c>
      <c r="D122" s="7">
        <v>10</v>
      </c>
      <c r="E122" s="5"/>
      <c r="F122" s="5">
        <f t="shared" si="25"/>
        <v>6</v>
      </c>
      <c r="G122" s="5">
        <v>6</v>
      </c>
    </row>
    <row r="123" spans="1:7" ht="18.75" hidden="1" customHeight="1" thickBot="1" x14ac:dyDescent="0.4">
      <c r="A123" s="95" t="s">
        <v>1015</v>
      </c>
      <c r="B123" s="194" t="s">
        <v>1011</v>
      </c>
      <c r="C123" s="147">
        <f>+IFERROR(VLOOKUP($A123,RAIZ!$A$3:$X$1500,MATCH('Suc. Vistas'!$F$1,RAIZ!$A$2:$X$2,0),FALSE),0)</f>
        <v>10</v>
      </c>
      <c r="D123" s="7">
        <v>10</v>
      </c>
      <c r="E123" s="5"/>
      <c r="F123" s="5">
        <f t="shared" si="25"/>
        <v>0</v>
      </c>
      <c r="G123" s="5"/>
    </row>
    <row r="124" spans="1:7" ht="18.75" hidden="1" customHeight="1" thickBot="1" x14ac:dyDescent="0.4">
      <c r="A124" s="95" t="s">
        <v>1016</v>
      </c>
      <c r="B124" s="194" t="s">
        <v>1012</v>
      </c>
      <c r="C124" s="147">
        <f>+IFERROR(VLOOKUP($A124,RAIZ!$A$3:$X$1500,MATCH('Suc. Vistas'!$F$1,RAIZ!$A$2:$X$2,0),FALSE),0)</f>
        <v>5</v>
      </c>
      <c r="D124" s="7">
        <v>5</v>
      </c>
      <c r="E124" s="5"/>
      <c r="F124" s="5">
        <f t="shared" si="25"/>
        <v>0</v>
      </c>
      <c r="G124" s="5"/>
    </row>
    <row r="125" spans="1:7" ht="18.75" hidden="1" customHeight="1" thickBot="1" x14ac:dyDescent="0.4">
      <c r="A125" s="95" t="s">
        <v>1017</v>
      </c>
      <c r="B125" s="194" t="s">
        <v>1013</v>
      </c>
      <c r="C125" s="147">
        <f>+IFERROR(VLOOKUP($A125,RAIZ!$A$3:$X$1500,MATCH('Suc. Vistas'!$F$1,RAIZ!$A$2:$X$2,0),FALSE),0)</f>
        <v>10</v>
      </c>
      <c r="D125" s="18">
        <v>10</v>
      </c>
      <c r="E125" s="5"/>
      <c r="F125" s="5">
        <f t="shared" si="25"/>
        <v>0</v>
      </c>
      <c r="G125" s="5"/>
    </row>
    <row r="126" spans="1:7" ht="18.75" hidden="1" customHeight="1" thickBot="1" x14ac:dyDescent="0.4">
      <c r="A126" s="95" t="s">
        <v>1125</v>
      </c>
      <c r="B126" s="194" t="s">
        <v>1127</v>
      </c>
      <c r="C126" s="147">
        <f>+IFERROR(VLOOKUP($A126,RAIZ!$A$3:$X$1500,MATCH('Suc. Vistas'!$F$1,RAIZ!$A$2:$X$2,0),FALSE),0)</f>
        <v>1</v>
      </c>
      <c r="D126" s="7"/>
      <c r="E126" s="5"/>
      <c r="F126" s="5">
        <f t="shared" si="25"/>
        <v>0</v>
      </c>
      <c r="G126" s="5"/>
    </row>
    <row r="127" spans="1:7" ht="18.75" hidden="1" customHeight="1" thickBot="1" x14ac:dyDescent="0.4">
      <c r="A127" s="95" t="s">
        <v>1126</v>
      </c>
      <c r="B127" s="194" t="s">
        <v>1128</v>
      </c>
      <c r="C127" s="147">
        <f>+IFERROR(VLOOKUP($A127,RAIZ!$A$3:$X$1500,MATCH('Suc. Vistas'!$F$1,RAIZ!$A$2:$X$2,0),FALSE),0)</f>
        <v>0</v>
      </c>
      <c r="D127" s="18"/>
      <c r="E127" s="184"/>
      <c r="F127" s="184">
        <f t="shared" si="25"/>
        <v>0</v>
      </c>
      <c r="G127" s="181"/>
    </row>
    <row r="128" spans="1:7" ht="18.75" customHeight="1" thickBot="1" x14ac:dyDescent="0.4">
      <c r="A128" s="95" t="s">
        <v>568</v>
      </c>
      <c r="B128" s="194" t="s">
        <v>1131</v>
      </c>
      <c r="C128" s="186">
        <f>+IFERROR(VLOOKUP($A128,RAIZ!$A$3:$X$1500,MATCH('Suc. Vistas'!$F$1,RAIZ!$A$2:$X$2,0),FALSE),0)</f>
        <v>1</v>
      </c>
      <c r="D128" s="18">
        <v>3</v>
      </c>
      <c r="E128" s="185"/>
      <c r="F128" s="185">
        <f t="shared" si="25"/>
        <v>2</v>
      </c>
      <c r="G128" s="185">
        <v>2</v>
      </c>
    </row>
    <row r="129" spans="1:7" ht="18.75" hidden="1" customHeight="1" thickBot="1" x14ac:dyDescent="0.4">
      <c r="A129" s="95" t="s">
        <v>565</v>
      </c>
      <c r="B129" s="194" t="s">
        <v>1142</v>
      </c>
      <c r="C129" s="187">
        <f>+IFERROR(VLOOKUP($A129,RAIZ!$A$3:$X$1500,MATCH('Suc. Vistas'!$F$1,RAIZ!$A$2:$X$2,0),FALSE),0)</f>
        <v>1</v>
      </c>
      <c r="D129" s="18">
        <v>2</v>
      </c>
      <c r="E129" s="185"/>
      <c r="F129" s="185">
        <f t="shared" si="25"/>
        <v>1</v>
      </c>
      <c r="G129" s="185"/>
    </row>
    <row r="130" spans="1:7" ht="18.75" customHeight="1" thickBot="1" x14ac:dyDescent="0.4">
      <c r="A130" s="95" t="s">
        <v>912</v>
      </c>
      <c r="B130" s="194" t="s">
        <v>1136</v>
      </c>
      <c r="C130" s="187">
        <f>+IFERROR(VLOOKUP($A130,RAIZ!$A$3:$X$1500,MATCH('Suc. Vistas'!$F$1,RAIZ!$A$2:$X$2,0),FALSE),0)</f>
        <v>0</v>
      </c>
      <c r="D130" s="18">
        <v>2</v>
      </c>
      <c r="E130" s="185"/>
      <c r="F130" s="185">
        <f t="shared" si="25"/>
        <v>2</v>
      </c>
      <c r="G130" s="185">
        <v>2</v>
      </c>
    </row>
    <row r="131" spans="1:7" ht="18.75" customHeight="1" thickBot="1" x14ac:dyDescent="0.4">
      <c r="A131" s="95" t="s">
        <v>557</v>
      </c>
      <c r="B131" s="194" t="s">
        <v>1137</v>
      </c>
      <c r="C131" s="187">
        <f>+IFERROR(VLOOKUP($A131,RAIZ!$A$3:$X$1500,MATCH('Suc. Vistas'!$F$1,RAIZ!$A$2:$X$2,0),FALSE),0)</f>
        <v>1</v>
      </c>
      <c r="D131" s="18">
        <v>2</v>
      </c>
      <c r="E131" s="185"/>
      <c r="F131" s="185">
        <f t="shared" si="25"/>
        <v>1</v>
      </c>
      <c r="G131" s="185">
        <v>1</v>
      </c>
    </row>
    <row r="132" spans="1:7" ht="18.75" hidden="1" customHeight="1" thickBot="1" x14ac:dyDescent="0.4">
      <c r="A132" s="95" t="s">
        <v>573</v>
      </c>
      <c r="B132" s="194" t="s">
        <v>1138</v>
      </c>
      <c r="C132" s="187">
        <f>+IFERROR(VLOOKUP($A132,RAIZ!$A$3:$X$1500,MATCH('Suc. Vistas'!$F$1,RAIZ!$A$2:$X$2,0),FALSE),0)</f>
        <v>0</v>
      </c>
      <c r="D132" s="18">
        <v>1</v>
      </c>
      <c r="E132" s="185"/>
      <c r="F132" s="185">
        <f t="shared" si="25"/>
        <v>1</v>
      </c>
      <c r="G132" s="185"/>
    </row>
    <row r="133" spans="1:7" ht="18.75" customHeight="1" thickBot="1" x14ac:dyDescent="0.4">
      <c r="A133" s="95" t="s">
        <v>421</v>
      </c>
      <c r="B133" s="194" t="s">
        <v>1140</v>
      </c>
      <c r="C133" s="187">
        <f>+IFERROR(VLOOKUP($A133,RAIZ!$A$3:$X$1500,MATCH('Suc. Vistas'!$F$1,RAIZ!$A$2:$X$2,0),FALSE),0)</f>
        <v>1</v>
      </c>
      <c r="D133" s="18">
        <v>2</v>
      </c>
      <c r="E133" s="185"/>
      <c r="F133" s="185">
        <f t="shared" si="25"/>
        <v>1</v>
      </c>
      <c r="G133" s="185">
        <v>1</v>
      </c>
    </row>
    <row r="134" spans="1:7" ht="18.75" hidden="1" customHeight="1" thickBot="1" x14ac:dyDescent="0.4">
      <c r="A134" s="95" t="s">
        <v>249</v>
      </c>
      <c r="B134" s="194" t="s">
        <v>1134</v>
      </c>
      <c r="C134" s="187">
        <f>+IFERROR(VLOOKUP($A134,RAIZ!$A$3:$X$1500,MATCH('Suc. Vistas'!$F$1,RAIZ!$A$2:$X$2,0),FALSE),0)</f>
        <v>2</v>
      </c>
      <c r="D134" s="18">
        <v>2</v>
      </c>
      <c r="E134" s="185"/>
      <c r="F134" s="185">
        <f t="shared" si="25"/>
        <v>0</v>
      </c>
      <c r="G134" s="185"/>
    </row>
    <row r="135" spans="1:7" ht="18.75" hidden="1" customHeight="1" thickBot="1" x14ac:dyDescent="0.4">
      <c r="A135" s="95" t="s">
        <v>1030</v>
      </c>
      <c r="B135" s="194" t="s">
        <v>1143</v>
      </c>
      <c r="C135" s="187">
        <f>+IFERROR(VLOOKUP($A135,RAIZ!$A$3:$X$1500,MATCH('Suc. Vistas'!$F$1,RAIZ!$A$2:$X$2,0),FALSE),0)</f>
        <v>5</v>
      </c>
      <c r="D135" s="18">
        <v>6</v>
      </c>
      <c r="E135" s="185"/>
      <c r="F135" s="185">
        <f t="shared" si="25"/>
        <v>1</v>
      </c>
      <c r="G135" s="185"/>
    </row>
    <row r="136" spans="1:7" ht="18.75" hidden="1" customHeight="1" thickBot="1" x14ac:dyDescent="0.4">
      <c r="A136" s="95" t="s">
        <v>253</v>
      </c>
      <c r="B136" s="194" t="s">
        <v>1135</v>
      </c>
      <c r="C136" s="187">
        <f>+IFERROR(VLOOKUP($A136,RAIZ!$A$3:$X$1500,MATCH('Suc. Vistas'!$F$1,RAIZ!$A$2:$X$2,0),FALSE),0)</f>
        <v>4</v>
      </c>
      <c r="D136" s="18">
        <v>2</v>
      </c>
      <c r="E136" s="185"/>
      <c r="F136" s="185">
        <f t="shared" si="25"/>
        <v>0</v>
      </c>
      <c r="G136" s="185"/>
    </row>
    <row r="137" spans="1:7" ht="18.75" hidden="1" customHeight="1" thickBot="1" x14ac:dyDescent="0.4">
      <c r="A137" s="95" t="s">
        <v>240</v>
      </c>
      <c r="B137" s="194" t="s">
        <v>1139</v>
      </c>
      <c r="C137" s="187">
        <f>+IFERROR(VLOOKUP($A137,RAIZ!$A$3:$X$1500,MATCH('Suc. Vistas'!$F$1,RAIZ!$A$2:$X$2,0),FALSE),0)</f>
        <v>0</v>
      </c>
      <c r="D137" s="18">
        <v>0</v>
      </c>
      <c r="E137" s="185"/>
      <c r="F137" s="185">
        <f t="shared" si="25"/>
        <v>0</v>
      </c>
      <c r="G137" s="185"/>
    </row>
    <row r="138" spans="1:7" ht="18.75" hidden="1" customHeight="1" thickBot="1" x14ac:dyDescent="0.4">
      <c r="A138" s="95" t="s">
        <v>204</v>
      </c>
      <c r="B138" s="194" t="s">
        <v>1106</v>
      </c>
      <c r="C138" s="187">
        <f>+IFERROR(VLOOKUP($A138,RAIZ!$A$3:$X$1500,MATCH('Suc. Vistas'!$F$1,RAIZ!$A$2:$X$2,0),FALSE),0)</f>
        <v>0</v>
      </c>
      <c r="D138" s="18">
        <v>0</v>
      </c>
      <c r="E138" s="185"/>
      <c r="F138" s="185">
        <f t="shared" si="25"/>
        <v>0</v>
      </c>
      <c r="G138" s="185"/>
    </row>
    <row r="139" spans="1:7" ht="18.75" hidden="1" customHeight="1" thickBot="1" x14ac:dyDescent="0.4">
      <c r="A139" s="95" t="s">
        <v>1132</v>
      </c>
      <c r="B139" s="194" t="s">
        <v>1141</v>
      </c>
      <c r="C139" s="187">
        <f>+IFERROR(VLOOKUP($A139,RAIZ!$A$3:$X$1500,MATCH('Suc. Vistas'!$F$1,RAIZ!$A$2:$X$2,0),FALSE),0)</f>
        <v>1</v>
      </c>
      <c r="D139" s="18">
        <v>1</v>
      </c>
      <c r="E139" s="185"/>
      <c r="F139" s="185">
        <f t="shared" si="25"/>
        <v>0</v>
      </c>
      <c r="G139" s="185"/>
    </row>
    <row r="140" spans="1:7" ht="18.75" hidden="1" customHeight="1" thickBot="1" x14ac:dyDescent="0.4">
      <c r="A140" s="95" t="s">
        <v>914</v>
      </c>
      <c r="B140" s="194" t="s">
        <v>1133</v>
      </c>
      <c r="C140" s="187">
        <f>+IFERROR(VLOOKUP($A140,RAIZ!$A$3:$X$1500,MATCH('Suc. Vistas'!$F$1,RAIZ!$A$2:$X$2,0),FALSE),0)</f>
        <v>1</v>
      </c>
      <c r="D140" s="18">
        <v>1</v>
      </c>
      <c r="E140" s="185"/>
      <c r="F140" s="185">
        <f t="shared" si="25"/>
        <v>0</v>
      </c>
      <c r="G140" s="185"/>
    </row>
    <row r="141" spans="1:7" ht="18.75" hidden="1" customHeight="1" thickBot="1" x14ac:dyDescent="0.4">
      <c r="A141" s="243" t="s">
        <v>1120</v>
      </c>
      <c r="B141" s="194" t="s">
        <v>1159</v>
      </c>
      <c r="C141" s="187">
        <f>+IFERROR(VLOOKUP($A141,RAIZ!$A$3:$X$1500,MATCH('Suc. Vistas'!$F$1,RAIZ!$A$2:$X$2,0),FALSE),0)</f>
        <v>0</v>
      </c>
      <c r="D141" s="18"/>
      <c r="E141" s="185"/>
      <c r="F141" s="185"/>
      <c r="G141" s="185"/>
    </row>
    <row r="142" spans="1:7" ht="18.75" hidden="1" customHeight="1" thickBot="1" x14ac:dyDescent="0.4">
      <c r="A142" s="95"/>
      <c r="B142" s="194"/>
      <c r="C142" s="187">
        <f>+IFERROR(VLOOKUP($A142,RAIZ!$A$3:$X$1500,MATCH('Suc. Vistas'!$F$1,RAIZ!$A$2:$X$2,0),FALSE),0)</f>
        <v>0</v>
      </c>
      <c r="D142" s="18"/>
      <c r="E142" s="185"/>
      <c r="F142" s="185"/>
      <c r="G142" s="185"/>
    </row>
    <row r="143" spans="1:7" ht="18.75" hidden="1" customHeight="1" thickBot="1" x14ac:dyDescent="0.4">
      <c r="A143" s="95"/>
      <c r="B143" s="193"/>
      <c r="C143" s="187">
        <f>+IFERROR(VLOOKUP($A143,RAIZ!$A$3:$X$1500,MATCH('Suc. Vistas'!$F$1,RAIZ!$A$2:$X$2,0),FALSE),0)</f>
        <v>0</v>
      </c>
      <c r="D143" s="18"/>
      <c r="E143" s="185"/>
      <c r="F143" s="185"/>
      <c r="G143" s="185"/>
    </row>
    <row r="144" spans="1:7" ht="18.75" hidden="1" customHeight="1" thickBot="1" x14ac:dyDescent="0.4">
      <c r="A144" s="95"/>
      <c r="B144" s="194"/>
      <c r="C144" s="187">
        <f>+IFERROR(VLOOKUP($A144,RAIZ!$A$3:$X$1500,MATCH('Suc. Vistas'!$F$1,RAIZ!$A$2:$X$2,0),FALSE),0)</f>
        <v>0</v>
      </c>
      <c r="D144" s="18"/>
      <c r="E144" s="185"/>
      <c r="F144" s="185"/>
      <c r="G144" s="185"/>
    </row>
    <row r="145" spans="1:7" ht="18.75" hidden="1" customHeight="1" thickBot="1" x14ac:dyDescent="0.4">
      <c r="A145" s="95"/>
      <c r="B145" s="192"/>
      <c r="C145" s="187">
        <f>+IFERROR(VLOOKUP($A145,RAIZ!$A$3:$X$1500,MATCH('Suc. Vistas'!$F$1,RAIZ!$A$2:$X$2,0),FALSE),0)</f>
        <v>0</v>
      </c>
      <c r="D145" s="18"/>
      <c r="E145" s="185"/>
      <c r="F145" s="185"/>
      <c r="G145" s="185"/>
    </row>
    <row r="146" spans="1:7" ht="18.75" hidden="1" customHeight="1" thickBot="1" x14ac:dyDescent="0.4">
      <c r="A146" s="95"/>
      <c r="B146" s="194"/>
      <c r="C146" s="187">
        <f>+IFERROR(VLOOKUP($A146,RAIZ!$A$3:$X$1500,MATCH('Suc. Vistas'!$F$1,RAIZ!$A$2:$X$2,0),FALSE),0)</f>
        <v>0</v>
      </c>
      <c r="D146" s="18"/>
      <c r="E146" s="185"/>
      <c r="F146" s="185"/>
      <c r="G146" s="185"/>
    </row>
    <row r="147" spans="1:7" ht="18.75" hidden="1" customHeight="1" thickBot="1" x14ac:dyDescent="0.4">
      <c r="A147" s="95"/>
      <c r="B147" s="193"/>
      <c r="C147" s="187">
        <f>+IFERROR(VLOOKUP($A147,RAIZ!$A$3:$X$1500,MATCH('Suc. Vistas'!$F$1,RAIZ!$A$2:$X$2,0),FALSE),0)</f>
        <v>0</v>
      </c>
      <c r="D147" s="14"/>
      <c r="E147" s="185"/>
      <c r="F147" s="185"/>
      <c r="G147" s="185"/>
    </row>
    <row r="148" spans="1:7" ht="18.75" hidden="1" customHeight="1" thickBot="1" x14ac:dyDescent="0.4">
      <c r="A148" s="95"/>
      <c r="B148" s="193"/>
      <c r="C148" s="188">
        <f>+IFERROR(VLOOKUP($A148,RAIZ!$A$3:$X$1500,MATCH('Suc. Vistas'!$F$1,RAIZ!$A$2:$X$2,0),FALSE),0)</f>
        <v>0</v>
      </c>
      <c r="D148" s="14"/>
      <c r="E148" s="185"/>
      <c r="F148" s="185"/>
      <c r="G148" s="185"/>
    </row>
    <row r="149" spans="1:7" ht="18.75" customHeight="1" thickBot="1" x14ac:dyDescent="0.4">
      <c r="A149" s="173"/>
      <c r="B149" s="109"/>
      <c r="C149" s="182">
        <f>SUM(C118:C127,)</f>
        <v>31</v>
      </c>
      <c r="D149" s="182">
        <f>SUM(D118:D127,)</f>
        <v>41</v>
      </c>
      <c r="E149" s="182">
        <f>SUM(E118:E127,)</f>
        <v>0</v>
      </c>
      <c r="F149" s="182">
        <f>SUM(F118:F127,)</f>
        <v>11</v>
      </c>
      <c r="G149" s="182">
        <f>SUM(G118:G148,)</f>
        <v>15</v>
      </c>
    </row>
    <row r="150" spans="1:7" ht="18.75" customHeight="1" thickBot="1" x14ac:dyDescent="0.4">
      <c r="A150" s="110" t="s">
        <v>86</v>
      </c>
      <c r="B150" s="111"/>
      <c r="C150" s="83">
        <f>C149+C117</f>
        <v>181</v>
      </c>
      <c r="D150" s="83">
        <f>D149+D117</f>
        <v>275</v>
      </c>
      <c r="E150" s="83">
        <f>E149+E117</f>
        <v>12</v>
      </c>
      <c r="F150" s="83">
        <f>F149+F117</f>
        <v>97</v>
      </c>
      <c r="G150" s="83">
        <f>G149+G117</f>
        <v>98</v>
      </c>
    </row>
  </sheetData>
  <autoFilter ref="A2:H150" xr:uid="{9AD7ADF2-77B2-4971-A8F9-AF02E6776F97}">
    <filterColumn colId="6">
      <customFilters>
        <customFilter operator="notEqual" val=" "/>
      </customFilters>
    </filterColumn>
  </autoFilter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BE5C15F0-40B1-468A-A898-62110D2EDD5B}">
          <x14:formula1>
            <xm:f>Hoja1!$C$2:$C$9</xm:f>
          </x14:formula1>
          <xm:sqref>H2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A99BB-E366-470C-88CE-FFFB446F6FB9}">
  <sheetPr codeName="Hoja19" filterMode="1">
    <tabColor rgb="FF00B050"/>
  </sheetPr>
  <dimension ref="A1:H150"/>
  <sheetViews>
    <sheetView zoomScale="80" zoomScaleNormal="80" workbookViewId="0">
      <pane xSplit="2" ySplit="2" topLeftCell="G71" activePane="bottomRight" state="frozen"/>
      <selection activeCell="I134" sqref="I134"/>
      <selection pane="topRight" activeCell="I134" sqref="I134"/>
      <selection pane="bottomLeft" activeCell="I134" sqref="I134"/>
      <selection pane="bottomRight" activeCell="G95" sqref="G95"/>
    </sheetView>
  </sheetViews>
  <sheetFormatPr baseColWidth="10" defaultRowHeight="18" x14ac:dyDescent="0.35"/>
  <cols>
    <col min="1" max="1" width="55.6640625" customWidth="1"/>
    <col min="2" max="2" width="7.6640625" style="91" bestFit="1" customWidth="1"/>
    <col min="3" max="3" width="14" bestFit="1" customWidth="1"/>
    <col min="4" max="5" width="15" style="84" customWidth="1"/>
    <col min="6" max="6" width="14.5546875" customWidth="1"/>
  </cols>
  <sheetData>
    <row r="1" spans="1:8" ht="18.600000000000001" thickBot="1" x14ac:dyDescent="0.4">
      <c r="A1" s="1">
        <f>RAIZ!B1</f>
        <v>46301</v>
      </c>
      <c r="C1" s="2"/>
      <c r="D1" s="2" t="s">
        <v>702</v>
      </c>
      <c r="E1" s="2"/>
      <c r="F1" s="2" t="s">
        <v>105</v>
      </c>
      <c r="H1" t="s">
        <v>743</v>
      </c>
    </row>
    <row r="2" spans="1:8" ht="31.8" thickBot="1" x14ac:dyDescent="0.35">
      <c r="A2" s="90" t="s">
        <v>0</v>
      </c>
      <c r="B2" s="92" t="s">
        <v>755</v>
      </c>
      <c r="C2" s="39" t="s">
        <v>703</v>
      </c>
      <c r="D2" s="40" t="s">
        <v>704</v>
      </c>
      <c r="E2" s="88" t="s">
        <v>726</v>
      </c>
      <c r="F2" s="41" t="s">
        <v>705</v>
      </c>
      <c r="G2" s="62" t="s">
        <v>725</v>
      </c>
      <c r="H2" s="87" t="s">
        <v>731</v>
      </c>
    </row>
    <row r="3" spans="1:8" ht="18.75" customHeight="1" x14ac:dyDescent="0.35">
      <c r="A3" s="93" t="s">
        <v>1</v>
      </c>
      <c r="B3" s="112" t="s">
        <v>756</v>
      </c>
      <c r="C3" s="5">
        <f>+IFERROR(VLOOKUP($A3,RAIZ!$A$3:$X$1500,MATCH('Suc. Xalisco'!$F$1,RAIZ!$A$2:$X$2,0),FALSE),0)</f>
        <v>1</v>
      </c>
      <c r="D3" s="4">
        <v>2</v>
      </c>
      <c r="E3" s="5"/>
      <c r="F3" s="5">
        <f>IF(D3-C3&gt;=0,D3-C3,0)</f>
        <v>1</v>
      </c>
      <c r="G3" s="5">
        <v>1</v>
      </c>
    </row>
    <row r="4" spans="1:8" ht="18.75" customHeight="1" x14ac:dyDescent="0.35">
      <c r="A4" s="93" t="s">
        <v>2</v>
      </c>
      <c r="B4" s="112" t="s">
        <v>865</v>
      </c>
      <c r="C4" s="5">
        <f>+IFERROR(VLOOKUP($A4,RAIZ!$A$3:$X$1500,MATCH('Suc. Xalisco'!$F$1,RAIZ!$A$2:$X$2,0),FALSE),0)</f>
        <v>1</v>
      </c>
      <c r="D4" s="4">
        <v>2</v>
      </c>
      <c r="E4" s="5"/>
      <c r="F4" s="5">
        <f>IF(D4-C4&gt;=0,D4-C4,0)</f>
        <v>1</v>
      </c>
      <c r="G4" s="5">
        <v>1</v>
      </c>
    </row>
    <row r="5" spans="1:8" ht="18.75" hidden="1" customHeight="1" x14ac:dyDescent="0.35">
      <c r="A5" s="93" t="s">
        <v>3</v>
      </c>
      <c r="B5" s="112" t="s">
        <v>757</v>
      </c>
      <c r="C5" s="5">
        <f>+IFERROR(VLOOKUP($A5,RAIZ!$A$3:$X$1500,MATCH('Suc. Xalisco'!$F$1,RAIZ!$A$2:$X$2,0),FALSE),0)</f>
        <v>2</v>
      </c>
      <c r="D5" s="7">
        <v>2</v>
      </c>
      <c r="E5" s="5"/>
      <c r="F5" s="5">
        <f t="shared" ref="F5:F10" si="0">IF(D5-C5&gt;=0,D5-C5,0)</f>
        <v>0</v>
      </c>
      <c r="G5" s="5"/>
    </row>
    <row r="6" spans="1:8" ht="18.75" hidden="1" customHeight="1" x14ac:dyDescent="0.35">
      <c r="A6" s="93" t="s">
        <v>4</v>
      </c>
      <c r="B6" s="112" t="s">
        <v>758</v>
      </c>
      <c r="C6" s="5">
        <f>+IFERROR(VLOOKUP($A6,RAIZ!$A$3:$X$1500,MATCH('Suc. Xalisco'!$F$1,RAIZ!$A$2:$X$2,0),FALSE),0)</f>
        <v>3</v>
      </c>
      <c r="D6" s="7">
        <v>3</v>
      </c>
      <c r="E6" s="5"/>
      <c r="F6" s="5">
        <f t="shared" si="0"/>
        <v>0</v>
      </c>
      <c r="G6" s="5"/>
    </row>
    <row r="7" spans="1:8" ht="18.75" customHeight="1" x14ac:dyDescent="0.35">
      <c r="A7" s="93" t="s">
        <v>5</v>
      </c>
      <c r="B7" s="112" t="s">
        <v>759</v>
      </c>
      <c r="C7" s="5">
        <f>+IFERROR(VLOOKUP($A7,RAIZ!$A$3:$X$1500,MATCH('Suc. Xalisco'!$F$1,RAIZ!$A$2:$X$2,0),FALSE),0)</f>
        <v>1</v>
      </c>
      <c r="D7" s="7">
        <v>2</v>
      </c>
      <c r="E7" s="5"/>
      <c r="F7" s="5">
        <f t="shared" si="0"/>
        <v>1</v>
      </c>
      <c r="G7" s="5">
        <v>1</v>
      </c>
    </row>
    <row r="8" spans="1:8" ht="18.75" hidden="1" customHeight="1" x14ac:dyDescent="0.35">
      <c r="A8" s="93" t="s">
        <v>6</v>
      </c>
      <c r="B8" s="112" t="s">
        <v>760</v>
      </c>
      <c r="C8" s="5">
        <f>+IFERROR(VLOOKUP($A8,RAIZ!$A$3:$X$1500,MATCH('Suc. Xalisco'!$F$1,RAIZ!$A$2:$X$2,0),FALSE),0)</f>
        <v>3</v>
      </c>
      <c r="D8" s="7">
        <v>3</v>
      </c>
      <c r="E8" s="5"/>
      <c r="F8" s="5">
        <f t="shared" si="0"/>
        <v>0</v>
      </c>
      <c r="G8" s="5"/>
    </row>
    <row r="9" spans="1:8" ht="18.75" hidden="1" customHeight="1" x14ac:dyDescent="0.35">
      <c r="A9" s="93" t="s">
        <v>7</v>
      </c>
      <c r="B9" s="112" t="s">
        <v>761</v>
      </c>
      <c r="C9" s="5">
        <f>+IFERROR(VLOOKUP($A9,RAIZ!$A$3:$X$1500,MATCH('Suc. Xalisco'!$F$1,RAIZ!$A$2:$X$2,0),FALSE),0)</f>
        <v>2</v>
      </c>
      <c r="D9" s="7">
        <v>2</v>
      </c>
      <c r="E9" s="5"/>
      <c r="F9" s="5">
        <f t="shared" si="0"/>
        <v>0</v>
      </c>
      <c r="G9" s="5"/>
    </row>
    <row r="10" spans="1:8" ht="18.75" customHeight="1" x14ac:dyDescent="0.35">
      <c r="A10" s="93" t="s">
        <v>8</v>
      </c>
      <c r="B10" s="112" t="s">
        <v>762</v>
      </c>
      <c r="C10" s="5">
        <f>+IFERROR(VLOOKUP($A10,RAIZ!$A$3:$X$1500,MATCH('Suc. Xalisco'!$F$1,RAIZ!$A$2:$X$2,0),FALSE),0)</f>
        <v>1</v>
      </c>
      <c r="D10" s="7">
        <v>2</v>
      </c>
      <c r="E10" s="5"/>
      <c r="F10" s="5">
        <f t="shared" si="0"/>
        <v>1</v>
      </c>
      <c r="G10" s="5">
        <v>1</v>
      </c>
    </row>
    <row r="11" spans="1:8" ht="18.75" customHeight="1" thickBot="1" x14ac:dyDescent="0.4">
      <c r="A11" s="93" t="s">
        <v>9</v>
      </c>
      <c r="B11" s="112" t="s">
        <v>763</v>
      </c>
      <c r="C11" s="5">
        <f>+IFERROR(VLOOKUP($A11,RAIZ!$A$3:$X$1500,MATCH('Suc. Xalisco'!$F$1,RAIZ!$A$2:$X$2,0),FALSE),0)</f>
        <v>0</v>
      </c>
      <c r="D11" s="9">
        <v>2</v>
      </c>
      <c r="E11" s="5"/>
      <c r="F11" s="5">
        <f t="shared" ref="F11:F12" si="1">IF(D11-C11&gt;=0,D11-C11,0)</f>
        <v>2</v>
      </c>
      <c r="G11" s="5">
        <v>2</v>
      </c>
    </row>
    <row r="12" spans="1:8" ht="18.75" hidden="1" customHeight="1" x14ac:dyDescent="0.35">
      <c r="A12" s="93"/>
      <c r="B12" s="112"/>
      <c r="C12" s="5">
        <f>+IFERROR(VLOOKUP($A12,RAIZ!$A$3:$X$1500,MATCH('Suc. Xalisco'!$F$1,RAIZ!$A$2:$X$2,0),FALSE),0)</f>
        <v>0</v>
      </c>
      <c r="D12" s="20"/>
      <c r="E12" s="5"/>
      <c r="F12" s="5">
        <f t="shared" si="1"/>
        <v>0</v>
      </c>
      <c r="G12" s="5"/>
    </row>
    <row r="13" spans="1:8" ht="18.75" hidden="1" customHeight="1" x14ac:dyDescent="0.35">
      <c r="A13" s="93"/>
      <c r="B13" s="112"/>
      <c r="C13" s="5">
        <f>+IFERROR(VLOOKUP($A13,RAIZ!$A$3:$X$1500,MATCH('Suc. Xalisco'!$F$1,RAIZ!$A$2:$X$2,0),FALSE),0)</f>
        <v>0</v>
      </c>
      <c r="D13" s="20"/>
      <c r="E13" s="5"/>
      <c r="F13" s="5">
        <f t="shared" ref="F13:F17" si="2">IF(D13-C13&gt;=0,D13-C13,0)</f>
        <v>0</v>
      </c>
      <c r="G13" s="5"/>
    </row>
    <row r="14" spans="1:8" ht="18.75" hidden="1" customHeight="1" x14ac:dyDescent="0.35">
      <c r="A14" s="93"/>
      <c r="B14" s="112"/>
      <c r="C14" s="5">
        <f>+IFERROR(VLOOKUP($A14,RAIZ!$A$3:$X$1500,MATCH('Suc. Xalisco'!$F$1,RAIZ!$A$2:$X$2,0),FALSE),0)</f>
        <v>0</v>
      </c>
      <c r="D14" s="20"/>
      <c r="E14" s="5"/>
      <c r="F14" s="5">
        <f>IF(D14-C14&gt;=0,D14-C14,0)</f>
        <v>0</v>
      </c>
      <c r="G14" s="5"/>
    </row>
    <row r="15" spans="1:8" ht="18.75" hidden="1" customHeight="1" x14ac:dyDescent="0.35">
      <c r="A15" s="93"/>
      <c r="B15" s="112"/>
      <c r="C15" s="5">
        <f>+IFERROR(VLOOKUP($A15,RAIZ!$A$3:$X$1500,MATCH('Suc. Xalisco'!$F$1,RAIZ!$A$2:$X$2,0),FALSE),0)</f>
        <v>0</v>
      </c>
      <c r="D15" s="9"/>
      <c r="E15" s="5"/>
      <c r="F15" s="5">
        <f t="shared" si="2"/>
        <v>0</v>
      </c>
      <c r="G15" s="5"/>
    </row>
    <row r="16" spans="1:8" ht="18.75" hidden="1" customHeight="1" x14ac:dyDescent="0.35">
      <c r="A16" s="93"/>
      <c r="B16" s="112"/>
      <c r="C16" s="5">
        <f>+IFERROR(VLOOKUP($A16,RAIZ!$A$3:$X$1500,MATCH('Suc. Xalisco'!$F$1,RAIZ!$A$2:$X$2,0),FALSE),0)</f>
        <v>0</v>
      </c>
      <c r="D16" s="9"/>
      <c r="E16" s="5"/>
      <c r="F16" s="5">
        <f t="shared" si="2"/>
        <v>0</v>
      </c>
      <c r="G16" s="5"/>
    </row>
    <row r="17" spans="1:7" ht="18.75" hidden="1" customHeight="1" thickBot="1" x14ac:dyDescent="0.4">
      <c r="A17" s="93"/>
      <c r="B17" s="112"/>
      <c r="C17" s="5">
        <f>+IFERROR(VLOOKUP($A17,RAIZ!$A$3:$X$1500,MATCH('Suc. Xalisco'!$F$1,RAIZ!$A$2:$X$2,0),FALSE),0)</f>
        <v>0</v>
      </c>
      <c r="D17" s="9"/>
      <c r="E17" s="5"/>
      <c r="F17" s="5">
        <f t="shared" si="2"/>
        <v>0</v>
      </c>
      <c r="G17" s="5"/>
    </row>
    <row r="18" spans="1:7" ht="18.75" customHeight="1" thickBot="1" x14ac:dyDescent="0.4">
      <c r="A18" s="96" t="s">
        <v>10</v>
      </c>
      <c r="B18" s="111"/>
      <c r="C18" s="75">
        <f>SUM(C3:C17)</f>
        <v>14</v>
      </c>
      <c r="D18" s="44">
        <f>SUM(D3:D17)</f>
        <v>20</v>
      </c>
      <c r="E18" s="44">
        <f>SUM(E3:E17)</f>
        <v>0</v>
      </c>
      <c r="F18" s="63">
        <f>SUM(F3:F17)</f>
        <v>6</v>
      </c>
      <c r="G18" s="44">
        <f>SUM(G3:G17)</f>
        <v>6</v>
      </c>
    </row>
    <row r="19" spans="1:7" ht="18.75" hidden="1" customHeight="1" x14ac:dyDescent="0.35">
      <c r="A19" s="97" t="s">
        <v>676</v>
      </c>
      <c r="B19" s="112" t="s">
        <v>764</v>
      </c>
      <c r="C19" s="5">
        <f>+IFERROR(VLOOKUP($A19,RAIZ!$A$3:$X$1500,MATCH('Suc. Xalisco'!$F$1,RAIZ!$A$2:$X$2,0),FALSE),0)</f>
        <v>1</v>
      </c>
      <c r="D19" s="12">
        <v>1</v>
      </c>
      <c r="E19" s="5"/>
      <c r="F19" s="5">
        <f t="shared" ref="F19:F21" si="3">IF(D19-C19&gt;=0,D19-C19,0)</f>
        <v>0</v>
      </c>
      <c r="G19" s="5"/>
    </row>
    <row r="20" spans="1:7" ht="18.75" customHeight="1" x14ac:dyDescent="0.35">
      <c r="A20" s="97" t="s">
        <v>11</v>
      </c>
      <c r="B20" s="112" t="s">
        <v>827</v>
      </c>
      <c r="C20" s="5">
        <f>+IFERROR(VLOOKUP($A20,RAIZ!$A$3:$X$1500,MATCH('Suc. Xalisco'!$F$1,RAIZ!$A$2:$X$2,0),FALSE),0)</f>
        <v>2</v>
      </c>
      <c r="D20" s="14">
        <v>3</v>
      </c>
      <c r="E20" s="5"/>
      <c r="F20" s="5">
        <f t="shared" si="3"/>
        <v>1</v>
      </c>
      <c r="G20" s="5">
        <v>1</v>
      </c>
    </row>
    <row r="21" spans="1:7" ht="18.75" hidden="1" customHeight="1" x14ac:dyDescent="0.35">
      <c r="A21" s="97" t="s">
        <v>344</v>
      </c>
      <c r="B21" s="112" t="s">
        <v>765</v>
      </c>
      <c r="C21" s="5">
        <f>+IFERROR(VLOOKUP($A21,RAIZ!$A$3:$X$1500,MATCH('Suc. Xalisco'!$F$1,RAIZ!$A$2:$X$2,0),FALSE),0)</f>
        <v>1</v>
      </c>
      <c r="D21" s="14">
        <v>1</v>
      </c>
      <c r="E21" s="5"/>
      <c r="F21" s="5">
        <f t="shared" si="3"/>
        <v>0</v>
      </c>
      <c r="G21" s="5"/>
    </row>
    <row r="22" spans="1:7" ht="18.75" customHeight="1" x14ac:dyDescent="0.35">
      <c r="A22" s="97" t="s">
        <v>832</v>
      </c>
      <c r="B22" s="112" t="s">
        <v>833</v>
      </c>
      <c r="C22" s="5">
        <f>+IFERROR(VLOOKUP($A22,RAIZ!$A$3:$X$1500,MATCH('Suc. Xalisco'!$F$1,RAIZ!$A$2:$X$2,0),FALSE),0)</f>
        <v>1</v>
      </c>
      <c r="D22" s="14">
        <v>2</v>
      </c>
      <c r="E22" s="5"/>
      <c r="F22" s="5">
        <f t="shared" ref="F22:F31" si="4">IF(D22-C22&gt;=0,D22-C22,0)</f>
        <v>1</v>
      </c>
      <c r="G22" s="5">
        <v>1</v>
      </c>
    </row>
    <row r="23" spans="1:7" ht="18.75" customHeight="1" x14ac:dyDescent="0.35">
      <c r="A23" s="97" t="s">
        <v>12</v>
      </c>
      <c r="B23" s="112" t="s">
        <v>766</v>
      </c>
      <c r="C23" s="5">
        <f>+IFERROR(VLOOKUP($A23,RAIZ!$A$3:$X$1500,MATCH('Suc. Xalisco'!$F$1,RAIZ!$A$2:$X$2,0),FALSE),0)</f>
        <v>2</v>
      </c>
      <c r="D23" s="14">
        <v>3</v>
      </c>
      <c r="E23" s="5"/>
      <c r="F23" s="5">
        <f t="shared" si="4"/>
        <v>1</v>
      </c>
      <c r="G23" s="5">
        <v>1</v>
      </c>
    </row>
    <row r="24" spans="1:7" ht="18.75" hidden="1" customHeight="1" x14ac:dyDescent="0.35">
      <c r="A24" s="97" t="s">
        <v>432</v>
      </c>
      <c r="B24" s="112" t="s">
        <v>767</v>
      </c>
      <c r="C24" s="5">
        <f>+IFERROR(VLOOKUP($A24,RAIZ!$A$3:$X$1500,MATCH('Suc. Xalisco'!$F$1,RAIZ!$A$2:$X$2,0),FALSE),0)</f>
        <v>0</v>
      </c>
      <c r="D24" s="14">
        <v>1</v>
      </c>
      <c r="E24" s="5"/>
      <c r="F24" s="5">
        <f t="shared" si="4"/>
        <v>1</v>
      </c>
      <c r="G24" s="5"/>
    </row>
    <row r="25" spans="1:7" ht="18.75" customHeight="1" thickBot="1" x14ac:dyDescent="0.4">
      <c r="A25" s="97" t="s">
        <v>468</v>
      </c>
      <c r="B25" s="112" t="s">
        <v>768</v>
      </c>
      <c r="C25" s="5">
        <f>+IFERROR(VLOOKUP($A25,RAIZ!$A$3:$X$1500,MATCH('Suc. Xalisco'!$F$1,RAIZ!$A$2:$X$2,0),FALSE),0)</f>
        <v>0</v>
      </c>
      <c r="D25" s="16">
        <v>3</v>
      </c>
      <c r="E25" s="5"/>
      <c r="F25" s="5">
        <f t="shared" si="4"/>
        <v>3</v>
      </c>
      <c r="G25" s="5">
        <v>3</v>
      </c>
    </row>
    <row r="26" spans="1:7" ht="18.75" hidden="1" customHeight="1" x14ac:dyDescent="0.35">
      <c r="A26" s="97"/>
      <c r="B26" s="112"/>
      <c r="C26" s="5">
        <f>+IFERROR(VLOOKUP($A26,RAIZ!$A$3:$X$1500,MATCH('Suc. Xalisco'!$F$1,RAIZ!$A$2:$X$2,0),FALSE),0)</f>
        <v>0</v>
      </c>
      <c r="D26" s="20"/>
      <c r="E26" s="5"/>
      <c r="F26" s="5">
        <f t="shared" si="4"/>
        <v>0</v>
      </c>
      <c r="G26" s="5"/>
    </row>
    <row r="27" spans="1:7" ht="18.75" hidden="1" customHeight="1" x14ac:dyDescent="0.35">
      <c r="A27" s="97"/>
      <c r="B27" s="112"/>
      <c r="C27" s="5">
        <f>+IFERROR(VLOOKUP($A27,RAIZ!$A$3:$X$1500,MATCH('Suc. Xalisco'!$F$1,RAIZ!$A$2:$X$2,0),FALSE),0)</f>
        <v>0</v>
      </c>
      <c r="D27" s="16"/>
      <c r="E27" s="5"/>
      <c r="F27" s="5">
        <f>IF(D27-C27&gt;=0,D27-C27,0)</f>
        <v>0</v>
      </c>
      <c r="G27" s="5"/>
    </row>
    <row r="28" spans="1:7" ht="18.75" hidden="1" customHeight="1" x14ac:dyDescent="0.35">
      <c r="A28" s="97"/>
      <c r="B28" s="112"/>
      <c r="C28" s="5">
        <f>+IFERROR(VLOOKUP($A28,RAIZ!$A$3:$X$1500,MATCH('Suc. Xalisco'!$F$1,RAIZ!$A$2:$X$2,0),FALSE),0)</f>
        <v>0</v>
      </c>
      <c r="D28" s="16"/>
      <c r="E28" s="5"/>
      <c r="F28" s="5">
        <f t="shared" si="4"/>
        <v>0</v>
      </c>
      <c r="G28" s="5"/>
    </row>
    <row r="29" spans="1:7" ht="18.75" hidden="1" customHeight="1" x14ac:dyDescent="0.35">
      <c r="A29" s="97"/>
      <c r="B29" s="112"/>
      <c r="C29" s="5">
        <f>+IFERROR(VLOOKUP($A29,RAIZ!$A$3:$X$1500,MATCH('Suc. Xalisco'!$F$1,RAIZ!$A$2:$X$2,0),FALSE),0)</f>
        <v>0</v>
      </c>
      <c r="D29" s="16"/>
      <c r="E29" s="5"/>
      <c r="F29" s="5">
        <f t="shared" si="4"/>
        <v>0</v>
      </c>
      <c r="G29" s="5"/>
    </row>
    <row r="30" spans="1:7" ht="18.75" hidden="1" customHeight="1" x14ac:dyDescent="0.35">
      <c r="A30" s="97"/>
      <c r="B30" s="112"/>
      <c r="C30" s="5">
        <f>+IFERROR(VLOOKUP($A30,RAIZ!$A$3:$X$1500,MATCH('Suc. Xalisco'!$F$1,RAIZ!$A$2:$X$2,0),FALSE),0)</f>
        <v>0</v>
      </c>
      <c r="D30" s="16"/>
      <c r="E30" s="5"/>
      <c r="F30" s="5">
        <f t="shared" si="4"/>
        <v>0</v>
      </c>
      <c r="G30" s="5"/>
    </row>
    <row r="31" spans="1:7" ht="18.75" hidden="1" customHeight="1" thickBot="1" x14ac:dyDescent="0.4">
      <c r="A31" s="97"/>
      <c r="B31" s="112"/>
      <c r="C31" s="5">
        <f>+IFERROR(VLOOKUP($A31,RAIZ!$A$3:$X$1500,MATCH('Suc. Xalisco'!$F$1,RAIZ!$A$2:$X$2,0),FALSE),0)</f>
        <v>0</v>
      </c>
      <c r="D31" s="16"/>
      <c r="E31" s="5"/>
      <c r="F31" s="5">
        <f t="shared" si="4"/>
        <v>0</v>
      </c>
      <c r="G31" s="5"/>
    </row>
    <row r="32" spans="1:7" ht="18.75" customHeight="1" thickBot="1" x14ac:dyDescent="0.4">
      <c r="A32" s="98" t="s">
        <v>13</v>
      </c>
      <c r="B32" s="111"/>
      <c r="C32" s="76">
        <f>SUM(C19:C31)</f>
        <v>7</v>
      </c>
      <c r="D32" s="46">
        <f>SUM(D19:D31)</f>
        <v>14</v>
      </c>
      <c r="E32" s="46">
        <f>SUM(E19:E31)</f>
        <v>0</v>
      </c>
      <c r="F32" s="64">
        <f>SUM(F19:F31)</f>
        <v>7</v>
      </c>
      <c r="G32" s="46">
        <f>SUM(G19:G31)</f>
        <v>6</v>
      </c>
    </row>
    <row r="33" spans="1:7" ht="18.75" hidden="1" customHeight="1" x14ac:dyDescent="0.35">
      <c r="A33" s="97" t="s">
        <v>14</v>
      </c>
      <c r="B33" s="112" t="s">
        <v>769</v>
      </c>
      <c r="C33" s="5">
        <f>+IFERROR(VLOOKUP($A33,RAIZ!$A$3:$X$1500,MATCH('Suc. Xalisco'!$F$1,RAIZ!$A$2:$X$2,0),FALSE),0)</f>
        <v>2</v>
      </c>
      <c r="D33" s="4">
        <v>2</v>
      </c>
      <c r="E33" s="5"/>
      <c r="F33" s="5">
        <f t="shared" ref="F33:F48" si="5">IF(D33-C33&gt;=0,D33-C33,0)</f>
        <v>0</v>
      </c>
      <c r="G33" s="5"/>
    </row>
    <row r="34" spans="1:7" ht="18.75" hidden="1" customHeight="1" x14ac:dyDescent="0.35">
      <c r="A34" s="97" t="s">
        <v>15</v>
      </c>
      <c r="B34" s="112" t="s">
        <v>770</v>
      </c>
      <c r="C34" s="5">
        <f>+IFERROR(VLOOKUP($A34,RAIZ!$A$3:$X$1500,MATCH('Suc. Xalisco'!$F$1,RAIZ!$A$2:$X$2,0),FALSE),0)</f>
        <v>2</v>
      </c>
      <c r="D34" s="7">
        <v>2</v>
      </c>
      <c r="E34" s="5"/>
      <c r="F34" s="5">
        <f t="shared" si="5"/>
        <v>0</v>
      </c>
      <c r="G34" s="5"/>
    </row>
    <row r="35" spans="1:7" ht="18.75" hidden="1" customHeight="1" x14ac:dyDescent="0.35">
      <c r="A35" s="97" t="s">
        <v>16</v>
      </c>
      <c r="B35" s="112" t="s">
        <v>771</v>
      </c>
      <c r="C35" s="5">
        <f>+IFERROR(VLOOKUP($A35,RAIZ!$A$3:$X$1500,MATCH('Suc. Xalisco'!$F$1,RAIZ!$A$2:$X$2,0),FALSE),0)</f>
        <v>2</v>
      </c>
      <c r="D35" s="7">
        <v>2</v>
      </c>
      <c r="E35" s="5"/>
      <c r="F35" s="5">
        <f t="shared" si="5"/>
        <v>0</v>
      </c>
      <c r="G35" s="5"/>
    </row>
    <row r="36" spans="1:7" ht="18.75" hidden="1" customHeight="1" x14ac:dyDescent="0.35">
      <c r="A36" s="97" t="s">
        <v>17</v>
      </c>
      <c r="B36" s="112" t="s">
        <v>772</v>
      </c>
      <c r="C36" s="5">
        <f>+IFERROR(VLOOKUP($A36,RAIZ!$A$3:$X$1500,MATCH('Suc. Xalisco'!$F$1,RAIZ!$A$2:$X$2,0),FALSE),0)</f>
        <v>2</v>
      </c>
      <c r="D36" s="7">
        <v>2</v>
      </c>
      <c r="E36" s="5"/>
      <c r="F36" s="5">
        <f t="shared" si="5"/>
        <v>0</v>
      </c>
      <c r="G36" s="5"/>
    </row>
    <row r="37" spans="1:7" ht="18.75" hidden="1" customHeight="1" x14ac:dyDescent="0.35">
      <c r="A37" s="97" t="s">
        <v>18</v>
      </c>
      <c r="B37" s="112" t="s">
        <v>773</v>
      </c>
      <c r="C37" s="5">
        <f>+IFERROR(VLOOKUP($A37,RAIZ!$A$3:$X$1500,MATCH('Suc. Xalisco'!$F$1,RAIZ!$A$2:$X$2,0),FALSE),0)</f>
        <v>3</v>
      </c>
      <c r="D37" s="7">
        <v>3</v>
      </c>
      <c r="E37" s="5"/>
      <c r="F37" s="5">
        <f t="shared" si="5"/>
        <v>0</v>
      </c>
      <c r="G37" s="5"/>
    </row>
    <row r="38" spans="1:7" ht="18.75" customHeight="1" x14ac:dyDescent="0.35">
      <c r="A38" s="97" t="s">
        <v>22</v>
      </c>
      <c r="B38" s="112" t="s">
        <v>774</v>
      </c>
      <c r="C38" s="5">
        <f>+IFERROR(VLOOKUP($A38,RAIZ!$A$3:$X$1500,MATCH('Suc. Xalisco'!$F$1,RAIZ!$A$2:$X$2,0),FALSE),0)</f>
        <v>2</v>
      </c>
      <c r="D38" s="18">
        <v>3</v>
      </c>
      <c r="E38" s="5"/>
      <c r="F38" s="5">
        <f t="shared" si="5"/>
        <v>1</v>
      </c>
      <c r="G38" s="5">
        <v>1</v>
      </c>
    </row>
    <row r="39" spans="1:7" ht="18.75" customHeight="1" x14ac:dyDescent="0.35">
      <c r="A39" s="97" t="s">
        <v>23</v>
      </c>
      <c r="B39" s="112" t="s">
        <v>775</v>
      </c>
      <c r="C39" s="5">
        <f>+IFERROR(VLOOKUP($A39,RAIZ!$A$3:$X$1500,MATCH('Suc. Xalisco'!$F$1,RAIZ!$A$2:$X$2,0),FALSE),0)</f>
        <v>1</v>
      </c>
      <c r="D39" s="18">
        <v>2</v>
      </c>
      <c r="E39" s="5"/>
      <c r="F39" s="5">
        <f t="shared" si="5"/>
        <v>1</v>
      </c>
      <c r="G39" s="5">
        <v>1</v>
      </c>
    </row>
    <row r="40" spans="1:7" ht="18.75" customHeight="1" thickBot="1" x14ac:dyDescent="0.4">
      <c r="A40" s="97" t="s">
        <v>24</v>
      </c>
      <c r="B40" s="112" t="s">
        <v>776</v>
      </c>
      <c r="C40" s="5">
        <f>+IFERROR(VLOOKUP($A40,RAIZ!$A$3:$X$1500,MATCH('Suc. Xalisco'!$F$1,RAIZ!$A$2:$X$2,0),FALSE),0)</f>
        <v>0</v>
      </c>
      <c r="D40" s="7">
        <v>1</v>
      </c>
      <c r="E40" s="5"/>
      <c r="F40" s="5">
        <f t="shared" si="5"/>
        <v>1</v>
      </c>
      <c r="G40" s="5">
        <v>1</v>
      </c>
    </row>
    <row r="41" spans="1:7" ht="18.75" hidden="1" customHeight="1" x14ac:dyDescent="0.35">
      <c r="A41" s="97" t="s">
        <v>25</v>
      </c>
      <c r="B41" s="112" t="s">
        <v>777</v>
      </c>
      <c r="C41" s="5">
        <f>+IFERROR(VLOOKUP($A41,RAIZ!$A$3:$X$1500,MATCH('Suc. Xalisco'!$F$1,RAIZ!$A$2:$X$2,0),FALSE),0)</f>
        <v>1</v>
      </c>
      <c r="D41" s="18">
        <v>1</v>
      </c>
      <c r="E41" s="5"/>
      <c r="F41" s="5">
        <f t="shared" si="5"/>
        <v>0</v>
      </c>
      <c r="G41" s="5"/>
    </row>
    <row r="42" spans="1:7" ht="18.75" hidden="1" customHeight="1" x14ac:dyDescent="0.35">
      <c r="A42" s="97"/>
      <c r="B42" s="112"/>
      <c r="C42" s="5">
        <f>+IFERROR(VLOOKUP($A42,RAIZ!$A$3:$X$1500,MATCH('Suc. Xalisco'!$F$1,RAIZ!$A$2:$X$2,0),FALSE),0)</f>
        <v>0</v>
      </c>
      <c r="D42" s="20"/>
      <c r="E42" s="5"/>
      <c r="F42" s="5">
        <f t="shared" si="5"/>
        <v>0</v>
      </c>
      <c r="G42" s="5"/>
    </row>
    <row r="43" spans="1:7" ht="18.75" hidden="1" customHeight="1" x14ac:dyDescent="0.35">
      <c r="A43" s="97"/>
      <c r="B43" s="112"/>
      <c r="C43" s="5">
        <f>+IFERROR(VLOOKUP($A43,RAIZ!$A$3:$X$1500,MATCH('Suc. Xalisco'!$F$1,RAIZ!$A$2:$X$2,0),FALSE),0)</f>
        <v>0</v>
      </c>
      <c r="D43" s="18"/>
      <c r="E43" s="5"/>
      <c r="F43" s="5">
        <f t="shared" si="5"/>
        <v>0</v>
      </c>
      <c r="G43" s="5"/>
    </row>
    <row r="44" spans="1:7" ht="18.75" hidden="1" customHeight="1" x14ac:dyDescent="0.35">
      <c r="A44" s="97"/>
      <c r="B44" s="112"/>
      <c r="C44" s="5">
        <f>+IFERROR(VLOOKUP($A44,RAIZ!$A$3:$X$1500,MATCH('Suc. Xalisco'!$F$1,RAIZ!$A$2:$X$2,0),FALSE),0)</f>
        <v>0</v>
      </c>
      <c r="D44" s="18"/>
      <c r="E44" s="5"/>
      <c r="F44" s="5">
        <f t="shared" si="5"/>
        <v>0</v>
      </c>
      <c r="G44" s="5"/>
    </row>
    <row r="45" spans="1:7" ht="18.75" hidden="1" customHeight="1" x14ac:dyDescent="0.35">
      <c r="A45" s="97"/>
      <c r="B45" s="112"/>
      <c r="C45" s="5">
        <f>+IFERROR(VLOOKUP($A45,RAIZ!$A$3:$X$1500,MATCH('Suc. Xalisco'!$F$1,RAIZ!$A$2:$X$2,0),FALSE),0)</f>
        <v>0</v>
      </c>
      <c r="D45" s="18"/>
      <c r="E45" s="5"/>
      <c r="F45" s="5">
        <f t="shared" si="5"/>
        <v>0</v>
      </c>
      <c r="G45" s="5"/>
    </row>
    <row r="46" spans="1:7" ht="18.75" hidden="1" customHeight="1" x14ac:dyDescent="0.35">
      <c r="A46" s="97"/>
      <c r="B46" s="112"/>
      <c r="C46" s="5">
        <f>+IFERROR(VLOOKUP($A46,RAIZ!$A$3:$X$1500,MATCH('Suc. Xalisco'!$F$1,RAIZ!$A$2:$X$2,0),FALSE),0)</f>
        <v>0</v>
      </c>
      <c r="D46" s="18"/>
      <c r="E46" s="5"/>
      <c r="F46" s="5">
        <f t="shared" si="5"/>
        <v>0</v>
      </c>
      <c r="G46" s="5"/>
    </row>
    <row r="47" spans="1:7" ht="18.75" hidden="1" customHeight="1" x14ac:dyDescent="0.35">
      <c r="A47" s="97"/>
      <c r="B47" s="112"/>
      <c r="C47" s="5">
        <f>+IFERROR(VLOOKUP($A47,RAIZ!$A$3:$X$1500,MATCH('Suc. Xalisco'!$F$1,RAIZ!$A$2:$X$2,0),FALSE),0)</f>
        <v>0</v>
      </c>
      <c r="D47" s="18"/>
      <c r="E47" s="5"/>
      <c r="F47" s="5">
        <f t="shared" si="5"/>
        <v>0</v>
      </c>
      <c r="G47" s="5"/>
    </row>
    <row r="48" spans="1:7" ht="18.75" hidden="1" customHeight="1" thickBot="1" x14ac:dyDescent="0.4">
      <c r="A48" s="97"/>
      <c r="B48" s="112"/>
      <c r="C48" s="5">
        <f>+IFERROR(VLOOKUP($A48,RAIZ!$A$3:$X$1500,MATCH('Suc. Xalisco'!$F$1,RAIZ!$A$2:$X$2,0),FALSE),0)</f>
        <v>0</v>
      </c>
      <c r="D48" s="18"/>
      <c r="E48" s="5"/>
      <c r="F48" s="5">
        <f t="shared" si="5"/>
        <v>0</v>
      </c>
      <c r="G48" s="5"/>
    </row>
    <row r="49" spans="1:7" ht="18.75" customHeight="1" thickBot="1" x14ac:dyDescent="0.4">
      <c r="A49" s="99" t="s">
        <v>29</v>
      </c>
      <c r="B49" s="111"/>
      <c r="C49" s="77">
        <f>SUM(C33:C48)</f>
        <v>15</v>
      </c>
      <c r="D49" s="48">
        <f>SUM(D33:D48)</f>
        <v>18</v>
      </c>
      <c r="E49" s="48">
        <f>SUM(E33:E48)</f>
        <v>0</v>
      </c>
      <c r="F49" s="65">
        <f>SUM(F33:F48)</f>
        <v>3</v>
      </c>
      <c r="G49" s="48">
        <f>SUM(G33:G48)</f>
        <v>3</v>
      </c>
    </row>
    <row r="50" spans="1:7" ht="18.75" hidden="1" customHeight="1" x14ac:dyDescent="0.35">
      <c r="A50" s="93" t="s">
        <v>30</v>
      </c>
      <c r="B50" s="112" t="s">
        <v>778</v>
      </c>
      <c r="C50" s="5">
        <f>+IFERROR(VLOOKUP($A50,RAIZ!$A$3:$X$1500,MATCH('Suc. Xalisco'!$F$1,RAIZ!$A$2:$X$2,0),FALSE),0)</f>
        <v>3</v>
      </c>
      <c r="D50" s="4">
        <v>3</v>
      </c>
      <c r="E50" s="5"/>
      <c r="F50" s="5">
        <f>IF(D50-C50&gt;=0,D50-C50,0)</f>
        <v>0</v>
      </c>
      <c r="G50" s="5"/>
    </row>
    <row r="51" spans="1:7" ht="18.75" hidden="1" customHeight="1" thickBot="1" x14ac:dyDescent="0.4">
      <c r="A51" s="95" t="s">
        <v>31</v>
      </c>
      <c r="B51" s="112" t="s">
        <v>779</v>
      </c>
      <c r="C51" s="5">
        <f>+IFERROR(VLOOKUP($A51,RAIZ!$A$3:$X$1500,MATCH('Suc. Xalisco'!$F$1,RAIZ!$A$2:$X$2,0),FALSE),0)</f>
        <v>3</v>
      </c>
      <c r="D51" s="20">
        <v>3</v>
      </c>
      <c r="E51" s="5"/>
      <c r="F51" s="5">
        <f t="shared" ref="F51" si="6">IF(D51-C51&gt;=0,D51-C51,0)</f>
        <v>0</v>
      </c>
      <c r="G51" s="5">
        <v>0</v>
      </c>
    </row>
    <row r="52" spans="1:7" ht="18.75" hidden="1" customHeight="1" thickBot="1" x14ac:dyDescent="0.4">
      <c r="A52" s="100" t="s">
        <v>32</v>
      </c>
      <c r="B52" s="111"/>
      <c r="C52" s="78">
        <f>SUM(C50:C51)</f>
        <v>6</v>
      </c>
      <c r="D52" s="50">
        <f t="shared" ref="D52" si="7">SUM(D50:D51)</f>
        <v>6</v>
      </c>
      <c r="E52" s="50">
        <f t="shared" ref="E52" si="8">SUM(E50:E51)</f>
        <v>0</v>
      </c>
      <c r="F52" s="66">
        <f t="shared" ref="F52:G52" si="9">SUM(F50:F51)</f>
        <v>0</v>
      </c>
      <c r="G52" s="50">
        <f t="shared" si="9"/>
        <v>0</v>
      </c>
    </row>
    <row r="53" spans="1:7" ht="18.75" customHeight="1" x14ac:dyDescent="0.35">
      <c r="A53" s="93" t="s">
        <v>33</v>
      </c>
      <c r="B53" s="112" t="s">
        <v>780</v>
      </c>
      <c r="C53" s="5">
        <f>+IFERROR(VLOOKUP($A53,RAIZ!$A$3:$X$1500,MATCH('Suc. Xalisco'!$F$1,RAIZ!$A$2:$X$2,0),FALSE),0)</f>
        <v>2</v>
      </c>
      <c r="D53" s="4">
        <v>3</v>
      </c>
      <c r="E53" s="5"/>
      <c r="F53" s="5">
        <f t="shared" ref="F53:F54" si="10">IF(D53-C53&gt;=0,D53-C53,0)</f>
        <v>1</v>
      </c>
      <c r="G53" s="5">
        <v>1</v>
      </c>
    </row>
    <row r="54" spans="1:7" ht="18.75" customHeight="1" thickBot="1" x14ac:dyDescent="0.4">
      <c r="A54" s="95" t="s">
        <v>34</v>
      </c>
      <c r="B54" s="112" t="s">
        <v>781</v>
      </c>
      <c r="C54" s="5">
        <f>+IFERROR(VLOOKUP($A54,RAIZ!$A$3:$X$1500,MATCH('Suc. Xalisco'!$F$1,RAIZ!$A$2:$X$2,0),FALSE),0)</f>
        <v>0</v>
      </c>
      <c r="D54" s="20">
        <v>3</v>
      </c>
      <c r="E54" s="5"/>
      <c r="F54" s="5">
        <f t="shared" si="10"/>
        <v>3</v>
      </c>
      <c r="G54" s="5">
        <v>3</v>
      </c>
    </row>
    <row r="55" spans="1:7" ht="18.75" customHeight="1" thickBot="1" x14ac:dyDescent="0.4">
      <c r="A55" s="99" t="s">
        <v>35</v>
      </c>
      <c r="B55" s="111"/>
      <c r="C55" s="77">
        <f>SUM(C53:C54)</f>
        <v>2</v>
      </c>
      <c r="D55" s="48">
        <f t="shared" ref="D55" si="11">SUM(D53:D54)</f>
        <v>6</v>
      </c>
      <c r="E55" s="48">
        <f t="shared" ref="E55" si="12">SUM(E53:E54)</f>
        <v>0</v>
      </c>
      <c r="F55" s="65">
        <f t="shared" ref="F55:G55" si="13">SUM(F53:F54)</f>
        <v>4</v>
      </c>
      <c r="G55" s="48">
        <f t="shared" si="13"/>
        <v>4</v>
      </c>
    </row>
    <row r="56" spans="1:7" ht="18.75" hidden="1" customHeight="1" x14ac:dyDescent="0.35">
      <c r="A56" s="93" t="s">
        <v>36</v>
      </c>
      <c r="B56" s="112" t="s">
        <v>782</v>
      </c>
      <c r="C56" s="5">
        <f>+IFERROR(VLOOKUP($A56,RAIZ!$A$3:$X$1500,MATCH('Suc. Xalisco'!$F$1,RAIZ!$A$2:$X$2,0),FALSE),0)</f>
        <v>1</v>
      </c>
      <c r="D56" s="4">
        <v>1</v>
      </c>
      <c r="E56" s="5"/>
      <c r="F56" s="5">
        <f t="shared" ref="F56:F70" si="14">IF(D56-C56&gt;=0,D56-C56,0)</f>
        <v>0</v>
      </c>
      <c r="G56" s="5"/>
    </row>
    <row r="57" spans="1:7" ht="18.75" customHeight="1" x14ac:dyDescent="0.35">
      <c r="A57" s="93" t="s">
        <v>37</v>
      </c>
      <c r="B57" s="112" t="s">
        <v>783</v>
      </c>
      <c r="C57" s="5">
        <f>+IFERROR(VLOOKUP($A57,RAIZ!$A$3:$X$1500,MATCH('Suc. Xalisco'!$F$1,RAIZ!$A$2:$X$2,0),FALSE),0)</f>
        <v>0</v>
      </c>
      <c r="D57" s="7">
        <v>1</v>
      </c>
      <c r="E57" s="5"/>
      <c r="F57" s="5">
        <f t="shared" si="14"/>
        <v>1</v>
      </c>
      <c r="G57" s="5">
        <v>1</v>
      </c>
    </row>
    <row r="58" spans="1:7" ht="18.75" hidden="1" customHeight="1" x14ac:dyDescent="0.35">
      <c r="A58" s="93" t="s">
        <v>39</v>
      </c>
      <c r="B58" s="112" t="s">
        <v>784</v>
      </c>
      <c r="C58" s="5">
        <f>+IFERROR(VLOOKUP($A58,RAIZ!$A$3:$X$1500,MATCH('Suc. Xalisco'!$F$1,RAIZ!$A$2:$X$2,0),FALSE),0)</f>
        <v>0</v>
      </c>
      <c r="D58" s="7">
        <v>0</v>
      </c>
      <c r="E58" s="5"/>
      <c r="F58" s="5">
        <f t="shared" ref="F58" si="15">IF(D58-C58&gt;=0,D58-C58,0)</f>
        <v>0</v>
      </c>
      <c r="G58" s="5"/>
    </row>
    <row r="59" spans="1:7" ht="18.75" hidden="1" customHeight="1" x14ac:dyDescent="0.35">
      <c r="A59" s="93" t="s">
        <v>40</v>
      </c>
      <c r="B59" s="112" t="s">
        <v>785</v>
      </c>
      <c r="C59" s="5">
        <f>+IFERROR(VLOOKUP($A59,RAIZ!$A$3:$X$1500,MATCH('Suc. Xalisco'!$F$1,RAIZ!$A$2:$X$2,0),FALSE),0)</f>
        <v>0</v>
      </c>
      <c r="D59" s="169">
        <v>0</v>
      </c>
      <c r="E59" s="5"/>
      <c r="F59" s="5">
        <f t="shared" si="14"/>
        <v>0</v>
      </c>
      <c r="G59" s="5"/>
    </row>
    <row r="60" spans="1:7" ht="18.75" hidden="1" customHeight="1" x14ac:dyDescent="0.35">
      <c r="A60" s="93" t="s">
        <v>41</v>
      </c>
      <c r="B60" s="112" t="s">
        <v>786</v>
      </c>
      <c r="C60" s="5">
        <f>+IFERROR(VLOOKUP($A60,RAIZ!$A$3:$X$1500,MATCH('Suc. Xalisco'!$F$1,RAIZ!$A$2:$X$2,0),FALSE),0)</f>
        <v>1</v>
      </c>
      <c r="D60" s="7">
        <v>1</v>
      </c>
      <c r="E60" s="5"/>
      <c r="F60" s="5">
        <f t="shared" si="14"/>
        <v>0</v>
      </c>
      <c r="G60" s="5"/>
    </row>
    <row r="61" spans="1:7" ht="18.75" hidden="1" customHeight="1" x14ac:dyDescent="0.35">
      <c r="A61" s="101" t="s">
        <v>42</v>
      </c>
      <c r="B61" s="112" t="s">
        <v>787</v>
      </c>
      <c r="C61" s="5">
        <f>+IFERROR(VLOOKUP($A61,RAIZ!$A$3:$X$1500,MATCH('Suc. Xalisco'!$F$1,RAIZ!$A$2:$X$2,0),FALSE),0)</f>
        <v>0</v>
      </c>
      <c r="D61" s="168">
        <v>0</v>
      </c>
      <c r="E61" s="5"/>
      <c r="F61" s="5">
        <f t="shared" si="14"/>
        <v>0</v>
      </c>
      <c r="G61" s="5"/>
    </row>
    <row r="62" spans="1:7" ht="18.75" hidden="1" customHeight="1" x14ac:dyDescent="0.35">
      <c r="A62" s="102" t="s">
        <v>43</v>
      </c>
      <c r="B62" s="112" t="s">
        <v>788</v>
      </c>
      <c r="C62" s="5">
        <f>+IFERROR(VLOOKUP($A62,RAIZ!$A$3:$X$1500,MATCH('Suc. Xalisco'!$F$1,RAIZ!$A$2:$X$2,0),FALSE),0)</f>
        <v>0</v>
      </c>
      <c r="D62" s="169">
        <v>0</v>
      </c>
      <c r="E62" s="5"/>
      <c r="F62" s="5">
        <f t="shared" si="14"/>
        <v>0</v>
      </c>
      <c r="G62" s="5"/>
    </row>
    <row r="63" spans="1:7" ht="18.75" customHeight="1" x14ac:dyDescent="0.35">
      <c r="A63" s="93" t="s">
        <v>44</v>
      </c>
      <c r="B63" s="112" t="s">
        <v>789</v>
      </c>
      <c r="C63" s="5">
        <f>+IFERROR(VLOOKUP($A63,RAIZ!$A$3:$X$1500,MATCH('Suc. Xalisco'!$F$1,RAIZ!$A$2:$X$2,0),FALSE),0)</f>
        <v>0</v>
      </c>
      <c r="D63" s="7">
        <v>1</v>
      </c>
      <c r="E63" s="5"/>
      <c r="F63" s="5">
        <f t="shared" si="14"/>
        <v>1</v>
      </c>
      <c r="G63" s="5">
        <v>1</v>
      </c>
    </row>
    <row r="64" spans="1:7" ht="18.75" hidden="1" customHeight="1" x14ac:dyDescent="0.35">
      <c r="A64" s="93" t="s">
        <v>45</v>
      </c>
      <c r="B64" s="112" t="s">
        <v>790</v>
      </c>
      <c r="C64" s="5">
        <f>+IFERROR(VLOOKUP($A64,RAIZ!$A$3:$X$1500,MATCH('Suc. Xalisco'!$F$1,RAIZ!$A$2:$X$2,0),FALSE),0)</f>
        <v>1</v>
      </c>
      <c r="D64" s="4">
        <v>1</v>
      </c>
      <c r="E64" s="5"/>
      <c r="F64" s="5">
        <f t="shared" si="14"/>
        <v>0</v>
      </c>
      <c r="G64" s="5"/>
    </row>
    <row r="65" spans="1:7" ht="18.75" customHeight="1" x14ac:dyDescent="0.35">
      <c r="A65" s="93" t="s">
        <v>46</v>
      </c>
      <c r="B65" s="112" t="s">
        <v>791</v>
      </c>
      <c r="C65" s="5">
        <f>+IFERROR(VLOOKUP($A65,RAIZ!$A$3:$X$1500,MATCH('Suc. Xalisco'!$F$1,RAIZ!$A$2:$X$2,0),FALSE),0)</f>
        <v>2</v>
      </c>
      <c r="D65" s="7">
        <v>3</v>
      </c>
      <c r="E65" s="5"/>
      <c r="F65" s="5">
        <f t="shared" si="14"/>
        <v>1</v>
      </c>
      <c r="G65" s="5">
        <v>1</v>
      </c>
    </row>
    <row r="66" spans="1:7" ht="18.75" hidden="1" customHeight="1" x14ac:dyDescent="0.35">
      <c r="A66" s="93" t="s">
        <v>48</v>
      </c>
      <c r="B66" s="112" t="s">
        <v>792</v>
      </c>
      <c r="C66" s="5">
        <f>+IFERROR(VLOOKUP($A66,RAIZ!$A$3:$X$1500,MATCH('Suc. Xalisco'!$F$1,RAIZ!$A$2:$X$2,0),FALSE),0)</f>
        <v>1</v>
      </c>
      <c r="D66" s="196">
        <v>1</v>
      </c>
      <c r="E66" s="5"/>
      <c r="F66" s="5">
        <f t="shared" si="14"/>
        <v>0</v>
      </c>
      <c r="G66" s="5"/>
    </row>
    <row r="67" spans="1:7" ht="18.75" hidden="1" customHeight="1" x14ac:dyDescent="0.35">
      <c r="A67" s="93" t="s">
        <v>49</v>
      </c>
      <c r="B67" s="112" t="s">
        <v>793</v>
      </c>
      <c r="C67" s="5">
        <f>+IFERROR(VLOOKUP($A67,RAIZ!$A$3:$X$1500,MATCH('Suc. Xalisco'!$F$1,RAIZ!$A$2:$X$2,0),FALSE),0)</f>
        <v>1</v>
      </c>
      <c r="D67" s="7">
        <v>1</v>
      </c>
      <c r="E67" s="5"/>
      <c r="F67" s="5">
        <f t="shared" si="14"/>
        <v>0</v>
      </c>
      <c r="G67" s="5"/>
    </row>
    <row r="68" spans="1:7" ht="19.5" hidden="1" customHeight="1" x14ac:dyDescent="0.35">
      <c r="A68" s="93" t="s">
        <v>50</v>
      </c>
      <c r="B68" s="112" t="s">
        <v>794</v>
      </c>
      <c r="C68" s="5">
        <f>+IFERROR(VLOOKUP($A68,RAIZ!$A$3:$X$1500,MATCH('Suc. Xalisco'!$F$1,RAIZ!$A$2:$X$2,0),FALSE),0)</f>
        <v>0</v>
      </c>
      <c r="D68" s="4">
        <v>0</v>
      </c>
      <c r="E68" s="5"/>
      <c r="F68" s="5">
        <f t="shared" si="14"/>
        <v>0</v>
      </c>
      <c r="G68" s="5"/>
    </row>
    <row r="69" spans="1:7" ht="18.75" hidden="1" customHeight="1" x14ac:dyDescent="0.35">
      <c r="A69" s="93" t="s">
        <v>51</v>
      </c>
      <c r="B69" s="112" t="s">
        <v>795</v>
      </c>
      <c r="C69" s="5">
        <f>+IFERROR(VLOOKUP($A69,RAIZ!$A$3:$X$1500,MATCH('Suc. Xalisco'!$F$1,RAIZ!$A$2:$X$2,0),FALSE),0)</f>
        <v>1</v>
      </c>
      <c r="D69" s="7">
        <v>1</v>
      </c>
      <c r="E69" s="5"/>
      <c r="F69" s="5">
        <f t="shared" si="14"/>
        <v>0</v>
      </c>
      <c r="G69" s="5"/>
    </row>
    <row r="70" spans="1:7" ht="18.75" hidden="1" customHeight="1" x14ac:dyDescent="0.35">
      <c r="A70" s="93" t="s">
        <v>53</v>
      </c>
      <c r="B70" s="112" t="s">
        <v>796</v>
      </c>
      <c r="C70" s="5">
        <f>+IFERROR(VLOOKUP($A70,RAIZ!$A$3:$X$1500,MATCH('Suc. Xalisco'!$F$1,RAIZ!$A$2:$X$2,0),FALSE),0)</f>
        <v>3</v>
      </c>
      <c r="D70" s="20">
        <v>3</v>
      </c>
      <c r="E70" s="5"/>
      <c r="F70" s="5">
        <f t="shared" si="14"/>
        <v>0</v>
      </c>
      <c r="G70" s="5"/>
    </row>
    <row r="71" spans="1:7" ht="18.75" customHeight="1" thickBot="1" x14ac:dyDescent="0.4">
      <c r="A71" s="93" t="s">
        <v>47</v>
      </c>
      <c r="B71" s="112" t="s">
        <v>873</v>
      </c>
      <c r="C71" s="5">
        <f>+IFERROR(VLOOKUP($A71,RAIZ!$A$3:$X$1500,MATCH('Suc. Xalisco'!$F$1,RAIZ!$A$2:$X$2,0),FALSE),0)</f>
        <v>0</v>
      </c>
      <c r="D71" s="20">
        <v>1</v>
      </c>
      <c r="E71" s="5"/>
      <c r="F71" s="5">
        <f t="shared" ref="F71:F77" si="16">IF(D71-C71&gt;=0,D71-C71,0)</f>
        <v>1</v>
      </c>
      <c r="G71" s="5">
        <v>1</v>
      </c>
    </row>
    <row r="72" spans="1:7" ht="18.75" hidden="1" customHeight="1" x14ac:dyDescent="0.35">
      <c r="A72" s="86" t="s">
        <v>1089</v>
      </c>
      <c r="B72" s="112" t="s">
        <v>1090</v>
      </c>
      <c r="C72" s="5">
        <f>+IFERROR(VLOOKUP($A72,RAIZ!$A$3:$X$1500,MATCH('Suc. Xalisco'!$F$1,RAIZ!$A$2:$X$2,0),FALSE),0)</f>
        <v>0</v>
      </c>
      <c r="D72" s="20">
        <v>0</v>
      </c>
      <c r="E72" s="5"/>
      <c r="F72" s="5">
        <f>IF(D72-C72&gt;=0,D72-C72,0)</f>
        <v>0</v>
      </c>
      <c r="G72" s="5"/>
    </row>
    <row r="73" spans="1:7" ht="18.75" hidden="1" customHeight="1" x14ac:dyDescent="0.35">
      <c r="A73" s="93"/>
      <c r="B73" s="112"/>
      <c r="C73" s="5">
        <f>+IFERROR(VLOOKUP($A73,RAIZ!$A$3:$X$1500,MATCH('Suc. Xalisco'!$F$1,RAIZ!$A$2:$X$2,0),FALSE),0)</f>
        <v>0</v>
      </c>
      <c r="D73" s="20"/>
      <c r="E73" s="5"/>
      <c r="F73" s="5">
        <f t="shared" si="16"/>
        <v>0</v>
      </c>
      <c r="G73" s="5"/>
    </row>
    <row r="74" spans="1:7" ht="18.75" hidden="1" customHeight="1" x14ac:dyDescent="0.35">
      <c r="A74" s="93"/>
      <c r="B74" s="112"/>
      <c r="C74" s="5">
        <f>+IFERROR(VLOOKUP($A74,RAIZ!$A$3:$X$1500,MATCH('Suc. Xalisco'!$F$1,RAIZ!$A$2:$X$2,0),FALSE),0)</f>
        <v>0</v>
      </c>
      <c r="D74" s="20"/>
      <c r="E74" s="5"/>
      <c r="F74" s="5">
        <f t="shared" si="16"/>
        <v>0</v>
      </c>
      <c r="G74" s="5"/>
    </row>
    <row r="75" spans="1:7" ht="18.75" hidden="1" customHeight="1" x14ac:dyDescent="0.35">
      <c r="A75" s="93"/>
      <c r="B75" s="112"/>
      <c r="C75" s="5">
        <f>+IFERROR(VLOOKUP($A75,RAIZ!$A$3:$X$1500,MATCH('Suc. Xalisco'!$F$1,RAIZ!$A$2:$X$2,0),FALSE),0)</f>
        <v>0</v>
      </c>
      <c r="D75" s="20"/>
      <c r="E75" s="5"/>
      <c r="F75" s="5">
        <f t="shared" si="16"/>
        <v>0</v>
      </c>
      <c r="G75" s="5"/>
    </row>
    <row r="76" spans="1:7" ht="18.75" hidden="1" customHeight="1" x14ac:dyDescent="0.35">
      <c r="A76" s="93"/>
      <c r="B76" s="112"/>
      <c r="C76" s="5">
        <f>+IFERROR(VLOOKUP($A76,RAIZ!$A$3:$X$1500,MATCH('Suc. Xalisco'!$F$1,RAIZ!$A$2:$X$2,0),FALSE),0)</f>
        <v>0</v>
      </c>
      <c r="D76" s="20"/>
      <c r="E76" s="5"/>
      <c r="F76" s="5">
        <f t="shared" si="16"/>
        <v>0</v>
      </c>
      <c r="G76" s="5"/>
    </row>
    <row r="77" spans="1:7" ht="18.75" hidden="1" customHeight="1" thickBot="1" x14ac:dyDescent="0.4">
      <c r="A77" s="93"/>
      <c r="B77" s="112"/>
      <c r="C77" s="5">
        <f>+IFERROR(VLOOKUP($A77,RAIZ!$A$3:$X$1500,MATCH('Suc. Xalisco'!$F$1,RAIZ!$A$2:$X$2,0),FALSE),0)</f>
        <v>0</v>
      </c>
      <c r="D77" s="20"/>
      <c r="E77" s="5"/>
      <c r="F77" s="5">
        <f t="shared" si="16"/>
        <v>0</v>
      </c>
      <c r="G77" s="5"/>
    </row>
    <row r="78" spans="1:7" ht="18.75" customHeight="1" thickBot="1" x14ac:dyDescent="0.4">
      <c r="A78" s="99" t="s">
        <v>54</v>
      </c>
      <c r="B78" s="111"/>
      <c r="C78" s="77">
        <f>SUM(C56:C77)</f>
        <v>11</v>
      </c>
      <c r="D78" s="48">
        <f>SUM(D56:D77)</f>
        <v>15</v>
      </c>
      <c r="E78" s="48">
        <f>SUM(E56:E77)</f>
        <v>0</v>
      </c>
      <c r="F78" s="65">
        <f>SUM(F56:F77)</f>
        <v>4</v>
      </c>
      <c r="G78" s="48">
        <f>SUM(G56:G77)</f>
        <v>4</v>
      </c>
    </row>
    <row r="79" spans="1:7" ht="18.75" customHeight="1" thickBot="1" x14ac:dyDescent="0.4">
      <c r="A79" s="103" t="s">
        <v>55</v>
      </c>
      <c r="B79" s="111"/>
      <c r="C79" s="79">
        <f>C18+C32+C49+C52+C55+C78</f>
        <v>55</v>
      </c>
      <c r="D79" s="52">
        <f>D18+D32+D49+D52+D55+D78</f>
        <v>79</v>
      </c>
      <c r="E79" s="52">
        <f>E18+E32+E49+E52+E55+E78</f>
        <v>0</v>
      </c>
      <c r="F79" s="67">
        <f>F18+F32+F49+F52+F55+F78</f>
        <v>24</v>
      </c>
      <c r="G79" s="52">
        <f>G18+G32+G49+G52+G55+G78</f>
        <v>23</v>
      </c>
    </row>
    <row r="80" spans="1:7" ht="18.75" hidden="1" customHeight="1" x14ac:dyDescent="0.35">
      <c r="A80" s="104" t="s">
        <v>56</v>
      </c>
      <c r="B80" s="111"/>
      <c r="C80" s="68"/>
      <c r="D80" s="26"/>
      <c r="E80" s="27"/>
      <c r="F80" s="27"/>
      <c r="G80" s="27"/>
    </row>
    <row r="81" spans="1:7" ht="18.75" hidden="1" customHeight="1" x14ac:dyDescent="0.35">
      <c r="A81" s="94" t="s">
        <v>57</v>
      </c>
      <c r="B81" s="112" t="s">
        <v>797</v>
      </c>
      <c r="C81" s="5">
        <f>+IFERROR(VLOOKUP($A81,RAIZ!$A$3:$X$1500,MATCH('Suc. Xalisco'!$F$1,RAIZ!$A$2:$X$2,0),FALSE),0)</f>
        <v>1</v>
      </c>
      <c r="D81" s="4">
        <v>1</v>
      </c>
      <c r="E81" s="5"/>
      <c r="F81" s="5">
        <f t="shared" ref="F81:F85" si="17">IF(D81-C81&gt;=0,D81-C81,0)</f>
        <v>0</v>
      </c>
      <c r="G81" s="5"/>
    </row>
    <row r="82" spans="1:7" ht="18.75" hidden="1" customHeight="1" x14ac:dyDescent="0.35">
      <c r="A82" s="94" t="s">
        <v>58</v>
      </c>
      <c r="B82" s="112" t="s">
        <v>867</v>
      </c>
      <c r="C82" s="5">
        <f>+IFERROR(VLOOKUP($A82,RAIZ!$A$3:$X$1500,MATCH('Suc. Xalisco'!$F$1,RAIZ!$A$2:$X$2,0),FALSE),0)</f>
        <v>1</v>
      </c>
      <c r="D82" s="4">
        <v>1</v>
      </c>
      <c r="E82" s="5"/>
      <c r="F82" s="5">
        <f t="shared" ref="F82" si="18">IF(D82-C82&gt;=0,D82-C82,0)</f>
        <v>0</v>
      </c>
      <c r="G82" s="5"/>
    </row>
    <row r="83" spans="1:7" ht="18.75" hidden="1" customHeight="1" x14ac:dyDescent="0.35">
      <c r="A83" s="94" t="s">
        <v>59</v>
      </c>
      <c r="B83" s="112" t="s">
        <v>798</v>
      </c>
      <c r="C83" s="5">
        <f>+IFERROR(VLOOKUP($A83,RAIZ!$A$3:$X$1500,MATCH('Suc. Xalisco'!$F$1,RAIZ!$A$2:$X$2,0),FALSE),0)</f>
        <v>1</v>
      </c>
      <c r="D83" s="196">
        <v>1</v>
      </c>
      <c r="E83" s="5"/>
      <c r="F83" s="5">
        <f t="shared" si="17"/>
        <v>0</v>
      </c>
      <c r="G83" s="5"/>
    </row>
    <row r="84" spans="1:7" ht="18.75" hidden="1" customHeight="1" x14ac:dyDescent="0.35">
      <c r="A84" s="94" t="s">
        <v>60</v>
      </c>
      <c r="B84" s="112" t="s">
        <v>799</v>
      </c>
      <c r="C84" s="5">
        <f>+IFERROR(VLOOKUP($A84,RAIZ!$A$3:$X$1500,MATCH('Suc. Xalisco'!$F$1,RAIZ!$A$2:$X$2,0),FALSE),0)</f>
        <v>1</v>
      </c>
      <c r="D84" s="196">
        <v>1</v>
      </c>
      <c r="E84" s="5"/>
      <c r="F84" s="5">
        <f t="shared" si="17"/>
        <v>0</v>
      </c>
      <c r="G84" s="5"/>
    </row>
    <row r="85" spans="1:7" ht="18.75" hidden="1" customHeight="1" x14ac:dyDescent="0.35">
      <c r="A85" s="94" t="s">
        <v>61</v>
      </c>
      <c r="B85" s="112" t="s">
        <v>800</v>
      </c>
      <c r="C85" s="5">
        <f>+IFERROR(VLOOKUP($A85,RAIZ!$A$3:$X$1500,MATCH('Suc. Xalisco'!$F$1,RAIZ!$A$2:$X$2,0),FALSE),0)</f>
        <v>1</v>
      </c>
      <c r="D85" s="7">
        <v>1</v>
      </c>
      <c r="E85" s="5"/>
      <c r="F85" s="5">
        <f t="shared" si="17"/>
        <v>0</v>
      </c>
      <c r="G85" s="5"/>
    </row>
    <row r="86" spans="1:7" ht="18.75" hidden="1" customHeight="1" x14ac:dyDescent="0.35">
      <c r="A86" s="94" t="s">
        <v>63</v>
      </c>
      <c r="B86" s="112" t="s">
        <v>801</v>
      </c>
      <c r="C86" s="5">
        <f>+IFERROR(VLOOKUP($A86,RAIZ!$A$3:$X$1500,MATCH('Suc. Xalisco'!$F$1,RAIZ!$A$2:$X$2,0),FALSE),0)</f>
        <v>2</v>
      </c>
      <c r="D86" s="7">
        <v>2</v>
      </c>
      <c r="E86" s="5"/>
      <c r="F86" s="5">
        <f t="shared" ref="F86:F90" si="19">IF(D86-C86&gt;=0,D86-C86,0)</f>
        <v>0</v>
      </c>
      <c r="G86" s="5"/>
    </row>
    <row r="87" spans="1:7" ht="18.75" hidden="1" customHeight="1" x14ac:dyDescent="0.35">
      <c r="A87" s="94"/>
      <c r="B87" s="112" t="s">
        <v>1091</v>
      </c>
      <c r="C87" s="5">
        <f>+IFERROR(VLOOKUP($A87,RAIZ!$A$3:$X$1500,MATCH('Suc. Xalisco'!$F$1,RAIZ!$A$2:$X$2,0),FALSE),0)</f>
        <v>0</v>
      </c>
      <c r="D87" s="20"/>
      <c r="E87" s="5"/>
      <c r="F87" s="5">
        <f>IF(D87-C87&gt;=0,D87-C87,0)</f>
        <v>0</v>
      </c>
      <c r="G87" s="5"/>
    </row>
    <row r="88" spans="1:7" ht="18.75" hidden="1" customHeight="1" x14ac:dyDescent="0.35">
      <c r="A88" s="94"/>
      <c r="B88" s="112" t="s">
        <v>1094</v>
      </c>
      <c r="C88" s="5">
        <f>+IFERROR(VLOOKUP($A88,RAIZ!$A$3:$X$1500,MATCH('Suc. Xalisco'!$F$1,RAIZ!$A$2:$X$2,0),FALSE),0)</f>
        <v>0</v>
      </c>
      <c r="D88" s="7"/>
      <c r="E88" s="5"/>
      <c r="F88" s="5">
        <f t="shared" si="19"/>
        <v>0</v>
      </c>
      <c r="G88" s="5"/>
    </row>
    <row r="89" spans="1:7" ht="18.75" hidden="1" customHeight="1" x14ac:dyDescent="0.35">
      <c r="A89" s="94"/>
      <c r="B89" s="112" t="s">
        <v>1095</v>
      </c>
      <c r="C89" s="5">
        <f>+IFERROR(VLOOKUP($A89,RAIZ!$A$3:$X$1500,MATCH('Suc. Xalisco'!$F$1,RAIZ!$A$2:$X$2,0),FALSE),0)</f>
        <v>0</v>
      </c>
      <c r="D89" s="7"/>
      <c r="E89" s="5"/>
      <c r="F89" s="5">
        <f t="shared" si="19"/>
        <v>0</v>
      </c>
      <c r="G89" s="5"/>
    </row>
    <row r="90" spans="1:7" ht="18.75" hidden="1" customHeight="1" thickBot="1" x14ac:dyDescent="0.4">
      <c r="A90" s="94"/>
      <c r="B90" s="112" t="s">
        <v>1093</v>
      </c>
      <c r="C90" s="5">
        <f>+IFERROR(VLOOKUP($A90,RAIZ!$A$3:$X$1500,MATCH('Suc. Xalisco'!$F$1,RAIZ!$A$2:$X$2,0),FALSE),0)</f>
        <v>0</v>
      </c>
      <c r="D90" s="7"/>
      <c r="E90" s="5"/>
      <c r="F90" s="5">
        <f t="shared" si="19"/>
        <v>0</v>
      </c>
      <c r="G90" s="5"/>
    </row>
    <row r="91" spans="1:7" ht="18.75" hidden="1" customHeight="1" thickBot="1" x14ac:dyDescent="0.4">
      <c r="A91" s="105" t="s">
        <v>55</v>
      </c>
      <c r="B91" s="111"/>
      <c r="C91" s="80">
        <f>SUM(C81:C90)</f>
        <v>7</v>
      </c>
      <c r="D91" s="54">
        <f>SUM(D81:D90)</f>
        <v>7</v>
      </c>
      <c r="E91" s="54">
        <f>SUM(E81:E90)</f>
        <v>0</v>
      </c>
      <c r="F91" s="69">
        <f>SUM(F81:F90)</f>
        <v>0</v>
      </c>
      <c r="G91" s="54">
        <f>SUM(G81:G90)</f>
        <v>0</v>
      </c>
    </row>
    <row r="92" spans="1:7" ht="18.75" hidden="1" customHeight="1" x14ac:dyDescent="0.35">
      <c r="A92" s="106" t="s">
        <v>64</v>
      </c>
      <c r="B92" s="111"/>
      <c r="C92" s="70"/>
      <c r="D92" s="30"/>
      <c r="E92" s="31"/>
      <c r="F92" s="31"/>
      <c r="G92" s="31"/>
    </row>
    <row r="93" spans="1:7" ht="18.75" hidden="1" customHeight="1" x14ac:dyDescent="0.35">
      <c r="A93" s="94" t="s">
        <v>65</v>
      </c>
      <c r="B93" s="112" t="s">
        <v>802</v>
      </c>
      <c r="C93" s="5">
        <f>+IFERROR(VLOOKUP($A93,RAIZ!$A$3:$X$1500,MATCH('Suc. Xalisco'!$F$1,RAIZ!$A$2:$X$2,0),FALSE),0)</f>
        <v>2</v>
      </c>
      <c r="D93" s="4">
        <v>2</v>
      </c>
      <c r="E93" s="5"/>
      <c r="F93" s="5">
        <f t="shared" ref="F93:F104" si="20">IF(D93-C93&gt;=0,D93-C93,0)</f>
        <v>0</v>
      </c>
      <c r="G93" s="5"/>
    </row>
    <row r="94" spans="1:7" ht="18.75" customHeight="1" x14ac:dyDescent="0.35">
      <c r="A94" s="94" t="s">
        <v>66</v>
      </c>
      <c r="B94" s="112" t="s">
        <v>803</v>
      </c>
      <c r="C94" s="5">
        <f>+IFERROR(VLOOKUP($A94,RAIZ!$A$3:$X$1500,MATCH('Suc. Xalisco'!$F$1,RAIZ!$A$2:$X$2,0),FALSE),0)</f>
        <v>0</v>
      </c>
      <c r="D94" s="7">
        <v>1</v>
      </c>
      <c r="E94" s="5"/>
      <c r="F94" s="5">
        <f t="shared" si="20"/>
        <v>1</v>
      </c>
      <c r="G94" s="5">
        <v>1</v>
      </c>
    </row>
    <row r="95" spans="1:7" ht="18.75" customHeight="1" x14ac:dyDescent="0.35">
      <c r="A95" s="94" t="s">
        <v>68</v>
      </c>
      <c r="B95" s="112" t="s">
        <v>805</v>
      </c>
      <c r="C95" s="5">
        <f>+IFERROR(VLOOKUP($A95,RAIZ!$A$3:$X$1500,MATCH('Suc. Xalisco'!$F$1,RAIZ!$A$2:$X$2,0),FALSE),0)</f>
        <v>0</v>
      </c>
      <c r="D95" s="7">
        <v>2</v>
      </c>
      <c r="E95" s="5"/>
      <c r="F95" s="5">
        <f t="shared" si="20"/>
        <v>2</v>
      </c>
      <c r="G95" s="5">
        <v>2</v>
      </c>
    </row>
    <row r="96" spans="1:7" ht="18.75" customHeight="1" x14ac:dyDescent="0.35">
      <c r="A96" s="94" t="s">
        <v>69</v>
      </c>
      <c r="B96" s="112" t="s">
        <v>806</v>
      </c>
      <c r="C96" s="5">
        <f>+IFERROR(VLOOKUP($A96,RAIZ!$A$3:$X$1500,MATCH('Suc. Xalisco'!$F$1,RAIZ!$A$2:$X$2,0),FALSE),0)</f>
        <v>3</v>
      </c>
      <c r="D96" s="7">
        <v>4</v>
      </c>
      <c r="E96" s="5"/>
      <c r="F96" s="5">
        <f t="shared" si="20"/>
        <v>1</v>
      </c>
      <c r="G96" s="5">
        <v>1</v>
      </c>
    </row>
    <row r="97" spans="1:7" ht="18.75" customHeight="1" x14ac:dyDescent="0.35">
      <c r="A97" s="94" t="s">
        <v>70</v>
      </c>
      <c r="B97" s="112" t="s">
        <v>807</v>
      </c>
      <c r="C97" s="5">
        <f>+IFERROR(VLOOKUP($A97,RAIZ!$A$3:$X$1500,MATCH('Suc. Xalisco'!$F$1,RAIZ!$A$2:$X$2,0),FALSE),0)</f>
        <v>1</v>
      </c>
      <c r="D97" s="7">
        <v>2</v>
      </c>
      <c r="E97" s="5"/>
      <c r="F97" s="5">
        <f t="shared" si="20"/>
        <v>1</v>
      </c>
      <c r="G97" s="5">
        <v>1</v>
      </c>
    </row>
    <row r="98" spans="1:7" ht="18.75" hidden="1" customHeight="1" x14ac:dyDescent="0.35">
      <c r="A98" s="94" t="s">
        <v>857</v>
      </c>
      <c r="B98" s="112" t="s">
        <v>808</v>
      </c>
      <c r="C98" s="5">
        <f>+IFERROR(VLOOKUP($A98,RAIZ!$A$3:$X$1500,MATCH('Suc. Xalisco'!$F$1,RAIZ!$A$2:$X$2,0),FALSE),0)</f>
        <v>5</v>
      </c>
      <c r="D98" s="7">
        <v>2</v>
      </c>
      <c r="E98" s="201">
        <v>5</v>
      </c>
      <c r="F98" s="5">
        <f t="shared" si="20"/>
        <v>0</v>
      </c>
      <c r="G98" s="5"/>
    </row>
    <row r="99" spans="1:7" ht="18.75" hidden="1" customHeight="1" x14ac:dyDescent="0.35">
      <c r="A99" s="94" t="s">
        <v>835</v>
      </c>
      <c r="B99" s="112" t="s">
        <v>836</v>
      </c>
      <c r="C99" s="5">
        <f>+IFERROR(VLOOKUP($A99,RAIZ!$A$3:$X$1500,MATCH('Suc. Xalisco'!$F$1,RAIZ!$A$2:$X$2,0),FALSE),0)</f>
        <v>2</v>
      </c>
      <c r="D99" s="196">
        <v>2</v>
      </c>
      <c r="E99" s="5"/>
      <c r="F99" s="5">
        <f t="shared" ref="F99:F103" si="21">IF(D99-C99&gt;=0,D99-C99,0)</f>
        <v>0</v>
      </c>
      <c r="G99" s="5"/>
    </row>
    <row r="100" spans="1:7" ht="18.75" customHeight="1" x14ac:dyDescent="0.35">
      <c r="A100" s="94" t="s">
        <v>72</v>
      </c>
      <c r="B100" s="112" t="s">
        <v>834</v>
      </c>
      <c r="C100" s="5">
        <f>+IFERROR(VLOOKUP($A100,RAIZ!$A$3:$X$1500,MATCH('Suc. Xalisco'!$F$1,RAIZ!$A$2:$X$2,0),FALSE),0)</f>
        <v>16</v>
      </c>
      <c r="D100" s="7">
        <v>30</v>
      </c>
      <c r="E100" s="5"/>
      <c r="F100" s="5">
        <f t="shared" si="21"/>
        <v>14</v>
      </c>
      <c r="G100" s="5">
        <v>14</v>
      </c>
    </row>
    <row r="101" spans="1:7" ht="18.75" customHeight="1" x14ac:dyDescent="0.35">
      <c r="A101" s="94" t="s">
        <v>73</v>
      </c>
      <c r="B101" s="112" t="s">
        <v>809</v>
      </c>
      <c r="C101" s="5">
        <f>+IFERROR(VLOOKUP($A101,RAIZ!$A$3:$X$1500,MATCH('Suc. Xalisco'!$F$1,RAIZ!$A$2:$X$2,0),FALSE),0)</f>
        <v>0</v>
      </c>
      <c r="D101" s="7">
        <v>1</v>
      </c>
      <c r="E101" s="5"/>
      <c r="F101" s="5">
        <f t="shared" si="21"/>
        <v>1</v>
      </c>
      <c r="G101" s="5">
        <v>1</v>
      </c>
    </row>
    <row r="102" spans="1:7" ht="18.75" hidden="1" customHeight="1" x14ac:dyDescent="0.35">
      <c r="A102" s="94" t="s">
        <v>74</v>
      </c>
      <c r="B102" s="112" t="s">
        <v>810</v>
      </c>
      <c r="C102" s="5">
        <f>+IFERROR(VLOOKUP($A102,RAIZ!$A$3:$X$1500,MATCH('Suc. Xalisco'!$F$1,RAIZ!$A$2:$X$2,0),FALSE),0)</f>
        <v>3</v>
      </c>
      <c r="D102" s="7">
        <v>3</v>
      </c>
      <c r="E102" s="5"/>
      <c r="F102" s="5">
        <f t="shared" si="21"/>
        <v>0</v>
      </c>
      <c r="G102" s="5"/>
    </row>
    <row r="103" spans="1:7" ht="18.75" customHeight="1" thickBot="1" x14ac:dyDescent="0.4">
      <c r="A103" s="94" t="s">
        <v>75</v>
      </c>
      <c r="B103" s="112" t="s">
        <v>811</v>
      </c>
      <c r="C103" s="5">
        <f>+IFERROR(VLOOKUP($A103,RAIZ!$A$3:$X$1500,MATCH('Suc. Xalisco'!$F$1,RAIZ!$A$2:$X$2,0),FALSE),0)</f>
        <v>1</v>
      </c>
      <c r="D103" s="20">
        <v>2</v>
      </c>
      <c r="E103" s="5"/>
      <c r="F103" s="5">
        <f t="shared" si="21"/>
        <v>1</v>
      </c>
      <c r="G103" s="5">
        <v>1</v>
      </c>
    </row>
    <row r="104" spans="1:7" ht="18.75" hidden="1" customHeight="1" thickBot="1" x14ac:dyDescent="0.4">
      <c r="A104" s="94"/>
      <c r="B104" s="112" t="s">
        <v>1096</v>
      </c>
      <c r="C104" s="5">
        <f>+IFERROR(VLOOKUP($A104,RAIZ!$A$3:$X$1500,MATCH('Suc. Xalisco'!$F$1,RAIZ!$A$2:$X$2,0),FALSE),0)</f>
        <v>0</v>
      </c>
      <c r="D104" s="7"/>
      <c r="E104" s="5"/>
      <c r="F104" s="5">
        <f t="shared" si="20"/>
        <v>0</v>
      </c>
      <c r="G104" s="5"/>
    </row>
    <row r="105" spans="1:7" ht="18.75" customHeight="1" thickBot="1" x14ac:dyDescent="0.4">
      <c r="A105" s="107" t="s">
        <v>55</v>
      </c>
      <c r="B105" s="111"/>
      <c r="C105" s="81">
        <f>SUM(C93:C104)</f>
        <v>33</v>
      </c>
      <c r="D105" s="56">
        <f>SUM(D93:D104)</f>
        <v>51</v>
      </c>
      <c r="E105" s="56">
        <f>SUM(E93:E104)</f>
        <v>5</v>
      </c>
      <c r="F105" s="71">
        <f>SUM(F93:F104)</f>
        <v>21</v>
      </c>
      <c r="G105" s="56">
        <f>SUM(G93:G104)</f>
        <v>21</v>
      </c>
    </row>
    <row r="106" spans="1:7" ht="18.75" hidden="1" customHeight="1" x14ac:dyDescent="0.35">
      <c r="A106" s="108" t="s">
        <v>76</v>
      </c>
      <c r="B106" s="111"/>
      <c r="C106" s="72"/>
      <c r="D106" s="34"/>
      <c r="E106" s="35"/>
      <c r="F106" s="35"/>
      <c r="G106" s="35"/>
    </row>
    <row r="107" spans="1:7" ht="18.75" hidden="1" customHeight="1" x14ac:dyDescent="0.35">
      <c r="A107" s="94" t="s">
        <v>77</v>
      </c>
      <c r="B107" s="112" t="s">
        <v>812</v>
      </c>
      <c r="C107" s="5">
        <f>+IFERROR(VLOOKUP($A107,RAIZ!$A$3:$X$1500,MATCH('Suc. Xalisco'!$F$1,RAIZ!$A$2:$X$2,0),FALSE),0)</f>
        <v>1</v>
      </c>
      <c r="D107" s="196">
        <v>1</v>
      </c>
      <c r="E107" s="5"/>
      <c r="F107" s="5">
        <f t="shared" ref="F107:F112" si="22">IF(D107-C107&gt;=0,D107-C107,0)</f>
        <v>0</v>
      </c>
      <c r="G107" s="5"/>
    </row>
    <row r="108" spans="1:7" ht="18.75" hidden="1" customHeight="1" x14ac:dyDescent="0.35">
      <c r="A108" s="94" t="s">
        <v>621</v>
      </c>
      <c r="B108" s="112" t="s">
        <v>813</v>
      </c>
      <c r="C108" s="5">
        <f>+IFERROR(VLOOKUP($A108,RAIZ!$A$3:$X$1500,MATCH('Suc. Xalisco'!$F$1,RAIZ!$A$2:$X$2,0),FALSE),0)</f>
        <v>0</v>
      </c>
      <c r="D108" s="7">
        <v>0</v>
      </c>
      <c r="E108" s="5"/>
      <c r="F108" s="5">
        <f t="shared" si="22"/>
        <v>0</v>
      </c>
      <c r="G108" s="5"/>
    </row>
    <row r="109" spans="1:7" ht="18.75" hidden="1" customHeight="1" x14ac:dyDescent="0.35">
      <c r="A109" s="94" t="s">
        <v>80</v>
      </c>
      <c r="B109" s="112" t="s">
        <v>815</v>
      </c>
      <c r="C109" s="5">
        <f>+IFERROR(VLOOKUP($A109,RAIZ!$A$3:$X$1500,MATCH('Suc. Xalisco'!$F$1,RAIZ!$A$2:$X$2,0),FALSE),0)</f>
        <v>3</v>
      </c>
      <c r="D109" s="7">
        <v>3</v>
      </c>
      <c r="E109" s="5"/>
      <c r="F109" s="5">
        <f t="shared" si="22"/>
        <v>0</v>
      </c>
      <c r="G109" s="5"/>
    </row>
    <row r="110" spans="1:7" ht="18.75" hidden="1" customHeight="1" x14ac:dyDescent="0.35">
      <c r="A110" s="94" t="s">
        <v>81</v>
      </c>
      <c r="B110" s="112" t="s">
        <v>816</v>
      </c>
      <c r="C110" s="5">
        <f>+IFERROR(VLOOKUP($A110,RAIZ!$A$3:$X$1500,MATCH('Suc. Xalisco'!$F$1,RAIZ!$A$2:$X$2,0),FALSE),0)</f>
        <v>3</v>
      </c>
      <c r="D110" s="7">
        <v>3</v>
      </c>
      <c r="E110" s="5"/>
      <c r="F110" s="5">
        <f t="shared" si="22"/>
        <v>0</v>
      </c>
      <c r="G110" s="5"/>
    </row>
    <row r="111" spans="1:7" ht="18.75" hidden="1" customHeight="1" x14ac:dyDescent="0.35">
      <c r="A111" s="95" t="s">
        <v>83</v>
      </c>
      <c r="B111" s="112" t="s">
        <v>818</v>
      </c>
      <c r="C111" s="5">
        <f>+IFERROR(VLOOKUP($A111,RAIZ!$A$3:$X$1500,MATCH('Suc. Xalisco'!$F$1,RAIZ!$A$2:$X$2,0),FALSE),0)</f>
        <v>1</v>
      </c>
      <c r="D111" s="20">
        <v>1</v>
      </c>
      <c r="E111" s="5"/>
      <c r="F111" s="5">
        <f t="shared" si="22"/>
        <v>0</v>
      </c>
      <c r="G111" s="5"/>
    </row>
    <row r="112" spans="1:7" ht="18.75" hidden="1" customHeight="1" thickBot="1" x14ac:dyDescent="0.4">
      <c r="A112" s="95"/>
      <c r="B112" s="112"/>
      <c r="C112" s="5">
        <f>+IFERROR(VLOOKUP($A112,RAIZ!$A$3:$X$1500,MATCH('Suc. Xalisco'!$F$1,RAIZ!$A$2:$X$2,0),FALSE),0)</f>
        <v>0</v>
      </c>
      <c r="D112" s="20"/>
      <c r="E112" s="5"/>
      <c r="F112" s="5">
        <f t="shared" si="22"/>
        <v>0</v>
      </c>
      <c r="G112" s="5"/>
    </row>
    <row r="113" spans="1:7" ht="18.75" customHeight="1" thickBot="1" x14ac:dyDescent="0.4">
      <c r="A113" s="109" t="s">
        <v>55</v>
      </c>
      <c r="B113" s="111"/>
      <c r="C113" s="82">
        <f>SUM(C107:C112,C114:C116)</f>
        <v>9</v>
      </c>
      <c r="D113" s="58">
        <f>SUM(D107:D112,D114:D116)</f>
        <v>10</v>
      </c>
      <c r="E113" s="58">
        <f>SUM(E107:E112,E114:E116)</f>
        <v>0</v>
      </c>
      <c r="F113" s="73">
        <f>SUM(F107:F112,F114:F116)</f>
        <v>1</v>
      </c>
      <c r="G113" s="58">
        <f>SUM(G107:G112,G114:G116)</f>
        <v>1</v>
      </c>
    </row>
    <row r="114" spans="1:7" ht="18.75" customHeight="1" thickBot="1" x14ac:dyDescent="0.4">
      <c r="A114" s="93" t="s">
        <v>84</v>
      </c>
      <c r="B114" s="112" t="s">
        <v>819</v>
      </c>
      <c r="C114" s="5">
        <f>+IFERROR(VLOOKUP($A114,RAIZ!$A$3:$X$1500,MATCH('Suc. Xalisco'!$F$1,RAIZ!$A$2:$X$2,0),FALSE),0)</f>
        <v>0</v>
      </c>
      <c r="D114" s="4">
        <v>1</v>
      </c>
      <c r="E114" s="5"/>
      <c r="F114" s="5">
        <f t="shared" ref="F114" si="23">IF(D114-C114&gt;=0,D114-C114,0)</f>
        <v>1</v>
      </c>
      <c r="G114" s="5">
        <v>1</v>
      </c>
    </row>
    <row r="115" spans="1:7" ht="18.75" hidden="1" customHeight="1" x14ac:dyDescent="0.35">
      <c r="A115" s="95" t="s">
        <v>85</v>
      </c>
      <c r="B115" s="112" t="s">
        <v>820</v>
      </c>
      <c r="C115" s="5">
        <f>+IFERROR(VLOOKUP($A115,RAIZ!$A$3:$X$1500,MATCH('Suc. Xalisco'!$F$1,RAIZ!$A$2:$X$2,0),FALSE),0)</f>
        <v>1</v>
      </c>
      <c r="D115" s="20">
        <v>1</v>
      </c>
      <c r="E115" s="5"/>
      <c r="F115" s="5">
        <f t="shared" ref="F115:F140" si="24">IF(D115-C115&gt;=0,D115-C115,0)</f>
        <v>0</v>
      </c>
      <c r="G115" s="5"/>
    </row>
    <row r="116" spans="1:7" ht="18.75" hidden="1" customHeight="1" thickBot="1" x14ac:dyDescent="0.4">
      <c r="A116" s="95" t="s">
        <v>881</v>
      </c>
      <c r="B116" s="112" t="s">
        <v>882</v>
      </c>
      <c r="C116" s="5">
        <f>+IFERROR(VLOOKUP($A116,RAIZ!$A$3:$X$1500,MATCH('Suc. Xalisco'!$F$1,RAIZ!$A$2:$X$2,0),FALSE),0)</f>
        <v>0</v>
      </c>
      <c r="D116" s="170">
        <v>0</v>
      </c>
      <c r="E116" s="5"/>
      <c r="F116" s="5">
        <f t="shared" si="24"/>
        <v>0</v>
      </c>
      <c r="G116" s="5"/>
    </row>
    <row r="117" spans="1:7" ht="18.75" customHeight="1" thickBot="1" x14ac:dyDescent="0.4">
      <c r="A117" s="110" t="s">
        <v>86</v>
      </c>
      <c r="B117" s="111"/>
      <c r="C117" s="83">
        <f>C79+C91+C105+C113</f>
        <v>104</v>
      </c>
      <c r="D117" s="60">
        <f>D79+D91+D105+D113</f>
        <v>147</v>
      </c>
      <c r="E117" s="60">
        <f>E79+E91+E105+E113</f>
        <v>5</v>
      </c>
      <c r="F117" s="74">
        <f>F79+F91+F105+F113</f>
        <v>46</v>
      </c>
      <c r="G117" s="60">
        <f>G79+G91+G105+G113</f>
        <v>45</v>
      </c>
    </row>
    <row r="118" spans="1:7" ht="18.75" hidden="1" customHeight="1" x14ac:dyDescent="0.35">
      <c r="A118" s="95" t="s">
        <v>975</v>
      </c>
      <c r="B118" s="112" t="s">
        <v>976</v>
      </c>
      <c r="C118" s="5">
        <f>+IFERROR(VLOOKUP($A118,RAIZ!$A$3:$X$1500,MATCH('Suc. Xalisco'!$F$1,RAIZ!$A$2:$X$2,0),FALSE),0)</f>
        <v>2</v>
      </c>
      <c r="D118" s="20">
        <v>2</v>
      </c>
      <c r="E118" s="5"/>
      <c r="F118" s="5">
        <f>IF(D118-C118&gt;=0,D118-C118,0)</f>
        <v>0</v>
      </c>
      <c r="G118" s="5"/>
    </row>
    <row r="119" spans="1:7" ht="18.75" hidden="1" customHeight="1" x14ac:dyDescent="0.35">
      <c r="A119" s="95" t="s">
        <v>974</v>
      </c>
      <c r="B119" s="112" t="s">
        <v>977</v>
      </c>
      <c r="C119" s="5">
        <f>+IFERROR(VLOOKUP($A119,RAIZ!$A$3:$X$1500,MATCH('Suc. Xalisco'!$F$1,RAIZ!$A$2:$X$2,0),FALSE),0)</f>
        <v>0</v>
      </c>
      <c r="D119" s="20">
        <v>2</v>
      </c>
      <c r="E119" s="5"/>
      <c r="F119" s="5">
        <f t="shared" si="24"/>
        <v>2</v>
      </c>
      <c r="G119" s="5"/>
    </row>
    <row r="120" spans="1:7" ht="18.75" hidden="1" customHeight="1" thickBot="1" x14ac:dyDescent="0.4">
      <c r="A120" s="95" t="s">
        <v>1077</v>
      </c>
      <c r="B120" s="112" t="s">
        <v>817</v>
      </c>
      <c r="C120" s="5">
        <f>+IFERROR(VLOOKUP($A120,RAIZ!$A$3:$X$1500,MATCH('Suc. Xalisco'!$F$1,RAIZ!$A$2:$X$2,0),FALSE),0)</f>
        <v>0</v>
      </c>
      <c r="D120" s="20"/>
      <c r="E120" s="5"/>
      <c r="F120" s="5">
        <f t="shared" si="24"/>
        <v>0</v>
      </c>
      <c r="G120" s="5"/>
    </row>
    <row r="121" spans="1:7" ht="18.75" hidden="1" customHeight="1" thickBot="1" x14ac:dyDescent="0.4">
      <c r="A121" s="95" t="s">
        <v>1076</v>
      </c>
      <c r="B121" s="194" t="s">
        <v>1121</v>
      </c>
      <c r="C121" s="5">
        <f>+IFERROR(VLOOKUP($A121,RAIZ!$A$3:$X$1500,MATCH('Suc. Xalisco'!$F$1,RAIZ!$A$2:$X$2,0),FALSE),0)</f>
        <v>1</v>
      </c>
      <c r="D121" s="20"/>
      <c r="E121" s="5"/>
      <c r="F121" s="5">
        <f t="shared" si="24"/>
        <v>0</v>
      </c>
      <c r="G121" s="5"/>
    </row>
    <row r="122" spans="1:7" ht="18.75" customHeight="1" thickBot="1" x14ac:dyDescent="0.4">
      <c r="A122" s="95" t="s">
        <v>1014</v>
      </c>
      <c r="B122" s="194" t="s">
        <v>1010</v>
      </c>
      <c r="C122" s="5">
        <f>+IFERROR(VLOOKUP($A122,RAIZ!$A$3:$X$1500,MATCH('Suc. Xalisco'!$F$1,RAIZ!$A$2:$X$2,0),FALSE),0)</f>
        <v>4</v>
      </c>
      <c r="D122" s="20">
        <v>5</v>
      </c>
      <c r="E122" s="5"/>
      <c r="F122" s="5">
        <f t="shared" si="24"/>
        <v>1</v>
      </c>
      <c r="G122" s="5">
        <v>1</v>
      </c>
    </row>
    <row r="123" spans="1:7" ht="18.75" hidden="1" customHeight="1" thickBot="1" x14ac:dyDescent="0.4">
      <c r="A123" s="95" t="s">
        <v>1015</v>
      </c>
      <c r="B123" s="194" t="s">
        <v>1011</v>
      </c>
      <c r="C123" s="147">
        <f>+IFERROR(VLOOKUP($A123,RAIZ!$A$3:$X$1500,MATCH('Suc. Xalisco'!$F$1,RAIZ!$A$2:$X$2,0),FALSE),0)</f>
        <v>0</v>
      </c>
      <c r="D123" s="20">
        <v>0</v>
      </c>
      <c r="E123" s="5"/>
      <c r="F123" s="5">
        <f t="shared" si="24"/>
        <v>0</v>
      </c>
      <c r="G123" s="5"/>
    </row>
    <row r="124" spans="1:7" ht="18.75" hidden="1" customHeight="1" thickBot="1" x14ac:dyDescent="0.4">
      <c r="A124" s="95" t="s">
        <v>1016</v>
      </c>
      <c r="B124" s="194" t="s">
        <v>1012</v>
      </c>
      <c r="C124" s="147">
        <f>+IFERROR(VLOOKUP($A124,RAIZ!$A$3:$X$1500,MATCH('Suc. Xalisco'!$F$1,RAIZ!$A$2:$X$2,0),FALSE),0)</f>
        <v>10</v>
      </c>
      <c r="D124" s="20">
        <v>10</v>
      </c>
      <c r="E124" s="5"/>
      <c r="F124" s="5">
        <f t="shared" si="24"/>
        <v>0</v>
      </c>
      <c r="G124" s="5"/>
    </row>
    <row r="125" spans="1:7" ht="18.75" hidden="1" customHeight="1" thickBot="1" x14ac:dyDescent="0.4">
      <c r="A125" s="95" t="s">
        <v>1017</v>
      </c>
      <c r="B125" s="194" t="s">
        <v>1013</v>
      </c>
      <c r="C125" s="147">
        <f>+IFERROR(VLOOKUP($A125,RAIZ!$A$3:$X$1500,MATCH('Suc. Xalisco'!$F$1,RAIZ!$A$2:$X$2,0),FALSE),0)</f>
        <v>3</v>
      </c>
      <c r="D125" s="18">
        <v>0</v>
      </c>
      <c r="E125" s="5"/>
      <c r="F125" s="5">
        <f t="shared" si="24"/>
        <v>0</v>
      </c>
      <c r="G125" s="5"/>
    </row>
    <row r="126" spans="1:7" ht="18.75" hidden="1" customHeight="1" thickBot="1" x14ac:dyDescent="0.4">
      <c r="A126" s="95" t="s">
        <v>1125</v>
      </c>
      <c r="B126" s="194" t="s">
        <v>1127</v>
      </c>
      <c r="C126" s="147">
        <f>+IFERROR(VLOOKUP($A126,RAIZ!$A$3:$X$1500,MATCH('Suc. Xalisco'!$F$1,RAIZ!$A$2:$X$2,0),FALSE),0)</f>
        <v>2</v>
      </c>
      <c r="D126" s="20"/>
      <c r="E126" s="5"/>
      <c r="F126" s="5">
        <f t="shared" si="24"/>
        <v>0</v>
      </c>
      <c r="G126" s="5"/>
    </row>
    <row r="127" spans="1:7" ht="18.75" hidden="1" customHeight="1" thickBot="1" x14ac:dyDescent="0.4">
      <c r="A127" s="95" t="s">
        <v>1126</v>
      </c>
      <c r="B127" s="194" t="s">
        <v>1128</v>
      </c>
      <c r="C127" s="147">
        <f>+IFERROR(VLOOKUP($A127,RAIZ!$A$3:$X$1500,MATCH('Suc. Xalisco'!$F$1,RAIZ!$A$2:$X$2,0),FALSE),0)</f>
        <v>1</v>
      </c>
      <c r="D127" s="18"/>
      <c r="E127" s="184"/>
      <c r="F127" s="184">
        <f t="shared" si="24"/>
        <v>0</v>
      </c>
      <c r="G127" s="181"/>
    </row>
    <row r="128" spans="1:7" ht="18.75" customHeight="1" thickBot="1" x14ac:dyDescent="0.4">
      <c r="A128" s="95" t="s">
        <v>568</v>
      </c>
      <c r="B128" s="194" t="s">
        <v>1131</v>
      </c>
      <c r="C128" s="186">
        <f>+IFERROR(VLOOKUP($A128,RAIZ!$A$3:$X$1500,MATCH('Suc. Xalisco'!$F$1,RAIZ!$A$2:$X$2,0),FALSE),0)</f>
        <v>0</v>
      </c>
      <c r="D128" s="18">
        <v>3</v>
      </c>
      <c r="E128" s="185"/>
      <c r="F128" s="185">
        <f t="shared" si="24"/>
        <v>3</v>
      </c>
      <c r="G128" s="185">
        <v>3</v>
      </c>
    </row>
    <row r="129" spans="1:7" ht="18.75" hidden="1" customHeight="1" thickBot="1" x14ac:dyDescent="0.4">
      <c r="A129" s="95" t="s">
        <v>565</v>
      </c>
      <c r="B129" s="194" t="s">
        <v>1142</v>
      </c>
      <c r="C129" s="187">
        <f>+IFERROR(VLOOKUP($A129,RAIZ!$A$3:$X$1500,MATCH('Suc. Xalisco'!$F$1,RAIZ!$A$2:$X$2,0),FALSE),0)</f>
        <v>0</v>
      </c>
      <c r="D129" s="18">
        <v>2</v>
      </c>
      <c r="E129" s="185"/>
      <c r="F129" s="185">
        <f t="shared" si="24"/>
        <v>2</v>
      </c>
      <c r="G129" s="185"/>
    </row>
    <row r="130" spans="1:7" ht="18.75" customHeight="1" thickBot="1" x14ac:dyDescent="0.4">
      <c r="A130" s="95" t="s">
        <v>912</v>
      </c>
      <c r="B130" s="194" t="s">
        <v>1136</v>
      </c>
      <c r="C130" s="187">
        <f>+IFERROR(VLOOKUP($A130,RAIZ!$A$3:$X$1500,MATCH('Suc. Xalisco'!$F$1,RAIZ!$A$2:$X$2,0),FALSE),0)</f>
        <v>1</v>
      </c>
      <c r="D130" s="18">
        <v>2</v>
      </c>
      <c r="E130" s="185"/>
      <c r="F130" s="185">
        <f t="shared" si="24"/>
        <v>1</v>
      </c>
      <c r="G130" s="185">
        <v>1</v>
      </c>
    </row>
    <row r="131" spans="1:7" ht="18.75" hidden="1" customHeight="1" thickBot="1" x14ac:dyDescent="0.4">
      <c r="A131" s="95" t="s">
        <v>557</v>
      </c>
      <c r="B131" s="194" t="s">
        <v>1137</v>
      </c>
      <c r="C131" s="187">
        <f>+IFERROR(VLOOKUP($A131,RAIZ!$A$3:$X$1500,MATCH('Suc. Xalisco'!$F$1,RAIZ!$A$2:$X$2,0),FALSE),0)</f>
        <v>2</v>
      </c>
      <c r="D131" s="18">
        <v>2</v>
      </c>
      <c r="E131" s="185"/>
      <c r="F131" s="185">
        <f t="shared" si="24"/>
        <v>0</v>
      </c>
      <c r="G131" s="185"/>
    </row>
    <row r="132" spans="1:7" ht="18.75" hidden="1" customHeight="1" thickBot="1" x14ac:dyDescent="0.4">
      <c r="A132" s="95" t="s">
        <v>573</v>
      </c>
      <c r="B132" s="194" t="s">
        <v>1138</v>
      </c>
      <c r="C132" s="187">
        <f>+IFERROR(VLOOKUP($A132,RAIZ!$A$3:$X$1500,MATCH('Suc. Xalisco'!$F$1,RAIZ!$A$2:$X$2,0),FALSE),0)</f>
        <v>0</v>
      </c>
      <c r="D132" s="18">
        <v>1</v>
      </c>
      <c r="E132" s="185"/>
      <c r="F132" s="185">
        <f t="shared" si="24"/>
        <v>1</v>
      </c>
      <c r="G132" s="185"/>
    </row>
    <row r="133" spans="1:7" ht="18.75" hidden="1" customHeight="1" thickBot="1" x14ac:dyDescent="0.4">
      <c r="A133" s="95" t="s">
        <v>421</v>
      </c>
      <c r="B133" s="194" t="s">
        <v>1140</v>
      </c>
      <c r="C133" s="187">
        <f>+IFERROR(VLOOKUP($A133,RAIZ!$A$3:$X$1500,MATCH('Suc. Xalisco'!$F$1,RAIZ!$A$2:$X$2,0),FALSE),0)</f>
        <v>2</v>
      </c>
      <c r="D133" s="18">
        <v>2</v>
      </c>
      <c r="E133" s="185"/>
      <c r="F133" s="185">
        <f t="shared" si="24"/>
        <v>0</v>
      </c>
      <c r="G133" s="185"/>
    </row>
    <row r="134" spans="1:7" ht="18.75" hidden="1" customHeight="1" thickBot="1" x14ac:dyDescent="0.4">
      <c r="A134" s="95" t="s">
        <v>249</v>
      </c>
      <c r="B134" s="194" t="s">
        <v>1134</v>
      </c>
      <c r="C134" s="187">
        <f>+IFERROR(VLOOKUP($A134,RAIZ!$A$3:$X$1500,MATCH('Suc. Xalisco'!$F$1,RAIZ!$A$2:$X$2,0),FALSE),0)</f>
        <v>2</v>
      </c>
      <c r="D134" s="18">
        <v>2</v>
      </c>
      <c r="E134" s="185"/>
      <c r="F134" s="185">
        <f t="shared" si="24"/>
        <v>0</v>
      </c>
      <c r="G134" s="185"/>
    </row>
    <row r="135" spans="1:7" ht="18.75" hidden="1" customHeight="1" thickBot="1" x14ac:dyDescent="0.4">
      <c r="A135" s="95" t="s">
        <v>1030</v>
      </c>
      <c r="B135" s="194" t="s">
        <v>1143</v>
      </c>
      <c r="C135" s="187">
        <f>+IFERROR(VLOOKUP($A135,RAIZ!$A$3:$X$1500,MATCH('Suc. Xalisco'!$F$1,RAIZ!$A$2:$X$2,0),FALSE),0)</f>
        <v>4</v>
      </c>
      <c r="D135" s="18">
        <v>6</v>
      </c>
      <c r="E135" s="185"/>
      <c r="F135" s="185">
        <f t="shared" si="24"/>
        <v>2</v>
      </c>
      <c r="G135" s="185"/>
    </row>
    <row r="136" spans="1:7" ht="18.75" hidden="1" customHeight="1" thickBot="1" x14ac:dyDescent="0.4">
      <c r="A136" s="95" t="s">
        <v>253</v>
      </c>
      <c r="B136" s="194" t="s">
        <v>1135</v>
      </c>
      <c r="C136" s="187">
        <f>+IFERROR(VLOOKUP($A136,RAIZ!$A$3:$X$1500,MATCH('Suc. Xalisco'!$F$1,RAIZ!$A$2:$X$2,0),FALSE),0)</f>
        <v>3</v>
      </c>
      <c r="D136" s="18">
        <v>2</v>
      </c>
      <c r="E136" s="185"/>
      <c r="F136" s="185">
        <f t="shared" si="24"/>
        <v>0</v>
      </c>
      <c r="G136" s="185"/>
    </row>
    <row r="137" spans="1:7" ht="18.75" hidden="1" customHeight="1" thickBot="1" x14ac:dyDescent="0.4">
      <c r="A137" s="95" t="s">
        <v>240</v>
      </c>
      <c r="B137" s="194" t="s">
        <v>1139</v>
      </c>
      <c r="C137" s="187">
        <f>+IFERROR(VLOOKUP($A137,RAIZ!$A$3:$X$1500,MATCH('Suc. Xalisco'!$F$1,RAIZ!$A$2:$X$2,0),FALSE),0)</f>
        <v>0</v>
      </c>
      <c r="D137" s="18">
        <v>0</v>
      </c>
      <c r="E137" s="185"/>
      <c r="F137" s="185">
        <f t="shared" si="24"/>
        <v>0</v>
      </c>
      <c r="G137" s="185"/>
    </row>
    <row r="138" spans="1:7" ht="18.75" hidden="1" customHeight="1" thickBot="1" x14ac:dyDescent="0.4">
      <c r="A138" s="95" t="s">
        <v>204</v>
      </c>
      <c r="B138" s="194" t="s">
        <v>1106</v>
      </c>
      <c r="C138" s="187">
        <f>+IFERROR(VLOOKUP($A138,RAIZ!$A$3:$X$1500,MATCH('Suc. Xalisco'!$F$1,RAIZ!$A$2:$X$2,0),FALSE),0)</f>
        <v>0</v>
      </c>
      <c r="D138" s="18">
        <v>0</v>
      </c>
      <c r="E138" s="185"/>
      <c r="F138" s="185">
        <f t="shared" si="24"/>
        <v>0</v>
      </c>
      <c r="G138" s="185"/>
    </row>
    <row r="139" spans="1:7" ht="18.75" customHeight="1" thickBot="1" x14ac:dyDescent="0.4">
      <c r="A139" s="95" t="s">
        <v>1132</v>
      </c>
      <c r="B139" s="194" t="s">
        <v>1141</v>
      </c>
      <c r="C139" s="187">
        <f>+IFERROR(VLOOKUP($A139,RAIZ!$A$3:$X$1500,MATCH('Suc. Xalisco'!$F$1,RAIZ!$A$2:$X$2,0),FALSE),0)</f>
        <v>0</v>
      </c>
      <c r="D139" s="18">
        <v>1</v>
      </c>
      <c r="E139" s="185"/>
      <c r="F139" s="185">
        <f t="shared" si="24"/>
        <v>1</v>
      </c>
      <c r="G139" s="185">
        <v>1</v>
      </c>
    </row>
    <row r="140" spans="1:7" ht="18.75" hidden="1" customHeight="1" thickBot="1" x14ac:dyDescent="0.4">
      <c r="A140" s="95" t="s">
        <v>914</v>
      </c>
      <c r="B140" s="194" t="s">
        <v>1133</v>
      </c>
      <c r="C140" s="187">
        <f>+IFERROR(VLOOKUP($A140,RAIZ!$A$3:$X$1500,MATCH('Suc. Xalisco'!$F$1,RAIZ!$A$2:$X$2,0),FALSE),0)</f>
        <v>0</v>
      </c>
      <c r="D140" s="18">
        <v>1</v>
      </c>
      <c r="E140" s="185"/>
      <c r="F140" s="185">
        <f t="shared" si="24"/>
        <v>1</v>
      </c>
      <c r="G140" s="185"/>
    </row>
    <row r="141" spans="1:7" ht="18.75" hidden="1" customHeight="1" thickBot="1" x14ac:dyDescent="0.4">
      <c r="A141" s="243" t="s">
        <v>1120</v>
      </c>
      <c r="B141" s="194" t="s">
        <v>1159</v>
      </c>
      <c r="C141" s="187">
        <f>+IFERROR(VLOOKUP($A141,RAIZ!$A$3:$X$1500,MATCH('Suc. Xalisco'!$F$1,RAIZ!$A$2:$X$2,0),FALSE),0)</f>
        <v>0</v>
      </c>
      <c r="D141" s="18"/>
      <c r="E141" s="185"/>
      <c r="F141" s="185"/>
      <c r="G141" s="185"/>
    </row>
    <row r="142" spans="1:7" ht="18.75" hidden="1" customHeight="1" thickBot="1" x14ac:dyDescent="0.4">
      <c r="A142" s="95"/>
      <c r="B142" s="194"/>
      <c r="C142" s="187">
        <f>+IFERROR(VLOOKUP($A142,RAIZ!$A$3:$X$1500,MATCH('Suc. Xalisco'!$F$1,RAIZ!$A$2:$X$2,0),FALSE),0)</f>
        <v>0</v>
      </c>
      <c r="D142" s="18"/>
      <c r="E142" s="185"/>
      <c r="F142" s="185"/>
      <c r="G142" s="185"/>
    </row>
    <row r="143" spans="1:7" ht="18.75" hidden="1" customHeight="1" thickBot="1" x14ac:dyDescent="0.4">
      <c r="A143" s="95"/>
      <c r="B143" s="193"/>
      <c r="C143" s="187">
        <f>+IFERROR(VLOOKUP($A143,RAIZ!$A$3:$X$1500,MATCH('Suc. Xalisco'!$F$1,RAIZ!$A$2:$X$2,0),FALSE),0)</f>
        <v>0</v>
      </c>
      <c r="D143" s="18"/>
      <c r="E143" s="185"/>
      <c r="F143" s="185"/>
      <c r="G143" s="185"/>
    </row>
    <row r="144" spans="1:7" ht="18.75" hidden="1" customHeight="1" thickBot="1" x14ac:dyDescent="0.4">
      <c r="A144" s="95"/>
      <c r="B144" s="194"/>
      <c r="C144" s="187">
        <f>+IFERROR(VLOOKUP($A144,RAIZ!$A$3:$X$1500,MATCH('Suc. Xalisco'!$F$1,RAIZ!$A$2:$X$2,0),FALSE),0)</f>
        <v>0</v>
      </c>
      <c r="D144" s="18"/>
      <c r="E144" s="185"/>
      <c r="F144" s="185"/>
      <c r="G144" s="185"/>
    </row>
    <row r="145" spans="1:7" ht="18.75" hidden="1" customHeight="1" thickBot="1" x14ac:dyDescent="0.4">
      <c r="A145" s="95"/>
      <c r="B145" s="192"/>
      <c r="C145" s="187">
        <f>+IFERROR(VLOOKUP($A145,RAIZ!$A$3:$X$1500,MATCH('Suc. Xalisco'!$F$1,RAIZ!$A$2:$X$2,0),FALSE),0)</f>
        <v>0</v>
      </c>
      <c r="D145" s="18"/>
      <c r="E145" s="185"/>
      <c r="F145" s="185"/>
      <c r="G145" s="185"/>
    </row>
    <row r="146" spans="1:7" ht="18.75" hidden="1" customHeight="1" thickBot="1" x14ac:dyDescent="0.4">
      <c r="A146" s="95"/>
      <c r="B146" s="194"/>
      <c r="C146" s="187">
        <f>+IFERROR(VLOOKUP($A146,RAIZ!$A$3:$X$1500,MATCH('Suc. Xalisco'!$F$1,RAIZ!$A$2:$X$2,0),FALSE),0)</f>
        <v>0</v>
      </c>
      <c r="D146" s="18"/>
      <c r="E146" s="185"/>
      <c r="F146" s="185"/>
      <c r="G146" s="185"/>
    </row>
    <row r="147" spans="1:7" ht="18.75" hidden="1" customHeight="1" thickBot="1" x14ac:dyDescent="0.4">
      <c r="A147" s="95"/>
      <c r="B147" s="193"/>
      <c r="C147" s="187">
        <f>+IFERROR(VLOOKUP($A147,RAIZ!$A$3:$X$1500,MATCH('Suc. Xalisco'!$F$1,RAIZ!$A$2:$X$2,0),FALSE),0)</f>
        <v>0</v>
      </c>
      <c r="D147" s="14"/>
      <c r="E147" s="185"/>
      <c r="F147" s="185"/>
      <c r="G147" s="185"/>
    </row>
    <row r="148" spans="1:7" ht="18.75" hidden="1" customHeight="1" thickBot="1" x14ac:dyDescent="0.4">
      <c r="A148" s="95"/>
      <c r="B148" s="193"/>
      <c r="C148" s="188">
        <f>+IFERROR(VLOOKUP($A148,RAIZ!$A$3:$X$1500,MATCH('Suc. Xalisco'!$F$1,RAIZ!$A$2:$X$2,0),FALSE),0)</f>
        <v>0</v>
      </c>
      <c r="D148" s="14"/>
      <c r="E148" s="185"/>
      <c r="F148" s="185"/>
      <c r="G148" s="185"/>
    </row>
    <row r="149" spans="1:7" ht="18.75" customHeight="1" thickBot="1" x14ac:dyDescent="0.4">
      <c r="A149" s="173"/>
      <c r="B149" s="109"/>
      <c r="C149" s="182">
        <f>SUM(C118:C127,)</f>
        <v>23</v>
      </c>
      <c r="D149" s="182">
        <f>SUM(D118:D127,)</f>
        <v>19</v>
      </c>
      <c r="E149" s="182">
        <f>SUM(E118:E127,)</f>
        <v>0</v>
      </c>
      <c r="F149" s="182">
        <f>SUM(F118:F127,)</f>
        <v>3</v>
      </c>
      <c r="G149" s="182">
        <f>SUM(G118:G148,)</f>
        <v>6</v>
      </c>
    </row>
    <row r="150" spans="1:7" ht="18.75" customHeight="1" thickBot="1" x14ac:dyDescent="0.4">
      <c r="A150" s="110" t="s">
        <v>86</v>
      </c>
      <c r="B150" s="111"/>
      <c r="C150" s="83">
        <f>C149+C117</f>
        <v>127</v>
      </c>
      <c r="D150" s="83">
        <f>D149+D117</f>
        <v>166</v>
      </c>
      <c r="E150" s="83">
        <f>E149+E117</f>
        <v>5</v>
      </c>
      <c r="F150" s="83">
        <f>F149+F117</f>
        <v>49</v>
      </c>
      <c r="G150" s="83">
        <f>G149+G117</f>
        <v>51</v>
      </c>
    </row>
  </sheetData>
  <autoFilter ref="A2:H150" xr:uid="{CACA99BB-E366-470C-88CE-FFFB446F6FB9}">
    <filterColumn colId="6">
      <filters>
        <filter val="1"/>
        <filter val="14"/>
        <filter val="2"/>
        <filter val="21"/>
        <filter val="23"/>
        <filter val="3"/>
        <filter val="4"/>
        <filter val="45"/>
        <filter val="51"/>
        <filter val="6"/>
      </filters>
    </filterColumn>
  </autoFilter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A355AC-DAEA-4914-9EEB-B9B28EB7C312}">
          <x14:formula1>
            <xm:f>Hoja1!$C$2:$C$9</xm:f>
          </x14:formula1>
          <xm:sqref>H2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ED003-C929-4682-80FA-72E6771387E7}">
  <sheetPr codeName="Hoja8" filterMode="1">
    <tabColor rgb="FF00B050"/>
  </sheetPr>
  <dimension ref="A1:H150"/>
  <sheetViews>
    <sheetView zoomScale="80" zoomScaleNormal="80" workbookViewId="0">
      <pane xSplit="2" ySplit="2" topLeftCell="G78" activePane="bottomRight" state="frozen"/>
      <selection activeCell="I134" sqref="I134"/>
      <selection pane="topRight" activeCell="I134" sqref="I134"/>
      <selection pane="bottomLeft" activeCell="I134" sqref="I134"/>
      <selection pane="bottomRight" activeCell="G9" sqref="G9"/>
    </sheetView>
  </sheetViews>
  <sheetFormatPr baseColWidth="10" defaultRowHeight="18" x14ac:dyDescent="0.35"/>
  <cols>
    <col min="1" max="1" width="55.6640625" customWidth="1"/>
    <col min="2" max="2" width="7.6640625" style="91" bestFit="1" customWidth="1"/>
    <col min="3" max="3" width="14" bestFit="1" customWidth="1"/>
    <col min="4" max="5" width="15" style="84" customWidth="1"/>
    <col min="6" max="6" width="20.33203125" bestFit="1" customWidth="1"/>
  </cols>
  <sheetData>
    <row r="1" spans="1:8" ht="18.600000000000001" thickBot="1" x14ac:dyDescent="0.4">
      <c r="A1" s="1">
        <f>RAIZ!B1</f>
        <v>46301</v>
      </c>
      <c r="C1" s="2"/>
      <c r="D1" s="2" t="s">
        <v>702</v>
      </c>
      <c r="E1" s="2"/>
      <c r="F1" s="2" t="s">
        <v>94</v>
      </c>
      <c r="H1" t="s">
        <v>738</v>
      </c>
    </row>
    <row r="2" spans="1:8" ht="31.8" thickBot="1" x14ac:dyDescent="0.35">
      <c r="A2" s="90" t="s">
        <v>0</v>
      </c>
      <c r="B2" s="92" t="s">
        <v>755</v>
      </c>
      <c r="C2" s="39" t="s">
        <v>703</v>
      </c>
      <c r="D2" s="40" t="s">
        <v>704</v>
      </c>
      <c r="E2" s="88" t="s">
        <v>726</v>
      </c>
      <c r="F2" s="41" t="s">
        <v>705</v>
      </c>
      <c r="G2" s="62" t="s">
        <v>725</v>
      </c>
      <c r="H2" s="87" t="s">
        <v>731</v>
      </c>
    </row>
    <row r="3" spans="1:8" ht="18.75" hidden="1" customHeight="1" x14ac:dyDescent="0.35">
      <c r="A3" s="93" t="s">
        <v>1</v>
      </c>
      <c r="B3" s="112" t="s">
        <v>756</v>
      </c>
      <c r="C3" s="5">
        <f>+IFERROR(VLOOKUP($A3,RAIZ!$A$3:$X$1500,MATCH('Suc. Dos de Agosto'!$F$1,RAIZ!$A$2:$X$2,0),FALSE),0)</f>
        <v>1</v>
      </c>
      <c r="D3" s="4">
        <v>1</v>
      </c>
      <c r="E3" s="5"/>
      <c r="F3" s="5">
        <f>IF(D3-C3&gt;=0,D3-C3,0)</f>
        <v>0</v>
      </c>
      <c r="G3" s="5"/>
    </row>
    <row r="4" spans="1:8" ht="18.75" hidden="1" customHeight="1" x14ac:dyDescent="0.35">
      <c r="A4" s="93" t="s">
        <v>2</v>
      </c>
      <c r="B4" s="112" t="s">
        <v>865</v>
      </c>
      <c r="C4" s="5">
        <f>+IFERROR(VLOOKUP($A4,RAIZ!$A$3:$X$1500,MATCH('Suc. Dos de Agosto'!$F$1,RAIZ!$A$2:$X$2,0),FALSE),0)</f>
        <v>2</v>
      </c>
      <c r="D4" s="4">
        <v>2</v>
      </c>
      <c r="E4" s="5"/>
      <c r="F4" s="5">
        <f>IF(D4-C4&gt;=0,D4-C4,0)</f>
        <v>0</v>
      </c>
      <c r="G4" s="5"/>
    </row>
    <row r="5" spans="1:8" ht="18.75" hidden="1" customHeight="1" x14ac:dyDescent="0.35">
      <c r="A5" s="93" t="s">
        <v>3</v>
      </c>
      <c r="B5" s="112" t="s">
        <v>757</v>
      </c>
      <c r="C5" s="5">
        <f>+IFERROR(VLOOKUP($A5,RAIZ!$A$3:$X$1500,MATCH('Suc. Dos de Agosto'!$F$1,RAIZ!$A$2:$X$2,0),FALSE),0)</f>
        <v>1</v>
      </c>
      <c r="D5" s="7">
        <v>1</v>
      </c>
      <c r="E5" s="5"/>
      <c r="F5" s="5">
        <f t="shared" ref="F5:F10" si="0">IF(D5-C5&gt;=0,D5-C5,0)</f>
        <v>0</v>
      </c>
      <c r="G5" s="5"/>
    </row>
    <row r="6" spans="1:8" ht="18.75" hidden="1" customHeight="1" x14ac:dyDescent="0.35">
      <c r="A6" s="93" t="s">
        <v>4</v>
      </c>
      <c r="B6" s="112" t="s">
        <v>758</v>
      </c>
      <c r="C6" s="5">
        <f>+IFERROR(VLOOKUP($A6,RAIZ!$A$3:$X$1500,MATCH('Suc. Dos de Agosto'!$F$1,RAIZ!$A$2:$X$2,0),FALSE),0)</f>
        <v>2</v>
      </c>
      <c r="D6" s="7">
        <v>2</v>
      </c>
      <c r="E6" s="5"/>
      <c r="F6" s="5">
        <f t="shared" si="0"/>
        <v>0</v>
      </c>
      <c r="G6" s="5"/>
    </row>
    <row r="7" spans="1:8" ht="18.75" hidden="1" customHeight="1" x14ac:dyDescent="0.35">
      <c r="A7" s="93" t="s">
        <v>5</v>
      </c>
      <c r="B7" s="112" t="s">
        <v>759</v>
      </c>
      <c r="C7" s="5">
        <f>+IFERROR(VLOOKUP($A7,RAIZ!$A$3:$X$1500,MATCH('Suc. Dos de Agosto'!$F$1,RAIZ!$A$2:$X$2,0),FALSE),0)</f>
        <v>1</v>
      </c>
      <c r="D7" s="7">
        <v>1</v>
      </c>
      <c r="E7" s="5"/>
      <c r="F7" s="5">
        <f t="shared" si="0"/>
        <v>0</v>
      </c>
      <c r="G7" s="5"/>
    </row>
    <row r="8" spans="1:8" ht="18.75" hidden="1" customHeight="1" x14ac:dyDescent="0.35">
      <c r="A8" s="93" t="s">
        <v>6</v>
      </c>
      <c r="B8" s="112" t="s">
        <v>760</v>
      </c>
      <c r="C8" s="5">
        <f>+IFERROR(VLOOKUP($A8,RAIZ!$A$3:$X$1500,MATCH('Suc. Dos de Agosto'!$F$1,RAIZ!$A$2:$X$2,0),FALSE),0)</f>
        <v>2</v>
      </c>
      <c r="D8" s="7">
        <v>2</v>
      </c>
      <c r="E8" s="5"/>
      <c r="F8" s="5">
        <f t="shared" si="0"/>
        <v>0</v>
      </c>
      <c r="G8" s="5"/>
    </row>
    <row r="9" spans="1:8" ht="18.75" customHeight="1" x14ac:dyDescent="0.35">
      <c r="A9" s="93" t="s">
        <v>7</v>
      </c>
      <c r="B9" s="112" t="s">
        <v>761</v>
      </c>
      <c r="C9" s="5">
        <f>+IFERROR(VLOOKUP($A9,RAIZ!$A$3:$X$1500,MATCH('Suc. Dos de Agosto'!$F$1,RAIZ!$A$2:$X$2,0),FALSE),0)</f>
        <v>0</v>
      </c>
      <c r="D9" s="7">
        <v>2</v>
      </c>
      <c r="E9" s="5"/>
      <c r="F9" s="5">
        <f t="shared" si="0"/>
        <v>2</v>
      </c>
      <c r="G9" s="5">
        <v>2</v>
      </c>
    </row>
    <row r="10" spans="1:8" ht="18.75" hidden="1" customHeight="1" x14ac:dyDescent="0.35">
      <c r="A10" s="93" t="s">
        <v>8</v>
      </c>
      <c r="B10" s="112" t="s">
        <v>762</v>
      </c>
      <c r="C10" s="5">
        <f>+IFERROR(VLOOKUP($A10,RAIZ!$A$3:$X$1500,MATCH('Suc. Dos de Agosto'!$F$1,RAIZ!$A$2:$X$2,0),FALSE),0)</f>
        <v>1</v>
      </c>
      <c r="D10" s="7">
        <v>1</v>
      </c>
      <c r="E10" s="5"/>
      <c r="F10" s="5">
        <f t="shared" si="0"/>
        <v>0</v>
      </c>
      <c r="G10" s="5"/>
    </row>
    <row r="11" spans="1:8" ht="18.75" customHeight="1" thickBot="1" x14ac:dyDescent="0.4">
      <c r="A11" s="93" t="s">
        <v>9</v>
      </c>
      <c r="B11" s="112" t="s">
        <v>763</v>
      </c>
      <c r="C11" s="5">
        <f>+IFERROR(VLOOKUP($A11,RAIZ!$A$3:$X$1500,MATCH('Suc. Dos de Agosto'!$F$1,RAIZ!$A$2:$X$2,0),FALSE),0)</f>
        <v>0</v>
      </c>
      <c r="D11" s="9">
        <v>2</v>
      </c>
      <c r="E11" s="5"/>
      <c r="F11" s="5">
        <f t="shared" ref="F11:F12" si="1">IF(D11-C11&gt;=0,D11-C11,0)</f>
        <v>2</v>
      </c>
      <c r="G11" s="5">
        <v>2</v>
      </c>
    </row>
    <row r="12" spans="1:8" ht="18.75" hidden="1" customHeight="1" x14ac:dyDescent="0.35">
      <c r="A12" s="93"/>
      <c r="B12" s="112"/>
      <c r="C12" s="5">
        <f>+IFERROR(VLOOKUP($A12,RAIZ!$A$3:$X$1500,MATCH('Suc. Dos de Agosto'!$F$1,RAIZ!$A$2:$X$2,0),FALSE),0)</f>
        <v>0</v>
      </c>
      <c r="D12" s="20"/>
      <c r="E12" s="5"/>
      <c r="F12" s="5">
        <f t="shared" si="1"/>
        <v>0</v>
      </c>
      <c r="G12" s="5"/>
    </row>
    <row r="13" spans="1:8" ht="18.75" hidden="1" customHeight="1" x14ac:dyDescent="0.35">
      <c r="A13" s="93"/>
      <c r="B13" s="112"/>
      <c r="C13" s="5">
        <f>+IFERROR(VLOOKUP($A13,RAIZ!$A$3:$X$1500,MATCH('Suc. Dos de Agosto'!$F$1,RAIZ!$A$2:$X$2,0),FALSE),0)</f>
        <v>0</v>
      </c>
      <c r="D13" s="20"/>
      <c r="E13" s="5"/>
      <c r="F13" s="5">
        <f t="shared" ref="F13:F17" si="2">IF(D13-C13&gt;=0,D13-C13,0)</f>
        <v>0</v>
      </c>
      <c r="G13" s="5"/>
    </row>
    <row r="14" spans="1:8" ht="18.75" hidden="1" customHeight="1" x14ac:dyDescent="0.35">
      <c r="A14" s="93"/>
      <c r="B14" s="112"/>
      <c r="C14" s="5">
        <f>+IFERROR(VLOOKUP($A14,RAIZ!$A$3:$X$1500,MATCH('Suc. Dos de Agosto'!$F$1,RAIZ!$A$2:$X$2,0),FALSE),0)</f>
        <v>0</v>
      </c>
      <c r="D14" s="20"/>
      <c r="E14" s="5"/>
      <c r="F14" s="5">
        <f>IF(D14-C14&gt;=0,D14-C14,0)</f>
        <v>0</v>
      </c>
      <c r="G14" s="5"/>
    </row>
    <row r="15" spans="1:8" ht="18.75" hidden="1" customHeight="1" x14ac:dyDescent="0.35">
      <c r="A15" s="93"/>
      <c r="B15" s="112"/>
      <c r="C15" s="5">
        <f>+IFERROR(VLOOKUP($A15,RAIZ!$A$3:$X$1500,MATCH('Suc. Dos de Agosto'!$F$1,RAIZ!$A$2:$X$2,0),FALSE),0)</f>
        <v>0</v>
      </c>
      <c r="D15" s="9"/>
      <c r="E15" s="5"/>
      <c r="F15" s="5">
        <f t="shared" si="2"/>
        <v>0</v>
      </c>
      <c r="G15" s="5"/>
    </row>
    <row r="16" spans="1:8" ht="18.75" hidden="1" customHeight="1" x14ac:dyDescent="0.35">
      <c r="A16" s="93"/>
      <c r="B16" s="112"/>
      <c r="C16" s="5">
        <f>+IFERROR(VLOOKUP($A16,RAIZ!$A$3:$X$1500,MATCH('Suc. Dos de Agosto'!$F$1,RAIZ!$A$2:$X$2,0),FALSE),0)</f>
        <v>0</v>
      </c>
      <c r="D16" s="9"/>
      <c r="E16" s="5"/>
      <c r="F16" s="5">
        <f t="shared" si="2"/>
        <v>0</v>
      </c>
      <c r="G16" s="5"/>
    </row>
    <row r="17" spans="1:7" ht="18.75" hidden="1" customHeight="1" thickBot="1" x14ac:dyDescent="0.4">
      <c r="A17" s="93"/>
      <c r="B17" s="112"/>
      <c r="C17" s="5">
        <f>+IFERROR(VLOOKUP($A17,RAIZ!$A$3:$X$1500,MATCH('Suc. Dos de Agosto'!$F$1,RAIZ!$A$2:$X$2,0),FALSE),0)</f>
        <v>0</v>
      </c>
      <c r="D17" s="9"/>
      <c r="E17" s="5"/>
      <c r="F17" s="5">
        <f t="shared" si="2"/>
        <v>0</v>
      </c>
      <c r="G17" s="5"/>
    </row>
    <row r="18" spans="1:7" ht="18.75" customHeight="1" thickBot="1" x14ac:dyDescent="0.4">
      <c r="A18" s="96" t="s">
        <v>10</v>
      </c>
      <c r="B18" s="111"/>
      <c r="C18" s="75">
        <f>SUM(C3:C17)</f>
        <v>10</v>
      </c>
      <c r="D18" s="44">
        <f>SUM(D3:D17)</f>
        <v>14</v>
      </c>
      <c r="E18" s="44">
        <f>SUM(E3:E17)</f>
        <v>0</v>
      </c>
      <c r="F18" s="63">
        <f>SUM(F3:F17)</f>
        <v>4</v>
      </c>
      <c r="G18" s="44">
        <f>SUM(G3:G17)</f>
        <v>4</v>
      </c>
    </row>
    <row r="19" spans="1:7" ht="18.75" hidden="1" customHeight="1" x14ac:dyDescent="0.35">
      <c r="A19" s="97" t="s">
        <v>676</v>
      </c>
      <c r="B19" s="112" t="s">
        <v>764</v>
      </c>
      <c r="C19" s="5">
        <f>+IFERROR(VLOOKUP($A19,RAIZ!$A$3:$X$1500,MATCH('Suc. Dos de Agosto'!$F$1,RAIZ!$A$2:$X$2,0),FALSE),0)</f>
        <v>1</v>
      </c>
      <c r="D19" s="12">
        <v>1</v>
      </c>
      <c r="E19" s="5"/>
      <c r="F19" s="5">
        <f t="shared" ref="F19:F21" si="3">IF(D19-C19&gt;=0,D19-C19,0)</f>
        <v>0</v>
      </c>
      <c r="G19" s="5"/>
    </row>
    <row r="20" spans="1:7" ht="18.75" hidden="1" customHeight="1" x14ac:dyDescent="0.35">
      <c r="A20" s="97" t="s">
        <v>11</v>
      </c>
      <c r="B20" s="112" t="s">
        <v>827</v>
      </c>
      <c r="C20" s="5">
        <f>+IFERROR(VLOOKUP($A20,RAIZ!$A$3:$X$1500,MATCH('Suc. Dos de Agosto'!$F$1,RAIZ!$A$2:$X$2,0),FALSE),0)</f>
        <v>3</v>
      </c>
      <c r="D20" s="14">
        <v>3</v>
      </c>
      <c r="E20" s="5"/>
      <c r="F20" s="5">
        <f t="shared" si="3"/>
        <v>0</v>
      </c>
      <c r="G20" s="5"/>
    </row>
    <row r="21" spans="1:7" ht="18.75" customHeight="1" x14ac:dyDescent="0.35">
      <c r="A21" s="97" t="s">
        <v>344</v>
      </c>
      <c r="B21" s="112" t="s">
        <v>765</v>
      </c>
      <c r="C21" s="5">
        <f>+IFERROR(VLOOKUP($A21,RAIZ!$A$3:$X$1500,MATCH('Suc. Dos de Agosto'!$F$1,RAIZ!$A$2:$X$2,0),FALSE),0)</f>
        <v>1</v>
      </c>
      <c r="D21" s="14">
        <v>2</v>
      </c>
      <c r="E21" s="5"/>
      <c r="F21" s="5">
        <f t="shared" si="3"/>
        <v>1</v>
      </c>
      <c r="G21" s="5">
        <v>1</v>
      </c>
    </row>
    <row r="22" spans="1:7" ht="18.75" hidden="1" customHeight="1" x14ac:dyDescent="0.35">
      <c r="A22" s="97" t="s">
        <v>832</v>
      </c>
      <c r="B22" s="112" t="s">
        <v>833</v>
      </c>
      <c r="C22" s="5">
        <f>+IFERROR(VLOOKUP($A22,RAIZ!$A$3:$X$1500,MATCH('Suc. Dos de Agosto'!$F$1,RAIZ!$A$2:$X$2,0),FALSE),0)</f>
        <v>1</v>
      </c>
      <c r="D22" s="14">
        <v>1</v>
      </c>
      <c r="E22" s="5"/>
      <c r="F22" s="5">
        <f t="shared" ref="F22:F31" si="4">IF(D22-C22&gt;=0,D22-C22,0)</f>
        <v>0</v>
      </c>
      <c r="G22" s="5"/>
    </row>
    <row r="23" spans="1:7" ht="18.75" hidden="1" customHeight="1" x14ac:dyDescent="0.35">
      <c r="A23" s="97" t="s">
        <v>12</v>
      </c>
      <c r="B23" s="112" t="s">
        <v>766</v>
      </c>
      <c r="C23" s="5">
        <f>+IFERROR(VLOOKUP($A23,RAIZ!$A$3:$X$1500,MATCH('Suc. Dos de Agosto'!$F$1,RAIZ!$A$2:$X$2,0),FALSE),0)</f>
        <v>2</v>
      </c>
      <c r="D23" s="14">
        <v>2</v>
      </c>
      <c r="E23" s="5"/>
      <c r="F23" s="5">
        <f t="shared" si="4"/>
        <v>0</v>
      </c>
      <c r="G23" s="5"/>
    </row>
    <row r="24" spans="1:7" ht="18.75" hidden="1" customHeight="1" x14ac:dyDescent="0.35">
      <c r="A24" s="97" t="s">
        <v>432</v>
      </c>
      <c r="B24" s="112" t="s">
        <v>767</v>
      </c>
      <c r="C24" s="5">
        <f>+IFERROR(VLOOKUP($A24,RAIZ!$A$3:$X$1500,MATCH('Suc. Dos de Agosto'!$F$1,RAIZ!$A$2:$X$2,0),FALSE),0)</f>
        <v>0</v>
      </c>
      <c r="D24" s="14">
        <v>2</v>
      </c>
      <c r="E24" s="5"/>
      <c r="F24" s="5">
        <f t="shared" si="4"/>
        <v>2</v>
      </c>
      <c r="G24" s="5"/>
    </row>
    <row r="25" spans="1:7" ht="18.75" customHeight="1" thickBot="1" x14ac:dyDescent="0.4">
      <c r="A25" s="97" t="s">
        <v>468</v>
      </c>
      <c r="B25" s="112" t="s">
        <v>768</v>
      </c>
      <c r="C25" s="5">
        <f>+IFERROR(VLOOKUP($A25,RAIZ!$A$3:$X$1500,MATCH('Suc. Dos de Agosto'!$F$1,RAIZ!$A$2:$X$2,0),FALSE),0)</f>
        <v>0</v>
      </c>
      <c r="D25" s="16">
        <v>2</v>
      </c>
      <c r="E25" s="5"/>
      <c r="F25" s="5">
        <f t="shared" si="4"/>
        <v>2</v>
      </c>
      <c r="G25" s="5">
        <v>2</v>
      </c>
    </row>
    <row r="26" spans="1:7" ht="18.75" hidden="1" customHeight="1" x14ac:dyDescent="0.35">
      <c r="A26" s="97"/>
      <c r="B26" s="112"/>
      <c r="C26" s="5">
        <f>+IFERROR(VLOOKUP($A26,RAIZ!$A$3:$X$1500,MATCH('Suc. Dos de Agosto'!$F$1,RAIZ!$A$2:$X$2,0),FALSE),0)</f>
        <v>0</v>
      </c>
      <c r="D26" s="20"/>
      <c r="E26" s="5"/>
      <c r="F26" s="5">
        <f t="shared" si="4"/>
        <v>0</v>
      </c>
      <c r="G26" s="5"/>
    </row>
    <row r="27" spans="1:7" ht="18.75" hidden="1" customHeight="1" x14ac:dyDescent="0.35">
      <c r="A27" s="97"/>
      <c r="B27" s="112"/>
      <c r="C27" s="5">
        <f>+IFERROR(VLOOKUP($A27,RAIZ!$A$3:$X$1500,MATCH('Suc. Dos de Agosto'!$F$1,RAIZ!$A$2:$X$2,0),FALSE),0)</f>
        <v>0</v>
      </c>
      <c r="D27" s="16"/>
      <c r="E27" s="5"/>
      <c r="F27" s="5">
        <f>IF(D27-C27&gt;=0,D27-C27,0)</f>
        <v>0</v>
      </c>
      <c r="G27" s="5"/>
    </row>
    <row r="28" spans="1:7" ht="18.75" hidden="1" customHeight="1" x14ac:dyDescent="0.35">
      <c r="A28" s="97"/>
      <c r="B28" s="112"/>
      <c r="C28" s="5">
        <f>+IFERROR(VLOOKUP($A28,RAIZ!$A$3:$X$1500,MATCH('Suc. Dos de Agosto'!$F$1,RAIZ!$A$2:$X$2,0),FALSE),0)</f>
        <v>0</v>
      </c>
      <c r="D28" s="16"/>
      <c r="E28" s="5"/>
      <c r="F28" s="5">
        <f t="shared" si="4"/>
        <v>0</v>
      </c>
      <c r="G28" s="5"/>
    </row>
    <row r="29" spans="1:7" ht="18.75" hidden="1" customHeight="1" x14ac:dyDescent="0.35">
      <c r="A29" s="97"/>
      <c r="B29" s="112"/>
      <c r="C29" s="5">
        <f>+IFERROR(VLOOKUP($A29,RAIZ!$A$3:$X$1500,MATCH('Suc. Dos de Agosto'!$F$1,RAIZ!$A$2:$X$2,0),FALSE),0)</f>
        <v>0</v>
      </c>
      <c r="D29" s="16"/>
      <c r="E29" s="5"/>
      <c r="F29" s="5">
        <f t="shared" si="4"/>
        <v>0</v>
      </c>
      <c r="G29" s="5"/>
    </row>
    <row r="30" spans="1:7" ht="18.75" hidden="1" customHeight="1" x14ac:dyDescent="0.35">
      <c r="A30" s="97"/>
      <c r="B30" s="112"/>
      <c r="C30" s="5">
        <f>+IFERROR(VLOOKUP($A30,RAIZ!$A$3:$X$1500,MATCH('Suc. Dos de Agosto'!$F$1,RAIZ!$A$2:$X$2,0),FALSE),0)</f>
        <v>0</v>
      </c>
      <c r="D30" s="16"/>
      <c r="E30" s="5"/>
      <c r="F30" s="5">
        <f t="shared" si="4"/>
        <v>0</v>
      </c>
      <c r="G30" s="5"/>
    </row>
    <row r="31" spans="1:7" ht="18.75" hidden="1" customHeight="1" thickBot="1" x14ac:dyDescent="0.4">
      <c r="A31" s="97"/>
      <c r="B31" s="112"/>
      <c r="C31" s="5">
        <f>+IFERROR(VLOOKUP($A31,RAIZ!$A$3:$X$1500,MATCH('Suc. Dos de Agosto'!$F$1,RAIZ!$A$2:$X$2,0),FALSE),0)</f>
        <v>0</v>
      </c>
      <c r="D31" s="16"/>
      <c r="E31" s="5"/>
      <c r="F31" s="5">
        <f t="shared" si="4"/>
        <v>0</v>
      </c>
      <c r="G31" s="5"/>
    </row>
    <row r="32" spans="1:7" ht="18.75" customHeight="1" thickBot="1" x14ac:dyDescent="0.4">
      <c r="A32" s="98" t="s">
        <v>13</v>
      </c>
      <c r="B32" s="111"/>
      <c r="C32" s="76">
        <f>SUM(C19:C31)</f>
        <v>8</v>
      </c>
      <c r="D32" s="46">
        <f>SUM(D19:D31)</f>
        <v>13</v>
      </c>
      <c r="E32" s="46">
        <f>SUM(E19:E31)</f>
        <v>0</v>
      </c>
      <c r="F32" s="64">
        <f>SUM(F19:F31)</f>
        <v>5</v>
      </c>
      <c r="G32" s="46">
        <f>SUM(G19:G31)</f>
        <v>3</v>
      </c>
    </row>
    <row r="33" spans="1:7" ht="18.75" customHeight="1" x14ac:dyDescent="0.35">
      <c r="A33" s="97" t="s">
        <v>14</v>
      </c>
      <c r="B33" s="112" t="s">
        <v>769</v>
      </c>
      <c r="C33" s="5">
        <f>+IFERROR(VLOOKUP($A33,RAIZ!$A$3:$X$1500,MATCH('Suc. Dos de Agosto'!$F$1,RAIZ!$A$2:$X$2,0),FALSE),0)</f>
        <v>1</v>
      </c>
      <c r="D33" s="4">
        <v>2</v>
      </c>
      <c r="E33" s="5"/>
      <c r="F33" s="5">
        <f t="shared" ref="F33:F48" si="5">IF(D33-C33&gt;=0,D33-C33,0)</f>
        <v>1</v>
      </c>
      <c r="G33" s="5">
        <v>1</v>
      </c>
    </row>
    <row r="34" spans="1:7" ht="18.75" hidden="1" customHeight="1" x14ac:dyDescent="0.35">
      <c r="A34" s="97" t="s">
        <v>15</v>
      </c>
      <c r="B34" s="112" t="s">
        <v>770</v>
      </c>
      <c r="C34" s="5">
        <f>+IFERROR(VLOOKUP($A34,RAIZ!$A$3:$X$1500,MATCH('Suc. Dos de Agosto'!$F$1,RAIZ!$A$2:$X$2,0),FALSE),0)</f>
        <v>2</v>
      </c>
      <c r="D34" s="7">
        <v>2</v>
      </c>
      <c r="E34" s="5"/>
      <c r="F34" s="5">
        <f t="shared" si="5"/>
        <v>0</v>
      </c>
      <c r="G34" s="5"/>
    </row>
    <row r="35" spans="1:7" ht="18.75" hidden="1" customHeight="1" x14ac:dyDescent="0.35">
      <c r="A35" s="97" t="s">
        <v>16</v>
      </c>
      <c r="B35" s="112" t="s">
        <v>771</v>
      </c>
      <c r="C35" s="5">
        <f>+IFERROR(VLOOKUP($A35,RAIZ!$A$3:$X$1500,MATCH('Suc. Dos de Agosto'!$F$1,RAIZ!$A$2:$X$2,0),FALSE),0)</f>
        <v>1</v>
      </c>
      <c r="D35" s="7">
        <v>1</v>
      </c>
      <c r="E35" s="5"/>
      <c r="F35" s="5">
        <f t="shared" si="5"/>
        <v>0</v>
      </c>
      <c r="G35" s="5"/>
    </row>
    <row r="36" spans="1:7" ht="18.75" customHeight="1" x14ac:dyDescent="0.35">
      <c r="A36" s="97" t="s">
        <v>17</v>
      </c>
      <c r="B36" s="112" t="s">
        <v>772</v>
      </c>
      <c r="C36" s="5">
        <f>+IFERROR(VLOOKUP($A36,RAIZ!$A$3:$X$1500,MATCH('Suc. Dos de Agosto'!$F$1,RAIZ!$A$2:$X$2,0),FALSE),0)</f>
        <v>0</v>
      </c>
      <c r="D36" s="7">
        <v>1</v>
      </c>
      <c r="E36" s="5"/>
      <c r="F36" s="5">
        <f t="shared" si="5"/>
        <v>1</v>
      </c>
      <c r="G36" s="5">
        <v>1</v>
      </c>
    </row>
    <row r="37" spans="1:7" ht="18.75" hidden="1" customHeight="1" x14ac:dyDescent="0.35">
      <c r="A37" s="97" t="s">
        <v>18</v>
      </c>
      <c r="B37" s="112" t="s">
        <v>773</v>
      </c>
      <c r="C37" s="5">
        <f>+IFERROR(VLOOKUP($A37,RAIZ!$A$3:$X$1500,MATCH('Suc. Dos de Agosto'!$F$1,RAIZ!$A$2:$X$2,0),FALSE),0)</f>
        <v>2</v>
      </c>
      <c r="D37" s="7">
        <v>2</v>
      </c>
      <c r="E37" s="5"/>
      <c r="F37" s="5">
        <f t="shared" si="5"/>
        <v>0</v>
      </c>
      <c r="G37" s="5"/>
    </row>
    <row r="38" spans="1:7" ht="18.75" customHeight="1" x14ac:dyDescent="0.35">
      <c r="A38" s="97" t="s">
        <v>22</v>
      </c>
      <c r="B38" s="112" t="s">
        <v>774</v>
      </c>
      <c r="C38" s="5">
        <f>+IFERROR(VLOOKUP($A38,RAIZ!$A$3:$X$1500,MATCH('Suc. Dos de Agosto'!$F$1,RAIZ!$A$2:$X$2,0),FALSE),0)</f>
        <v>1</v>
      </c>
      <c r="D38" s="18">
        <v>3</v>
      </c>
      <c r="E38" s="5"/>
      <c r="F38" s="5">
        <f t="shared" si="5"/>
        <v>2</v>
      </c>
      <c r="G38" s="5">
        <v>2</v>
      </c>
    </row>
    <row r="39" spans="1:7" ht="18.75" customHeight="1" x14ac:dyDescent="0.35">
      <c r="A39" s="97" t="s">
        <v>23</v>
      </c>
      <c r="B39" s="112" t="s">
        <v>775</v>
      </c>
      <c r="C39" s="5">
        <f>+IFERROR(VLOOKUP($A39,RAIZ!$A$3:$X$1500,MATCH('Suc. Dos de Agosto'!$F$1,RAIZ!$A$2:$X$2,0),FALSE),0)</f>
        <v>1</v>
      </c>
      <c r="D39" s="18">
        <v>2</v>
      </c>
      <c r="E39" s="5"/>
      <c r="F39" s="5">
        <f t="shared" si="5"/>
        <v>1</v>
      </c>
      <c r="G39" s="5">
        <v>1</v>
      </c>
    </row>
    <row r="40" spans="1:7" ht="18.75" hidden="1" customHeight="1" x14ac:dyDescent="0.35">
      <c r="A40" s="97" t="s">
        <v>24</v>
      </c>
      <c r="B40" s="112" t="s">
        <v>776</v>
      </c>
      <c r="C40" s="5">
        <f>+IFERROR(VLOOKUP($A40,RAIZ!$A$3:$X$1500,MATCH('Suc. Dos de Agosto'!$F$1,RAIZ!$A$2:$X$2,0),FALSE),0)</f>
        <v>2</v>
      </c>
      <c r="D40" s="7">
        <v>2</v>
      </c>
      <c r="E40" s="5"/>
      <c r="F40" s="5">
        <f t="shared" si="5"/>
        <v>0</v>
      </c>
      <c r="G40" s="5"/>
    </row>
    <row r="41" spans="1:7" ht="18.75" customHeight="1" thickBot="1" x14ac:dyDescent="0.4">
      <c r="A41" s="97" t="s">
        <v>25</v>
      </c>
      <c r="B41" s="112" t="s">
        <v>777</v>
      </c>
      <c r="C41" s="5">
        <f>+IFERROR(VLOOKUP($A41,RAIZ!$A$3:$X$1500,MATCH('Suc. Dos de Agosto'!$F$1,RAIZ!$A$2:$X$2,0),FALSE),0)</f>
        <v>1</v>
      </c>
      <c r="D41" s="18">
        <v>2</v>
      </c>
      <c r="E41" s="5"/>
      <c r="F41" s="5">
        <f t="shared" si="5"/>
        <v>1</v>
      </c>
      <c r="G41" s="5">
        <v>1</v>
      </c>
    </row>
    <row r="42" spans="1:7" ht="18.75" hidden="1" customHeight="1" x14ac:dyDescent="0.35">
      <c r="A42" s="97"/>
      <c r="B42" s="112"/>
      <c r="C42" s="5">
        <f>+IFERROR(VLOOKUP($A42,RAIZ!$A$3:$X$1500,MATCH('Suc. Dos de Agosto'!$F$1,RAIZ!$A$2:$X$2,0),FALSE),0)</f>
        <v>0</v>
      </c>
      <c r="D42" s="20"/>
      <c r="E42" s="5"/>
      <c r="F42" s="5">
        <f t="shared" si="5"/>
        <v>0</v>
      </c>
      <c r="G42" s="5"/>
    </row>
    <row r="43" spans="1:7" ht="18.75" hidden="1" customHeight="1" x14ac:dyDescent="0.35">
      <c r="A43" s="97"/>
      <c r="B43" s="112"/>
      <c r="C43" s="5">
        <f>+IFERROR(VLOOKUP($A43,RAIZ!$A$3:$X$1500,MATCH('Suc. Dos de Agosto'!$F$1,RAIZ!$A$2:$X$2,0),FALSE),0)</f>
        <v>0</v>
      </c>
      <c r="D43" s="18"/>
      <c r="E43" s="5"/>
      <c r="F43" s="5">
        <f t="shared" si="5"/>
        <v>0</v>
      </c>
      <c r="G43" s="5"/>
    </row>
    <row r="44" spans="1:7" ht="18.75" hidden="1" customHeight="1" x14ac:dyDescent="0.35">
      <c r="A44" s="97"/>
      <c r="B44" s="112"/>
      <c r="C44" s="5">
        <f>+IFERROR(VLOOKUP($A44,RAIZ!$A$3:$X$1500,MATCH('Suc. Dos de Agosto'!$F$1,RAIZ!$A$2:$X$2,0),FALSE),0)</f>
        <v>0</v>
      </c>
      <c r="D44" s="18"/>
      <c r="E44" s="5"/>
      <c r="F44" s="5">
        <f t="shared" si="5"/>
        <v>0</v>
      </c>
      <c r="G44" s="5"/>
    </row>
    <row r="45" spans="1:7" ht="18.75" hidden="1" customHeight="1" x14ac:dyDescent="0.35">
      <c r="A45" s="97"/>
      <c r="B45" s="112"/>
      <c r="C45" s="5">
        <f>+IFERROR(VLOOKUP($A45,RAIZ!$A$3:$X$1500,MATCH('Suc. Dos de Agosto'!$F$1,RAIZ!$A$2:$X$2,0),FALSE),0)</f>
        <v>0</v>
      </c>
      <c r="D45" s="18"/>
      <c r="E45" s="5"/>
      <c r="F45" s="5">
        <f t="shared" si="5"/>
        <v>0</v>
      </c>
      <c r="G45" s="5"/>
    </row>
    <row r="46" spans="1:7" ht="18.75" hidden="1" customHeight="1" x14ac:dyDescent="0.35">
      <c r="A46" s="97"/>
      <c r="B46" s="112"/>
      <c r="C46" s="5">
        <f>+IFERROR(VLOOKUP($A46,RAIZ!$A$3:$X$1500,MATCH('Suc. Dos de Agosto'!$F$1,RAIZ!$A$2:$X$2,0),FALSE),0)</f>
        <v>0</v>
      </c>
      <c r="D46" s="18"/>
      <c r="E46" s="5"/>
      <c r="F46" s="5">
        <f t="shared" si="5"/>
        <v>0</v>
      </c>
      <c r="G46" s="5"/>
    </row>
    <row r="47" spans="1:7" ht="18.75" hidden="1" customHeight="1" x14ac:dyDescent="0.35">
      <c r="A47" s="97"/>
      <c r="B47" s="112"/>
      <c r="C47" s="5">
        <f>+IFERROR(VLOOKUP($A47,RAIZ!$A$3:$X$1500,MATCH('Suc. Dos de Agosto'!$F$1,RAIZ!$A$2:$X$2,0),FALSE),0)</f>
        <v>0</v>
      </c>
      <c r="D47" s="18"/>
      <c r="E47" s="5"/>
      <c r="F47" s="5">
        <f t="shared" si="5"/>
        <v>0</v>
      </c>
      <c r="G47" s="5"/>
    </row>
    <row r="48" spans="1:7" ht="18.75" hidden="1" customHeight="1" thickBot="1" x14ac:dyDescent="0.4">
      <c r="A48" s="97"/>
      <c r="B48" s="112"/>
      <c r="C48" s="5">
        <f>+IFERROR(VLOOKUP($A48,RAIZ!$A$3:$X$1500,MATCH('Suc. Dos de Agosto'!$F$1,RAIZ!$A$2:$X$2,0),FALSE),0)</f>
        <v>0</v>
      </c>
      <c r="D48" s="18"/>
      <c r="E48" s="5"/>
      <c r="F48" s="5">
        <f t="shared" si="5"/>
        <v>0</v>
      </c>
      <c r="G48" s="5"/>
    </row>
    <row r="49" spans="1:7" ht="18.75" customHeight="1" thickBot="1" x14ac:dyDescent="0.4">
      <c r="A49" s="99" t="s">
        <v>29</v>
      </c>
      <c r="B49" s="111"/>
      <c r="C49" s="77">
        <f>SUM(C33:C48)</f>
        <v>11</v>
      </c>
      <c r="D49" s="48">
        <f>SUM(D33:D48)</f>
        <v>17</v>
      </c>
      <c r="E49" s="48">
        <f>SUM(E33:E48)</f>
        <v>0</v>
      </c>
      <c r="F49" s="65">
        <f>SUM(F33:F48)</f>
        <v>6</v>
      </c>
      <c r="G49" s="48">
        <f>SUM(G33:G48)</f>
        <v>6</v>
      </c>
    </row>
    <row r="50" spans="1:7" ht="18.75" customHeight="1" x14ac:dyDescent="0.35">
      <c r="A50" s="93" t="s">
        <v>30</v>
      </c>
      <c r="B50" s="112" t="s">
        <v>778</v>
      </c>
      <c r="C50" s="5">
        <f>+IFERROR(VLOOKUP($A50,RAIZ!$A$3:$X$1500,MATCH('Suc. Dos de Agosto'!$F$1,RAIZ!$A$2:$X$2,0),FALSE),0)</f>
        <v>4</v>
      </c>
      <c r="D50" s="4">
        <v>6</v>
      </c>
      <c r="E50" s="5"/>
      <c r="F50" s="5">
        <f>IF(D50-C50&gt;=0,D50-C50,0)</f>
        <v>2</v>
      </c>
      <c r="G50" s="5">
        <v>2</v>
      </c>
    </row>
    <row r="51" spans="1:7" ht="18.75" customHeight="1" thickBot="1" x14ac:dyDescent="0.4">
      <c r="A51" s="95" t="s">
        <v>31</v>
      </c>
      <c r="B51" s="112" t="s">
        <v>779</v>
      </c>
      <c r="C51" s="5">
        <f>+IFERROR(VLOOKUP($A51,RAIZ!$A$3:$X$1500,MATCH('Suc. Dos de Agosto'!$F$1,RAIZ!$A$2:$X$2,0),FALSE),0)</f>
        <v>3</v>
      </c>
      <c r="D51" s="20">
        <v>6</v>
      </c>
      <c r="E51" s="5"/>
      <c r="F51" s="5">
        <f t="shared" ref="F51" si="6">IF(D51-C51&gt;=0,D51-C51,0)</f>
        <v>3</v>
      </c>
      <c r="G51" s="5">
        <v>3</v>
      </c>
    </row>
    <row r="52" spans="1:7" ht="18.75" customHeight="1" thickBot="1" x14ac:dyDescent="0.4">
      <c r="A52" s="100" t="s">
        <v>32</v>
      </c>
      <c r="B52" s="111"/>
      <c r="C52" s="78">
        <f>SUM(C50:C51)</f>
        <v>7</v>
      </c>
      <c r="D52" s="50">
        <f t="shared" ref="D52" si="7">SUM(D50:D51)</f>
        <v>12</v>
      </c>
      <c r="E52" s="50">
        <f t="shared" ref="E52" si="8">SUM(E50:E51)</f>
        <v>0</v>
      </c>
      <c r="F52" s="66">
        <f t="shared" ref="F52:G52" si="9">SUM(F50:F51)</f>
        <v>5</v>
      </c>
      <c r="G52" s="50">
        <f t="shared" si="9"/>
        <v>5</v>
      </c>
    </row>
    <row r="53" spans="1:7" ht="18.75" hidden="1" customHeight="1" x14ac:dyDescent="0.35">
      <c r="A53" s="93" t="s">
        <v>33</v>
      </c>
      <c r="B53" s="112" t="s">
        <v>780</v>
      </c>
      <c r="C53" s="5">
        <f>+IFERROR(VLOOKUP($A53,RAIZ!$A$3:$X$1500,MATCH('Suc. Dos de Agosto'!$F$1,RAIZ!$A$2:$X$2,0),FALSE),0)</f>
        <v>8</v>
      </c>
      <c r="D53" s="4">
        <v>8</v>
      </c>
      <c r="E53" s="5"/>
      <c r="F53" s="5">
        <f t="shared" ref="F53:F54" si="10">IF(D53-C53&gt;=0,D53-C53,0)</f>
        <v>0</v>
      </c>
      <c r="G53" s="5"/>
    </row>
    <row r="54" spans="1:7" ht="18.75" customHeight="1" thickBot="1" x14ac:dyDescent="0.4">
      <c r="A54" s="95" t="s">
        <v>34</v>
      </c>
      <c r="B54" s="112" t="s">
        <v>781</v>
      </c>
      <c r="C54" s="5">
        <f>+IFERROR(VLOOKUP($A54,RAIZ!$A$3:$X$1500,MATCH('Suc. Dos de Agosto'!$F$1,RAIZ!$A$2:$X$2,0),FALSE),0)</f>
        <v>4</v>
      </c>
      <c r="D54" s="20">
        <v>8</v>
      </c>
      <c r="E54" s="5"/>
      <c r="F54" s="5">
        <f t="shared" si="10"/>
        <v>4</v>
      </c>
      <c r="G54" s="5">
        <v>4</v>
      </c>
    </row>
    <row r="55" spans="1:7" ht="18.75" customHeight="1" thickBot="1" x14ac:dyDescent="0.4">
      <c r="A55" s="99" t="s">
        <v>35</v>
      </c>
      <c r="B55" s="111"/>
      <c r="C55" s="77">
        <f>SUM(C53:C54)</f>
        <v>12</v>
      </c>
      <c r="D55" s="48">
        <f t="shared" ref="D55" si="11">SUM(D53:D54)</f>
        <v>16</v>
      </c>
      <c r="E55" s="48">
        <f t="shared" ref="E55" si="12">SUM(E53:E54)</f>
        <v>0</v>
      </c>
      <c r="F55" s="65">
        <f t="shared" ref="F55:G55" si="13">SUM(F53:F54)</f>
        <v>4</v>
      </c>
      <c r="G55" s="48">
        <f t="shared" si="13"/>
        <v>4</v>
      </c>
    </row>
    <row r="56" spans="1:7" ht="18.75" hidden="1" customHeight="1" x14ac:dyDescent="0.35">
      <c r="A56" s="93" t="s">
        <v>36</v>
      </c>
      <c r="B56" s="112" t="s">
        <v>782</v>
      </c>
      <c r="C56" s="5">
        <f>+IFERROR(VLOOKUP($A56,RAIZ!$A$3:$X$1500,MATCH('Suc. Dos de Agosto'!$F$1,RAIZ!$A$2:$X$2,0),FALSE),0)</f>
        <v>1</v>
      </c>
      <c r="D56" s="4">
        <v>1</v>
      </c>
      <c r="E56" s="5"/>
      <c r="F56" s="5">
        <f t="shared" ref="F56:F70" si="14">IF(D56-C56&gt;=0,D56-C56,0)</f>
        <v>0</v>
      </c>
      <c r="G56" s="5"/>
    </row>
    <row r="57" spans="1:7" ht="18.75" hidden="1" customHeight="1" x14ac:dyDescent="0.35">
      <c r="A57" s="93" t="s">
        <v>37</v>
      </c>
      <c r="B57" s="112" t="s">
        <v>783</v>
      </c>
      <c r="C57" s="5">
        <f>+IFERROR(VLOOKUP($A57,RAIZ!$A$3:$X$1500,MATCH('Suc. Dos de Agosto'!$F$1,RAIZ!$A$2:$X$2,0),FALSE),0)</f>
        <v>1</v>
      </c>
      <c r="D57" s="7">
        <v>1</v>
      </c>
      <c r="E57" s="5"/>
      <c r="F57" s="5">
        <f t="shared" si="14"/>
        <v>0</v>
      </c>
      <c r="G57" s="5"/>
    </row>
    <row r="58" spans="1:7" ht="18.75" hidden="1" customHeight="1" x14ac:dyDescent="0.35">
      <c r="A58" s="93" t="s">
        <v>39</v>
      </c>
      <c r="B58" s="112" t="s">
        <v>784</v>
      </c>
      <c r="C58" s="5">
        <f>+IFERROR(VLOOKUP($A58,RAIZ!$A$3:$X$1500,MATCH('Suc. Dos de Agosto'!$F$1,RAIZ!$A$2:$X$2,0),FALSE),0)</f>
        <v>1</v>
      </c>
      <c r="D58" s="7">
        <v>1</v>
      </c>
      <c r="E58" s="5"/>
      <c r="F58" s="5">
        <f t="shared" ref="F58" si="15">IF(D58-C58&gt;=0,D58-C58,0)</f>
        <v>0</v>
      </c>
      <c r="G58" s="5"/>
    </row>
    <row r="59" spans="1:7" ht="18.75" hidden="1" customHeight="1" x14ac:dyDescent="0.35">
      <c r="A59" s="93" t="s">
        <v>40</v>
      </c>
      <c r="B59" s="112" t="s">
        <v>785</v>
      </c>
      <c r="C59" s="5">
        <f>+IFERROR(VLOOKUP($A59,RAIZ!$A$3:$X$1500,MATCH('Suc. Dos de Agosto'!$F$1,RAIZ!$A$2:$X$2,0),FALSE),0)</f>
        <v>1</v>
      </c>
      <c r="D59" s="7">
        <v>1</v>
      </c>
      <c r="E59" s="5"/>
      <c r="F59" s="5">
        <f t="shared" si="14"/>
        <v>0</v>
      </c>
      <c r="G59" s="5"/>
    </row>
    <row r="60" spans="1:7" ht="18.75" hidden="1" customHeight="1" x14ac:dyDescent="0.35">
      <c r="A60" s="93" t="s">
        <v>41</v>
      </c>
      <c r="B60" s="112" t="s">
        <v>786</v>
      </c>
      <c r="C60" s="5">
        <f>+IFERROR(VLOOKUP($A60,RAIZ!$A$3:$X$1500,MATCH('Suc. Dos de Agosto'!$F$1,RAIZ!$A$2:$X$2,0),FALSE),0)</f>
        <v>0</v>
      </c>
      <c r="D60" s="7">
        <v>1</v>
      </c>
      <c r="E60" s="5"/>
      <c r="F60" s="5">
        <f t="shared" si="14"/>
        <v>1</v>
      </c>
      <c r="G60" s="5"/>
    </row>
    <row r="61" spans="1:7" ht="18.75" hidden="1" customHeight="1" x14ac:dyDescent="0.35">
      <c r="A61" s="101" t="s">
        <v>42</v>
      </c>
      <c r="B61" s="112" t="s">
        <v>787</v>
      </c>
      <c r="C61" s="5">
        <f>+IFERROR(VLOOKUP($A61,RAIZ!$A$3:$X$1500,MATCH('Suc. Dos de Agosto'!$F$1,RAIZ!$A$2:$X$2,0),FALSE),0)</f>
        <v>1</v>
      </c>
      <c r="D61" s="4">
        <v>1</v>
      </c>
      <c r="E61" s="5"/>
      <c r="F61" s="5">
        <f t="shared" si="14"/>
        <v>0</v>
      </c>
      <c r="G61" s="5"/>
    </row>
    <row r="62" spans="1:7" ht="18.75" hidden="1" customHeight="1" x14ac:dyDescent="0.35">
      <c r="A62" s="102" t="s">
        <v>43</v>
      </c>
      <c r="B62" s="112" t="s">
        <v>788</v>
      </c>
      <c r="C62" s="5">
        <f>+IFERROR(VLOOKUP($A62,RAIZ!$A$3:$X$1500,MATCH('Suc. Dos de Agosto'!$F$1,RAIZ!$A$2:$X$2,0),FALSE),0)</f>
        <v>1</v>
      </c>
      <c r="D62" s="7">
        <v>1</v>
      </c>
      <c r="E62" s="5"/>
      <c r="F62" s="5">
        <f t="shared" si="14"/>
        <v>0</v>
      </c>
      <c r="G62" s="5"/>
    </row>
    <row r="63" spans="1:7" ht="18.75" hidden="1" customHeight="1" x14ac:dyDescent="0.35">
      <c r="A63" s="93" t="s">
        <v>44</v>
      </c>
      <c r="B63" s="112" t="s">
        <v>789</v>
      </c>
      <c r="C63" s="5">
        <f>+IFERROR(VLOOKUP($A63,RAIZ!$A$3:$X$1500,MATCH('Suc. Dos de Agosto'!$F$1,RAIZ!$A$2:$X$2,0),FALSE),0)</f>
        <v>1</v>
      </c>
      <c r="D63" s="7">
        <v>1</v>
      </c>
      <c r="E63" s="5"/>
      <c r="F63" s="5">
        <f t="shared" si="14"/>
        <v>0</v>
      </c>
      <c r="G63" s="5"/>
    </row>
    <row r="64" spans="1:7" ht="18.75" customHeight="1" x14ac:dyDescent="0.35">
      <c r="A64" s="93" t="s">
        <v>45</v>
      </c>
      <c r="B64" s="112" t="s">
        <v>790</v>
      </c>
      <c r="C64" s="5">
        <f>+IFERROR(VLOOKUP($A64,RAIZ!$A$3:$X$1500,MATCH('Suc. Dos de Agosto'!$F$1,RAIZ!$A$2:$X$2,0),FALSE),0)</f>
        <v>0</v>
      </c>
      <c r="D64" s="4">
        <v>1</v>
      </c>
      <c r="E64" s="5"/>
      <c r="F64" s="5">
        <f t="shared" si="14"/>
        <v>1</v>
      </c>
      <c r="G64" s="5">
        <v>1</v>
      </c>
    </row>
    <row r="65" spans="1:7" ht="18.75" hidden="1" customHeight="1" x14ac:dyDescent="0.35">
      <c r="A65" s="93" t="s">
        <v>46</v>
      </c>
      <c r="B65" s="112" t="s">
        <v>791</v>
      </c>
      <c r="C65" s="5">
        <f>+IFERROR(VLOOKUP($A65,RAIZ!$A$3:$X$1500,MATCH('Suc. Dos de Agosto'!$F$1,RAIZ!$A$2:$X$2,0),FALSE),0)</f>
        <v>2</v>
      </c>
      <c r="D65" s="7">
        <v>2</v>
      </c>
      <c r="E65" s="5"/>
      <c r="F65" s="5">
        <f t="shared" si="14"/>
        <v>0</v>
      </c>
      <c r="G65" s="5"/>
    </row>
    <row r="66" spans="1:7" ht="18.75" hidden="1" customHeight="1" x14ac:dyDescent="0.35">
      <c r="A66" s="93" t="s">
        <v>48</v>
      </c>
      <c r="B66" s="112" t="s">
        <v>792</v>
      </c>
      <c r="C66" s="5">
        <f>+IFERROR(VLOOKUP($A66,RAIZ!$A$3:$X$1500,MATCH('Suc. Dos de Agosto'!$F$1,RAIZ!$A$2:$X$2,0),FALSE),0)</f>
        <v>1</v>
      </c>
      <c r="D66" s="7">
        <v>1</v>
      </c>
      <c r="E66" s="5"/>
      <c r="F66" s="5">
        <f t="shared" si="14"/>
        <v>0</v>
      </c>
      <c r="G66" s="5"/>
    </row>
    <row r="67" spans="1:7" ht="18.75" hidden="1" customHeight="1" x14ac:dyDescent="0.35">
      <c r="A67" s="93" t="s">
        <v>49</v>
      </c>
      <c r="B67" s="112" t="s">
        <v>793</v>
      </c>
      <c r="C67" s="5">
        <f>+IFERROR(VLOOKUP($A67,RAIZ!$A$3:$X$1500,MATCH('Suc. Dos de Agosto'!$F$1,RAIZ!$A$2:$X$2,0),FALSE),0)</f>
        <v>1</v>
      </c>
      <c r="D67" s="7">
        <v>1</v>
      </c>
      <c r="E67" s="5"/>
      <c r="F67" s="5">
        <f t="shared" si="14"/>
        <v>0</v>
      </c>
      <c r="G67" s="5"/>
    </row>
    <row r="68" spans="1:7" ht="18.75" hidden="1" customHeight="1" x14ac:dyDescent="0.35">
      <c r="A68" s="93" t="s">
        <v>50</v>
      </c>
      <c r="B68" s="112" t="s">
        <v>794</v>
      </c>
      <c r="C68" s="5">
        <f>+IFERROR(VLOOKUP($A68,RAIZ!$A$3:$X$1500,MATCH('Suc. Dos de Agosto'!$F$1,RAIZ!$A$2:$X$2,0),FALSE),0)</f>
        <v>1</v>
      </c>
      <c r="D68" s="4">
        <v>1</v>
      </c>
      <c r="E68" s="5"/>
      <c r="F68" s="5">
        <f t="shared" si="14"/>
        <v>0</v>
      </c>
      <c r="G68" s="5"/>
    </row>
    <row r="69" spans="1:7" ht="18.75" hidden="1" customHeight="1" x14ac:dyDescent="0.35">
      <c r="A69" s="93" t="s">
        <v>51</v>
      </c>
      <c r="B69" s="112" t="s">
        <v>795</v>
      </c>
      <c r="C69" s="5">
        <f>+IFERROR(VLOOKUP($A69,RAIZ!$A$3:$X$1500,MATCH('Suc. Dos de Agosto'!$F$1,RAIZ!$A$2:$X$2,0),FALSE),0)</f>
        <v>1</v>
      </c>
      <c r="D69" s="196">
        <v>1</v>
      </c>
      <c r="E69" s="5"/>
      <c r="F69" s="5">
        <f t="shared" si="14"/>
        <v>0</v>
      </c>
      <c r="G69" s="5"/>
    </row>
    <row r="70" spans="1:7" ht="18.75" customHeight="1" thickBot="1" x14ac:dyDescent="0.4">
      <c r="A70" s="93" t="s">
        <v>53</v>
      </c>
      <c r="B70" s="112" t="s">
        <v>796</v>
      </c>
      <c r="C70" s="5">
        <f>+IFERROR(VLOOKUP($A70,RAIZ!$A$3:$X$1500,MATCH('Suc. Dos de Agosto'!$F$1,RAIZ!$A$2:$X$2,0),FALSE),0)</f>
        <v>2</v>
      </c>
      <c r="D70" s="20">
        <v>3</v>
      </c>
      <c r="E70" s="5"/>
      <c r="F70" s="5">
        <f t="shared" si="14"/>
        <v>1</v>
      </c>
      <c r="G70" s="5">
        <v>1</v>
      </c>
    </row>
    <row r="71" spans="1:7" ht="18.75" hidden="1" customHeight="1" x14ac:dyDescent="0.35">
      <c r="A71" s="93" t="s">
        <v>47</v>
      </c>
      <c r="B71" s="112" t="s">
        <v>873</v>
      </c>
      <c r="C71" s="5">
        <f>+IFERROR(VLOOKUP($A71,RAIZ!$A$3:$X$1500,MATCH('Suc. Dos de Agosto'!$F$1,RAIZ!$A$2:$X$2,0),FALSE),0)</f>
        <v>1</v>
      </c>
      <c r="D71" s="20">
        <v>1</v>
      </c>
      <c r="E71" s="5"/>
      <c r="F71" s="5">
        <f t="shared" ref="F71:F77" si="16">IF(D71-C71&gt;=0,D71-C71,0)</f>
        <v>0</v>
      </c>
      <c r="G71" s="5"/>
    </row>
    <row r="72" spans="1:7" ht="18.75" hidden="1" customHeight="1" x14ac:dyDescent="0.35">
      <c r="A72" s="86" t="s">
        <v>1089</v>
      </c>
      <c r="B72" s="112" t="s">
        <v>1090</v>
      </c>
      <c r="C72" s="5">
        <f>+IFERROR(VLOOKUP($A72,RAIZ!$A$3:$X$1500,MATCH('Suc. Dos de Agosto'!$F$1,RAIZ!$A$2:$X$2,0),FALSE),0)</f>
        <v>0</v>
      </c>
      <c r="D72" s="20">
        <v>0</v>
      </c>
      <c r="E72" s="5"/>
      <c r="F72" s="5">
        <f>IF(D72-C72&gt;=0,D72-C72,0)</f>
        <v>0</v>
      </c>
      <c r="G72" s="5"/>
    </row>
    <row r="73" spans="1:7" ht="18.75" hidden="1" customHeight="1" x14ac:dyDescent="0.35">
      <c r="A73" s="93"/>
      <c r="B73" s="112"/>
      <c r="C73" s="5">
        <f>+IFERROR(VLOOKUP($A73,RAIZ!$A$3:$X$1500,MATCH('Suc. Dos de Agosto'!$F$1,RAIZ!$A$2:$X$2,0),FALSE),0)</f>
        <v>0</v>
      </c>
      <c r="D73" s="20"/>
      <c r="E73" s="5"/>
      <c r="F73" s="5">
        <f t="shared" si="16"/>
        <v>0</v>
      </c>
      <c r="G73" s="5"/>
    </row>
    <row r="74" spans="1:7" ht="18.75" hidden="1" customHeight="1" x14ac:dyDescent="0.35">
      <c r="A74" s="93"/>
      <c r="B74" s="112"/>
      <c r="C74" s="5">
        <f>+IFERROR(VLOOKUP($A74,RAIZ!$A$3:$X$1500,MATCH('Suc. Dos de Agosto'!$F$1,RAIZ!$A$2:$X$2,0),FALSE),0)</f>
        <v>0</v>
      </c>
      <c r="D74" s="20"/>
      <c r="E74" s="5"/>
      <c r="F74" s="5">
        <f t="shared" si="16"/>
        <v>0</v>
      </c>
      <c r="G74" s="5"/>
    </row>
    <row r="75" spans="1:7" ht="18.75" hidden="1" customHeight="1" x14ac:dyDescent="0.35">
      <c r="A75" s="93"/>
      <c r="B75" s="112"/>
      <c r="C75" s="5">
        <f>+IFERROR(VLOOKUP($A75,RAIZ!$A$3:$X$1500,MATCH('Suc. Dos de Agosto'!$F$1,RAIZ!$A$2:$X$2,0),FALSE),0)</f>
        <v>0</v>
      </c>
      <c r="D75" s="20"/>
      <c r="E75" s="5"/>
      <c r="F75" s="5">
        <f t="shared" si="16"/>
        <v>0</v>
      </c>
      <c r="G75" s="5"/>
    </row>
    <row r="76" spans="1:7" ht="18.75" hidden="1" customHeight="1" x14ac:dyDescent="0.35">
      <c r="A76" s="93"/>
      <c r="B76" s="112"/>
      <c r="C76" s="5">
        <f>+IFERROR(VLOOKUP($A76,RAIZ!$A$3:$X$1500,MATCH('Suc. Dos de Agosto'!$F$1,RAIZ!$A$2:$X$2,0),FALSE),0)</f>
        <v>0</v>
      </c>
      <c r="D76" s="20"/>
      <c r="E76" s="5"/>
      <c r="F76" s="5">
        <f t="shared" si="16"/>
        <v>0</v>
      </c>
      <c r="G76" s="5"/>
    </row>
    <row r="77" spans="1:7" ht="18.75" hidden="1" customHeight="1" thickBot="1" x14ac:dyDescent="0.4">
      <c r="A77" s="93"/>
      <c r="B77" s="112"/>
      <c r="C77" s="5">
        <f>+IFERROR(VLOOKUP($A77,RAIZ!$A$3:$X$1500,MATCH('Suc. Dos de Agosto'!$F$1,RAIZ!$A$2:$X$2,0),FALSE),0)</f>
        <v>0</v>
      </c>
      <c r="D77" s="20"/>
      <c r="E77" s="5"/>
      <c r="F77" s="5">
        <f t="shared" si="16"/>
        <v>0</v>
      </c>
      <c r="G77" s="5"/>
    </row>
    <row r="78" spans="1:7" ht="18.75" customHeight="1" thickBot="1" x14ac:dyDescent="0.4">
      <c r="A78" s="99" t="s">
        <v>54</v>
      </c>
      <c r="B78" s="111"/>
      <c r="C78" s="77">
        <f>SUM(C56:C77)</f>
        <v>16</v>
      </c>
      <c r="D78" s="48">
        <f>SUM(D56:D77)</f>
        <v>19</v>
      </c>
      <c r="E78" s="48">
        <f>SUM(E56:E77)</f>
        <v>0</v>
      </c>
      <c r="F78" s="65">
        <f>SUM(F56:F77)</f>
        <v>3</v>
      </c>
      <c r="G78" s="48">
        <f>SUM(G56:G77)</f>
        <v>2</v>
      </c>
    </row>
    <row r="79" spans="1:7" ht="18.75" customHeight="1" thickBot="1" x14ac:dyDescent="0.4">
      <c r="A79" s="103" t="s">
        <v>55</v>
      </c>
      <c r="B79" s="111"/>
      <c r="C79" s="79">
        <f>C18+C32+C49+C52+C55+C78</f>
        <v>64</v>
      </c>
      <c r="D79" s="52">
        <f>D18+D32+D49+D52+D55+D78</f>
        <v>91</v>
      </c>
      <c r="E79" s="52">
        <f>E18+E32+E49+E52+E55+E78</f>
        <v>0</v>
      </c>
      <c r="F79" s="67">
        <f>F18+F32+F49+F52+F55+F78</f>
        <v>27</v>
      </c>
      <c r="G79" s="52">
        <f>G18+G32+G49+G52+G55+G78</f>
        <v>24</v>
      </c>
    </row>
    <row r="80" spans="1:7" ht="18.75" hidden="1" customHeight="1" x14ac:dyDescent="0.35">
      <c r="A80" s="104" t="s">
        <v>56</v>
      </c>
      <c r="B80" s="111"/>
      <c r="C80" s="68"/>
      <c r="D80" s="26"/>
      <c r="E80" s="27"/>
      <c r="F80" s="27"/>
      <c r="G80" s="27"/>
    </row>
    <row r="81" spans="1:7" ht="18.75" hidden="1" customHeight="1" x14ac:dyDescent="0.35">
      <c r="A81" s="94" t="s">
        <v>57</v>
      </c>
      <c r="B81" s="112" t="s">
        <v>797</v>
      </c>
      <c r="C81" s="5">
        <f>+IFERROR(VLOOKUP($A81,RAIZ!$A$3:$X$1500,MATCH('Suc. Dos de Agosto'!$F$1,RAIZ!$A$2:$X$2,0),FALSE),0)</f>
        <v>2</v>
      </c>
      <c r="D81" s="197">
        <v>2</v>
      </c>
      <c r="E81" s="5"/>
      <c r="F81" s="5">
        <f t="shared" ref="F81:F85" si="17">IF(D81-C81&gt;=0,D81-C81,0)</f>
        <v>0</v>
      </c>
      <c r="G81" s="5"/>
    </row>
    <row r="82" spans="1:7" ht="18.75" hidden="1" customHeight="1" x14ac:dyDescent="0.35">
      <c r="A82" s="94" t="s">
        <v>58</v>
      </c>
      <c r="B82" s="112" t="s">
        <v>867</v>
      </c>
      <c r="C82" s="5">
        <f>+IFERROR(VLOOKUP($A82,RAIZ!$A$3:$X$1500,MATCH('Suc. Dos de Agosto'!$F$1,RAIZ!$A$2:$X$2,0),FALSE),0)</f>
        <v>1</v>
      </c>
      <c r="D82" s="4">
        <v>1</v>
      </c>
      <c r="E82" s="5"/>
      <c r="F82" s="5">
        <f t="shared" ref="F82" si="18">IF(D82-C82&gt;=0,D82-C82,0)</f>
        <v>0</v>
      </c>
      <c r="G82" s="5"/>
    </row>
    <row r="83" spans="1:7" ht="18.75" hidden="1" customHeight="1" x14ac:dyDescent="0.35">
      <c r="A83" s="94" t="s">
        <v>59</v>
      </c>
      <c r="B83" s="112" t="s">
        <v>798</v>
      </c>
      <c r="C83" s="5">
        <f>+IFERROR(VLOOKUP($A83,RAIZ!$A$3:$X$1500,MATCH('Suc. Dos de Agosto'!$F$1,RAIZ!$A$2:$X$2,0),FALSE),0)</f>
        <v>1</v>
      </c>
      <c r="D83" s="7">
        <v>1</v>
      </c>
      <c r="E83" s="5"/>
      <c r="F83" s="5">
        <f t="shared" si="17"/>
        <v>0</v>
      </c>
      <c r="G83" s="5"/>
    </row>
    <row r="84" spans="1:7" ht="18.75" customHeight="1" thickBot="1" x14ac:dyDescent="0.4">
      <c r="A84" s="94" t="s">
        <v>60</v>
      </c>
      <c r="B84" s="112" t="s">
        <v>799</v>
      </c>
      <c r="C84" s="5">
        <f>+IFERROR(VLOOKUP($A84,RAIZ!$A$3:$X$1500,MATCH('Suc. Dos de Agosto'!$F$1,RAIZ!$A$2:$X$2,0),FALSE),0)</f>
        <v>0</v>
      </c>
      <c r="D84" s="196">
        <v>1</v>
      </c>
      <c r="E84" s="5"/>
      <c r="F84" s="5">
        <f t="shared" si="17"/>
        <v>1</v>
      </c>
      <c r="G84" s="5">
        <v>1</v>
      </c>
    </row>
    <row r="85" spans="1:7" ht="18.75" hidden="1" customHeight="1" x14ac:dyDescent="0.35">
      <c r="A85" s="94" t="s">
        <v>61</v>
      </c>
      <c r="B85" s="112" t="s">
        <v>800</v>
      </c>
      <c r="C85" s="5">
        <f>+IFERROR(VLOOKUP($A85,RAIZ!$A$3:$X$1500,MATCH('Suc. Dos de Agosto'!$F$1,RAIZ!$A$2:$X$2,0),FALSE),0)</f>
        <v>1</v>
      </c>
      <c r="D85" s="196">
        <v>1</v>
      </c>
      <c r="E85" s="5"/>
      <c r="F85" s="5">
        <f t="shared" si="17"/>
        <v>0</v>
      </c>
      <c r="G85" s="5"/>
    </row>
    <row r="86" spans="1:7" ht="18.75" hidden="1" customHeight="1" x14ac:dyDescent="0.35">
      <c r="A86" s="94" t="s">
        <v>63</v>
      </c>
      <c r="B86" s="112" t="s">
        <v>801</v>
      </c>
      <c r="C86" s="5">
        <f>+IFERROR(VLOOKUP($A86,RAIZ!$A$3:$X$1500,MATCH('Suc. Dos de Agosto'!$F$1,RAIZ!$A$2:$X$2,0),FALSE),0)</f>
        <v>2</v>
      </c>
      <c r="D86" s="7">
        <v>2</v>
      </c>
      <c r="E86" s="5"/>
      <c r="F86" s="5">
        <f t="shared" ref="F86:F90" si="19">IF(D86-C86&gt;=0,D86-C86,0)</f>
        <v>0</v>
      </c>
      <c r="G86" s="5"/>
    </row>
    <row r="87" spans="1:7" ht="18.75" hidden="1" customHeight="1" x14ac:dyDescent="0.35">
      <c r="A87" s="94"/>
      <c r="B87" s="112" t="s">
        <v>1091</v>
      </c>
      <c r="C87" s="5">
        <f>+IFERROR(VLOOKUP($A87,RAIZ!$A$3:$X$1500,MATCH('Suc. Dos de Agosto'!$F$1,RAIZ!$A$2:$X$2,0),FALSE),0)</f>
        <v>0</v>
      </c>
      <c r="D87" s="20"/>
      <c r="E87" s="5"/>
      <c r="F87" s="5">
        <f>IF(D87-C87&gt;=0,D87-C87,0)</f>
        <v>0</v>
      </c>
      <c r="G87" s="5"/>
    </row>
    <row r="88" spans="1:7" ht="18.75" hidden="1" customHeight="1" x14ac:dyDescent="0.35">
      <c r="A88" s="94"/>
      <c r="B88" s="112" t="s">
        <v>1094</v>
      </c>
      <c r="C88" s="5">
        <f>+IFERROR(VLOOKUP($A88,RAIZ!$A$3:$X$1500,MATCH('Suc. Dos de Agosto'!$F$1,RAIZ!$A$2:$X$2,0),FALSE),0)</f>
        <v>0</v>
      </c>
      <c r="D88" s="7"/>
      <c r="E88" s="5"/>
      <c r="F88" s="5">
        <f t="shared" si="19"/>
        <v>0</v>
      </c>
      <c r="G88" s="5"/>
    </row>
    <row r="89" spans="1:7" ht="18.75" hidden="1" customHeight="1" x14ac:dyDescent="0.35">
      <c r="A89" s="94"/>
      <c r="B89" s="112" t="s">
        <v>1095</v>
      </c>
      <c r="C89" s="5">
        <f>+IFERROR(VLOOKUP($A89,RAIZ!$A$3:$X$1500,MATCH('Suc. Dos de Agosto'!$F$1,RAIZ!$A$2:$X$2,0),FALSE),0)</f>
        <v>0</v>
      </c>
      <c r="D89" s="7"/>
      <c r="E89" s="5"/>
      <c r="F89" s="5">
        <f t="shared" si="19"/>
        <v>0</v>
      </c>
      <c r="G89" s="5"/>
    </row>
    <row r="90" spans="1:7" ht="18.75" hidden="1" customHeight="1" thickBot="1" x14ac:dyDescent="0.4">
      <c r="A90" s="94"/>
      <c r="B90" s="112" t="s">
        <v>1093</v>
      </c>
      <c r="C90" s="5">
        <f>+IFERROR(VLOOKUP($A90,RAIZ!$A$3:$X$1500,MATCH('Suc. Dos de Agosto'!$F$1,RAIZ!$A$2:$X$2,0),FALSE),0)</f>
        <v>0</v>
      </c>
      <c r="D90" s="7"/>
      <c r="E90" s="5"/>
      <c r="F90" s="5">
        <f t="shared" si="19"/>
        <v>0</v>
      </c>
      <c r="G90" s="5"/>
    </row>
    <row r="91" spans="1:7" ht="18.75" customHeight="1" thickBot="1" x14ac:dyDescent="0.4">
      <c r="A91" s="105" t="s">
        <v>55</v>
      </c>
      <c r="B91" s="111"/>
      <c r="C91" s="80">
        <f>SUM(C81:C90)</f>
        <v>7</v>
      </c>
      <c r="D91" s="54">
        <f>SUM(D81:D90)</f>
        <v>8</v>
      </c>
      <c r="E91" s="54">
        <f>SUM(E81:E90)</f>
        <v>0</v>
      </c>
      <c r="F91" s="69">
        <f>SUM(F81:F90)</f>
        <v>1</v>
      </c>
      <c r="G91" s="54">
        <f>SUM(G81:G90)</f>
        <v>1</v>
      </c>
    </row>
    <row r="92" spans="1:7" ht="18.75" hidden="1" customHeight="1" x14ac:dyDescent="0.35">
      <c r="A92" s="106" t="s">
        <v>64</v>
      </c>
      <c r="B92" s="111"/>
      <c r="C92" s="70"/>
      <c r="D92" s="30"/>
      <c r="E92" s="31"/>
      <c r="F92" s="31"/>
      <c r="G92" s="31"/>
    </row>
    <row r="93" spans="1:7" ht="18.75" hidden="1" customHeight="1" x14ac:dyDescent="0.35">
      <c r="A93" s="94" t="s">
        <v>65</v>
      </c>
      <c r="B93" s="112" t="s">
        <v>802</v>
      </c>
      <c r="C93" s="5">
        <f>+IFERROR(VLOOKUP($A93,RAIZ!$A$3:$X$1500,MATCH('Suc. Dos de Agosto'!$F$1,RAIZ!$A$2:$X$2,0),FALSE),0)</f>
        <v>2</v>
      </c>
      <c r="D93" s="4">
        <v>2</v>
      </c>
      <c r="E93" s="5"/>
      <c r="F93" s="5">
        <f t="shared" ref="F93:F104" si="20">IF(D93-C93&gt;=0,D93-C93,0)</f>
        <v>0</v>
      </c>
      <c r="G93" s="5"/>
    </row>
    <row r="94" spans="1:7" ht="18.75" hidden="1" customHeight="1" x14ac:dyDescent="0.35">
      <c r="A94" s="94" t="s">
        <v>66</v>
      </c>
      <c r="B94" s="112" t="s">
        <v>803</v>
      </c>
      <c r="C94" s="5">
        <f>+IFERROR(VLOOKUP($A94,RAIZ!$A$3:$X$1500,MATCH('Suc. Dos de Agosto'!$F$1,RAIZ!$A$2:$X$2,0),FALSE),0)</f>
        <v>2</v>
      </c>
      <c r="D94" s="7">
        <v>2</v>
      </c>
      <c r="E94" s="5"/>
      <c r="F94" s="5">
        <f t="shared" si="20"/>
        <v>0</v>
      </c>
      <c r="G94" s="5"/>
    </row>
    <row r="95" spans="1:7" ht="18.75" hidden="1" customHeight="1" x14ac:dyDescent="0.35">
      <c r="A95" s="94" t="s">
        <v>68</v>
      </c>
      <c r="B95" s="112" t="s">
        <v>805</v>
      </c>
      <c r="C95" s="5">
        <f>+IFERROR(VLOOKUP($A95,RAIZ!$A$3:$X$1500,MATCH('Suc. Dos de Agosto'!$F$1,RAIZ!$A$2:$X$2,0),FALSE),0)</f>
        <v>1</v>
      </c>
      <c r="D95" s="7">
        <v>1</v>
      </c>
      <c r="E95" s="5"/>
      <c r="F95" s="5">
        <f t="shared" si="20"/>
        <v>0</v>
      </c>
      <c r="G95" s="5"/>
    </row>
    <row r="96" spans="1:7" ht="18.75" customHeight="1" x14ac:dyDescent="0.35">
      <c r="A96" s="94" t="s">
        <v>69</v>
      </c>
      <c r="B96" s="112" t="s">
        <v>806</v>
      </c>
      <c r="C96" s="5">
        <f>+IFERROR(VLOOKUP($A96,RAIZ!$A$3:$X$1500,MATCH('Suc. Dos de Agosto'!$F$1,RAIZ!$A$2:$X$2,0),FALSE),0)</f>
        <v>0</v>
      </c>
      <c r="D96" s="7">
        <v>4</v>
      </c>
      <c r="E96" s="5"/>
      <c r="F96" s="5">
        <f t="shared" si="20"/>
        <v>4</v>
      </c>
      <c r="G96" s="5">
        <v>4</v>
      </c>
    </row>
    <row r="97" spans="1:7" ht="18.75" hidden="1" customHeight="1" x14ac:dyDescent="0.35">
      <c r="A97" s="94" t="s">
        <v>70</v>
      </c>
      <c r="B97" s="112" t="s">
        <v>807</v>
      </c>
      <c r="C97" s="5">
        <f>+IFERROR(VLOOKUP($A97,RAIZ!$A$3:$X$1500,MATCH('Suc. Dos de Agosto'!$F$1,RAIZ!$A$2:$X$2,0),FALSE),0)</f>
        <v>2</v>
      </c>
      <c r="D97" s="7">
        <v>2</v>
      </c>
      <c r="E97" s="5"/>
      <c r="F97" s="5">
        <f t="shared" si="20"/>
        <v>0</v>
      </c>
      <c r="G97" s="5"/>
    </row>
    <row r="98" spans="1:7" ht="18.75" hidden="1" customHeight="1" x14ac:dyDescent="0.35">
      <c r="A98" s="94" t="s">
        <v>857</v>
      </c>
      <c r="B98" s="112" t="s">
        <v>808</v>
      </c>
      <c r="C98" s="5">
        <f>+IFERROR(VLOOKUP($A98,RAIZ!$A$3:$X$1500,MATCH('Suc. Dos de Agosto'!$F$1,RAIZ!$A$2:$X$2,0),FALSE),0)</f>
        <v>6</v>
      </c>
      <c r="D98" s="7">
        <v>3</v>
      </c>
      <c r="E98" s="201">
        <v>5</v>
      </c>
      <c r="F98" s="5">
        <f t="shared" si="20"/>
        <v>0</v>
      </c>
      <c r="G98" s="5"/>
    </row>
    <row r="99" spans="1:7" ht="18.75" customHeight="1" x14ac:dyDescent="0.35">
      <c r="A99" s="94" t="s">
        <v>835</v>
      </c>
      <c r="B99" s="112" t="s">
        <v>836</v>
      </c>
      <c r="C99" s="5">
        <f>+IFERROR(VLOOKUP($A99,RAIZ!$A$3:$X$1500,MATCH('Suc. Dos de Agosto'!$F$1,RAIZ!$A$2:$X$2,0),FALSE),0)</f>
        <v>1</v>
      </c>
      <c r="D99" s="7">
        <v>2</v>
      </c>
      <c r="E99" s="5"/>
      <c r="F99" s="5">
        <f t="shared" ref="F99:F103" si="21">IF(D99-C99&gt;=0,D99-C99,0)</f>
        <v>1</v>
      </c>
      <c r="G99" s="5">
        <v>1</v>
      </c>
    </row>
    <row r="100" spans="1:7" ht="18.75" customHeight="1" x14ac:dyDescent="0.35">
      <c r="A100" s="94" t="s">
        <v>72</v>
      </c>
      <c r="B100" s="112" t="s">
        <v>834</v>
      </c>
      <c r="C100" s="5">
        <f>+IFERROR(VLOOKUP($A100,RAIZ!$A$3:$X$1500,MATCH('Suc. Dos de Agosto'!$F$1,RAIZ!$A$2:$X$2,0),FALSE),0)</f>
        <v>14</v>
      </c>
      <c r="D100" s="7">
        <v>25</v>
      </c>
      <c r="E100" s="5"/>
      <c r="F100" s="5">
        <f t="shared" si="21"/>
        <v>11</v>
      </c>
      <c r="G100" s="5">
        <v>11</v>
      </c>
    </row>
    <row r="101" spans="1:7" ht="18.75" customHeight="1" x14ac:dyDescent="0.35">
      <c r="A101" s="94" t="s">
        <v>73</v>
      </c>
      <c r="B101" s="112" t="s">
        <v>809</v>
      </c>
      <c r="C101" s="5">
        <f>+IFERROR(VLOOKUP($A101,RAIZ!$A$3:$X$1500,MATCH('Suc. Dos de Agosto'!$F$1,RAIZ!$A$2:$X$2,0),FALSE),0)</f>
        <v>1</v>
      </c>
      <c r="D101" s="7">
        <v>2</v>
      </c>
      <c r="E101" s="5"/>
      <c r="F101" s="5">
        <f t="shared" si="21"/>
        <v>1</v>
      </c>
      <c r="G101" s="5">
        <v>1</v>
      </c>
    </row>
    <row r="102" spans="1:7" ht="18.75" customHeight="1" thickBot="1" x14ac:dyDescent="0.4">
      <c r="A102" s="94" t="s">
        <v>74</v>
      </c>
      <c r="B102" s="112" t="s">
        <v>810</v>
      </c>
      <c r="C102" s="5">
        <f>+IFERROR(VLOOKUP($A102,RAIZ!$A$3:$X$1500,MATCH('Suc. Dos de Agosto'!$F$1,RAIZ!$A$2:$X$2,0),FALSE),0)</f>
        <v>1</v>
      </c>
      <c r="D102" s="7">
        <v>3</v>
      </c>
      <c r="E102" s="5"/>
      <c r="F102" s="5">
        <f t="shared" si="21"/>
        <v>2</v>
      </c>
      <c r="G102" s="5">
        <v>2</v>
      </c>
    </row>
    <row r="103" spans="1:7" ht="18.75" hidden="1" customHeight="1" x14ac:dyDescent="0.35">
      <c r="A103" s="94" t="s">
        <v>75</v>
      </c>
      <c r="B103" s="112" t="s">
        <v>811</v>
      </c>
      <c r="C103" s="5">
        <f>+IFERROR(VLOOKUP($A103,RAIZ!$A$3:$X$1500,MATCH('Suc. Dos de Agosto'!$F$1,RAIZ!$A$2:$X$2,0),FALSE),0)</f>
        <v>1</v>
      </c>
      <c r="D103" s="20">
        <v>1</v>
      </c>
      <c r="E103" s="5"/>
      <c r="F103" s="5">
        <f t="shared" si="21"/>
        <v>0</v>
      </c>
      <c r="G103" s="5"/>
    </row>
    <row r="104" spans="1:7" ht="18.75" hidden="1" customHeight="1" thickBot="1" x14ac:dyDescent="0.4">
      <c r="A104" s="94"/>
      <c r="B104" s="112" t="s">
        <v>1096</v>
      </c>
      <c r="C104" s="5">
        <f>+IFERROR(VLOOKUP($A104,RAIZ!$A$3:$X$1500,MATCH('Suc. Dos de Agosto'!$F$1,RAIZ!$A$2:$X$2,0),FALSE),0)</f>
        <v>0</v>
      </c>
      <c r="D104" s="7"/>
      <c r="E104" s="5"/>
      <c r="F104" s="5">
        <f t="shared" si="20"/>
        <v>0</v>
      </c>
      <c r="G104" s="5"/>
    </row>
    <row r="105" spans="1:7" ht="18.75" customHeight="1" thickBot="1" x14ac:dyDescent="0.4">
      <c r="A105" s="107" t="s">
        <v>55</v>
      </c>
      <c r="B105" s="111"/>
      <c r="C105" s="81">
        <f>SUM(C93:C104)</f>
        <v>31</v>
      </c>
      <c r="D105" s="56">
        <f>SUM(D93:D104)</f>
        <v>47</v>
      </c>
      <c r="E105" s="56">
        <f>SUM(E93:E104)</f>
        <v>5</v>
      </c>
      <c r="F105" s="71">
        <f>SUM(F93:F104)</f>
        <v>19</v>
      </c>
      <c r="G105" s="56">
        <f>SUM(G93:G104)</f>
        <v>19</v>
      </c>
    </row>
    <row r="106" spans="1:7" ht="18.75" hidden="1" customHeight="1" x14ac:dyDescent="0.35">
      <c r="A106" s="108" t="s">
        <v>76</v>
      </c>
      <c r="B106" s="111"/>
      <c r="C106" s="72"/>
      <c r="D106" s="34"/>
      <c r="E106" s="35"/>
      <c r="F106" s="35"/>
      <c r="G106" s="35"/>
    </row>
    <row r="107" spans="1:7" ht="18.75" hidden="1" customHeight="1" x14ac:dyDescent="0.35">
      <c r="A107" s="94" t="s">
        <v>77</v>
      </c>
      <c r="B107" s="112" t="s">
        <v>812</v>
      </c>
      <c r="C107" s="5">
        <f>+IFERROR(VLOOKUP($A107,RAIZ!$A$3:$X$1500,MATCH('Suc. Dos de Agosto'!$F$1,RAIZ!$A$2:$X$2,0),FALSE),0)</f>
        <v>1</v>
      </c>
      <c r="D107" s="7">
        <v>1</v>
      </c>
      <c r="E107" s="5"/>
      <c r="F107" s="5">
        <f t="shared" ref="F107:F112" si="22">IF(D107-C107&gt;=0,D107-C107,0)</f>
        <v>0</v>
      </c>
      <c r="G107" s="5"/>
    </row>
    <row r="108" spans="1:7" ht="18.75" hidden="1" customHeight="1" x14ac:dyDescent="0.35">
      <c r="A108" s="94" t="s">
        <v>621</v>
      </c>
      <c r="B108" s="112" t="s">
        <v>813</v>
      </c>
      <c r="C108" s="5">
        <f>+IFERROR(VLOOKUP($A108,RAIZ!$A$3:$X$1500,MATCH('Suc. Dos de Agosto'!$F$1,RAIZ!$A$2:$X$2,0),FALSE),0)</f>
        <v>0</v>
      </c>
      <c r="D108" s="7">
        <v>0</v>
      </c>
      <c r="E108" s="5"/>
      <c r="F108" s="5">
        <f t="shared" si="22"/>
        <v>0</v>
      </c>
      <c r="G108" s="5"/>
    </row>
    <row r="109" spans="1:7" ht="18.75" hidden="1" customHeight="1" x14ac:dyDescent="0.35">
      <c r="A109" s="94" t="s">
        <v>80</v>
      </c>
      <c r="B109" s="112" t="s">
        <v>815</v>
      </c>
      <c r="C109" s="5">
        <f>+IFERROR(VLOOKUP($A109,RAIZ!$A$3:$X$1500,MATCH('Suc. Dos de Agosto'!$F$1,RAIZ!$A$2:$X$2,0),FALSE),0)</f>
        <v>5</v>
      </c>
      <c r="D109" s="7">
        <v>5</v>
      </c>
      <c r="E109" s="5"/>
      <c r="F109" s="5">
        <f t="shared" si="22"/>
        <v>0</v>
      </c>
      <c r="G109" s="5"/>
    </row>
    <row r="110" spans="1:7" ht="18.75" hidden="1" customHeight="1" x14ac:dyDescent="0.35">
      <c r="A110" s="94" t="s">
        <v>81</v>
      </c>
      <c r="B110" s="112" t="s">
        <v>816</v>
      </c>
      <c r="C110" s="5">
        <f>+IFERROR(VLOOKUP($A110,RAIZ!$A$3:$X$1500,MATCH('Suc. Dos de Agosto'!$F$1,RAIZ!$A$2:$X$2,0),FALSE),0)</f>
        <v>3</v>
      </c>
      <c r="D110" s="7">
        <v>3</v>
      </c>
      <c r="E110" s="5"/>
      <c r="F110" s="5">
        <f t="shared" si="22"/>
        <v>0</v>
      </c>
      <c r="G110" s="5"/>
    </row>
    <row r="111" spans="1:7" ht="18.75" hidden="1" customHeight="1" x14ac:dyDescent="0.35">
      <c r="A111" s="95" t="s">
        <v>83</v>
      </c>
      <c r="B111" s="112" t="s">
        <v>818</v>
      </c>
      <c r="C111" s="5">
        <f>+IFERROR(VLOOKUP($A111,RAIZ!$A$3:$X$1500,MATCH('Suc. Dos de Agosto'!$F$1,RAIZ!$A$2:$X$2,0),FALSE),0)</f>
        <v>1</v>
      </c>
      <c r="D111" s="20">
        <v>1</v>
      </c>
      <c r="E111" s="5"/>
      <c r="F111" s="5">
        <f t="shared" si="22"/>
        <v>0</v>
      </c>
      <c r="G111" s="5"/>
    </row>
    <row r="112" spans="1:7" ht="18.75" hidden="1" customHeight="1" thickBot="1" x14ac:dyDescent="0.4">
      <c r="A112" s="95"/>
      <c r="B112" s="112"/>
      <c r="C112" s="5">
        <f>+IFERROR(VLOOKUP($A112,RAIZ!$A$3:$X$1500,MATCH('Suc. Dos de Agosto'!$F$1,RAIZ!$A$2:$X$2,0),FALSE),0)</f>
        <v>0</v>
      </c>
      <c r="D112" s="20"/>
      <c r="E112" s="5"/>
      <c r="F112" s="5">
        <f t="shared" si="22"/>
        <v>0</v>
      </c>
      <c r="G112" s="5"/>
    </row>
    <row r="113" spans="1:7" ht="18.75" customHeight="1" thickBot="1" x14ac:dyDescent="0.4">
      <c r="A113" s="109" t="s">
        <v>55</v>
      </c>
      <c r="B113" s="111"/>
      <c r="C113" s="82">
        <f>SUM(C107:C112,C114:C116)</f>
        <v>10</v>
      </c>
      <c r="D113" s="58">
        <f>SUM(D107:D112,D114:D116)</f>
        <v>14</v>
      </c>
      <c r="E113" s="58">
        <f>SUM(E107:E112,E114:E116)</f>
        <v>0</v>
      </c>
      <c r="F113" s="73">
        <f>SUM(F107:F112,F114:F116)</f>
        <v>4</v>
      </c>
      <c r="G113" s="58">
        <f>SUM(G107:G112,G114:G116)</f>
        <v>4</v>
      </c>
    </row>
    <row r="114" spans="1:7" ht="18.75" customHeight="1" x14ac:dyDescent="0.35">
      <c r="A114" s="93" t="s">
        <v>84</v>
      </c>
      <c r="B114" s="112" t="s">
        <v>819</v>
      </c>
      <c r="C114" s="5">
        <f>+IFERROR(VLOOKUP($A114,RAIZ!$A$3:$X$1500,MATCH('Suc. Dos de Agosto'!$F$1,RAIZ!$A$2:$X$2,0),FALSE),0)</f>
        <v>0</v>
      </c>
      <c r="D114" s="4">
        <v>1</v>
      </c>
      <c r="E114" s="5"/>
      <c r="F114" s="5">
        <f t="shared" ref="F114" si="23">IF(D114-C114&gt;=0,D114-C114,0)</f>
        <v>1</v>
      </c>
      <c r="G114" s="5">
        <v>1</v>
      </c>
    </row>
    <row r="115" spans="1:7" ht="18.75" customHeight="1" x14ac:dyDescent="0.35">
      <c r="A115" s="95" t="s">
        <v>85</v>
      </c>
      <c r="B115" s="112" t="s">
        <v>820</v>
      </c>
      <c r="C115" s="5">
        <f>+IFERROR(VLOOKUP($A115,RAIZ!$A$3:$X$1500,MATCH('Suc. Dos de Agosto'!$F$1,RAIZ!$A$2:$X$2,0),FALSE),0)</f>
        <v>0</v>
      </c>
      <c r="D115" s="20">
        <v>1</v>
      </c>
      <c r="E115" s="5"/>
      <c r="F115" s="5">
        <f t="shared" ref="F115:F141" si="24">IF(D115-C115&gt;=0,D115-C115,0)</f>
        <v>1</v>
      </c>
      <c r="G115" s="5">
        <v>1</v>
      </c>
    </row>
    <row r="116" spans="1:7" ht="18.75" customHeight="1" thickBot="1" x14ac:dyDescent="0.4">
      <c r="A116" s="95" t="s">
        <v>881</v>
      </c>
      <c r="B116" s="112" t="s">
        <v>882</v>
      </c>
      <c r="C116" s="5">
        <f>+IFERROR(VLOOKUP($A116,RAIZ!$A$3:$X$1500,MATCH('Suc. Dos de Agosto'!$F$1,RAIZ!$A$2:$X$2,0),FALSE),0)</f>
        <v>0</v>
      </c>
      <c r="D116" s="20">
        <v>2</v>
      </c>
      <c r="E116" s="5"/>
      <c r="F116" s="5">
        <f t="shared" si="24"/>
        <v>2</v>
      </c>
      <c r="G116" s="5">
        <v>2</v>
      </c>
    </row>
    <row r="117" spans="1:7" ht="18.75" customHeight="1" thickBot="1" x14ac:dyDescent="0.4">
      <c r="A117" s="110" t="s">
        <v>86</v>
      </c>
      <c r="B117" s="111"/>
      <c r="C117" s="83">
        <f>C79+C91+C105+C113</f>
        <v>112</v>
      </c>
      <c r="D117" s="60">
        <f>D79+D91+D105+D113</f>
        <v>160</v>
      </c>
      <c r="E117" s="60">
        <f>E79+E91+E105+E113</f>
        <v>5</v>
      </c>
      <c r="F117" s="74">
        <f>F79+F91+F105+F113</f>
        <v>51</v>
      </c>
      <c r="G117" s="60">
        <f>G79+G91+G105+G113</f>
        <v>48</v>
      </c>
    </row>
    <row r="118" spans="1:7" ht="18.75" customHeight="1" thickBot="1" x14ac:dyDescent="0.4">
      <c r="A118" s="95" t="s">
        <v>975</v>
      </c>
      <c r="B118" s="112" t="s">
        <v>976</v>
      </c>
      <c r="C118" s="5">
        <f>+IFERROR(VLOOKUP($A118,RAIZ!$A$3:$X$1500,MATCH('Suc. Dos de Agosto'!$F$1,RAIZ!$A$2:$X$2,0),FALSE),0)</f>
        <v>0</v>
      </c>
      <c r="D118" s="20">
        <v>3</v>
      </c>
      <c r="E118" s="5"/>
      <c r="F118" s="5">
        <f>IF(D118-C118&gt;=0,D118-C118,0)</f>
        <v>3</v>
      </c>
      <c r="G118" s="5">
        <v>3</v>
      </c>
    </row>
    <row r="119" spans="1:7" ht="18.75" hidden="1" customHeight="1" x14ac:dyDescent="0.35">
      <c r="A119" s="95" t="s">
        <v>974</v>
      </c>
      <c r="B119" s="112" t="s">
        <v>977</v>
      </c>
      <c r="C119" s="5">
        <f>+IFERROR(VLOOKUP($A119,RAIZ!$A$3:$X$1500,MATCH('Suc. Dos de Agosto'!$F$1,RAIZ!$A$2:$X$2,0),FALSE),0)</f>
        <v>3</v>
      </c>
      <c r="D119" s="20">
        <v>3</v>
      </c>
      <c r="E119" s="5"/>
      <c r="F119" s="5">
        <f t="shared" si="24"/>
        <v>0</v>
      </c>
      <c r="G119" s="5"/>
    </row>
    <row r="120" spans="1:7" ht="18.75" hidden="1" customHeight="1" thickBot="1" x14ac:dyDescent="0.4">
      <c r="A120" s="95" t="s">
        <v>1077</v>
      </c>
      <c r="B120" s="112" t="s">
        <v>817</v>
      </c>
      <c r="C120" s="5">
        <f>+IFERROR(VLOOKUP($A120,RAIZ!$A$3:$X$1500,MATCH('Suc. Dos de Agosto'!$F$1,RAIZ!$A$2:$X$2,0),FALSE),0)</f>
        <v>0</v>
      </c>
      <c r="D120" s="20"/>
      <c r="E120" s="5"/>
      <c r="F120" s="5">
        <f t="shared" si="24"/>
        <v>0</v>
      </c>
      <c r="G120" s="5"/>
    </row>
    <row r="121" spans="1:7" ht="18.75" hidden="1" customHeight="1" thickBot="1" x14ac:dyDescent="0.4">
      <c r="A121" s="95" t="s">
        <v>1076</v>
      </c>
      <c r="B121" s="194" t="s">
        <v>1121</v>
      </c>
      <c r="C121" s="5">
        <f>+IFERROR(VLOOKUP($A121,RAIZ!$A$3:$X$1500,MATCH('Suc. Dos de Agosto'!$F$1,RAIZ!$A$2:$X$2,0),FALSE),0)</f>
        <v>1</v>
      </c>
      <c r="D121" s="20"/>
      <c r="E121" s="5"/>
      <c r="F121" s="5">
        <f t="shared" si="24"/>
        <v>0</v>
      </c>
      <c r="G121" s="5"/>
    </row>
    <row r="122" spans="1:7" ht="18.75" hidden="1" customHeight="1" thickBot="1" x14ac:dyDescent="0.4">
      <c r="A122" s="95" t="s">
        <v>1014</v>
      </c>
      <c r="B122" s="194" t="s">
        <v>1010</v>
      </c>
      <c r="C122" s="5">
        <f>+IFERROR(VLOOKUP($A122,RAIZ!$A$3:$X$1500,MATCH('Suc. Dos de Agosto'!$F$1,RAIZ!$A$2:$X$2,0),FALSE),0)</f>
        <v>4</v>
      </c>
      <c r="D122" s="20">
        <v>3</v>
      </c>
      <c r="E122" s="5"/>
      <c r="F122" s="5">
        <f t="shared" si="24"/>
        <v>0</v>
      </c>
      <c r="G122" s="5"/>
    </row>
    <row r="123" spans="1:7" ht="18.75" hidden="1" customHeight="1" thickBot="1" x14ac:dyDescent="0.4">
      <c r="A123" s="95" t="s">
        <v>1015</v>
      </c>
      <c r="B123" s="194" t="s">
        <v>1011</v>
      </c>
      <c r="C123" s="147">
        <f>+IFERROR(VLOOKUP($A123,RAIZ!$A$3:$X$1500,MATCH('Suc. Dos de Agosto'!$F$1,RAIZ!$A$2:$X$2,0),FALSE),0)</f>
        <v>3</v>
      </c>
      <c r="D123" s="20">
        <v>3</v>
      </c>
      <c r="E123" s="5"/>
      <c r="F123" s="5">
        <f t="shared" si="24"/>
        <v>0</v>
      </c>
      <c r="G123" s="5"/>
    </row>
    <row r="124" spans="1:7" ht="18.75" hidden="1" customHeight="1" thickBot="1" x14ac:dyDescent="0.4">
      <c r="A124" s="95" t="s">
        <v>1016</v>
      </c>
      <c r="B124" s="194" t="s">
        <v>1012</v>
      </c>
      <c r="C124" s="147">
        <f>+IFERROR(VLOOKUP($A124,RAIZ!$A$3:$X$1500,MATCH('Suc. Dos de Agosto'!$F$1,RAIZ!$A$2:$X$2,0),FALSE),0)</f>
        <v>3</v>
      </c>
      <c r="D124" s="20">
        <v>3</v>
      </c>
      <c r="E124" s="5"/>
      <c r="F124" s="5">
        <f t="shared" si="24"/>
        <v>0</v>
      </c>
      <c r="G124" s="5"/>
    </row>
    <row r="125" spans="1:7" ht="18.75" customHeight="1" thickBot="1" x14ac:dyDescent="0.4">
      <c r="A125" s="95" t="s">
        <v>1017</v>
      </c>
      <c r="B125" s="194" t="s">
        <v>1013</v>
      </c>
      <c r="C125" s="147">
        <f>+IFERROR(VLOOKUP($A125,RAIZ!$A$3:$X$1500,MATCH('Suc. Dos de Agosto'!$F$1,RAIZ!$A$2:$X$2,0),FALSE),0)</f>
        <v>2</v>
      </c>
      <c r="D125" s="18">
        <v>3</v>
      </c>
      <c r="E125" s="5"/>
      <c r="F125" s="5">
        <f t="shared" si="24"/>
        <v>1</v>
      </c>
      <c r="G125" s="5">
        <v>1</v>
      </c>
    </row>
    <row r="126" spans="1:7" ht="18.75" hidden="1" customHeight="1" thickBot="1" x14ac:dyDescent="0.4">
      <c r="A126" s="95" t="s">
        <v>1125</v>
      </c>
      <c r="B126" s="194" t="s">
        <v>1127</v>
      </c>
      <c r="C126" s="147">
        <f>+IFERROR(VLOOKUP($A126,RAIZ!$A$3:$X$1500,MATCH('Suc. Dos de Agosto'!$F$1,RAIZ!$A$2:$X$2,0),FALSE),0)</f>
        <v>0</v>
      </c>
      <c r="D126" s="20"/>
      <c r="E126" s="5"/>
      <c r="F126" s="5">
        <f t="shared" si="24"/>
        <v>0</v>
      </c>
      <c r="G126" s="5"/>
    </row>
    <row r="127" spans="1:7" ht="18.75" hidden="1" customHeight="1" thickBot="1" x14ac:dyDescent="0.4">
      <c r="A127" s="95" t="s">
        <v>1126</v>
      </c>
      <c r="B127" s="194" t="s">
        <v>1128</v>
      </c>
      <c r="C127" s="147">
        <f>+IFERROR(VLOOKUP($A127,RAIZ!$A$3:$X$1500,MATCH('Suc. Dos de Agosto'!$F$1,RAIZ!$A$2:$X$2,0),FALSE),0)</f>
        <v>1</v>
      </c>
      <c r="D127" s="18"/>
      <c r="E127" s="184"/>
      <c r="F127" s="184">
        <f t="shared" si="24"/>
        <v>0</v>
      </c>
      <c r="G127" s="181"/>
    </row>
    <row r="128" spans="1:7" ht="18.75" hidden="1" customHeight="1" thickBot="1" x14ac:dyDescent="0.4">
      <c r="A128" s="95" t="s">
        <v>568</v>
      </c>
      <c r="B128" s="194" t="s">
        <v>1131</v>
      </c>
      <c r="C128" s="186">
        <f>+IFERROR(VLOOKUP($A128,RAIZ!$A$3:$X$1500,MATCH('Suc. Dos de Agosto'!$F$1,RAIZ!$A$2:$X$2,0),FALSE),0)</f>
        <v>3</v>
      </c>
      <c r="D128" s="18">
        <v>3</v>
      </c>
      <c r="E128" s="185"/>
      <c r="F128" s="185">
        <f t="shared" si="24"/>
        <v>0</v>
      </c>
      <c r="G128" s="185"/>
    </row>
    <row r="129" spans="1:7" ht="18.75" hidden="1" customHeight="1" thickBot="1" x14ac:dyDescent="0.4">
      <c r="A129" s="95" t="s">
        <v>565</v>
      </c>
      <c r="B129" s="194" t="s">
        <v>1142</v>
      </c>
      <c r="C129" s="187">
        <f>+IFERROR(VLOOKUP($A129,RAIZ!$A$3:$X$1500,MATCH('Suc. Dos de Agosto'!$F$1,RAIZ!$A$2:$X$2,0),FALSE),0)</f>
        <v>0</v>
      </c>
      <c r="D129" s="18">
        <v>2</v>
      </c>
      <c r="E129" s="185"/>
      <c r="F129" s="185">
        <f t="shared" si="24"/>
        <v>2</v>
      </c>
      <c r="G129" s="185"/>
    </row>
    <row r="130" spans="1:7" ht="18.75" hidden="1" customHeight="1" thickBot="1" x14ac:dyDescent="0.4">
      <c r="A130" s="95" t="s">
        <v>912</v>
      </c>
      <c r="B130" s="194" t="s">
        <v>1136</v>
      </c>
      <c r="C130" s="187">
        <f>+IFERROR(VLOOKUP($A130,RAIZ!$A$3:$X$1500,MATCH('Suc. Dos de Agosto'!$F$1,RAIZ!$A$2:$X$2,0),FALSE),0)</f>
        <v>2</v>
      </c>
      <c r="D130" s="18">
        <v>2</v>
      </c>
      <c r="E130" s="185"/>
      <c r="F130" s="185">
        <f t="shared" si="24"/>
        <v>0</v>
      </c>
      <c r="G130" s="185"/>
    </row>
    <row r="131" spans="1:7" ht="18.75" customHeight="1" thickBot="1" x14ac:dyDescent="0.4">
      <c r="A131" s="95" t="s">
        <v>557</v>
      </c>
      <c r="B131" s="194" t="s">
        <v>1137</v>
      </c>
      <c r="C131" s="187">
        <f>+IFERROR(VLOOKUP($A131,RAIZ!$A$3:$X$1500,MATCH('Suc. Dos de Agosto'!$F$1,RAIZ!$A$2:$X$2,0),FALSE),0)</f>
        <v>1</v>
      </c>
      <c r="D131" s="18">
        <v>2</v>
      </c>
      <c r="E131" s="185"/>
      <c r="F131" s="185">
        <f t="shared" si="24"/>
        <v>1</v>
      </c>
      <c r="G131" s="185">
        <v>1</v>
      </c>
    </row>
    <row r="132" spans="1:7" ht="18.75" hidden="1" customHeight="1" thickBot="1" x14ac:dyDescent="0.4">
      <c r="A132" s="95" t="s">
        <v>573</v>
      </c>
      <c r="B132" s="194" t="s">
        <v>1138</v>
      </c>
      <c r="C132" s="187">
        <f>+IFERROR(VLOOKUP($A132,RAIZ!$A$3:$X$1500,MATCH('Suc. Dos de Agosto'!$F$1,RAIZ!$A$2:$X$2,0),FALSE),0)</f>
        <v>0</v>
      </c>
      <c r="D132" s="18">
        <v>1</v>
      </c>
      <c r="E132" s="185"/>
      <c r="F132" s="185">
        <f t="shared" si="24"/>
        <v>1</v>
      </c>
      <c r="G132" s="185"/>
    </row>
    <row r="133" spans="1:7" ht="18.75" hidden="1" customHeight="1" thickBot="1" x14ac:dyDescent="0.4">
      <c r="A133" s="95" t="s">
        <v>421</v>
      </c>
      <c r="B133" s="194" t="s">
        <v>1140</v>
      </c>
      <c r="C133" s="187">
        <f>+IFERROR(VLOOKUP($A133,RAIZ!$A$3:$X$1500,MATCH('Suc. Dos de Agosto'!$F$1,RAIZ!$A$2:$X$2,0),FALSE),0)</f>
        <v>4</v>
      </c>
      <c r="D133" s="18">
        <v>2</v>
      </c>
      <c r="E133" s="185"/>
      <c r="F133" s="185">
        <f t="shared" si="24"/>
        <v>0</v>
      </c>
      <c r="G133" s="185"/>
    </row>
    <row r="134" spans="1:7" ht="18.75" customHeight="1" thickBot="1" x14ac:dyDescent="0.4">
      <c r="A134" s="95" t="s">
        <v>249</v>
      </c>
      <c r="B134" s="194" t="s">
        <v>1134</v>
      </c>
      <c r="C134" s="187">
        <f>+IFERROR(VLOOKUP($A134,RAIZ!$A$3:$X$1500,MATCH('Suc. Dos de Agosto'!$F$1,RAIZ!$A$2:$X$2,0),FALSE),0)</f>
        <v>0</v>
      </c>
      <c r="D134" s="18">
        <v>2</v>
      </c>
      <c r="E134" s="185"/>
      <c r="F134" s="185">
        <f t="shared" si="24"/>
        <v>2</v>
      </c>
      <c r="G134" s="185">
        <v>2</v>
      </c>
    </row>
    <row r="135" spans="1:7" ht="18.75" hidden="1" customHeight="1" thickBot="1" x14ac:dyDescent="0.4">
      <c r="A135" s="95" t="s">
        <v>1030</v>
      </c>
      <c r="B135" s="194" t="s">
        <v>1143</v>
      </c>
      <c r="C135" s="187">
        <f>+IFERROR(VLOOKUP($A135,RAIZ!$A$3:$X$1500,MATCH('Suc. Dos de Agosto'!$F$1,RAIZ!$A$2:$X$2,0),FALSE),0)</f>
        <v>4</v>
      </c>
      <c r="D135" s="18">
        <v>6</v>
      </c>
      <c r="E135" s="185"/>
      <c r="F135" s="185">
        <f t="shared" si="24"/>
        <v>2</v>
      </c>
      <c r="G135" s="185"/>
    </row>
    <row r="136" spans="1:7" ht="18.75" hidden="1" customHeight="1" thickBot="1" x14ac:dyDescent="0.4">
      <c r="A136" s="95" t="s">
        <v>253</v>
      </c>
      <c r="B136" s="194" t="s">
        <v>1135</v>
      </c>
      <c r="C136" s="187">
        <f>+IFERROR(VLOOKUP($A136,RAIZ!$A$3:$X$1500,MATCH('Suc. Dos de Agosto'!$F$1,RAIZ!$A$2:$X$2,0),FALSE),0)</f>
        <v>4</v>
      </c>
      <c r="D136" s="18">
        <v>2</v>
      </c>
      <c r="E136" s="185"/>
      <c r="F136" s="185">
        <f t="shared" si="24"/>
        <v>0</v>
      </c>
      <c r="G136" s="185"/>
    </row>
    <row r="137" spans="1:7" ht="18.75" hidden="1" customHeight="1" thickBot="1" x14ac:dyDescent="0.4">
      <c r="A137" s="95" t="s">
        <v>240</v>
      </c>
      <c r="B137" s="194" t="s">
        <v>1139</v>
      </c>
      <c r="C137" s="187">
        <f>+IFERROR(VLOOKUP($A137,RAIZ!$A$3:$X$1500,MATCH('Suc. Dos de Agosto'!$F$1,RAIZ!$A$2:$X$2,0),FALSE),0)</f>
        <v>0</v>
      </c>
      <c r="D137" s="18">
        <v>0</v>
      </c>
      <c r="E137" s="185"/>
      <c r="F137" s="185">
        <f t="shared" si="24"/>
        <v>0</v>
      </c>
      <c r="G137" s="185"/>
    </row>
    <row r="138" spans="1:7" ht="18.75" hidden="1" customHeight="1" thickBot="1" x14ac:dyDescent="0.4">
      <c r="A138" s="95" t="s">
        <v>204</v>
      </c>
      <c r="B138" s="194" t="s">
        <v>1106</v>
      </c>
      <c r="C138" s="187">
        <f>+IFERROR(VLOOKUP($A138,RAIZ!$A$3:$X$1500,MATCH('Suc. Dos de Agosto'!$F$1,RAIZ!$A$2:$X$2,0),FALSE),0)</f>
        <v>0</v>
      </c>
      <c r="D138" s="18">
        <v>0</v>
      </c>
      <c r="E138" s="185"/>
      <c r="F138" s="185">
        <f t="shared" si="24"/>
        <v>0</v>
      </c>
      <c r="G138" s="185"/>
    </row>
    <row r="139" spans="1:7" ht="18.75" hidden="1" customHeight="1" thickBot="1" x14ac:dyDescent="0.4">
      <c r="A139" s="95" t="s">
        <v>1132</v>
      </c>
      <c r="B139" s="194" t="s">
        <v>1141</v>
      </c>
      <c r="C139" s="187">
        <f>+IFERROR(VLOOKUP($A139,RAIZ!$A$3:$X$1500,MATCH('Suc. Dos de Agosto'!$F$1,RAIZ!$A$2:$X$2,0),FALSE),0)</f>
        <v>1</v>
      </c>
      <c r="D139" s="18">
        <v>1</v>
      </c>
      <c r="E139" s="185"/>
      <c r="F139" s="185">
        <f t="shared" si="24"/>
        <v>0</v>
      </c>
      <c r="G139" s="185"/>
    </row>
    <row r="140" spans="1:7" ht="18.75" hidden="1" customHeight="1" thickBot="1" x14ac:dyDescent="0.4">
      <c r="A140" s="95" t="s">
        <v>914</v>
      </c>
      <c r="B140" s="194" t="s">
        <v>1133</v>
      </c>
      <c r="C140" s="187">
        <f>+IFERROR(VLOOKUP($A140,RAIZ!$A$3:$X$1500,MATCH('Suc. Dos de Agosto'!$F$1,RAIZ!$A$2:$X$2,0),FALSE),0)</f>
        <v>0</v>
      </c>
      <c r="D140" s="18">
        <v>1</v>
      </c>
      <c r="E140" s="185"/>
      <c r="F140" s="185">
        <f t="shared" si="24"/>
        <v>1</v>
      </c>
      <c r="G140" s="185"/>
    </row>
    <row r="141" spans="1:7" ht="18.75" hidden="1" customHeight="1" thickBot="1" x14ac:dyDescent="0.4">
      <c r="A141" s="243" t="s">
        <v>1120</v>
      </c>
      <c r="B141" s="194" t="s">
        <v>1159</v>
      </c>
      <c r="C141" s="187">
        <f>+IFERROR(VLOOKUP($A141,RAIZ!$A$3:$X$1500,MATCH('Suc. Dos de Agosto'!$F$1,RAIZ!$A$2:$X$2,0),FALSE),0)</f>
        <v>0</v>
      </c>
      <c r="D141" s="18"/>
      <c r="E141" s="185"/>
      <c r="F141" s="185">
        <f t="shared" si="24"/>
        <v>0</v>
      </c>
      <c r="G141" s="185"/>
    </row>
    <row r="142" spans="1:7" ht="18.75" hidden="1" customHeight="1" thickBot="1" x14ac:dyDescent="0.4">
      <c r="A142" s="95"/>
      <c r="B142" s="194"/>
      <c r="C142" s="187">
        <f>+IFERROR(VLOOKUP($A142,RAIZ!$A$3:$X$1500,MATCH('Suc. Dos de Agosto'!$F$1,RAIZ!$A$2:$X$2,0),FALSE),0)</f>
        <v>0</v>
      </c>
      <c r="D142" s="18"/>
      <c r="E142" s="185"/>
      <c r="F142" s="185"/>
      <c r="G142" s="185"/>
    </row>
    <row r="143" spans="1:7" ht="18.75" hidden="1" customHeight="1" thickBot="1" x14ac:dyDescent="0.4">
      <c r="A143" s="95"/>
      <c r="B143" s="193"/>
      <c r="C143" s="187">
        <f>+IFERROR(VLOOKUP($A143,RAIZ!$A$3:$X$1500,MATCH('Suc. Dos de Agosto'!$F$1,RAIZ!$A$2:$X$2,0),FALSE),0)</f>
        <v>0</v>
      </c>
      <c r="D143" s="18"/>
      <c r="E143" s="185"/>
      <c r="F143" s="185"/>
      <c r="G143" s="185"/>
    </row>
    <row r="144" spans="1:7" ht="18.75" hidden="1" customHeight="1" thickBot="1" x14ac:dyDescent="0.4">
      <c r="A144" s="95"/>
      <c r="B144" s="194"/>
      <c r="C144" s="187">
        <f>+IFERROR(VLOOKUP($A144,RAIZ!$A$3:$X$1500,MATCH('Suc. Dos de Agosto'!$F$1,RAIZ!$A$2:$X$2,0),FALSE),0)</f>
        <v>0</v>
      </c>
      <c r="D144" s="18"/>
      <c r="E144" s="185"/>
      <c r="F144" s="185"/>
      <c r="G144" s="185"/>
    </row>
    <row r="145" spans="1:7" ht="18.75" hidden="1" customHeight="1" thickBot="1" x14ac:dyDescent="0.4">
      <c r="A145" s="95"/>
      <c r="B145" s="192"/>
      <c r="C145" s="187">
        <f>+IFERROR(VLOOKUP($A145,RAIZ!$A$3:$X$1500,MATCH('Suc. Dos de Agosto'!$F$1,RAIZ!$A$2:$X$2,0),FALSE),0)</f>
        <v>0</v>
      </c>
      <c r="D145" s="18"/>
      <c r="E145" s="185"/>
      <c r="F145" s="185"/>
      <c r="G145" s="185"/>
    </row>
    <row r="146" spans="1:7" ht="18.75" hidden="1" customHeight="1" thickBot="1" x14ac:dyDescent="0.4">
      <c r="A146" s="95"/>
      <c r="B146" s="194"/>
      <c r="C146" s="187">
        <f>+IFERROR(VLOOKUP($A146,RAIZ!$A$3:$X$1500,MATCH('Suc. Dos de Agosto'!$F$1,RAIZ!$A$2:$X$2,0),FALSE),0)</f>
        <v>0</v>
      </c>
      <c r="D146" s="18"/>
      <c r="E146" s="185"/>
      <c r="F146" s="185"/>
      <c r="G146" s="185"/>
    </row>
    <row r="147" spans="1:7" ht="18.75" hidden="1" customHeight="1" thickBot="1" x14ac:dyDescent="0.4">
      <c r="A147" s="95"/>
      <c r="B147" s="193"/>
      <c r="C147" s="187">
        <f>+IFERROR(VLOOKUP($A147,RAIZ!$A$3:$X$1500,MATCH('Suc. Dos de Agosto'!$F$1,RAIZ!$A$2:$X$2,0),FALSE),0)</f>
        <v>0</v>
      </c>
      <c r="D147" s="14"/>
      <c r="E147" s="185"/>
      <c r="F147" s="185"/>
      <c r="G147" s="185"/>
    </row>
    <row r="148" spans="1:7" ht="18.75" hidden="1" customHeight="1" thickBot="1" x14ac:dyDescent="0.4">
      <c r="A148" s="95"/>
      <c r="B148" s="193"/>
      <c r="C148" s="188">
        <f>+IFERROR(VLOOKUP($A148,RAIZ!$A$3:$X$1500,MATCH('Suc. Dos de Agosto'!$F$1,RAIZ!$A$2:$X$2,0),FALSE),0)</f>
        <v>0</v>
      </c>
      <c r="D148" s="14"/>
      <c r="E148" s="185"/>
      <c r="F148" s="185"/>
      <c r="G148" s="185"/>
    </row>
    <row r="149" spans="1:7" ht="18.75" customHeight="1" thickBot="1" x14ac:dyDescent="0.4">
      <c r="A149" s="173"/>
      <c r="B149" s="109"/>
      <c r="C149" s="182">
        <f>SUM(C118:C127,)</f>
        <v>17</v>
      </c>
      <c r="D149" s="182">
        <f>SUM(D118:D127,)</f>
        <v>18</v>
      </c>
      <c r="E149" s="182">
        <f>SUM(E118:E127,)</f>
        <v>0</v>
      </c>
      <c r="F149" s="182">
        <f>SUM(F118:F127,)</f>
        <v>4</v>
      </c>
      <c r="G149" s="182">
        <f>SUM(G118:G148,)</f>
        <v>7</v>
      </c>
    </row>
    <row r="150" spans="1:7" ht="18.75" customHeight="1" thickBot="1" x14ac:dyDescent="0.4">
      <c r="A150" s="110" t="s">
        <v>86</v>
      </c>
      <c r="B150" s="111"/>
      <c r="C150" s="83">
        <f>C149+C117</f>
        <v>129</v>
      </c>
      <c r="D150" s="83">
        <f>D149+D117</f>
        <v>178</v>
      </c>
      <c r="E150" s="83">
        <f>E149+E117</f>
        <v>5</v>
      </c>
      <c r="F150" s="83">
        <f>F149+F117</f>
        <v>55</v>
      </c>
      <c r="G150" s="83">
        <f>G149+G117</f>
        <v>55</v>
      </c>
    </row>
  </sheetData>
  <autoFilter ref="A2:H150" xr:uid="{B39ED003-C929-4682-80FA-72E6771387E7}">
    <filterColumn colId="6">
      <customFilters>
        <customFilter operator="notEqual" val=" "/>
      </customFilters>
    </filterColumn>
  </autoFilter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7F9EA9F-3B9C-4763-AF9C-CACDED4A524C}">
          <x14:formula1>
            <xm:f>Hoja1!$C$2:$C$9</xm:f>
          </x14:formula1>
          <xm:sqref>H2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590F-F0C9-4DF1-9921-C32368387ED6}">
  <sheetPr codeName="Hoja10" filterMode="1">
    <tabColor rgb="FF00B050"/>
  </sheetPr>
  <dimension ref="A1:H150"/>
  <sheetViews>
    <sheetView zoomScale="80" zoomScaleNormal="80" workbookViewId="0">
      <pane xSplit="2" ySplit="2" topLeftCell="G53" activePane="bottomRight" state="frozen"/>
      <selection activeCell="I134" sqref="I134"/>
      <selection pane="topRight" activeCell="I134" sqref="I134"/>
      <selection pane="bottomLeft" activeCell="I134" sqref="I134"/>
      <selection pane="bottomRight" activeCell="G70" sqref="G70"/>
    </sheetView>
  </sheetViews>
  <sheetFormatPr baseColWidth="10" defaultRowHeight="18" x14ac:dyDescent="0.35"/>
  <cols>
    <col min="1" max="1" width="55.6640625" customWidth="1"/>
    <col min="2" max="2" width="7.6640625" style="91" bestFit="1" customWidth="1"/>
    <col min="3" max="3" width="14" bestFit="1" customWidth="1"/>
    <col min="4" max="4" width="15" customWidth="1"/>
    <col min="5" max="5" width="15" style="84" customWidth="1"/>
    <col min="6" max="6" width="14.5546875" customWidth="1"/>
  </cols>
  <sheetData>
    <row r="1" spans="1:8" ht="18.600000000000001" thickBot="1" x14ac:dyDescent="0.4">
      <c r="A1" s="1">
        <f>RAIZ!B1</f>
        <v>46301</v>
      </c>
      <c r="C1" s="2"/>
      <c r="D1" s="2" t="s">
        <v>702</v>
      </c>
      <c r="E1" s="2"/>
      <c r="F1" s="2" t="s">
        <v>96</v>
      </c>
      <c r="H1" t="s">
        <v>740</v>
      </c>
    </row>
    <row r="2" spans="1:8" ht="31.8" thickBot="1" x14ac:dyDescent="0.35">
      <c r="A2" s="90" t="s">
        <v>0</v>
      </c>
      <c r="B2" s="92" t="s">
        <v>755</v>
      </c>
      <c r="C2" s="39" t="s">
        <v>703</v>
      </c>
      <c r="D2" s="40" t="s">
        <v>704</v>
      </c>
      <c r="E2" s="88" t="s">
        <v>726</v>
      </c>
      <c r="F2" s="41" t="s">
        <v>705</v>
      </c>
      <c r="G2" s="62" t="s">
        <v>725</v>
      </c>
      <c r="H2" s="87"/>
    </row>
    <row r="3" spans="1:8" ht="18.75" customHeight="1" x14ac:dyDescent="0.35">
      <c r="A3" s="93" t="s">
        <v>1</v>
      </c>
      <c r="B3" s="112" t="s">
        <v>756</v>
      </c>
      <c r="C3" s="5">
        <f>+IFERROR(VLOOKUP($A3,RAIZ!$A$3:$X$1500,MATCH('Suc. Mololoa'!$F$1,RAIZ!$A$2:$X$2,0),FALSE),0)</f>
        <v>0</v>
      </c>
      <c r="D3" s="4">
        <v>1</v>
      </c>
      <c r="E3" s="5"/>
      <c r="F3" s="5">
        <f>IF(D3-C3&gt;=0,D3-C3,0)</f>
        <v>1</v>
      </c>
      <c r="G3" s="5">
        <v>1</v>
      </c>
    </row>
    <row r="4" spans="1:8" ht="18.75" customHeight="1" x14ac:dyDescent="0.35">
      <c r="A4" s="93" t="s">
        <v>2</v>
      </c>
      <c r="B4" s="112" t="s">
        <v>865</v>
      </c>
      <c r="C4" s="5">
        <f>+IFERROR(VLOOKUP($A4,RAIZ!$A$3:$X$1500,MATCH('Suc. Mololoa'!$F$1,RAIZ!$A$2:$X$2,0),FALSE),0)</f>
        <v>0</v>
      </c>
      <c r="D4" s="4">
        <v>2</v>
      </c>
      <c r="E4" s="5"/>
      <c r="F4" s="5">
        <f>IF(D4-C4&gt;=0,D4-C4,0)</f>
        <v>2</v>
      </c>
      <c r="G4" s="5">
        <v>2</v>
      </c>
    </row>
    <row r="5" spans="1:8" ht="18.75" hidden="1" customHeight="1" x14ac:dyDescent="0.35">
      <c r="A5" s="93" t="s">
        <v>3</v>
      </c>
      <c r="B5" s="112" t="s">
        <v>757</v>
      </c>
      <c r="C5" s="5">
        <f>+IFERROR(VLOOKUP($A5,RAIZ!$A$3:$X$1500,MATCH('Suc. Mololoa'!$F$1,RAIZ!$A$2:$X$2,0),FALSE),0)</f>
        <v>1</v>
      </c>
      <c r="D5" s="7">
        <v>1</v>
      </c>
      <c r="E5" s="5"/>
      <c r="F5" s="5">
        <f t="shared" ref="F5:F10" si="0">IF(D5-C5&gt;=0,D5-C5,0)</f>
        <v>0</v>
      </c>
      <c r="G5" s="5"/>
    </row>
    <row r="6" spans="1:8" ht="18.75" customHeight="1" x14ac:dyDescent="0.35">
      <c r="A6" s="93" t="s">
        <v>4</v>
      </c>
      <c r="B6" s="112" t="s">
        <v>758</v>
      </c>
      <c r="C6" s="5">
        <f>+IFERROR(VLOOKUP($A6,RAIZ!$A$3:$X$1500,MATCH('Suc. Mololoa'!$F$1,RAIZ!$A$2:$X$2,0),FALSE),0)</f>
        <v>1</v>
      </c>
      <c r="D6" s="7">
        <v>2</v>
      </c>
      <c r="E6" s="5"/>
      <c r="F6" s="5">
        <f t="shared" si="0"/>
        <v>1</v>
      </c>
      <c r="G6" s="5">
        <v>1</v>
      </c>
    </row>
    <row r="7" spans="1:8" ht="18.75" customHeight="1" x14ac:dyDescent="0.35">
      <c r="A7" s="93" t="s">
        <v>5</v>
      </c>
      <c r="B7" s="112" t="s">
        <v>759</v>
      </c>
      <c r="C7" s="5">
        <f>+IFERROR(VLOOKUP($A7,RAIZ!$A$3:$X$1500,MATCH('Suc. Mololoa'!$F$1,RAIZ!$A$2:$X$2,0),FALSE),0)</f>
        <v>0</v>
      </c>
      <c r="D7" s="7">
        <v>1</v>
      </c>
      <c r="E7" s="5"/>
      <c r="F7" s="5">
        <f t="shared" si="0"/>
        <v>1</v>
      </c>
      <c r="G7" s="5">
        <v>1</v>
      </c>
    </row>
    <row r="8" spans="1:8" ht="18.75" customHeight="1" x14ac:dyDescent="0.35">
      <c r="A8" s="93" t="s">
        <v>6</v>
      </c>
      <c r="B8" s="112" t="s">
        <v>760</v>
      </c>
      <c r="C8" s="5">
        <f>+IFERROR(VLOOKUP($A8,RAIZ!$A$3:$X$1500,MATCH('Suc. Mololoa'!$F$1,RAIZ!$A$2:$X$2,0),FALSE),0)</f>
        <v>1</v>
      </c>
      <c r="D8" s="7">
        <v>2</v>
      </c>
      <c r="E8" s="5"/>
      <c r="F8" s="5">
        <f t="shared" si="0"/>
        <v>1</v>
      </c>
      <c r="G8" s="5">
        <v>1</v>
      </c>
    </row>
    <row r="9" spans="1:8" ht="18.75" hidden="1" customHeight="1" x14ac:dyDescent="0.35">
      <c r="A9" s="93" t="s">
        <v>7</v>
      </c>
      <c r="B9" s="112" t="s">
        <v>761</v>
      </c>
      <c r="C9" s="5">
        <f>+IFERROR(VLOOKUP($A9,RAIZ!$A$3:$X$1500,MATCH('Suc. Mololoa'!$F$1,RAIZ!$A$2:$X$2,0),FALSE),0)</f>
        <v>1</v>
      </c>
      <c r="D9" s="7">
        <v>1</v>
      </c>
      <c r="E9" s="5"/>
      <c r="F9" s="5">
        <f t="shared" si="0"/>
        <v>0</v>
      </c>
      <c r="G9" s="5"/>
    </row>
    <row r="10" spans="1:8" ht="18.75" hidden="1" customHeight="1" x14ac:dyDescent="0.35">
      <c r="A10" s="93" t="s">
        <v>8</v>
      </c>
      <c r="B10" s="112" t="s">
        <v>762</v>
      </c>
      <c r="C10" s="5">
        <f>+IFERROR(VLOOKUP($A10,RAIZ!$A$3:$X$1500,MATCH('Suc. Mololoa'!$F$1,RAIZ!$A$2:$X$2,0),FALSE),0)</f>
        <v>2</v>
      </c>
      <c r="D10" s="7">
        <v>2</v>
      </c>
      <c r="E10" s="5"/>
      <c r="F10" s="5">
        <f t="shared" si="0"/>
        <v>0</v>
      </c>
      <c r="G10" s="5"/>
    </row>
    <row r="11" spans="1:8" ht="18.75" customHeight="1" thickBot="1" x14ac:dyDescent="0.4">
      <c r="A11" s="93" t="s">
        <v>9</v>
      </c>
      <c r="B11" s="112" t="s">
        <v>763</v>
      </c>
      <c r="C11" s="5">
        <f>+IFERROR(VLOOKUP($A11,RAIZ!$A$3:$X$1500,MATCH('Suc. Mololoa'!$F$1,RAIZ!$A$2:$X$2,0),FALSE),0)</f>
        <v>0</v>
      </c>
      <c r="D11" s="9">
        <v>2</v>
      </c>
      <c r="E11" s="5"/>
      <c r="F11" s="5">
        <f t="shared" ref="F11:F12" si="1">IF(D11-C11&gt;=0,D11-C11,0)</f>
        <v>2</v>
      </c>
      <c r="G11" s="5">
        <v>2</v>
      </c>
    </row>
    <row r="12" spans="1:8" ht="18.75" hidden="1" customHeight="1" x14ac:dyDescent="0.35">
      <c r="A12" s="93"/>
      <c r="B12" s="112"/>
      <c r="C12" s="5">
        <f>+IFERROR(VLOOKUP($A12,RAIZ!$A$3:$X$1500,MATCH('Suc. Mololoa'!$F$1,RAIZ!$A$2:$X$2,0),FALSE),0)</f>
        <v>0</v>
      </c>
      <c r="D12" s="20"/>
      <c r="E12" s="5"/>
      <c r="F12" s="5">
        <f t="shared" si="1"/>
        <v>0</v>
      </c>
      <c r="G12" s="5"/>
    </row>
    <row r="13" spans="1:8" ht="18.75" hidden="1" customHeight="1" x14ac:dyDescent="0.35">
      <c r="A13" s="93"/>
      <c r="B13" s="112"/>
      <c r="C13" s="5">
        <f>+IFERROR(VLOOKUP($A13,RAIZ!$A$3:$X$1500,MATCH('Suc. Mololoa'!$F$1,RAIZ!$A$2:$X$2,0),FALSE),0)</f>
        <v>0</v>
      </c>
      <c r="D13" s="20"/>
      <c r="E13" s="5"/>
      <c r="F13" s="5">
        <f t="shared" ref="F13:F17" si="2">IF(D13-C13&gt;=0,D13-C13,0)</f>
        <v>0</v>
      </c>
      <c r="G13" s="5"/>
    </row>
    <row r="14" spans="1:8" ht="18.75" hidden="1" customHeight="1" x14ac:dyDescent="0.35">
      <c r="A14" s="93"/>
      <c r="B14" s="112"/>
      <c r="C14" s="5">
        <f>+IFERROR(VLOOKUP($A14,RAIZ!$A$3:$X$1500,MATCH('Suc. Mololoa'!$F$1,RAIZ!$A$2:$X$2,0),FALSE),0)</f>
        <v>0</v>
      </c>
      <c r="D14" s="20"/>
      <c r="E14" s="5"/>
      <c r="F14" s="5">
        <f>IF(D14-C14&gt;=0,D14-C14,0)</f>
        <v>0</v>
      </c>
      <c r="G14" s="5"/>
    </row>
    <row r="15" spans="1:8" ht="18.75" hidden="1" customHeight="1" x14ac:dyDescent="0.35">
      <c r="A15" s="93"/>
      <c r="B15" s="112"/>
      <c r="C15" s="5">
        <f>+IFERROR(VLOOKUP($A15,RAIZ!$A$3:$X$1500,MATCH('Suc. Mololoa'!$F$1,RAIZ!$A$2:$X$2,0),FALSE),0)</f>
        <v>0</v>
      </c>
      <c r="D15" s="9"/>
      <c r="E15" s="5"/>
      <c r="F15" s="5">
        <f t="shared" si="2"/>
        <v>0</v>
      </c>
      <c r="G15" s="5"/>
    </row>
    <row r="16" spans="1:8" ht="18.75" hidden="1" customHeight="1" x14ac:dyDescent="0.35">
      <c r="A16" s="93"/>
      <c r="B16" s="112"/>
      <c r="C16" s="5">
        <f>+IFERROR(VLOOKUP($A16,RAIZ!$A$3:$X$1500,MATCH('Suc. Mololoa'!$F$1,RAIZ!$A$2:$X$2,0),FALSE),0)</f>
        <v>0</v>
      </c>
      <c r="D16" s="9"/>
      <c r="E16" s="5"/>
      <c r="F16" s="5">
        <f t="shared" si="2"/>
        <v>0</v>
      </c>
      <c r="G16" s="5"/>
    </row>
    <row r="17" spans="1:7" ht="18.75" hidden="1" customHeight="1" thickBot="1" x14ac:dyDescent="0.4">
      <c r="A17" s="93"/>
      <c r="B17" s="112"/>
      <c r="C17" s="5">
        <f>+IFERROR(VLOOKUP($A17,RAIZ!$A$3:$X$1500,MATCH('Suc. Mololoa'!$F$1,RAIZ!$A$2:$X$2,0),FALSE),0)</f>
        <v>0</v>
      </c>
      <c r="D17" s="9"/>
      <c r="E17" s="5"/>
      <c r="F17" s="5">
        <f t="shared" si="2"/>
        <v>0</v>
      </c>
      <c r="G17" s="5"/>
    </row>
    <row r="18" spans="1:7" ht="18.75" customHeight="1" thickBot="1" x14ac:dyDescent="0.4">
      <c r="A18" s="96" t="s">
        <v>10</v>
      </c>
      <c r="B18" s="111"/>
      <c r="C18" s="75">
        <f>SUM(C3:C17)</f>
        <v>6</v>
      </c>
      <c r="D18" s="75">
        <f>SUM(D3:D17)</f>
        <v>14</v>
      </c>
      <c r="E18" s="44">
        <f>SUM(E3:E17)</f>
        <v>0</v>
      </c>
      <c r="F18" s="63">
        <f>SUM(F3:F17)</f>
        <v>8</v>
      </c>
      <c r="G18" s="44">
        <f>SUM(G3:G17)</f>
        <v>8</v>
      </c>
    </row>
    <row r="19" spans="1:7" ht="18.75" hidden="1" customHeight="1" x14ac:dyDescent="0.35">
      <c r="A19" s="97" t="s">
        <v>676</v>
      </c>
      <c r="B19" s="112" t="s">
        <v>764</v>
      </c>
      <c r="C19" s="5">
        <f>+IFERROR(VLOOKUP($A19,RAIZ!$A$3:$X$1500,MATCH('Suc. Mololoa'!$F$1,RAIZ!$A$2:$X$2,0),FALSE),0)</f>
        <v>1</v>
      </c>
      <c r="D19" s="12">
        <v>1</v>
      </c>
      <c r="E19" s="5"/>
      <c r="F19" s="5">
        <f t="shared" ref="F19:F21" si="3">IF(D19-C19&gt;=0,D19-C19,0)</f>
        <v>0</v>
      </c>
      <c r="G19" s="5"/>
    </row>
    <row r="20" spans="1:7" ht="18.75" customHeight="1" x14ac:dyDescent="0.35">
      <c r="A20" s="97" t="s">
        <v>11</v>
      </c>
      <c r="B20" s="112" t="s">
        <v>827</v>
      </c>
      <c r="C20" s="5">
        <f>+IFERROR(VLOOKUP($A20,RAIZ!$A$3:$X$1500,MATCH('Suc. Mololoa'!$F$1,RAIZ!$A$2:$X$2,0),FALSE),0)</f>
        <v>1</v>
      </c>
      <c r="D20" s="14">
        <v>2</v>
      </c>
      <c r="E20" s="5"/>
      <c r="F20" s="5">
        <f t="shared" si="3"/>
        <v>1</v>
      </c>
      <c r="G20" s="5">
        <v>1</v>
      </c>
    </row>
    <row r="21" spans="1:7" ht="18.75" hidden="1" customHeight="1" x14ac:dyDescent="0.35">
      <c r="A21" s="97" t="s">
        <v>344</v>
      </c>
      <c r="B21" s="112" t="s">
        <v>765</v>
      </c>
      <c r="C21" s="5">
        <f>+IFERROR(VLOOKUP($A21,RAIZ!$A$3:$X$1500,MATCH('Suc. Mololoa'!$F$1,RAIZ!$A$2:$X$2,0),FALSE),0)</f>
        <v>1</v>
      </c>
      <c r="D21" s="14">
        <v>1</v>
      </c>
      <c r="E21" s="5"/>
      <c r="F21" s="5">
        <f t="shared" si="3"/>
        <v>0</v>
      </c>
      <c r="G21" s="5"/>
    </row>
    <row r="22" spans="1:7" ht="18.75" customHeight="1" x14ac:dyDescent="0.35">
      <c r="A22" s="97" t="s">
        <v>832</v>
      </c>
      <c r="B22" s="112" t="s">
        <v>833</v>
      </c>
      <c r="C22" s="5">
        <f>+IFERROR(VLOOKUP($A22,RAIZ!$A$3:$X$1500,MATCH('Suc. Mololoa'!$F$1,RAIZ!$A$2:$X$2,0),FALSE),0)</f>
        <v>0</v>
      </c>
      <c r="D22" s="14">
        <v>1</v>
      </c>
      <c r="E22" s="5"/>
      <c r="F22" s="5">
        <f t="shared" ref="F22:F31" si="4">IF(D22-C22&gt;=0,D22-C22,0)</f>
        <v>1</v>
      </c>
      <c r="G22" s="5">
        <v>1</v>
      </c>
    </row>
    <row r="23" spans="1:7" ht="18.75" hidden="1" customHeight="1" x14ac:dyDescent="0.35">
      <c r="A23" s="97" t="s">
        <v>12</v>
      </c>
      <c r="B23" s="112" t="s">
        <v>766</v>
      </c>
      <c r="C23" s="5">
        <f>+IFERROR(VLOOKUP($A23,RAIZ!$A$3:$X$1500,MATCH('Suc. Mololoa'!$F$1,RAIZ!$A$2:$X$2,0),FALSE),0)</f>
        <v>2</v>
      </c>
      <c r="D23" s="14">
        <v>2</v>
      </c>
      <c r="E23" s="5"/>
      <c r="F23" s="5">
        <f t="shared" si="4"/>
        <v>0</v>
      </c>
      <c r="G23" s="5"/>
    </row>
    <row r="24" spans="1:7" ht="18.75" hidden="1" customHeight="1" x14ac:dyDescent="0.35">
      <c r="A24" s="97" t="s">
        <v>432</v>
      </c>
      <c r="B24" s="112" t="s">
        <v>767</v>
      </c>
      <c r="C24" s="5">
        <f>+IFERROR(VLOOKUP($A24,RAIZ!$A$3:$X$1500,MATCH('Suc. Mololoa'!$F$1,RAIZ!$A$2:$X$2,0),FALSE),0)</f>
        <v>0</v>
      </c>
      <c r="D24" s="14">
        <v>2</v>
      </c>
      <c r="E24" s="5"/>
      <c r="F24" s="5">
        <f t="shared" si="4"/>
        <v>2</v>
      </c>
      <c r="G24" s="5"/>
    </row>
    <row r="25" spans="1:7" ht="18.75" customHeight="1" thickBot="1" x14ac:dyDescent="0.4">
      <c r="A25" s="97" t="s">
        <v>468</v>
      </c>
      <c r="B25" s="112" t="s">
        <v>768</v>
      </c>
      <c r="C25" s="5">
        <f>+IFERROR(VLOOKUP($A25,RAIZ!$A$3:$X$1500,MATCH('Suc. Mololoa'!$F$1,RAIZ!$A$2:$X$2,0),FALSE),0)</f>
        <v>0</v>
      </c>
      <c r="D25" s="16">
        <v>3</v>
      </c>
      <c r="E25" s="5"/>
      <c r="F25" s="5">
        <f t="shared" si="4"/>
        <v>3</v>
      </c>
      <c r="G25" s="5">
        <v>3</v>
      </c>
    </row>
    <row r="26" spans="1:7" ht="18.75" hidden="1" customHeight="1" x14ac:dyDescent="0.35">
      <c r="A26" s="97"/>
      <c r="B26" s="112"/>
      <c r="C26" s="5">
        <f>+IFERROR(VLOOKUP($A26,RAIZ!$A$3:$X$1500,MATCH('Suc. Mololoa'!$F$1,RAIZ!$A$2:$X$2,0),FALSE),0)</f>
        <v>0</v>
      </c>
      <c r="D26" s="20"/>
      <c r="E26" s="5"/>
      <c r="F26" s="5">
        <f t="shared" si="4"/>
        <v>0</v>
      </c>
      <c r="G26" s="5"/>
    </row>
    <row r="27" spans="1:7" ht="18.75" hidden="1" customHeight="1" x14ac:dyDescent="0.35">
      <c r="A27" s="97"/>
      <c r="B27" s="112"/>
      <c r="C27" s="5">
        <f>+IFERROR(VLOOKUP($A27,RAIZ!$A$3:$X$1500,MATCH('Suc. Mololoa'!$F$1,RAIZ!$A$2:$X$2,0),FALSE),0)</f>
        <v>0</v>
      </c>
      <c r="D27" s="16"/>
      <c r="E27" s="5"/>
      <c r="F27" s="5">
        <f>IF(D27-C27&gt;=0,D27-C27,0)</f>
        <v>0</v>
      </c>
      <c r="G27" s="5"/>
    </row>
    <row r="28" spans="1:7" ht="18.75" hidden="1" customHeight="1" x14ac:dyDescent="0.35">
      <c r="A28" s="97"/>
      <c r="B28" s="112"/>
      <c r="C28" s="5">
        <f>+IFERROR(VLOOKUP($A28,RAIZ!$A$3:$X$1500,MATCH('Suc. Mololoa'!$F$1,RAIZ!$A$2:$X$2,0),FALSE),0)</f>
        <v>0</v>
      </c>
      <c r="D28" s="16"/>
      <c r="E28" s="5"/>
      <c r="F28" s="5">
        <f t="shared" si="4"/>
        <v>0</v>
      </c>
      <c r="G28" s="5"/>
    </row>
    <row r="29" spans="1:7" ht="18.75" hidden="1" customHeight="1" x14ac:dyDescent="0.35">
      <c r="A29" s="97"/>
      <c r="B29" s="112"/>
      <c r="C29" s="5">
        <f>+IFERROR(VLOOKUP($A29,RAIZ!$A$3:$X$1500,MATCH('Suc. Mololoa'!$F$1,RAIZ!$A$2:$X$2,0),FALSE),0)</f>
        <v>0</v>
      </c>
      <c r="D29" s="16"/>
      <c r="E29" s="5"/>
      <c r="F29" s="5">
        <f t="shared" si="4"/>
        <v>0</v>
      </c>
      <c r="G29" s="5"/>
    </row>
    <row r="30" spans="1:7" ht="18.75" hidden="1" customHeight="1" x14ac:dyDescent="0.35">
      <c r="A30" s="97"/>
      <c r="B30" s="112"/>
      <c r="C30" s="5">
        <f>+IFERROR(VLOOKUP($A30,RAIZ!$A$3:$X$1500,MATCH('Suc. Mololoa'!$F$1,RAIZ!$A$2:$X$2,0),FALSE),0)</f>
        <v>0</v>
      </c>
      <c r="D30" s="16"/>
      <c r="E30" s="5"/>
      <c r="F30" s="5">
        <f t="shared" si="4"/>
        <v>0</v>
      </c>
      <c r="G30" s="5"/>
    </row>
    <row r="31" spans="1:7" ht="18.75" hidden="1" customHeight="1" thickBot="1" x14ac:dyDescent="0.4">
      <c r="A31" s="97"/>
      <c r="B31" s="112"/>
      <c r="C31" s="5">
        <f>+IFERROR(VLOOKUP($A31,RAIZ!$A$3:$X$1500,MATCH('Suc. Mololoa'!$F$1,RAIZ!$A$2:$X$2,0),FALSE),0)</f>
        <v>0</v>
      </c>
      <c r="D31" s="16"/>
      <c r="E31" s="5"/>
      <c r="F31" s="5">
        <f t="shared" si="4"/>
        <v>0</v>
      </c>
      <c r="G31" s="5"/>
    </row>
    <row r="32" spans="1:7" ht="18.75" customHeight="1" thickBot="1" x14ac:dyDescent="0.4">
      <c r="A32" s="98" t="s">
        <v>13</v>
      </c>
      <c r="B32" s="111"/>
      <c r="C32" s="76">
        <f>SUM(C19:C31)</f>
        <v>5</v>
      </c>
      <c r="D32" s="76">
        <f>SUM(D19:D31)</f>
        <v>12</v>
      </c>
      <c r="E32" s="46">
        <f>SUM(E19:E31)</f>
        <v>0</v>
      </c>
      <c r="F32" s="64">
        <f>SUM(F19:F31)</f>
        <v>7</v>
      </c>
      <c r="G32" s="46">
        <f>SUM(G19:G31)</f>
        <v>5</v>
      </c>
    </row>
    <row r="33" spans="1:7" ht="18.75" hidden="1" customHeight="1" x14ac:dyDescent="0.35">
      <c r="A33" s="97" t="s">
        <v>14</v>
      </c>
      <c r="B33" s="112" t="s">
        <v>769</v>
      </c>
      <c r="C33" s="5">
        <f>+IFERROR(VLOOKUP($A33,RAIZ!$A$3:$X$1500,MATCH('Suc. Mololoa'!$F$1,RAIZ!$A$2:$X$2,0),FALSE),0)</f>
        <v>2</v>
      </c>
      <c r="D33" s="4">
        <v>2</v>
      </c>
      <c r="E33" s="5"/>
      <c r="F33" s="5">
        <f t="shared" ref="F33:F48" si="5">IF(D33-C33&gt;=0,D33-C33,0)</f>
        <v>0</v>
      </c>
      <c r="G33" s="5"/>
    </row>
    <row r="34" spans="1:7" ht="18.75" hidden="1" customHeight="1" x14ac:dyDescent="0.35">
      <c r="A34" s="97" t="s">
        <v>15</v>
      </c>
      <c r="B34" s="112" t="s">
        <v>770</v>
      </c>
      <c r="C34" s="5">
        <f>+IFERROR(VLOOKUP($A34,RAIZ!$A$3:$X$1500,MATCH('Suc. Mololoa'!$F$1,RAIZ!$A$2:$X$2,0),FALSE),0)</f>
        <v>2</v>
      </c>
      <c r="D34" s="7">
        <v>2</v>
      </c>
      <c r="E34" s="5"/>
      <c r="F34" s="5">
        <f t="shared" si="5"/>
        <v>0</v>
      </c>
      <c r="G34" s="5"/>
    </row>
    <row r="35" spans="1:7" ht="18.75" customHeight="1" x14ac:dyDescent="0.35">
      <c r="A35" s="97" t="s">
        <v>16</v>
      </c>
      <c r="B35" s="112" t="s">
        <v>771</v>
      </c>
      <c r="C35" s="5">
        <f>+IFERROR(VLOOKUP($A35,RAIZ!$A$3:$X$1500,MATCH('Suc. Mololoa'!$F$1,RAIZ!$A$2:$X$2,0),FALSE),0)</f>
        <v>1</v>
      </c>
      <c r="D35" s="7">
        <v>2</v>
      </c>
      <c r="E35" s="5"/>
      <c r="F35" s="5">
        <f t="shared" si="5"/>
        <v>1</v>
      </c>
      <c r="G35" s="5">
        <v>1</v>
      </c>
    </row>
    <row r="36" spans="1:7" ht="18.75" hidden="1" customHeight="1" x14ac:dyDescent="0.35">
      <c r="A36" s="97" t="s">
        <v>17</v>
      </c>
      <c r="B36" s="112" t="s">
        <v>772</v>
      </c>
      <c r="C36" s="5">
        <f>+IFERROR(VLOOKUP($A36,RAIZ!$A$3:$X$1500,MATCH('Suc. Mololoa'!$F$1,RAIZ!$A$2:$X$2,0),FALSE),0)</f>
        <v>1</v>
      </c>
      <c r="D36" s="7">
        <v>1</v>
      </c>
      <c r="E36" s="5"/>
      <c r="F36" s="5">
        <f t="shared" si="5"/>
        <v>0</v>
      </c>
      <c r="G36" s="5"/>
    </row>
    <row r="37" spans="1:7" ht="18.75" hidden="1" customHeight="1" x14ac:dyDescent="0.35">
      <c r="A37" s="97" t="s">
        <v>18</v>
      </c>
      <c r="B37" s="112" t="s">
        <v>773</v>
      </c>
      <c r="C37" s="5">
        <f>+IFERROR(VLOOKUP($A37,RAIZ!$A$3:$X$1500,MATCH('Suc. Mololoa'!$F$1,RAIZ!$A$2:$X$2,0),FALSE),0)</f>
        <v>2</v>
      </c>
      <c r="D37" s="7">
        <v>2</v>
      </c>
      <c r="E37" s="5"/>
      <c r="F37" s="5">
        <f t="shared" si="5"/>
        <v>0</v>
      </c>
      <c r="G37" s="5"/>
    </row>
    <row r="38" spans="1:7" ht="18.75" customHeight="1" thickBot="1" x14ac:dyDescent="0.4">
      <c r="A38" s="97" t="s">
        <v>22</v>
      </c>
      <c r="B38" s="112" t="s">
        <v>774</v>
      </c>
      <c r="C38" s="5">
        <f>+IFERROR(VLOOKUP($A38,RAIZ!$A$3:$X$1500,MATCH('Suc. Mololoa'!$F$1,RAIZ!$A$2:$X$2,0),FALSE),0)</f>
        <v>2</v>
      </c>
      <c r="D38" s="18">
        <v>3</v>
      </c>
      <c r="E38" s="5"/>
      <c r="F38" s="5">
        <f t="shared" si="5"/>
        <v>1</v>
      </c>
      <c r="G38" s="5">
        <v>1</v>
      </c>
    </row>
    <row r="39" spans="1:7" ht="18.75" hidden="1" customHeight="1" x14ac:dyDescent="0.35">
      <c r="A39" s="97" t="s">
        <v>23</v>
      </c>
      <c r="B39" s="112" t="s">
        <v>775</v>
      </c>
      <c r="C39" s="5">
        <f>+IFERROR(VLOOKUP($A39,RAIZ!$A$3:$X$1500,MATCH('Suc. Mololoa'!$F$1,RAIZ!$A$2:$X$2,0),FALSE),0)</f>
        <v>2</v>
      </c>
      <c r="D39" s="18">
        <v>2</v>
      </c>
      <c r="E39" s="5"/>
      <c r="F39" s="5">
        <f t="shared" si="5"/>
        <v>0</v>
      </c>
      <c r="G39" s="5"/>
    </row>
    <row r="40" spans="1:7" ht="18.75" hidden="1" customHeight="1" x14ac:dyDescent="0.35">
      <c r="A40" s="97" t="s">
        <v>24</v>
      </c>
      <c r="B40" s="112" t="s">
        <v>776</v>
      </c>
      <c r="C40" s="5">
        <f>+IFERROR(VLOOKUP($A40,RAIZ!$A$3:$X$1500,MATCH('Suc. Mololoa'!$F$1,RAIZ!$A$2:$X$2,0),FALSE),0)</f>
        <v>2</v>
      </c>
      <c r="D40" s="7">
        <v>2</v>
      </c>
      <c r="E40" s="5"/>
      <c r="F40" s="5">
        <f t="shared" si="5"/>
        <v>0</v>
      </c>
      <c r="G40" s="5"/>
    </row>
    <row r="41" spans="1:7" ht="18.75" hidden="1" customHeight="1" x14ac:dyDescent="0.35">
      <c r="A41" s="97" t="s">
        <v>25</v>
      </c>
      <c r="B41" s="112" t="s">
        <v>777</v>
      </c>
      <c r="C41" s="5">
        <f>+IFERROR(VLOOKUP($A41,RAIZ!$A$3:$X$1500,MATCH('Suc. Mololoa'!$F$1,RAIZ!$A$2:$X$2,0),FALSE),0)</f>
        <v>2</v>
      </c>
      <c r="D41" s="18">
        <v>2</v>
      </c>
      <c r="E41" s="5"/>
      <c r="F41" s="5">
        <f t="shared" si="5"/>
        <v>0</v>
      </c>
      <c r="G41" s="5"/>
    </row>
    <row r="42" spans="1:7" ht="18.75" hidden="1" customHeight="1" x14ac:dyDescent="0.35">
      <c r="A42" s="97"/>
      <c r="B42" s="112"/>
      <c r="C42" s="5">
        <f>+IFERROR(VLOOKUP($A42,RAIZ!$A$3:$X$1500,MATCH('Suc. Mololoa'!$F$1,RAIZ!$A$2:$X$2,0),FALSE),0)</f>
        <v>0</v>
      </c>
      <c r="D42" s="20"/>
      <c r="E42" s="5"/>
      <c r="F42" s="5">
        <f t="shared" si="5"/>
        <v>0</v>
      </c>
      <c r="G42" s="5"/>
    </row>
    <row r="43" spans="1:7" ht="18.75" hidden="1" customHeight="1" x14ac:dyDescent="0.35">
      <c r="A43" s="97"/>
      <c r="B43" s="112"/>
      <c r="C43" s="5">
        <f>+IFERROR(VLOOKUP($A43,RAIZ!$A$3:$X$1500,MATCH('Suc. Mololoa'!$F$1,RAIZ!$A$2:$X$2,0),FALSE),0)</f>
        <v>0</v>
      </c>
      <c r="D43" s="18"/>
      <c r="E43" s="5"/>
      <c r="F43" s="5">
        <f t="shared" si="5"/>
        <v>0</v>
      </c>
      <c r="G43" s="5"/>
    </row>
    <row r="44" spans="1:7" ht="18.75" hidden="1" customHeight="1" x14ac:dyDescent="0.35">
      <c r="A44" s="97"/>
      <c r="B44" s="112"/>
      <c r="C44" s="5">
        <f>+IFERROR(VLOOKUP($A44,RAIZ!$A$3:$X$1500,MATCH('Suc. Mololoa'!$F$1,RAIZ!$A$2:$X$2,0),FALSE),0)</f>
        <v>0</v>
      </c>
      <c r="D44" s="18"/>
      <c r="E44" s="5"/>
      <c r="F44" s="5">
        <f t="shared" si="5"/>
        <v>0</v>
      </c>
      <c r="G44" s="5"/>
    </row>
    <row r="45" spans="1:7" ht="18.75" hidden="1" customHeight="1" x14ac:dyDescent="0.35">
      <c r="A45" s="97"/>
      <c r="B45" s="112"/>
      <c r="C45" s="5">
        <f>+IFERROR(VLOOKUP($A45,RAIZ!$A$3:$X$1500,MATCH('Suc. Mololoa'!$F$1,RAIZ!$A$2:$X$2,0),FALSE),0)</f>
        <v>0</v>
      </c>
      <c r="D45" s="18"/>
      <c r="E45" s="5"/>
      <c r="F45" s="5">
        <f t="shared" si="5"/>
        <v>0</v>
      </c>
      <c r="G45" s="5"/>
    </row>
    <row r="46" spans="1:7" ht="18.75" hidden="1" customHeight="1" x14ac:dyDescent="0.35">
      <c r="A46" s="97"/>
      <c r="B46" s="112"/>
      <c r="C46" s="5">
        <f>+IFERROR(VLOOKUP($A46,RAIZ!$A$3:$X$1500,MATCH('Suc. Mololoa'!$F$1,RAIZ!$A$2:$X$2,0),FALSE),0)</f>
        <v>0</v>
      </c>
      <c r="D46" s="18"/>
      <c r="E46" s="5"/>
      <c r="F46" s="5">
        <f t="shared" si="5"/>
        <v>0</v>
      </c>
      <c r="G46" s="5"/>
    </row>
    <row r="47" spans="1:7" ht="18.75" hidden="1" customHeight="1" x14ac:dyDescent="0.35">
      <c r="A47" s="97"/>
      <c r="B47" s="112"/>
      <c r="C47" s="5">
        <f>+IFERROR(VLOOKUP($A47,RAIZ!$A$3:$X$1500,MATCH('Suc. Mololoa'!$F$1,RAIZ!$A$2:$X$2,0),FALSE),0)</f>
        <v>0</v>
      </c>
      <c r="D47" s="18"/>
      <c r="E47" s="5"/>
      <c r="F47" s="5">
        <f t="shared" si="5"/>
        <v>0</v>
      </c>
      <c r="G47" s="5"/>
    </row>
    <row r="48" spans="1:7" ht="18.75" hidden="1" customHeight="1" thickBot="1" x14ac:dyDescent="0.4">
      <c r="A48" s="97"/>
      <c r="B48" s="112"/>
      <c r="C48" s="5">
        <f>+IFERROR(VLOOKUP($A48,RAIZ!$A$3:$X$1500,MATCH('Suc. Mololoa'!$F$1,RAIZ!$A$2:$X$2,0),FALSE),0)</f>
        <v>0</v>
      </c>
      <c r="D48" s="18"/>
      <c r="E48" s="5"/>
      <c r="F48" s="5">
        <f t="shared" si="5"/>
        <v>0</v>
      </c>
      <c r="G48" s="5"/>
    </row>
    <row r="49" spans="1:7" ht="18.75" customHeight="1" thickBot="1" x14ac:dyDescent="0.4">
      <c r="A49" s="99" t="s">
        <v>29</v>
      </c>
      <c r="B49" s="111"/>
      <c r="C49" s="77">
        <f>SUM(C33:C48)</f>
        <v>16</v>
      </c>
      <c r="D49" s="77">
        <f>SUM(D33:D48)</f>
        <v>18</v>
      </c>
      <c r="E49" s="48">
        <f>SUM(E33:E48)</f>
        <v>0</v>
      </c>
      <c r="F49" s="65">
        <f>SUM(F33:F48)</f>
        <v>2</v>
      </c>
      <c r="G49" s="48">
        <f>SUM(G33:G48)</f>
        <v>2</v>
      </c>
    </row>
    <row r="50" spans="1:7" ht="18.75" customHeight="1" x14ac:dyDescent="0.35">
      <c r="A50" s="93" t="s">
        <v>30</v>
      </c>
      <c r="B50" s="112" t="s">
        <v>778</v>
      </c>
      <c r="C50" s="5">
        <f>+IFERROR(VLOOKUP($A50,RAIZ!$A$3:$X$1500,MATCH('Suc. Mololoa'!$F$1,RAIZ!$A$2:$X$2,0),FALSE),0)</f>
        <v>3</v>
      </c>
      <c r="D50" s="4">
        <v>5</v>
      </c>
      <c r="E50" s="5"/>
      <c r="F50" s="5">
        <f>IF(D50-C50&gt;=0,D50-C50,0)</f>
        <v>2</v>
      </c>
      <c r="G50" s="5">
        <v>2</v>
      </c>
    </row>
    <row r="51" spans="1:7" ht="18.75" customHeight="1" thickBot="1" x14ac:dyDescent="0.4">
      <c r="A51" s="95" t="s">
        <v>31</v>
      </c>
      <c r="B51" s="112" t="s">
        <v>779</v>
      </c>
      <c r="C51" s="5">
        <f>+IFERROR(VLOOKUP($A51,RAIZ!$A$3:$X$1500,MATCH('Suc. Mololoa'!$F$1,RAIZ!$A$2:$X$2,0),FALSE),0)</f>
        <v>3</v>
      </c>
      <c r="D51" s="20">
        <v>5</v>
      </c>
      <c r="E51" s="5"/>
      <c r="F51" s="5">
        <f t="shared" ref="F51" si="6">IF(D51-C51&gt;=0,D51-C51,0)</f>
        <v>2</v>
      </c>
      <c r="G51" s="5">
        <v>2</v>
      </c>
    </row>
    <row r="52" spans="1:7" ht="18.75" customHeight="1" thickBot="1" x14ac:dyDescent="0.4">
      <c r="A52" s="100" t="s">
        <v>32</v>
      </c>
      <c r="B52" s="111"/>
      <c r="C52" s="78">
        <f>SUM(C50:C51)</f>
        <v>6</v>
      </c>
      <c r="D52" s="78">
        <f>SUM(D50:D51)</f>
        <v>10</v>
      </c>
      <c r="E52" s="50">
        <f t="shared" ref="E52" si="7">SUM(E50:E51)</f>
        <v>0</v>
      </c>
      <c r="F52" s="66">
        <f t="shared" ref="F52:G52" si="8">SUM(F50:F51)</f>
        <v>4</v>
      </c>
      <c r="G52" s="50">
        <f t="shared" si="8"/>
        <v>4</v>
      </c>
    </row>
    <row r="53" spans="1:7" ht="18.75" customHeight="1" x14ac:dyDescent="0.35">
      <c r="A53" s="93" t="s">
        <v>33</v>
      </c>
      <c r="B53" s="112" t="s">
        <v>780</v>
      </c>
      <c r="C53" s="5">
        <f>+IFERROR(VLOOKUP($A53,RAIZ!$A$3:$X$1500,MATCH('Suc. Mololoa'!$F$1,RAIZ!$A$2:$X$2,0),FALSE),0)</f>
        <v>5</v>
      </c>
      <c r="D53" s="4">
        <v>6</v>
      </c>
      <c r="E53" s="5"/>
      <c r="F53" s="5">
        <f t="shared" ref="F53:F54" si="9">IF(D53-C53&gt;=0,D53-C53,0)</f>
        <v>1</v>
      </c>
      <c r="G53" s="5">
        <v>1</v>
      </c>
    </row>
    <row r="54" spans="1:7" ht="18.75" customHeight="1" thickBot="1" x14ac:dyDescent="0.4">
      <c r="A54" s="95" t="s">
        <v>34</v>
      </c>
      <c r="B54" s="112" t="s">
        <v>781</v>
      </c>
      <c r="C54" s="5">
        <f>+IFERROR(VLOOKUP($A54,RAIZ!$A$3:$X$1500,MATCH('Suc. Mololoa'!$F$1,RAIZ!$A$2:$X$2,0),FALSE),0)</f>
        <v>4</v>
      </c>
      <c r="D54" s="20">
        <v>6</v>
      </c>
      <c r="E54" s="5"/>
      <c r="F54" s="5">
        <f t="shared" si="9"/>
        <v>2</v>
      </c>
      <c r="G54" s="5">
        <v>2</v>
      </c>
    </row>
    <row r="55" spans="1:7" ht="18.75" customHeight="1" thickBot="1" x14ac:dyDescent="0.4">
      <c r="A55" s="99" t="s">
        <v>35</v>
      </c>
      <c r="B55" s="111"/>
      <c r="C55" s="77">
        <f>SUM(C53:C54)</f>
        <v>9</v>
      </c>
      <c r="D55" s="77">
        <f>SUM(D53:D54)</f>
        <v>12</v>
      </c>
      <c r="E55" s="48">
        <f t="shared" ref="E55" si="10">SUM(E53:E54)</f>
        <v>0</v>
      </c>
      <c r="F55" s="65">
        <f t="shared" ref="F55:G55" si="11">SUM(F53:F54)</f>
        <v>3</v>
      </c>
      <c r="G55" s="48">
        <f t="shared" si="11"/>
        <v>3</v>
      </c>
    </row>
    <row r="56" spans="1:7" ht="18.75" hidden="1" customHeight="1" x14ac:dyDescent="0.35">
      <c r="A56" s="93" t="s">
        <v>36</v>
      </c>
      <c r="B56" s="112" t="s">
        <v>782</v>
      </c>
      <c r="C56" s="5">
        <f>+IFERROR(VLOOKUP($A56,RAIZ!$A$3:$X$1500,MATCH('Suc. Mololoa'!$F$1,RAIZ!$A$2:$X$2,0),FALSE),0)</f>
        <v>1</v>
      </c>
      <c r="D56" s="4">
        <v>1</v>
      </c>
      <c r="E56" s="5"/>
      <c r="F56" s="5">
        <f t="shared" ref="F56:F70" si="12">IF(D56-C56&gt;=0,D56-C56,0)</f>
        <v>0</v>
      </c>
      <c r="G56" s="5"/>
    </row>
    <row r="57" spans="1:7" ht="18.75" hidden="1" customHeight="1" x14ac:dyDescent="0.35">
      <c r="A57" s="93" t="s">
        <v>37</v>
      </c>
      <c r="B57" s="112" t="s">
        <v>783</v>
      </c>
      <c r="C57" s="5">
        <f>+IFERROR(VLOOKUP($A57,RAIZ!$A$3:$X$1500,MATCH('Suc. Mololoa'!$F$1,RAIZ!$A$2:$X$2,0),FALSE),0)</f>
        <v>1</v>
      </c>
      <c r="D57" s="7">
        <v>1</v>
      </c>
      <c r="E57" s="5"/>
      <c r="F57" s="5">
        <f t="shared" si="12"/>
        <v>0</v>
      </c>
      <c r="G57" s="5"/>
    </row>
    <row r="58" spans="1:7" ht="18.75" hidden="1" customHeight="1" x14ac:dyDescent="0.35">
      <c r="A58" s="93" t="s">
        <v>39</v>
      </c>
      <c r="B58" s="112" t="s">
        <v>784</v>
      </c>
      <c r="C58" s="5">
        <f>+IFERROR(VLOOKUP($A58,RAIZ!$A$3:$X$1500,MATCH('Suc. Mololoa'!$F$1,RAIZ!$A$2:$X$2,0),FALSE),0)</f>
        <v>1</v>
      </c>
      <c r="D58" s="7">
        <v>1</v>
      </c>
      <c r="E58" s="5"/>
      <c r="F58" s="5">
        <f t="shared" ref="F58" si="13">IF(D58-C58&gt;=0,D58-C58,0)</f>
        <v>0</v>
      </c>
      <c r="G58" s="5"/>
    </row>
    <row r="59" spans="1:7" ht="18.75" hidden="1" customHeight="1" x14ac:dyDescent="0.35">
      <c r="A59" s="93" t="s">
        <v>40</v>
      </c>
      <c r="B59" s="112" t="s">
        <v>785</v>
      </c>
      <c r="C59" s="5">
        <f>+IFERROR(VLOOKUP($A59,RAIZ!$A$3:$X$1500,MATCH('Suc. Mololoa'!$F$1,RAIZ!$A$2:$X$2,0),FALSE),0)</f>
        <v>1</v>
      </c>
      <c r="D59" s="7">
        <v>1</v>
      </c>
      <c r="E59" s="5"/>
      <c r="F59" s="5">
        <f t="shared" si="12"/>
        <v>0</v>
      </c>
      <c r="G59" s="5"/>
    </row>
    <row r="60" spans="1:7" ht="18.75" hidden="1" customHeight="1" x14ac:dyDescent="0.35">
      <c r="A60" s="93" t="s">
        <v>41</v>
      </c>
      <c r="B60" s="112" t="s">
        <v>786</v>
      </c>
      <c r="C60" s="5">
        <f>+IFERROR(VLOOKUP($A60,RAIZ!$A$3:$X$1500,MATCH('Suc. Mololoa'!$F$1,RAIZ!$A$2:$X$2,0),FALSE),0)</f>
        <v>1</v>
      </c>
      <c r="D60" s="7">
        <v>1</v>
      </c>
      <c r="E60" s="5"/>
      <c r="F60" s="5">
        <f t="shared" si="12"/>
        <v>0</v>
      </c>
      <c r="G60" s="5"/>
    </row>
    <row r="61" spans="1:7" ht="18.75" hidden="1" customHeight="1" x14ac:dyDescent="0.35">
      <c r="A61" s="101" t="s">
        <v>42</v>
      </c>
      <c r="B61" s="112" t="s">
        <v>787</v>
      </c>
      <c r="C61" s="5">
        <f>+IFERROR(VLOOKUP($A61,RAIZ!$A$3:$X$1500,MATCH('Suc. Mololoa'!$F$1,RAIZ!$A$2:$X$2,0),FALSE),0)</f>
        <v>1</v>
      </c>
      <c r="D61" s="4">
        <v>1</v>
      </c>
      <c r="E61" s="5"/>
      <c r="F61" s="5">
        <f t="shared" si="12"/>
        <v>0</v>
      </c>
      <c r="G61" s="5"/>
    </row>
    <row r="62" spans="1:7" ht="18.75" hidden="1" customHeight="1" x14ac:dyDescent="0.35">
      <c r="A62" s="102" t="s">
        <v>43</v>
      </c>
      <c r="B62" s="112" t="s">
        <v>788</v>
      </c>
      <c r="C62" s="5">
        <f>+IFERROR(VLOOKUP($A62,RAIZ!$A$3:$X$1500,MATCH('Suc. Mololoa'!$F$1,RAIZ!$A$2:$X$2,0),FALSE),0)</f>
        <v>1</v>
      </c>
      <c r="D62" s="7">
        <v>1</v>
      </c>
      <c r="E62" s="5"/>
      <c r="F62" s="5">
        <f t="shared" si="12"/>
        <v>0</v>
      </c>
      <c r="G62" s="5"/>
    </row>
    <row r="63" spans="1:7" ht="18.75" hidden="1" customHeight="1" x14ac:dyDescent="0.35">
      <c r="A63" s="93" t="s">
        <v>44</v>
      </c>
      <c r="B63" s="112" t="s">
        <v>789</v>
      </c>
      <c r="C63" s="5">
        <f>+IFERROR(VLOOKUP($A63,RAIZ!$A$3:$X$1500,MATCH('Suc. Mololoa'!$F$1,RAIZ!$A$2:$X$2,0),FALSE),0)</f>
        <v>1</v>
      </c>
      <c r="D63" s="7">
        <v>1</v>
      </c>
      <c r="E63" s="5"/>
      <c r="F63" s="5">
        <f t="shared" si="12"/>
        <v>0</v>
      </c>
      <c r="G63" s="5"/>
    </row>
    <row r="64" spans="1:7" ht="18.75" customHeight="1" x14ac:dyDescent="0.35">
      <c r="A64" s="93" t="s">
        <v>45</v>
      </c>
      <c r="B64" s="112" t="s">
        <v>790</v>
      </c>
      <c r="C64" s="5">
        <f>+IFERROR(VLOOKUP($A64,RAIZ!$A$3:$X$1500,MATCH('Suc. Mololoa'!$F$1,RAIZ!$A$2:$X$2,0),FALSE),0)</f>
        <v>0</v>
      </c>
      <c r="D64" s="4">
        <v>2</v>
      </c>
      <c r="E64" s="5"/>
      <c r="F64" s="5">
        <f t="shared" si="12"/>
        <v>2</v>
      </c>
      <c r="G64" s="5">
        <v>2</v>
      </c>
    </row>
    <row r="65" spans="1:7" ht="18.75" customHeight="1" x14ac:dyDescent="0.35">
      <c r="A65" s="93" t="s">
        <v>46</v>
      </c>
      <c r="B65" s="112" t="s">
        <v>791</v>
      </c>
      <c r="C65" s="5">
        <f>+IFERROR(VLOOKUP($A65,RAIZ!$A$3:$X$1500,MATCH('Suc. Mololoa'!$F$1,RAIZ!$A$2:$X$2,0),FALSE),0)</f>
        <v>1</v>
      </c>
      <c r="D65" s="7">
        <v>2</v>
      </c>
      <c r="E65" s="5"/>
      <c r="F65" s="5">
        <f t="shared" si="12"/>
        <v>1</v>
      </c>
      <c r="G65" s="5">
        <v>1</v>
      </c>
    </row>
    <row r="66" spans="1:7" ht="18.75" hidden="1" customHeight="1" x14ac:dyDescent="0.35">
      <c r="A66" s="93" t="s">
        <v>48</v>
      </c>
      <c r="B66" s="112" t="s">
        <v>792</v>
      </c>
      <c r="C66" s="5">
        <f>+IFERROR(VLOOKUP($A66,RAIZ!$A$3:$X$1500,MATCH('Suc. Mololoa'!$F$1,RAIZ!$A$2:$X$2,0),FALSE),0)</f>
        <v>1</v>
      </c>
      <c r="D66" s="7">
        <v>1</v>
      </c>
      <c r="E66" s="5"/>
      <c r="F66" s="5">
        <f t="shared" si="12"/>
        <v>0</v>
      </c>
      <c r="G66" s="5"/>
    </row>
    <row r="67" spans="1:7" ht="18.75" hidden="1" customHeight="1" x14ac:dyDescent="0.35">
      <c r="A67" s="93" t="s">
        <v>49</v>
      </c>
      <c r="B67" s="112" t="s">
        <v>793</v>
      </c>
      <c r="C67" s="5">
        <f>+IFERROR(VLOOKUP($A67,RAIZ!$A$3:$X$1500,MATCH('Suc. Mololoa'!$F$1,RAIZ!$A$2:$X$2,0),FALSE),0)</f>
        <v>1</v>
      </c>
      <c r="D67" s="7">
        <v>1</v>
      </c>
      <c r="E67" s="5"/>
      <c r="F67" s="5">
        <f t="shared" si="12"/>
        <v>0</v>
      </c>
      <c r="G67" s="5"/>
    </row>
    <row r="68" spans="1:7" ht="18.75" hidden="1" customHeight="1" x14ac:dyDescent="0.35">
      <c r="A68" s="93" t="s">
        <v>50</v>
      </c>
      <c r="B68" s="112" t="s">
        <v>794</v>
      </c>
      <c r="C68" s="5">
        <f>+IFERROR(VLOOKUP($A68,RAIZ!$A$3:$X$1500,MATCH('Suc. Mololoa'!$F$1,RAIZ!$A$2:$X$2,0),FALSE),0)</f>
        <v>2</v>
      </c>
      <c r="D68" s="4">
        <v>2</v>
      </c>
      <c r="E68" s="5"/>
      <c r="F68" s="5">
        <f t="shared" si="12"/>
        <v>0</v>
      </c>
      <c r="G68" s="5"/>
    </row>
    <row r="69" spans="1:7" ht="18.75" hidden="1" customHeight="1" x14ac:dyDescent="0.35">
      <c r="A69" s="93" t="s">
        <v>51</v>
      </c>
      <c r="B69" s="112" t="s">
        <v>795</v>
      </c>
      <c r="C69" s="5">
        <f>+IFERROR(VLOOKUP($A69,RAIZ!$A$3:$X$1500,MATCH('Suc. Mololoa'!$F$1,RAIZ!$A$2:$X$2,0),FALSE),0)</f>
        <v>1</v>
      </c>
      <c r="D69" s="169">
        <v>1</v>
      </c>
      <c r="E69" s="5"/>
      <c r="F69" s="5">
        <f t="shared" si="12"/>
        <v>0</v>
      </c>
      <c r="G69" s="5"/>
    </row>
    <row r="70" spans="1:7" ht="18.75" customHeight="1" thickBot="1" x14ac:dyDescent="0.4">
      <c r="A70" s="93" t="s">
        <v>53</v>
      </c>
      <c r="B70" s="112" t="s">
        <v>796</v>
      </c>
      <c r="C70" s="5">
        <f>+IFERROR(VLOOKUP($A70,RAIZ!$A$3:$X$1500,MATCH('Suc. Mololoa'!$F$1,RAIZ!$A$2:$X$2,0),FALSE),0)</f>
        <v>0</v>
      </c>
      <c r="D70" s="20">
        <v>2</v>
      </c>
      <c r="E70" s="5"/>
      <c r="F70" s="5">
        <f t="shared" si="12"/>
        <v>2</v>
      </c>
      <c r="G70" s="5">
        <v>2</v>
      </c>
    </row>
    <row r="71" spans="1:7" ht="18.75" hidden="1" customHeight="1" x14ac:dyDescent="0.35">
      <c r="A71" s="93" t="s">
        <v>47</v>
      </c>
      <c r="B71" s="112" t="s">
        <v>873</v>
      </c>
      <c r="C71" s="5">
        <f>+IFERROR(VLOOKUP($A71,RAIZ!$A$3:$X$1500,MATCH('Suc. Mololoa'!$F$1,RAIZ!$A$2:$X$2,0),FALSE),0)</f>
        <v>1</v>
      </c>
      <c r="D71" s="20">
        <v>1</v>
      </c>
      <c r="E71" s="5"/>
      <c r="F71" s="5">
        <f t="shared" ref="F71:F77" si="14">IF(D71-C71&gt;=0,D71-C71,0)</f>
        <v>0</v>
      </c>
      <c r="G71" s="5"/>
    </row>
    <row r="72" spans="1:7" ht="18.75" hidden="1" customHeight="1" x14ac:dyDescent="0.35">
      <c r="A72" s="86" t="s">
        <v>1089</v>
      </c>
      <c r="B72" s="112" t="s">
        <v>1090</v>
      </c>
      <c r="C72" s="5">
        <f>+IFERROR(VLOOKUP($A72,RAIZ!$A$3:$X$1500,MATCH('Suc. Mololoa'!$F$1,RAIZ!$A$2:$X$2,0),FALSE),0)</f>
        <v>0</v>
      </c>
      <c r="D72" s="20">
        <v>0</v>
      </c>
      <c r="E72" s="5"/>
      <c r="F72" s="5">
        <f>IF(D72-C72&gt;=0,D72-C72,0)</f>
        <v>0</v>
      </c>
      <c r="G72" s="5"/>
    </row>
    <row r="73" spans="1:7" ht="18.75" hidden="1" customHeight="1" x14ac:dyDescent="0.35">
      <c r="A73" s="93"/>
      <c r="B73" s="112"/>
      <c r="C73" s="5">
        <f>+IFERROR(VLOOKUP($A73,RAIZ!$A$3:$X$1500,MATCH('Suc. Mololoa'!$F$1,RAIZ!$A$2:$X$2,0),FALSE),0)</f>
        <v>0</v>
      </c>
      <c r="D73" s="20"/>
      <c r="E73" s="5"/>
      <c r="F73" s="5">
        <f t="shared" si="14"/>
        <v>0</v>
      </c>
      <c r="G73" s="5"/>
    </row>
    <row r="74" spans="1:7" ht="18.75" hidden="1" customHeight="1" x14ac:dyDescent="0.35">
      <c r="A74" s="93"/>
      <c r="B74" s="112"/>
      <c r="C74" s="5">
        <f>+IFERROR(VLOOKUP($A74,RAIZ!$A$3:$X$1500,MATCH('Suc. Mololoa'!$F$1,RAIZ!$A$2:$X$2,0),FALSE),0)</f>
        <v>0</v>
      </c>
      <c r="D74" s="20"/>
      <c r="E74" s="5"/>
      <c r="F74" s="5">
        <f t="shared" si="14"/>
        <v>0</v>
      </c>
      <c r="G74" s="5"/>
    </row>
    <row r="75" spans="1:7" ht="18.75" hidden="1" customHeight="1" x14ac:dyDescent="0.35">
      <c r="A75" s="93"/>
      <c r="B75" s="112"/>
      <c r="C75" s="5">
        <f>+IFERROR(VLOOKUP($A75,RAIZ!$A$3:$X$1500,MATCH('Suc. Mololoa'!$F$1,RAIZ!$A$2:$X$2,0),FALSE),0)</f>
        <v>0</v>
      </c>
      <c r="D75" s="20"/>
      <c r="E75" s="5"/>
      <c r="F75" s="5">
        <f t="shared" si="14"/>
        <v>0</v>
      </c>
      <c r="G75" s="5"/>
    </row>
    <row r="76" spans="1:7" ht="18.75" hidden="1" customHeight="1" x14ac:dyDescent="0.35">
      <c r="A76" s="93"/>
      <c r="B76" s="112"/>
      <c r="C76" s="5">
        <f>+IFERROR(VLOOKUP($A76,RAIZ!$A$3:$X$1500,MATCH('Suc. Mololoa'!$F$1,RAIZ!$A$2:$X$2,0),FALSE),0)</f>
        <v>0</v>
      </c>
      <c r="D76" s="20"/>
      <c r="E76" s="5"/>
      <c r="F76" s="5">
        <f t="shared" si="14"/>
        <v>0</v>
      </c>
      <c r="G76" s="5"/>
    </row>
    <row r="77" spans="1:7" ht="18.75" hidden="1" customHeight="1" thickBot="1" x14ac:dyDescent="0.4">
      <c r="A77" s="93"/>
      <c r="B77" s="112"/>
      <c r="C77" s="5">
        <f>+IFERROR(VLOOKUP($A77,RAIZ!$A$3:$X$1500,MATCH('Suc. Mololoa'!$F$1,RAIZ!$A$2:$X$2,0),FALSE),0)</f>
        <v>0</v>
      </c>
      <c r="D77" s="20"/>
      <c r="E77" s="5"/>
      <c r="F77" s="5">
        <f t="shared" si="14"/>
        <v>0</v>
      </c>
      <c r="G77" s="5"/>
    </row>
    <row r="78" spans="1:7" ht="18.75" customHeight="1" thickBot="1" x14ac:dyDescent="0.4">
      <c r="A78" s="99" t="s">
        <v>54</v>
      </c>
      <c r="B78" s="111"/>
      <c r="C78" s="77">
        <f>SUM(C56:C77)</f>
        <v>15</v>
      </c>
      <c r="D78" s="77">
        <f>SUM(D56:D77)</f>
        <v>20</v>
      </c>
      <c r="E78" s="48">
        <f>SUM(E56:E77)</f>
        <v>0</v>
      </c>
      <c r="F78" s="65">
        <f>SUM(F56:F77)</f>
        <v>5</v>
      </c>
      <c r="G78" s="48">
        <f>SUM(G56:G77)</f>
        <v>5</v>
      </c>
    </row>
    <row r="79" spans="1:7" ht="18.75" customHeight="1" thickBot="1" x14ac:dyDescent="0.4">
      <c r="A79" s="103" t="s">
        <v>55</v>
      </c>
      <c r="B79" s="111"/>
      <c r="C79" s="79">
        <f>C18+C32+C49+C52+C55+C78</f>
        <v>57</v>
      </c>
      <c r="D79" s="79">
        <f>D18+D32+D49+D52+D55+D78</f>
        <v>86</v>
      </c>
      <c r="E79" s="52">
        <f>E18+E32+E49+E52+E55+E78</f>
        <v>0</v>
      </c>
      <c r="F79" s="67">
        <f>F18+F32+F49+F52+F55+F78</f>
        <v>29</v>
      </c>
      <c r="G79" s="52">
        <f>G18+G32+G49+G52+G55+G78</f>
        <v>27</v>
      </c>
    </row>
    <row r="80" spans="1:7" ht="18.75" hidden="1" customHeight="1" x14ac:dyDescent="0.35">
      <c r="A80" s="104" t="s">
        <v>56</v>
      </c>
      <c r="B80" s="111"/>
      <c r="C80" s="68"/>
      <c r="D80" s="26"/>
      <c r="E80" s="27"/>
      <c r="F80" s="27"/>
      <c r="G80" s="27"/>
    </row>
    <row r="81" spans="1:7" ht="18.75" customHeight="1" x14ac:dyDescent="0.35">
      <c r="A81" s="94" t="s">
        <v>57</v>
      </c>
      <c r="B81" s="112" t="s">
        <v>797</v>
      </c>
      <c r="C81" s="5">
        <f>+IFERROR(VLOOKUP($A81,RAIZ!$A$3:$X$1500,MATCH('Suc. Mololoa'!$F$1,RAIZ!$A$2:$X$2,0),FALSE),0)</f>
        <v>0</v>
      </c>
      <c r="D81" s="4">
        <v>1</v>
      </c>
      <c r="E81" s="5"/>
      <c r="F81" s="5">
        <f t="shared" ref="F81:F85" si="15">IF(D81-C81&gt;=0,D81-C81,0)</f>
        <v>1</v>
      </c>
      <c r="G81" s="5">
        <v>1</v>
      </c>
    </row>
    <row r="82" spans="1:7" ht="18.75" customHeight="1" x14ac:dyDescent="0.35">
      <c r="A82" s="94" t="s">
        <v>58</v>
      </c>
      <c r="B82" s="112" t="s">
        <v>867</v>
      </c>
      <c r="C82" s="5">
        <f>+IFERROR(VLOOKUP($A82,RAIZ!$A$3:$X$1500,MATCH('Suc. Mololoa'!$F$1,RAIZ!$A$2:$X$2,0),FALSE),0)</f>
        <v>0</v>
      </c>
      <c r="D82" s="4">
        <v>1</v>
      </c>
      <c r="E82" s="5"/>
      <c r="F82" s="5">
        <f t="shared" ref="F82" si="16">IF(D82-C82&gt;=0,D82-C82,0)</f>
        <v>1</v>
      </c>
      <c r="G82" s="5">
        <v>1</v>
      </c>
    </row>
    <row r="83" spans="1:7" ht="18.75" hidden="1" customHeight="1" x14ac:dyDescent="0.35">
      <c r="A83" s="94" t="s">
        <v>59</v>
      </c>
      <c r="B83" s="112" t="s">
        <v>798</v>
      </c>
      <c r="C83" s="5">
        <f>+IFERROR(VLOOKUP($A83,RAIZ!$A$3:$X$1500,MATCH('Suc. Mololoa'!$F$1,RAIZ!$A$2:$X$2,0),FALSE),0)</f>
        <v>1</v>
      </c>
      <c r="D83" s="7">
        <v>1</v>
      </c>
      <c r="E83" s="5"/>
      <c r="F83" s="5">
        <f t="shared" si="15"/>
        <v>0</v>
      </c>
      <c r="G83" s="5"/>
    </row>
    <row r="84" spans="1:7" ht="18.75" hidden="1" customHeight="1" x14ac:dyDescent="0.35">
      <c r="A84" s="94" t="s">
        <v>60</v>
      </c>
      <c r="B84" s="112" t="s">
        <v>799</v>
      </c>
      <c r="C84" s="5">
        <f>+IFERROR(VLOOKUP($A84,RAIZ!$A$3:$X$1500,MATCH('Suc. Mololoa'!$F$1,RAIZ!$A$2:$X$2,0),FALSE),0)</f>
        <v>1</v>
      </c>
      <c r="D84" s="7">
        <v>1</v>
      </c>
      <c r="E84" s="5"/>
      <c r="F84" s="5">
        <f t="shared" si="15"/>
        <v>0</v>
      </c>
      <c r="G84" s="5"/>
    </row>
    <row r="85" spans="1:7" ht="18.75" customHeight="1" x14ac:dyDescent="0.35">
      <c r="A85" s="94" t="s">
        <v>61</v>
      </c>
      <c r="B85" s="112" t="s">
        <v>800</v>
      </c>
      <c r="C85" s="5">
        <f>+IFERROR(VLOOKUP($A85,RAIZ!$A$3:$X$1500,MATCH('Suc. Mololoa'!$F$1,RAIZ!$A$2:$X$2,0),FALSE),0)</f>
        <v>0</v>
      </c>
      <c r="D85" s="7">
        <v>1</v>
      </c>
      <c r="E85" s="5"/>
      <c r="F85" s="5">
        <f t="shared" si="15"/>
        <v>1</v>
      </c>
      <c r="G85" s="5">
        <v>1</v>
      </c>
    </row>
    <row r="86" spans="1:7" ht="18.75" customHeight="1" thickBot="1" x14ac:dyDescent="0.4">
      <c r="A86" s="94" t="s">
        <v>63</v>
      </c>
      <c r="B86" s="112" t="s">
        <v>801</v>
      </c>
      <c r="C86" s="5">
        <f>+IFERROR(VLOOKUP($A86,RAIZ!$A$3:$X$1500,MATCH('Suc. Mololoa'!$F$1,RAIZ!$A$2:$X$2,0),FALSE),0)</f>
        <v>2</v>
      </c>
      <c r="D86" s="7">
        <v>3</v>
      </c>
      <c r="E86" s="5"/>
      <c r="F86" s="5">
        <f t="shared" ref="F86:F90" si="17">IF(D86-C86&gt;=0,D86-C86,0)</f>
        <v>1</v>
      </c>
      <c r="G86" s="5">
        <v>1</v>
      </c>
    </row>
    <row r="87" spans="1:7" ht="18.75" hidden="1" customHeight="1" x14ac:dyDescent="0.35">
      <c r="A87" s="94"/>
      <c r="B87" s="112" t="s">
        <v>1091</v>
      </c>
      <c r="C87" s="5">
        <f>+IFERROR(VLOOKUP($A87,RAIZ!$A$3:$X$1500,MATCH('Suc. Mololoa'!$F$1,RAIZ!$A$2:$X$2,0),FALSE),0)</f>
        <v>0</v>
      </c>
      <c r="D87" s="20"/>
      <c r="E87" s="5"/>
      <c r="F87" s="5">
        <f>IF(D87-C87&gt;=0,D87-C87,0)</f>
        <v>0</v>
      </c>
      <c r="G87" s="5"/>
    </row>
    <row r="88" spans="1:7" ht="18.75" hidden="1" customHeight="1" x14ac:dyDescent="0.35">
      <c r="A88" s="94"/>
      <c r="B88" s="112" t="s">
        <v>1094</v>
      </c>
      <c r="C88" s="5">
        <f>+IFERROR(VLOOKUP($A88,RAIZ!$A$3:$X$1500,MATCH('Suc. Mololoa'!$F$1,RAIZ!$A$2:$X$2,0),FALSE),0)</f>
        <v>0</v>
      </c>
      <c r="D88" s="7"/>
      <c r="E88" s="5"/>
      <c r="F88" s="5">
        <f t="shared" si="17"/>
        <v>0</v>
      </c>
      <c r="G88" s="5"/>
    </row>
    <row r="89" spans="1:7" ht="18.75" hidden="1" customHeight="1" x14ac:dyDescent="0.35">
      <c r="A89" s="94"/>
      <c r="B89" s="112" t="s">
        <v>1095</v>
      </c>
      <c r="C89" s="5">
        <f>+IFERROR(VLOOKUP($A89,RAIZ!$A$3:$X$1500,MATCH('Suc. Mololoa'!$F$1,RAIZ!$A$2:$X$2,0),FALSE),0)</f>
        <v>0</v>
      </c>
      <c r="D89" s="7"/>
      <c r="E89" s="5"/>
      <c r="F89" s="5">
        <f t="shared" si="17"/>
        <v>0</v>
      </c>
      <c r="G89" s="5"/>
    </row>
    <row r="90" spans="1:7" ht="18.75" hidden="1" customHeight="1" thickBot="1" x14ac:dyDescent="0.4">
      <c r="A90" s="94"/>
      <c r="B90" s="112" t="s">
        <v>1093</v>
      </c>
      <c r="C90" s="5">
        <f>+IFERROR(VLOOKUP($A90,RAIZ!$A$3:$X$1500,MATCH('Suc. Mololoa'!$F$1,RAIZ!$A$2:$X$2,0),FALSE),0)</f>
        <v>0</v>
      </c>
      <c r="D90" s="7"/>
      <c r="E90" s="5"/>
      <c r="F90" s="5">
        <f t="shared" si="17"/>
        <v>0</v>
      </c>
      <c r="G90" s="5"/>
    </row>
    <row r="91" spans="1:7" ht="18.75" customHeight="1" thickBot="1" x14ac:dyDescent="0.4">
      <c r="A91" s="105" t="s">
        <v>55</v>
      </c>
      <c r="B91" s="111"/>
      <c r="C91" s="80">
        <f>SUM(C81:C90)</f>
        <v>4</v>
      </c>
      <c r="D91" s="80">
        <f>SUM(D81:D90)</f>
        <v>8</v>
      </c>
      <c r="E91" s="54">
        <f>SUM(E81:E90)</f>
        <v>0</v>
      </c>
      <c r="F91" s="69">
        <f>SUM(F81:F90)</f>
        <v>4</v>
      </c>
      <c r="G91" s="54">
        <f>SUM(G81:G90)</f>
        <v>4</v>
      </c>
    </row>
    <row r="92" spans="1:7" ht="18.75" hidden="1" customHeight="1" x14ac:dyDescent="0.35">
      <c r="A92" s="106" t="s">
        <v>64</v>
      </c>
      <c r="B92" s="111"/>
      <c r="C92" s="70"/>
      <c r="D92" s="30"/>
      <c r="E92" s="31"/>
      <c r="F92" s="31"/>
      <c r="G92" s="31"/>
    </row>
    <row r="93" spans="1:7" ht="18.75" hidden="1" customHeight="1" x14ac:dyDescent="0.35">
      <c r="A93" s="94" t="s">
        <v>65</v>
      </c>
      <c r="B93" s="112" t="s">
        <v>802</v>
      </c>
      <c r="C93" s="5">
        <f>+IFERROR(VLOOKUP($A93,RAIZ!$A$3:$X$1500,MATCH('Suc. Mololoa'!$F$1,RAIZ!$A$2:$X$2,0),FALSE),0)</f>
        <v>1</v>
      </c>
      <c r="D93" s="4">
        <v>1</v>
      </c>
      <c r="E93" s="5"/>
      <c r="F93" s="5">
        <f t="shared" ref="F93:F104" si="18">IF(D93-C93&gt;=0,D93-C93,0)</f>
        <v>0</v>
      </c>
      <c r="G93" s="5"/>
    </row>
    <row r="94" spans="1:7" ht="18.75" hidden="1" customHeight="1" x14ac:dyDescent="0.35">
      <c r="A94" s="94" t="s">
        <v>66</v>
      </c>
      <c r="B94" s="112" t="s">
        <v>803</v>
      </c>
      <c r="C94" s="5">
        <f>+IFERROR(VLOOKUP($A94,RAIZ!$A$3:$X$1500,MATCH('Suc. Mololoa'!$F$1,RAIZ!$A$2:$X$2,0),FALSE),0)</f>
        <v>1</v>
      </c>
      <c r="D94" s="7">
        <v>1</v>
      </c>
      <c r="E94" s="5"/>
      <c r="F94" s="5">
        <f t="shared" si="18"/>
        <v>0</v>
      </c>
      <c r="G94" s="5"/>
    </row>
    <row r="95" spans="1:7" ht="18.75" customHeight="1" x14ac:dyDescent="0.35">
      <c r="A95" s="94" t="s">
        <v>68</v>
      </c>
      <c r="B95" s="112" t="s">
        <v>805</v>
      </c>
      <c r="C95" s="5">
        <f>+IFERROR(VLOOKUP($A95,RAIZ!$A$3:$X$1500,MATCH('Suc. Mololoa'!$F$1,RAIZ!$A$2:$X$2,0),FALSE),0)</f>
        <v>1</v>
      </c>
      <c r="D95" s="7">
        <v>2</v>
      </c>
      <c r="E95" s="5"/>
      <c r="F95" s="5">
        <f t="shared" si="18"/>
        <v>1</v>
      </c>
      <c r="G95" s="5">
        <v>1</v>
      </c>
    </row>
    <row r="96" spans="1:7" ht="18.75" hidden="1" customHeight="1" x14ac:dyDescent="0.35">
      <c r="A96" s="94" t="s">
        <v>69</v>
      </c>
      <c r="B96" s="112" t="s">
        <v>806</v>
      </c>
      <c r="C96" s="5">
        <f>+IFERROR(VLOOKUP($A96,RAIZ!$A$3:$X$1500,MATCH('Suc. Mololoa'!$F$1,RAIZ!$A$2:$X$2,0),FALSE),0)</f>
        <v>5</v>
      </c>
      <c r="D96" s="7">
        <v>5</v>
      </c>
      <c r="E96" s="5"/>
      <c r="F96" s="5">
        <f t="shared" si="18"/>
        <v>0</v>
      </c>
      <c r="G96" s="5"/>
    </row>
    <row r="97" spans="1:7" ht="18.75" customHeight="1" x14ac:dyDescent="0.35">
      <c r="A97" s="94" t="s">
        <v>70</v>
      </c>
      <c r="B97" s="112" t="s">
        <v>807</v>
      </c>
      <c r="C97" s="5">
        <f>+IFERROR(VLOOKUP($A97,RAIZ!$A$3:$X$1500,MATCH('Suc. Mololoa'!$F$1,RAIZ!$A$2:$X$2,0),FALSE),0)</f>
        <v>1</v>
      </c>
      <c r="D97" s="7">
        <v>4</v>
      </c>
      <c r="E97" s="5"/>
      <c r="F97" s="5">
        <f t="shared" si="18"/>
        <v>3</v>
      </c>
      <c r="G97" s="5">
        <v>3</v>
      </c>
    </row>
    <row r="98" spans="1:7" ht="18.75" hidden="1" customHeight="1" x14ac:dyDescent="0.35">
      <c r="A98" s="94" t="s">
        <v>857</v>
      </c>
      <c r="B98" s="112" t="s">
        <v>808</v>
      </c>
      <c r="C98" s="5">
        <f>+IFERROR(VLOOKUP($A98,RAIZ!$A$3:$X$1500,MATCH('Suc. Mololoa'!$F$1,RAIZ!$A$2:$X$2,0),FALSE),0)</f>
        <v>4</v>
      </c>
      <c r="D98" s="7">
        <v>2</v>
      </c>
      <c r="E98" s="201">
        <v>5</v>
      </c>
      <c r="F98" s="5">
        <f t="shared" si="18"/>
        <v>0</v>
      </c>
      <c r="G98" s="5"/>
    </row>
    <row r="99" spans="1:7" ht="18.75" customHeight="1" x14ac:dyDescent="0.35">
      <c r="A99" s="94" t="s">
        <v>835</v>
      </c>
      <c r="B99" s="112" t="s">
        <v>836</v>
      </c>
      <c r="C99" s="5">
        <f>+IFERROR(VLOOKUP($A99,RAIZ!$A$3:$X$1500,MATCH('Suc. Mololoa'!$F$1,RAIZ!$A$2:$X$2,0),FALSE),0)</f>
        <v>1</v>
      </c>
      <c r="D99" s="7">
        <v>2</v>
      </c>
      <c r="E99" s="5"/>
      <c r="F99" s="5">
        <f t="shared" ref="F99:F103" si="19">IF(D99-C99&gt;=0,D99-C99,0)</f>
        <v>1</v>
      </c>
      <c r="G99" s="5">
        <v>1</v>
      </c>
    </row>
    <row r="100" spans="1:7" ht="18.75" customHeight="1" x14ac:dyDescent="0.35">
      <c r="A100" s="94" t="s">
        <v>72</v>
      </c>
      <c r="B100" s="112" t="s">
        <v>834</v>
      </c>
      <c r="C100" s="5">
        <f>+IFERROR(VLOOKUP($A100,RAIZ!$A$3:$X$1500,MATCH('Suc. Mololoa'!$F$1,RAIZ!$A$2:$X$2,0),FALSE),0)</f>
        <v>3</v>
      </c>
      <c r="D100" s="7">
        <v>25</v>
      </c>
      <c r="E100" s="5"/>
      <c r="F100" s="5">
        <f t="shared" si="19"/>
        <v>22</v>
      </c>
      <c r="G100" s="5">
        <v>22</v>
      </c>
    </row>
    <row r="101" spans="1:7" ht="18.75" customHeight="1" thickBot="1" x14ac:dyDescent="0.4">
      <c r="A101" s="94" t="s">
        <v>73</v>
      </c>
      <c r="B101" s="112" t="s">
        <v>809</v>
      </c>
      <c r="C101" s="5">
        <f>+IFERROR(VLOOKUP($A101,RAIZ!$A$3:$X$1500,MATCH('Suc. Mololoa'!$F$1,RAIZ!$A$2:$X$2,0),FALSE),0)</f>
        <v>1</v>
      </c>
      <c r="D101" s="7">
        <v>2</v>
      </c>
      <c r="E101" s="5"/>
      <c r="F101" s="5">
        <f t="shared" si="19"/>
        <v>1</v>
      </c>
      <c r="G101" s="5">
        <v>1</v>
      </c>
    </row>
    <row r="102" spans="1:7" ht="18.75" hidden="1" customHeight="1" x14ac:dyDescent="0.35">
      <c r="A102" s="94" t="s">
        <v>74</v>
      </c>
      <c r="B102" s="112" t="s">
        <v>810</v>
      </c>
      <c r="C102" s="5">
        <f>+IFERROR(VLOOKUP($A102,RAIZ!$A$3:$X$1500,MATCH('Suc. Mololoa'!$F$1,RAIZ!$A$2:$X$2,0),FALSE),0)</f>
        <v>2</v>
      </c>
      <c r="D102" s="7">
        <v>2</v>
      </c>
      <c r="E102" s="5"/>
      <c r="F102" s="5">
        <f t="shared" si="19"/>
        <v>0</v>
      </c>
      <c r="G102" s="5"/>
    </row>
    <row r="103" spans="1:7" ht="18.75" hidden="1" customHeight="1" x14ac:dyDescent="0.35">
      <c r="A103" s="94" t="s">
        <v>75</v>
      </c>
      <c r="B103" s="112" t="s">
        <v>811</v>
      </c>
      <c r="C103" s="5">
        <f>+IFERROR(VLOOKUP($A103,RAIZ!$A$3:$X$1500,MATCH('Suc. Mololoa'!$F$1,RAIZ!$A$2:$X$2,0),FALSE),0)</f>
        <v>2</v>
      </c>
      <c r="D103" s="20">
        <v>2</v>
      </c>
      <c r="E103" s="5"/>
      <c r="F103" s="5">
        <f t="shared" si="19"/>
        <v>0</v>
      </c>
      <c r="G103" s="5"/>
    </row>
    <row r="104" spans="1:7" ht="18.75" hidden="1" customHeight="1" thickBot="1" x14ac:dyDescent="0.4">
      <c r="A104" s="94"/>
      <c r="B104" s="112" t="s">
        <v>1096</v>
      </c>
      <c r="C104" s="5">
        <f>+IFERROR(VLOOKUP($A104,RAIZ!$A$3:$X$1500,MATCH('Suc. Mololoa'!$F$1,RAIZ!$A$2:$X$2,0),FALSE),0)</f>
        <v>0</v>
      </c>
      <c r="D104" s="7"/>
      <c r="E104" s="5"/>
      <c r="F104" s="5">
        <f t="shared" si="18"/>
        <v>0</v>
      </c>
      <c r="G104" s="5"/>
    </row>
    <row r="105" spans="1:7" ht="18.75" customHeight="1" thickBot="1" x14ac:dyDescent="0.4">
      <c r="A105" s="107" t="s">
        <v>55</v>
      </c>
      <c r="B105" s="111"/>
      <c r="C105" s="81">
        <f>SUM(C93:C104)</f>
        <v>22</v>
      </c>
      <c r="D105" s="81">
        <f>SUM(D93:D104)</f>
        <v>48</v>
      </c>
      <c r="E105" s="56">
        <f>SUM(E93:E104)</f>
        <v>5</v>
      </c>
      <c r="F105" s="71">
        <f>SUM(F93:F104)</f>
        <v>28</v>
      </c>
      <c r="G105" s="56">
        <f>SUM(G93:G104)</f>
        <v>28</v>
      </c>
    </row>
    <row r="106" spans="1:7" ht="18.75" hidden="1" customHeight="1" x14ac:dyDescent="0.35">
      <c r="A106" s="108" t="s">
        <v>76</v>
      </c>
      <c r="B106" s="111"/>
      <c r="C106" s="72"/>
      <c r="D106" s="34"/>
      <c r="E106" s="35"/>
      <c r="F106" s="35"/>
      <c r="G106" s="35"/>
    </row>
    <row r="107" spans="1:7" ht="18.75" customHeight="1" thickBot="1" x14ac:dyDescent="0.4">
      <c r="A107" s="94" t="s">
        <v>77</v>
      </c>
      <c r="B107" s="112" t="s">
        <v>812</v>
      </c>
      <c r="C107" s="5">
        <f>+IFERROR(VLOOKUP($A107,RAIZ!$A$3:$X$1500,MATCH('Suc. Mololoa'!$F$1,RAIZ!$A$2:$X$2,0),FALSE),0)</f>
        <v>1</v>
      </c>
      <c r="D107" s="7">
        <v>2</v>
      </c>
      <c r="E107" s="5"/>
      <c r="F107" s="5">
        <f t="shared" ref="F107:F112" si="20">IF(D107-C107&gt;=0,D107-C107,0)</f>
        <v>1</v>
      </c>
      <c r="G107" s="5">
        <v>1</v>
      </c>
    </row>
    <row r="108" spans="1:7" ht="18.75" hidden="1" customHeight="1" x14ac:dyDescent="0.35">
      <c r="A108" s="94" t="s">
        <v>621</v>
      </c>
      <c r="B108" s="112" t="s">
        <v>813</v>
      </c>
      <c r="C108" s="5">
        <f>+IFERROR(VLOOKUP($A108,RAIZ!$A$3:$X$1500,MATCH('Suc. Mololoa'!$F$1,RAIZ!$A$2:$X$2,0),FALSE),0)</f>
        <v>1</v>
      </c>
      <c r="D108" s="7">
        <v>0</v>
      </c>
      <c r="E108" s="5"/>
      <c r="F108" s="5">
        <f t="shared" si="20"/>
        <v>0</v>
      </c>
      <c r="G108" s="5"/>
    </row>
    <row r="109" spans="1:7" ht="18.75" hidden="1" customHeight="1" x14ac:dyDescent="0.35">
      <c r="A109" s="94" t="s">
        <v>80</v>
      </c>
      <c r="B109" s="112" t="s">
        <v>815</v>
      </c>
      <c r="C109" s="5">
        <f>+IFERROR(VLOOKUP($A109,RAIZ!$A$3:$X$1500,MATCH('Suc. Mololoa'!$F$1,RAIZ!$A$2:$X$2,0),FALSE),0)</f>
        <v>10</v>
      </c>
      <c r="D109" s="7">
        <v>10</v>
      </c>
      <c r="E109" s="5"/>
      <c r="F109" s="5">
        <f t="shared" si="20"/>
        <v>0</v>
      </c>
      <c r="G109" s="5"/>
    </row>
    <row r="110" spans="1:7" ht="18.75" hidden="1" customHeight="1" x14ac:dyDescent="0.35">
      <c r="A110" s="94" t="s">
        <v>81</v>
      </c>
      <c r="B110" s="112" t="s">
        <v>816</v>
      </c>
      <c r="C110" s="5">
        <f>+IFERROR(VLOOKUP($A110,RAIZ!$A$3:$X$1500,MATCH('Suc. Mololoa'!$F$1,RAIZ!$A$2:$X$2,0),FALSE),0)</f>
        <v>10</v>
      </c>
      <c r="D110" s="7">
        <v>10</v>
      </c>
      <c r="E110" s="5"/>
      <c r="F110" s="5">
        <f t="shared" si="20"/>
        <v>0</v>
      </c>
      <c r="G110" s="5"/>
    </row>
    <row r="111" spans="1:7" ht="18.75" hidden="1" customHeight="1" x14ac:dyDescent="0.35">
      <c r="A111" s="95" t="s">
        <v>83</v>
      </c>
      <c r="B111" s="112" t="s">
        <v>818</v>
      </c>
      <c r="C111" s="5">
        <f>+IFERROR(VLOOKUP($A111,RAIZ!$A$3:$X$1500,MATCH('Suc. Mololoa'!$F$1,RAIZ!$A$2:$X$2,0),FALSE),0)</f>
        <v>2</v>
      </c>
      <c r="D111" s="20">
        <v>2</v>
      </c>
      <c r="E111" s="5"/>
      <c r="F111" s="5">
        <f t="shared" si="20"/>
        <v>0</v>
      </c>
      <c r="G111" s="5"/>
    </row>
    <row r="112" spans="1:7" ht="18.75" hidden="1" customHeight="1" thickBot="1" x14ac:dyDescent="0.4">
      <c r="A112" s="95"/>
      <c r="B112" s="112"/>
      <c r="C112" s="5">
        <f>+IFERROR(VLOOKUP($A112,RAIZ!$A$3:$X$1500,MATCH('Suc. Mololoa'!$F$1,RAIZ!$A$2:$X$2,0),FALSE),0)</f>
        <v>0</v>
      </c>
      <c r="D112" s="20"/>
      <c r="E112" s="5"/>
      <c r="F112" s="5">
        <f t="shared" si="20"/>
        <v>0</v>
      </c>
      <c r="G112" s="5"/>
    </row>
    <row r="113" spans="1:7" ht="18.75" customHeight="1" thickBot="1" x14ac:dyDescent="0.4">
      <c r="A113" s="109" t="s">
        <v>55</v>
      </c>
      <c r="B113" s="111"/>
      <c r="C113" s="82">
        <f>SUM(C107:C112,C114:C116)</f>
        <v>26</v>
      </c>
      <c r="D113" s="82">
        <f>SUM(D107:D112,D114:D116)</f>
        <v>27</v>
      </c>
      <c r="E113" s="58">
        <f>SUM(E107:E112,E114:E116)</f>
        <v>0</v>
      </c>
      <c r="F113" s="73">
        <f>SUM(F107:F112,F114:F116)</f>
        <v>2</v>
      </c>
      <c r="G113" s="58">
        <f>SUM(G107:G112,G114:G116)</f>
        <v>2</v>
      </c>
    </row>
    <row r="114" spans="1:7" ht="18.75" hidden="1" customHeight="1" x14ac:dyDescent="0.35">
      <c r="A114" s="93" t="s">
        <v>84</v>
      </c>
      <c r="B114" s="112" t="s">
        <v>819</v>
      </c>
      <c r="C114" s="5">
        <f>+IFERROR(VLOOKUP($A114,RAIZ!$A$3:$X$1500,MATCH('Suc. Mololoa'!$F$1,RAIZ!$A$2:$X$2,0),FALSE),0)</f>
        <v>1</v>
      </c>
      <c r="D114" s="4">
        <v>1</v>
      </c>
      <c r="E114" s="5"/>
      <c r="F114" s="5">
        <f t="shared" ref="F114" si="21">IF(D114-C114&gt;=0,D114-C114,0)</f>
        <v>0</v>
      </c>
      <c r="G114" s="5"/>
    </row>
    <row r="115" spans="1:7" ht="18.75" customHeight="1" thickBot="1" x14ac:dyDescent="0.4">
      <c r="A115" s="95" t="s">
        <v>85</v>
      </c>
      <c r="B115" s="112" t="s">
        <v>820</v>
      </c>
      <c r="C115" s="5">
        <f>+IFERROR(VLOOKUP($A115,RAIZ!$A$3:$X$1500,MATCH('Suc. Mololoa'!$F$1,RAIZ!$A$2:$X$2,0),FALSE),0)</f>
        <v>0</v>
      </c>
      <c r="D115" s="20">
        <v>1</v>
      </c>
      <c r="E115" s="5"/>
      <c r="F115" s="5">
        <f t="shared" ref="F115:F141" si="22">IF(D115-C115&gt;=0,D115-C115,0)</f>
        <v>1</v>
      </c>
      <c r="G115" s="5">
        <v>1</v>
      </c>
    </row>
    <row r="116" spans="1:7" ht="18.75" hidden="1" customHeight="1" thickBot="1" x14ac:dyDescent="0.4">
      <c r="A116" s="95" t="s">
        <v>881</v>
      </c>
      <c r="B116" s="112" t="s">
        <v>882</v>
      </c>
      <c r="C116" s="5">
        <f>+IFERROR(VLOOKUP($A116,RAIZ!$A$3:$X$1500,MATCH('Suc. Mololoa'!$F$1,RAIZ!$A$2:$X$2,0),FALSE),0)</f>
        <v>1</v>
      </c>
      <c r="D116" s="20">
        <v>1</v>
      </c>
      <c r="E116" s="5"/>
      <c r="F116" s="5">
        <f t="shared" si="22"/>
        <v>0</v>
      </c>
      <c r="G116" s="5"/>
    </row>
    <row r="117" spans="1:7" ht="18.75" customHeight="1" thickBot="1" x14ac:dyDescent="0.4">
      <c r="A117" s="110" t="s">
        <v>86</v>
      </c>
      <c r="B117" s="111"/>
      <c r="C117" s="83">
        <f>C79+C91+C105+C113</f>
        <v>109</v>
      </c>
      <c r="D117" s="60">
        <f>D79+D91+D105+D113</f>
        <v>169</v>
      </c>
      <c r="E117" s="60">
        <f>E79+E91+E105+E113</f>
        <v>5</v>
      </c>
      <c r="F117" s="74">
        <f>F79+F91+F105+F113</f>
        <v>63</v>
      </c>
      <c r="G117" s="60">
        <f>G79+G91+G105+G113</f>
        <v>61</v>
      </c>
    </row>
    <row r="118" spans="1:7" ht="18.75" customHeight="1" thickBot="1" x14ac:dyDescent="0.4">
      <c r="A118" s="95" t="s">
        <v>975</v>
      </c>
      <c r="B118" s="112" t="s">
        <v>976</v>
      </c>
      <c r="C118" s="5">
        <f>+IFERROR(VLOOKUP($A118,RAIZ!$A$3:$X$1500,MATCH('Suc. Mololoa'!$F$1,RAIZ!$A$2:$X$2,0),FALSE),0)</f>
        <v>1</v>
      </c>
      <c r="D118" s="20">
        <v>4</v>
      </c>
      <c r="E118" s="5"/>
      <c r="F118" s="5">
        <f>IF(D118-C118&gt;=0,D118-C118,0)</f>
        <v>3</v>
      </c>
      <c r="G118" s="5">
        <v>3</v>
      </c>
    </row>
    <row r="119" spans="1:7" ht="18.75" hidden="1" customHeight="1" x14ac:dyDescent="0.35">
      <c r="A119" s="95" t="s">
        <v>974</v>
      </c>
      <c r="B119" s="112" t="s">
        <v>977</v>
      </c>
      <c r="C119" s="5">
        <f>+IFERROR(VLOOKUP($A119,RAIZ!$A$3:$X$1500,MATCH('Suc. Mololoa'!$F$1,RAIZ!$A$2:$X$2,0),FALSE),0)</f>
        <v>2</v>
      </c>
      <c r="D119" s="20">
        <v>4</v>
      </c>
      <c r="E119" s="5"/>
      <c r="F119" s="5">
        <f t="shared" si="22"/>
        <v>2</v>
      </c>
      <c r="G119" s="5"/>
    </row>
    <row r="120" spans="1:7" ht="18.75" hidden="1" customHeight="1" thickBot="1" x14ac:dyDescent="0.4">
      <c r="A120" s="95" t="s">
        <v>1077</v>
      </c>
      <c r="B120" s="112" t="s">
        <v>817</v>
      </c>
      <c r="C120" s="5">
        <f>+IFERROR(VLOOKUP($A120,RAIZ!$A$3:$X$1500,MATCH('Suc. Mololoa'!$F$1,RAIZ!$A$2:$X$2,0),FALSE),0)</f>
        <v>0</v>
      </c>
      <c r="D120" s="20"/>
      <c r="E120" s="5"/>
      <c r="F120" s="5">
        <f t="shared" si="22"/>
        <v>0</v>
      </c>
      <c r="G120" s="5"/>
    </row>
    <row r="121" spans="1:7" ht="18.75" hidden="1" customHeight="1" thickBot="1" x14ac:dyDescent="0.4">
      <c r="A121" s="95" t="s">
        <v>1076</v>
      </c>
      <c r="B121" s="194" t="s">
        <v>1121</v>
      </c>
      <c r="C121" s="5">
        <f>+IFERROR(VLOOKUP($A121,RAIZ!$A$3:$X$1500,MATCH('Suc. Mololoa'!$F$1,RAIZ!$A$2:$X$2,0),FALSE),0)</f>
        <v>0</v>
      </c>
      <c r="D121" s="20">
        <v>0</v>
      </c>
      <c r="E121" s="5"/>
      <c r="F121" s="5">
        <f t="shared" si="22"/>
        <v>0</v>
      </c>
      <c r="G121" s="5"/>
    </row>
    <row r="122" spans="1:7" ht="18.75" hidden="1" customHeight="1" thickBot="1" x14ac:dyDescent="0.4">
      <c r="A122" s="95" t="s">
        <v>1014</v>
      </c>
      <c r="B122" s="194" t="s">
        <v>1010</v>
      </c>
      <c r="C122" s="5">
        <f>+IFERROR(VLOOKUP($A122,RAIZ!$A$3:$X$1500,MATCH('Suc. Mololoa'!$F$1,RAIZ!$A$2:$X$2,0),FALSE),0)</f>
        <v>10</v>
      </c>
      <c r="D122" s="20">
        <v>10</v>
      </c>
      <c r="E122" s="5"/>
      <c r="F122" s="5">
        <f t="shared" si="22"/>
        <v>0</v>
      </c>
      <c r="G122" s="5"/>
    </row>
    <row r="123" spans="1:7" ht="18.75" hidden="1" customHeight="1" thickBot="1" x14ac:dyDescent="0.4">
      <c r="A123" s="95" t="s">
        <v>1015</v>
      </c>
      <c r="B123" s="194" t="s">
        <v>1011</v>
      </c>
      <c r="C123" s="147">
        <f>+IFERROR(VLOOKUP($A123,RAIZ!$A$3:$X$1500,MATCH('Suc. Mololoa'!$F$1,RAIZ!$A$2:$X$2,0),FALSE),0)</f>
        <v>5</v>
      </c>
      <c r="D123" s="20">
        <v>5</v>
      </c>
      <c r="E123" s="5"/>
      <c r="F123" s="5">
        <f t="shared" si="22"/>
        <v>0</v>
      </c>
      <c r="G123" s="5"/>
    </row>
    <row r="124" spans="1:7" ht="18.75" customHeight="1" thickBot="1" x14ac:dyDescent="0.4">
      <c r="A124" s="95" t="s">
        <v>1016</v>
      </c>
      <c r="B124" s="194" t="s">
        <v>1012</v>
      </c>
      <c r="C124" s="147">
        <f>+IFERROR(VLOOKUP($A124,RAIZ!$A$3:$X$1500,MATCH('Suc. Mololoa'!$F$1,RAIZ!$A$2:$X$2,0),FALSE),0)</f>
        <v>8</v>
      </c>
      <c r="D124" s="20">
        <v>10</v>
      </c>
      <c r="E124" s="5"/>
      <c r="F124" s="5">
        <f t="shared" si="22"/>
        <v>2</v>
      </c>
      <c r="G124" s="5">
        <v>2</v>
      </c>
    </row>
    <row r="125" spans="1:7" ht="18.75" hidden="1" customHeight="1" thickBot="1" x14ac:dyDescent="0.4">
      <c r="A125" s="95" t="s">
        <v>1017</v>
      </c>
      <c r="B125" s="194" t="s">
        <v>1013</v>
      </c>
      <c r="C125" s="147">
        <f>+IFERROR(VLOOKUP($A125,RAIZ!$A$3:$X$1500,MATCH('Suc. Mololoa'!$F$1,RAIZ!$A$2:$X$2,0),FALSE),0)</f>
        <v>5</v>
      </c>
      <c r="D125" s="18">
        <v>5</v>
      </c>
      <c r="E125" s="5"/>
      <c r="F125" s="5">
        <f t="shared" si="22"/>
        <v>0</v>
      </c>
      <c r="G125" s="5"/>
    </row>
    <row r="126" spans="1:7" ht="18.75" hidden="1" customHeight="1" thickBot="1" x14ac:dyDescent="0.4">
      <c r="A126" s="95" t="s">
        <v>1125</v>
      </c>
      <c r="B126" s="194" t="s">
        <v>1127</v>
      </c>
      <c r="C126" s="147">
        <f>+IFERROR(VLOOKUP($A126,RAIZ!$A$3:$X$1500,MATCH('Suc. Mololoa'!$F$1,RAIZ!$A$2:$X$2,0),FALSE),0)</f>
        <v>1</v>
      </c>
      <c r="D126" s="20"/>
      <c r="E126" s="5"/>
      <c r="F126" s="5">
        <f t="shared" si="22"/>
        <v>0</v>
      </c>
      <c r="G126" s="5"/>
    </row>
    <row r="127" spans="1:7" ht="18.75" hidden="1" customHeight="1" thickBot="1" x14ac:dyDescent="0.4">
      <c r="A127" s="95" t="s">
        <v>1126</v>
      </c>
      <c r="B127" s="194" t="s">
        <v>1128</v>
      </c>
      <c r="C127" s="147">
        <f>+IFERROR(VLOOKUP($A127,RAIZ!$A$3:$X$1500,MATCH('Suc. Mololoa'!$F$1,RAIZ!$A$2:$X$2,0),FALSE),0)</f>
        <v>1</v>
      </c>
      <c r="D127" s="18"/>
      <c r="E127" s="184"/>
      <c r="F127" s="184">
        <f t="shared" si="22"/>
        <v>0</v>
      </c>
      <c r="G127" s="181"/>
    </row>
    <row r="128" spans="1:7" ht="18.75" hidden="1" customHeight="1" thickBot="1" x14ac:dyDescent="0.4">
      <c r="A128" s="95" t="s">
        <v>568</v>
      </c>
      <c r="B128" s="194" t="s">
        <v>1131</v>
      </c>
      <c r="C128" s="186">
        <f>+IFERROR(VLOOKUP($A128,RAIZ!$A$3:$X$1500,MATCH('Suc. Mololoa'!$F$1,RAIZ!$A$2:$X$2,0),FALSE),0)</f>
        <v>3</v>
      </c>
      <c r="D128" s="18">
        <v>3</v>
      </c>
      <c r="E128" s="185"/>
      <c r="F128" s="185">
        <f t="shared" si="22"/>
        <v>0</v>
      </c>
      <c r="G128" s="185"/>
    </row>
    <row r="129" spans="1:7" ht="18.75" hidden="1" customHeight="1" thickBot="1" x14ac:dyDescent="0.4">
      <c r="A129" s="95" t="s">
        <v>565</v>
      </c>
      <c r="B129" s="194" t="s">
        <v>1142</v>
      </c>
      <c r="C129" s="187">
        <f>+IFERROR(VLOOKUP($A129,RAIZ!$A$3:$X$1500,MATCH('Suc. Mololoa'!$F$1,RAIZ!$A$2:$X$2,0),FALSE),0)</f>
        <v>1</v>
      </c>
      <c r="D129" s="18">
        <v>2</v>
      </c>
      <c r="E129" s="185"/>
      <c r="F129" s="185">
        <f t="shared" si="22"/>
        <v>1</v>
      </c>
      <c r="G129" s="185"/>
    </row>
    <row r="130" spans="1:7" ht="18.75" customHeight="1" thickBot="1" x14ac:dyDescent="0.4">
      <c r="A130" s="95" t="s">
        <v>912</v>
      </c>
      <c r="B130" s="194" t="s">
        <v>1136</v>
      </c>
      <c r="C130" s="187">
        <f>+IFERROR(VLOOKUP($A130,RAIZ!$A$3:$X$1500,MATCH('Suc. Mololoa'!$F$1,RAIZ!$A$2:$X$2,0),FALSE),0)</f>
        <v>0</v>
      </c>
      <c r="D130" s="18">
        <v>2</v>
      </c>
      <c r="E130" s="185"/>
      <c r="F130" s="185">
        <f t="shared" si="22"/>
        <v>2</v>
      </c>
      <c r="G130" s="185">
        <v>2</v>
      </c>
    </row>
    <row r="131" spans="1:7" ht="18.75" hidden="1" customHeight="1" thickBot="1" x14ac:dyDescent="0.4">
      <c r="A131" s="95" t="s">
        <v>557</v>
      </c>
      <c r="B131" s="194" t="s">
        <v>1137</v>
      </c>
      <c r="C131" s="187">
        <f>+IFERROR(VLOOKUP($A131,RAIZ!$A$3:$X$1500,MATCH('Suc. Mololoa'!$F$1,RAIZ!$A$2:$X$2,0),FALSE),0)</f>
        <v>2</v>
      </c>
      <c r="D131" s="18">
        <v>2</v>
      </c>
      <c r="E131" s="185"/>
      <c r="F131" s="185">
        <f t="shared" si="22"/>
        <v>0</v>
      </c>
      <c r="G131" s="185"/>
    </row>
    <row r="132" spans="1:7" ht="18.75" hidden="1" customHeight="1" thickBot="1" x14ac:dyDescent="0.4">
      <c r="A132" s="95" t="s">
        <v>573</v>
      </c>
      <c r="B132" s="194" t="s">
        <v>1138</v>
      </c>
      <c r="C132" s="187">
        <f>+IFERROR(VLOOKUP($A132,RAIZ!$A$3:$X$1500,MATCH('Suc. Mololoa'!$F$1,RAIZ!$A$2:$X$2,0),FALSE),0)</f>
        <v>0</v>
      </c>
      <c r="D132" s="18">
        <v>1</v>
      </c>
      <c r="E132" s="185"/>
      <c r="F132" s="185">
        <f t="shared" si="22"/>
        <v>1</v>
      </c>
      <c r="G132" s="185"/>
    </row>
    <row r="133" spans="1:7" ht="18.75" hidden="1" customHeight="1" thickBot="1" x14ac:dyDescent="0.4">
      <c r="A133" s="95" t="s">
        <v>421</v>
      </c>
      <c r="B133" s="194" t="s">
        <v>1140</v>
      </c>
      <c r="C133" s="187">
        <f>+IFERROR(VLOOKUP($A133,RAIZ!$A$3:$X$1500,MATCH('Suc. Mololoa'!$F$1,RAIZ!$A$2:$X$2,0),FALSE),0)</f>
        <v>3</v>
      </c>
      <c r="D133" s="18">
        <v>2</v>
      </c>
      <c r="E133" s="185"/>
      <c r="F133" s="185">
        <f t="shared" si="22"/>
        <v>0</v>
      </c>
      <c r="G133" s="185"/>
    </row>
    <row r="134" spans="1:7" ht="18.75" customHeight="1" thickBot="1" x14ac:dyDescent="0.4">
      <c r="A134" s="95" t="s">
        <v>249</v>
      </c>
      <c r="B134" s="194" t="s">
        <v>1134</v>
      </c>
      <c r="C134" s="187">
        <f>+IFERROR(VLOOKUP($A134,RAIZ!$A$3:$X$1500,MATCH('Suc. Mololoa'!$F$1,RAIZ!$A$2:$X$2,0),FALSE),0)</f>
        <v>0</v>
      </c>
      <c r="D134" s="18">
        <v>2</v>
      </c>
      <c r="E134" s="185"/>
      <c r="F134" s="185">
        <f t="shared" si="22"/>
        <v>2</v>
      </c>
      <c r="G134" s="185">
        <v>2</v>
      </c>
    </row>
    <row r="135" spans="1:7" ht="18.75" hidden="1" customHeight="1" thickBot="1" x14ac:dyDescent="0.4">
      <c r="A135" s="95" t="s">
        <v>1030</v>
      </c>
      <c r="B135" s="194" t="s">
        <v>1143</v>
      </c>
      <c r="C135" s="187">
        <f>+IFERROR(VLOOKUP($A135,RAIZ!$A$3:$X$1500,MATCH('Suc. Mololoa'!$F$1,RAIZ!$A$2:$X$2,0),FALSE),0)</f>
        <v>5</v>
      </c>
      <c r="D135" s="18">
        <v>6</v>
      </c>
      <c r="E135" s="185"/>
      <c r="F135" s="185">
        <f t="shared" si="22"/>
        <v>1</v>
      </c>
      <c r="G135" s="185"/>
    </row>
    <row r="136" spans="1:7" ht="18.75" hidden="1" customHeight="1" thickBot="1" x14ac:dyDescent="0.4">
      <c r="A136" s="95" t="s">
        <v>253</v>
      </c>
      <c r="B136" s="194" t="s">
        <v>1135</v>
      </c>
      <c r="C136" s="187">
        <f>+IFERROR(VLOOKUP($A136,RAIZ!$A$3:$X$1500,MATCH('Suc. Mololoa'!$F$1,RAIZ!$A$2:$X$2,0),FALSE),0)</f>
        <v>2</v>
      </c>
      <c r="D136" s="18">
        <v>2</v>
      </c>
      <c r="E136" s="185"/>
      <c r="F136" s="185">
        <f t="shared" si="22"/>
        <v>0</v>
      </c>
      <c r="G136" s="185"/>
    </row>
    <row r="137" spans="1:7" ht="18.75" hidden="1" customHeight="1" thickBot="1" x14ac:dyDescent="0.4">
      <c r="A137" s="95" t="s">
        <v>240</v>
      </c>
      <c r="B137" s="194" t="s">
        <v>1139</v>
      </c>
      <c r="C137" s="187">
        <f>+IFERROR(VLOOKUP($A137,RAIZ!$A$3:$X$1500,MATCH('Suc. Mololoa'!$F$1,RAIZ!$A$2:$X$2,0),FALSE),0)</f>
        <v>0</v>
      </c>
      <c r="D137" s="18">
        <v>0</v>
      </c>
      <c r="E137" s="185"/>
      <c r="F137" s="185">
        <f t="shared" si="22"/>
        <v>0</v>
      </c>
      <c r="G137" s="185"/>
    </row>
    <row r="138" spans="1:7" ht="18.75" hidden="1" customHeight="1" thickBot="1" x14ac:dyDescent="0.4">
      <c r="A138" s="95" t="s">
        <v>204</v>
      </c>
      <c r="B138" s="194" t="s">
        <v>1106</v>
      </c>
      <c r="C138" s="187">
        <f>+IFERROR(VLOOKUP($A138,RAIZ!$A$3:$X$1500,MATCH('Suc. Mololoa'!$F$1,RAIZ!$A$2:$X$2,0),FALSE),0)</f>
        <v>0</v>
      </c>
      <c r="D138" s="18">
        <v>0</v>
      </c>
      <c r="E138" s="185"/>
      <c r="F138" s="185">
        <f t="shared" si="22"/>
        <v>0</v>
      </c>
      <c r="G138" s="185"/>
    </row>
    <row r="139" spans="1:7" ht="18.75" customHeight="1" thickBot="1" x14ac:dyDescent="0.4">
      <c r="A139" s="95" t="s">
        <v>1132</v>
      </c>
      <c r="B139" s="194" t="s">
        <v>1141</v>
      </c>
      <c r="C139" s="187">
        <f>+IFERROR(VLOOKUP($A139,RAIZ!$A$3:$X$1500,MATCH('Suc. Mololoa'!$F$1,RAIZ!$A$2:$X$2,0),FALSE),0)</f>
        <v>0</v>
      </c>
      <c r="D139" s="18">
        <v>1</v>
      </c>
      <c r="E139" s="185"/>
      <c r="F139" s="185">
        <f t="shared" si="22"/>
        <v>1</v>
      </c>
      <c r="G139" s="185">
        <v>1</v>
      </c>
    </row>
    <row r="140" spans="1:7" ht="18.75" hidden="1" customHeight="1" thickBot="1" x14ac:dyDescent="0.4">
      <c r="A140" s="95" t="s">
        <v>914</v>
      </c>
      <c r="B140" s="194" t="s">
        <v>1133</v>
      </c>
      <c r="C140" s="187">
        <f>+IFERROR(VLOOKUP($A140,RAIZ!$A$3:$X$1500,MATCH('Suc. Mololoa'!$F$1,RAIZ!$A$2:$X$2,0),FALSE),0)</f>
        <v>1</v>
      </c>
      <c r="D140" s="18">
        <v>1</v>
      </c>
      <c r="E140" s="185"/>
      <c r="F140" s="185">
        <f t="shared" si="22"/>
        <v>0</v>
      </c>
      <c r="G140" s="185"/>
    </row>
    <row r="141" spans="1:7" ht="18.75" hidden="1" customHeight="1" thickBot="1" x14ac:dyDescent="0.4">
      <c r="A141" s="243" t="s">
        <v>1120</v>
      </c>
      <c r="B141" s="194" t="s">
        <v>1159</v>
      </c>
      <c r="C141" s="187">
        <f>+IFERROR(VLOOKUP($A141,RAIZ!$A$3:$X$1500,MATCH('Suc. Mololoa'!$F$1,RAIZ!$A$2:$X$2,0),FALSE),0)</f>
        <v>0</v>
      </c>
      <c r="D141" s="18"/>
      <c r="E141" s="185"/>
      <c r="F141" s="185">
        <f t="shared" si="22"/>
        <v>0</v>
      </c>
      <c r="G141" s="185"/>
    </row>
    <row r="142" spans="1:7" ht="18.75" hidden="1" customHeight="1" thickBot="1" x14ac:dyDescent="0.4">
      <c r="A142" s="95"/>
      <c r="B142" s="194"/>
      <c r="C142" s="187">
        <f>+IFERROR(VLOOKUP($A142,RAIZ!$A$3:$X$1500,MATCH('Suc. Mololoa'!$F$1,RAIZ!$A$2:$X$2,0),FALSE),0)</f>
        <v>0</v>
      </c>
      <c r="D142" s="18"/>
      <c r="E142" s="185"/>
      <c r="F142" s="185"/>
      <c r="G142" s="185"/>
    </row>
    <row r="143" spans="1:7" ht="18.75" hidden="1" customHeight="1" thickBot="1" x14ac:dyDescent="0.4">
      <c r="A143" s="95"/>
      <c r="B143" s="193"/>
      <c r="C143" s="187">
        <f>+IFERROR(VLOOKUP($A143,RAIZ!$A$3:$X$1500,MATCH('Suc. Mololoa'!$F$1,RAIZ!$A$2:$X$2,0),FALSE),0)</f>
        <v>0</v>
      </c>
      <c r="D143" s="18"/>
      <c r="E143" s="185"/>
      <c r="F143" s="185"/>
      <c r="G143" s="185"/>
    </row>
    <row r="144" spans="1:7" ht="18.75" hidden="1" customHeight="1" thickBot="1" x14ac:dyDescent="0.4">
      <c r="A144" s="95"/>
      <c r="B144" s="194"/>
      <c r="C144" s="187">
        <f>+IFERROR(VLOOKUP($A144,RAIZ!$A$3:$X$1500,MATCH('Suc. Mololoa'!$F$1,RAIZ!$A$2:$X$2,0),FALSE),0)</f>
        <v>0</v>
      </c>
      <c r="D144" s="18"/>
      <c r="E144" s="185"/>
      <c r="F144" s="185"/>
      <c r="G144" s="185"/>
    </row>
    <row r="145" spans="1:7" ht="18.75" hidden="1" customHeight="1" thickBot="1" x14ac:dyDescent="0.4">
      <c r="A145" s="95"/>
      <c r="B145" s="192"/>
      <c r="C145" s="187">
        <f>+IFERROR(VLOOKUP($A145,RAIZ!$A$3:$X$1500,MATCH('Suc. Mololoa'!$F$1,RAIZ!$A$2:$X$2,0),FALSE),0)</f>
        <v>0</v>
      </c>
      <c r="D145" s="18"/>
      <c r="E145" s="185"/>
      <c r="F145" s="185"/>
      <c r="G145" s="185"/>
    </row>
    <row r="146" spans="1:7" ht="18.75" hidden="1" customHeight="1" thickBot="1" x14ac:dyDescent="0.4">
      <c r="A146" s="95"/>
      <c r="B146" s="194"/>
      <c r="C146" s="187">
        <f>+IFERROR(VLOOKUP($A146,RAIZ!$A$3:$X$1500,MATCH('Suc. Mololoa'!$F$1,RAIZ!$A$2:$X$2,0),FALSE),0)</f>
        <v>0</v>
      </c>
      <c r="D146" s="18"/>
      <c r="E146" s="185"/>
      <c r="F146" s="185"/>
      <c r="G146" s="185"/>
    </row>
    <row r="147" spans="1:7" ht="18.75" hidden="1" customHeight="1" thickBot="1" x14ac:dyDescent="0.4">
      <c r="A147" s="95"/>
      <c r="B147" s="193"/>
      <c r="C147" s="187">
        <f>+IFERROR(VLOOKUP($A147,RAIZ!$A$3:$X$1500,MATCH('Suc. Mololoa'!$F$1,RAIZ!$A$2:$X$2,0),FALSE),0)</f>
        <v>0</v>
      </c>
      <c r="D147" s="14"/>
      <c r="E147" s="185"/>
      <c r="F147" s="185"/>
      <c r="G147" s="185"/>
    </row>
    <row r="148" spans="1:7" ht="18.75" hidden="1" customHeight="1" thickBot="1" x14ac:dyDescent="0.4">
      <c r="A148" s="95"/>
      <c r="B148" s="193"/>
      <c r="C148" s="188">
        <f>+IFERROR(VLOOKUP($A148,RAIZ!$A$3:$X$1500,MATCH('Suc. Mololoa'!$F$1,RAIZ!$A$2:$X$2,0),FALSE),0)</f>
        <v>0</v>
      </c>
      <c r="D148" s="14"/>
      <c r="E148" s="185"/>
      <c r="F148" s="185"/>
      <c r="G148" s="185"/>
    </row>
    <row r="149" spans="1:7" ht="18.75" customHeight="1" thickBot="1" x14ac:dyDescent="0.4">
      <c r="A149" s="173"/>
      <c r="B149" s="109"/>
      <c r="C149" s="182">
        <f>SUM(C118:C127,)</f>
        <v>33</v>
      </c>
      <c r="D149" s="182">
        <f>SUM(D118:D127,)</f>
        <v>38</v>
      </c>
      <c r="E149" s="182">
        <f>SUM(E118:E127,)</f>
        <v>0</v>
      </c>
      <c r="F149" s="182">
        <f>SUM(F118:F127,)</f>
        <v>7</v>
      </c>
      <c r="G149" s="182">
        <f>SUM(G118:G148,)</f>
        <v>10</v>
      </c>
    </row>
    <row r="150" spans="1:7" ht="18.75" customHeight="1" thickBot="1" x14ac:dyDescent="0.4">
      <c r="A150" s="110" t="s">
        <v>86</v>
      </c>
      <c r="B150" s="111"/>
      <c r="C150" s="83">
        <f>C149+C117</f>
        <v>142</v>
      </c>
      <c r="D150" s="83">
        <f>D149+D117</f>
        <v>207</v>
      </c>
      <c r="E150" s="83">
        <f>E149+E117</f>
        <v>5</v>
      </c>
      <c r="F150" s="83">
        <f>F149+F117</f>
        <v>70</v>
      </c>
      <c r="G150" s="83">
        <f>G149+G117</f>
        <v>71</v>
      </c>
    </row>
  </sheetData>
  <autoFilter ref="A2:H150" xr:uid="{6A59590F-F0C9-4DF1-9921-C32368387ED6}">
    <filterColumn colId="6">
      <customFilters>
        <customFilter operator="notEqual" val=" "/>
      </customFilters>
    </filterColumn>
  </autoFilter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A6DD438-5F89-45EB-8DDF-34378C7A250D}">
          <x14:formula1>
            <xm:f>Hoja1!$C$2:$C$9</xm:f>
          </x14:formula1>
          <xm:sqref>H2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C532E-B865-431C-AAF8-EE2B296465F8}">
  <sheetPr codeName="Hoja6" filterMode="1">
    <tabColor rgb="FF00B050"/>
  </sheetPr>
  <dimension ref="A1:H150"/>
  <sheetViews>
    <sheetView zoomScale="80" zoomScaleNormal="80" workbookViewId="0">
      <pane xSplit="2" ySplit="2" topLeftCell="G93" activePane="bottomRight" state="frozen"/>
      <selection activeCell="I134" sqref="I134"/>
      <selection pane="topRight" activeCell="I134" sqref="I134"/>
      <selection pane="bottomLeft" activeCell="I134" sqref="I134"/>
      <selection pane="bottomRight" activeCell="A2" sqref="A2:XFD2"/>
    </sheetView>
  </sheetViews>
  <sheetFormatPr baseColWidth="10" defaultRowHeight="18" x14ac:dyDescent="0.35"/>
  <cols>
    <col min="1" max="1" width="55.6640625" customWidth="1"/>
    <col min="2" max="2" width="7.6640625" style="91" bestFit="1" customWidth="1"/>
    <col min="3" max="3" width="14" bestFit="1" customWidth="1"/>
    <col min="4" max="4" width="18" customWidth="1"/>
    <col min="5" max="5" width="15" customWidth="1"/>
    <col min="6" max="6" width="15.88671875" bestFit="1" customWidth="1"/>
  </cols>
  <sheetData>
    <row r="1" spans="1:8" ht="18.600000000000001" thickBot="1" x14ac:dyDescent="0.4">
      <c r="A1" s="1">
        <f>RAIZ!B1</f>
        <v>46301</v>
      </c>
      <c r="C1" s="2"/>
      <c r="D1" s="2" t="s">
        <v>702</v>
      </c>
      <c r="E1" s="2"/>
      <c r="F1" s="2" t="s">
        <v>92</v>
      </c>
      <c r="H1" t="s">
        <v>737</v>
      </c>
    </row>
    <row r="2" spans="1:8" ht="31.8" thickBot="1" x14ac:dyDescent="0.35">
      <c r="A2" s="90" t="s">
        <v>0</v>
      </c>
      <c r="B2" s="92" t="s">
        <v>755</v>
      </c>
      <c r="C2" s="39" t="s">
        <v>703</v>
      </c>
      <c r="D2" s="40" t="s">
        <v>704</v>
      </c>
      <c r="E2" s="88" t="s">
        <v>726</v>
      </c>
      <c r="F2" s="41" t="s">
        <v>705</v>
      </c>
      <c r="G2" s="62" t="s">
        <v>725</v>
      </c>
      <c r="H2" s="87" t="s">
        <v>731</v>
      </c>
    </row>
    <row r="3" spans="1:8" ht="18.75" customHeight="1" x14ac:dyDescent="0.35">
      <c r="A3" s="93" t="s">
        <v>1</v>
      </c>
      <c r="B3" s="112" t="s">
        <v>756</v>
      </c>
      <c r="C3" s="5">
        <f>+IFERROR(VLOOKUP($A3,RAIZ!$A$3:$X$1500,MATCH('Suc. Boulevard'!$F$1,RAIZ!$A$2:$X$2,0),FALSE),0)</f>
        <v>1</v>
      </c>
      <c r="D3" s="4">
        <v>2</v>
      </c>
      <c r="E3" s="5"/>
      <c r="F3" s="5">
        <f>IF(D3-C3&gt;=0,D3-C3,0)</f>
        <v>1</v>
      </c>
      <c r="G3" s="5">
        <v>1</v>
      </c>
    </row>
    <row r="4" spans="1:8" ht="18.75" hidden="1" customHeight="1" x14ac:dyDescent="0.35">
      <c r="A4" s="93" t="s">
        <v>2</v>
      </c>
      <c r="B4" s="112" t="s">
        <v>865</v>
      </c>
      <c r="C4" s="5">
        <f>+IFERROR(VLOOKUP($A4,RAIZ!$A$3:$X$1500,MATCH('Suc. Boulevard'!$F$1,RAIZ!$A$2:$X$2,0),FALSE),0)</f>
        <v>2</v>
      </c>
      <c r="D4" s="4">
        <v>2</v>
      </c>
      <c r="E4" s="5"/>
      <c r="F4" s="5">
        <f>IF(D4-C4&gt;=0,D4-C4,0)</f>
        <v>0</v>
      </c>
      <c r="G4" s="5"/>
    </row>
    <row r="5" spans="1:8" ht="18.75" customHeight="1" thickBot="1" x14ac:dyDescent="0.4">
      <c r="A5" s="93" t="s">
        <v>3</v>
      </c>
      <c r="B5" s="112" t="s">
        <v>757</v>
      </c>
      <c r="C5" s="5">
        <f>+IFERROR(VLOOKUP($A5,RAIZ!$A$3:$X$1500,MATCH('Suc. Boulevard'!$F$1,RAIZ!$A$2:$X$2,0),FALSE),0)</f>
        <v>1</v>
      </c>
      <c r="D5" s="7">
        <v>2</v>
      </c>
      <c r="E5" s="5"/>
      <c r="F5" s="5">
        <f t="shared" ref="F5:F10" si="0">IF(D5-C5&gt;=0,D5-C5,0)</f>
        <v>1</v>
      </c>
      <c r="G5" s="5">
        <v>1</v>
      </c>
    </row>
    <row r="6" spans="1:8" ht="18.75" hidden="1" customHeight="1" x14ac:dyDescent="0.35">
      <c r="A6" s="93" t="s">
        <v>4</v>
      </c>
      <c r="B6" s="112" t="s">
        <v>758</v>
      </c>
      <c r="C6" s="5">
        <f>+IFERROR(VLOOKUP($A6,RAIZ!$A$3:$X$1500,MATCH('Suc. Boulevard'!$F$1,RAIZ!$A$2:$X$2,0),FALSE),0)</f>
        <v>3</v>
      </c>
      <c r="D6" s="7">
        <v>3</v>
      </c>
      <c r="E6" s="5"/>
      <c r="F6" s="5">
        <f t="shared" si="0"/>
        <v>0</v>
      </c>
      <c r="G6" s="5"/>
    </row>
    <row r="7" spans="1:8" ht="18.75" hidden="1" customHeight="1" x14ac:dyDescent="0.35">
      <c r="A7" s="93" t="s">
        <v>5</v>
      </c>
      <c r="B7" s="112" t="s">
        <v>759</v>
      </c>
      <c r="C7" s="5">
        <f>+IFERROR(VLOOKUP($A7,RAIZ!$A$3:$X$1500,MATCH('Suc. Boulevard'!$F$1,RAIZ!$A$2:$X$2,0),FALSE),0)</f>
        <v>1</v>
      </c>
      <c r="D7" s="7">
        <v>1</v>
      </c>
      <c r="E7" s="5"/>
      <c r="F7" s="5">
        <f t="shared" si="0"/>
        <v>0</v>
      </c>
      <c r="G7" s="5"/>
    </row>
    <row r="8" spans="1:8" ht="18.75" hidden="1" customHeight="1" x14ac:dyDescent="0.35">
      <c r="A8" s="93" t="s">
        <v>6</v>
      </c>
      <c r="B8" s="112" t="s">
        <v>760</v>
      </c>
      <c r="C8" s="5">
        <f>+IFERROR(VLOOKUP($A8,RAIZ!$A$3:$X$1500,MATCH('Suc. Boulevard'!$F$1,RAIZ!$A$2:$X$2,0),FALSE),0)</f>
        <v>2</v>
      </c>
      <c r="D8" s="7">
        <v>2</v>
      </c>
      <c r="E8" s="5"/>
      <c r="F8" s="5">
        <f t="shared" si="0"/>
        <v>0</v>
      </c>
      <c r="G8" s="5"/>
    </row>
    <row r="9" spans="1:8" ht="18.75" hidden="1" customHeight="1" x14ac:dyDescent="0.35">
      <c r="A9" s="93" t="s">
        <v>7</v>
      </c>
      <c r="B9" s="112" t="s">
        <v>761</v>
      </c>
      <c r="C9" s="5">
        <f>+IFERROR(VLOOKUP($A9,RAIZ!$A$3:$X$1500,MATCH('Suc. Boulevard'!$F$1,RAIZ!$A$2:$X$2,0),FALSE),0)</f>
        <v>2</v>
      </c>
      <c r="D9" s="7">
        <v>2</v>
      </c>
      <c r="E9" s="5"/>
      <c r="F9" s="5">
        <f t="shared" si="0"/>
        <v>0</v>
      </c>
      <c r="G9" s="5"/>
    </row>
    <row r="10" spans="1:8" ht="18.75" hidden="1" customHeight="1" x14ac:dyDescent="0.35">
      <c r="A10" s="93" t="s">
        <v>8</v>
      </c>
      <c r="B10" s="112" t="s">
        <v>762</v>
      </c>
      <c r="C10" s="5">
        <f>+IFERROR(VLOOKUP($A10,RAIZ!$A$3:$X$1500,MATCH('Suc. Boulevard'!$F$1,RAIZ!$A$2:$X$2,0),FALSE),0)</f>
        <v>2</v>
      </c>
      <c r="D10" s="7">
        <v>2</v>
      </c>
      <c r="E10" s="5"/>
      <c r="F10" s="5">
        <f t="shared" si="0"/>
        <v>0</v>
      </c>
      <c r="G10" s="5"/>
    </row>
    <row r="11" spans="1:8" ht="18.75" hidden="1" customHeight="1" x14ac:dyDescent="0.35">
      <c r="A11" s="93" t="s">
        <v>9</v>
      </c>
      <c r="B11" s="112" t="s">
        <v>763</v>
      </c>
      <c r="C11" s="5">
        <f>+IFERROR(VLOOKUP($A11,RAIZ!$A$3:$X$1500,MATCH('Suc. Boulevard'!$F$1,RAIZ!$A$2:$X$2,0),FALSE),0)</f>
        <v>1</v>
      </c>
      <c r="D11" s="9">
        <v>1</v>
      </c>
      <c r="E11" s="5"/>
      <c r="F11" s="5">
        <f t="shared" ref="F11:F12" si="1">IF(D11-C11&gt;=0,D11-C11,0)</f>
        <v>0</v>
      </c>
      <c r="G11" s="5"/>
    </row>
    <row r="12" spans="1:8" ht="18.75" hidden="1" customHeight="1" x14ac:dyDescent="0.35">
      <c r="A12" s="93"/>
      <c r="B12" s="112"/>
      <c r="C12" s="5">
        <f>+IFERROR(VLOOKUP($A12,RAIZ!$A$3:$X$1500,MATCH('Suc. Boulevard'!$F$1,RAIZ!$A$2:$X$2,0),FALSE),0)</f>
        <v>0</v>
      </c>
      <c r="D12" s="20"/>
      <c r="E12" s="5"/>
      <c r="F12" s="5">
        <f t="shared" si="1"/>
        <v>0</v>
      </c>
      <c r="G12" s="5"/>
    </row>
    <row r="13" spans="1:8" ht="18.75" hidden="1" customHeight="1" x14ac:dyDescent="0.35">
      <c r="A13" s="93"/>
      <c r="B13" s="112"/>
      <c r="C13" s="5">
        <f>+IFERROR(VLOOKUP($A13,RAIZ!$A$3:$X$1500,MATCH('Suc. Boulevard'!$F$1,RAIZ!$A$2:$X$2,0),FALSE),0)</f>
        <v>0</v>
      </c>
      <c r="D13" s="20"/>
      <c r="E13" s="5"/>
      <c r="F13" s="5">
        <f t="shared" ref="F13:F17" si="2">IF(D13-C13&gt;=0,D13-C13,0)</f>
        <v>0</v>
      </c>
      <c r="G13" s="5"/>
    </row>
    <row r="14" spans="1:8" ht="18.75" hidden="1" customHeight="1" x14ac:dyDescent="0.35">
      <c r="A14" s="93"/>
      <c r="B14" s="112"/>
      <c r="C14" s="5">
        <f>+IFERROR(VLOOKUP($A14,RAIZ!$A$3:$X$1500,MATCH('Suc. Boulevard'!$F$1,RAIZ!$A$2:$X$2,0),FALSE),0)</f>
        <v>0</v>
      </c>
      <c r="D14" s="20"/>
      <c r="E14" s="5"/>
      <c r="F14" s="5">
        <f>IF(D14-C14&gt;=0,D14-C14,0)</f>
        <v>0</v>
      </c>
      <c r="G14" s="5"/>
    </row>
    <row r="15" spans="1:8" ht="18.75" hidden="1" customHeight="1" x14ac:dyDescent="0.35">
      <c r="A15" s="93"/>
      <c r="B15" s="112"/>
      <c r="C15" s="5">
        <f>+IFERROR(VLOOKUP($A15,RAIZ!$A$3:$X$1500,MATCH('Suc. Boulevard'!$F$1,RAIZ!$A$2:$X$2,0),FALSE),0)</f>
        <v>0</v>
      </c>
      <c r="D15" s="9"/>
      <c r="E15" s="5"/>
      <c r="F15" s="5">
        <f t="shared" si="2"/>
        <v>0</v>
      </c>
      <c r="G15" s="5"/>
    </row>
    <row r="16" spans="1:8" ht="18.75" hidden="1" customHeight="1" x14ac:dyDescent="0.35">
      <c r="A16" s="93"/>
      <c r="B16" s="112"/>
      <c r="C16" s="5">
        <f>+IFERROR(VLOOKUP($A16,RAIZ!$A$3:$X$1500,MATCH('Suc. Boulevard'!$F$1,RAIZ!$A$2:$X$2,0),FALSE),0)</f>
        <v>0</v>
      </c>
      <c r="D16" s="9"/>
      <c r="E16" s="5"/>
      <c r="F16" s="5">
        <f t="shared" si="2"/>
        <v>0</v>
      </c>
      <c r="G16" s="5"/>
    </row>
    <row r="17" spans="1:7" ht="18.75" hidden="1" customHeight="1" thickBot="1" x14ac:dyDescent="0.4">
      <c r="A17" s="93"/>
      <c r="B17" s="112"/>
      <c r="C17" s="5">
        <f>+IFERROR(VLOOKUP($A17,RAIZ!$A$3:$X$1500,MATCH('Suc. Boulevard'!$F$1,RAIZ!$A$2:$X$2,0),FALSE),0)</f>
        <v>0</v>
      </c>
      <c r="D17" s="9"/>
      <c r="E17" s="5"/>
      <c r="F17" s="5">
        <f t="shared" si="2"/>
        <v>0</v>
      </c>
      <c r="G17" s="5"/>
    </row>
    <row r="18" spans="1:7" ht="18.75" customHeight="1" thickBot="1" x14ac:dyDescent="0.4">
      <c r="A18" s="96" t="s">
        <v>10</v>
      </c>
      <c r="B18" s="111"/>
      <c r="C18" s="75">
        <f>SUM(C3:C17)</f>
        <v>15</v>
      </c>
      <c r="D18" s="75">
        <f>SUM(D3:D17)</f>
        <v>17</v>
      </c>
      <c r="E18" s="44">
        <f>SUM(E3:E17)</f>
        <v>0</v>
      </c>
      <c r="F18" s="63">
        <f>SUM(F3:F17)</f>
        <v>2</v>
      </c>
      <c r="G18" s="44">
        <f>SUM(G3:G17)</f>
        <v>2</v>
      </c>
    </row>
    <row r="19" spans="1:7" ht="18.75" hidden="1" customHeight="1" x14ac:dyDescent="0.35">
      <c r="A19" s="97" t="s">
        <v>676</v>
      </c>
      <c r="B19" s="112" t="s">
        <v>764</v>
      </c>
      <c r="C19" s="5">
        <f>+IFERROR(VLOOKUP($A19,RAIZ!$A$3:$X$1500,MATCH('Suc. Boulevard'!$F$1,RAIZ!$A$2:$X$2,0),FALSE),0)</f>
        <v>0</v>
      </c>
      <c r="D19" s="172">
        <v>0</v>
      </c>
      <c r="E19" s="5"/>
      <c r="F19" s="5">
        <f t="shared" ref="F19:F21" si="3">IF(D19-C19&gt;=0,D19-C19,0)</f>
        <v>0</v>
      </c>
      <c r="G19" s="5"/>
    </row>
    <row r="20" spans="1:7" ht="18.75" customHeight="1" x14ac:dyDescent="0.35">
      <c r="A20" s="97" t="s">
        <v>11</v>
      </c>
      <c r="B20" s="112" t="s">
        <v>827</v>
      </c>
      <c r="C20" s="5">
        <f>+IFERROR(VLOOKUP($A20,RAIZ!$A$3:$X$1500,MATCH('Suc. Boulevard'!$F$1,RAIZ!$A$2:$X$2,0),FALSE),0)</f>
        <v>2</v>
      </c>
      <c r="D20" s="14">
        <v>3</v>
      </c>
      <c r="E20" s="5"/>
      <c r="F20" s="5">
        <f t="shared" si="3"/>
        <v>1</v>
      </c>
      <c r="G20" s="5">
        <v>1</v>
      </c>
    </row>
    <row r="21" spans="1:7" ht="18.75" hidden="1" customHeight="1" x14ac:dyDescent="0.35">
      <c r="A21" s="97" t="s">
        <v>344</v>
      </c>
      <c r="B21" s="112" t="s">
        <v>765</v>
      </c>
      <c r="C21" s="5">
        <f>+IFERROR(VLOOKUP($A21,RAIZ!$A$3:$X$1500,MATCH('Suc. Boulevard'!$F$1,RAIZ!$A$2:$X$2,0),FALSE),0)</f>
        <v>1</v>
      </c>
      <c r="D21" s="14">
        <v>1</v>
      </c>
      <c r="E21" s="5"/>
      <c r="F21" s="5">
        <f t="shared" si="3"/>
        <v>0</v>
      </c>
      <c r="G21" s="5"/>
    </row>
    <row r="22" spans="1:7" ht="18.75" hidden="1" customHeight="1" x14ac:dyDescent="0.35">
      <c r="A22" s="97" t="s">
        <v>832</v>
      </c>
      <c r="B22" s="112" t="s">
        <v>833</v>
      </c>
      <c r="C22" s="5">
        <f>+IFERROR(VLOOKUP($A22,RAIZ!$A$3:$X$1500,MATCH('Suc. Boulevard'!$F$1,RAIZ!$A$2:$X$2,0),FALSE),0)</f>
        <v>1</v>
      </c>
      <c r="D22" s="14">
        <v>1</v>
      </c>
      <c r="E22" s="5"/>
      <c r="F22" s="5">
        <f t="shared" ref="F22:F31" si="4">IF(D22-C22&gt;=0,D22-C22,0)</f>
        <v>0</v>
      </c>
      <c r="G22" s="5"/>
    </row>
    <row r="23" spans="1:7" ht="18.75" hidden="1" customHeight="1" x14ac:dyDescent="0.35">
      <c r="A23" s="97" t="s">
        <v>12</v>
      </c>
      <c r="B23" s="112" t="s">
        <v>766</v>
      </c>
      <c r="C23" s="5">
        <f>+IFERROR(VLOOKUP($A23,RAIZ!$A$3:$X$1500,MATCH('Suc. Boulevard'!$F$1,RAIZ!$A$2:$X$2,0),FALSE),0)</f>
        <v>2</v>
      </c>
      <c r="D23" s="14">
        <v>2</v>
      </c>
      <c r="E23" s="5"/>
      <c r="F23" s="5">
        <f t="shared" si="4"/>
        <v>0</v>
      </c>
      <c r="G23" s="5"/>
    </row>
    <row r="24" spans="1:7" ht="18.75" hidden="1" customHeight="1" x14ac:dyDescent="0.35">
      <c r="A24" s="97" t="s">
        <v>432</v>
      </c>
      <c r="B24" s="112" t="s">
        <v>767</v>
      </c>
      <c r="C24" s="5">
        <f>+IFERROR(VLOOKUP($A24,RAIZ!$A$3:$X$1500,MATCH('Suc. Boulevard'!$F$1,RAIZ!$A$2:$X$2,0),FALSE),0)</f>
        <v>0</v>
      </c>
      <c r="D24" s="14">
        <v>1</v>
      </c>
      <c r="E24" s="5"/>
      <c r="F24" s="5">
        <f t="shared" si="4"/>
        <v>1</v>
      </c>
      <c r="G24" s="5"/>
    </row>
    <row r="25" spans="1:7" ht="18.75" customHeight="1" thickBot="1" x14ac:dyDescent="0.4">
      <c r="A25" s="97" t="s">
        <v>468</v>
      </c>
      <c r="B25" s="112" t="s">
        <v>768</v>
      </c>
      <c r="C25" s="5">
        <f>+IFERROR(VLOOKUP($A25,RAIZ!$A$3:$X$1500,MATCH('Suc. Boulevard'!$F$1,RAIZ!$A$2:$X$2,0),FALSE),0)</f>
        <v>0</v>
      </c>
      <c r="D25" s="16">
        <v>3</v>
      </c>
      <c r="E25" s="5"/>
      <c r="F25" s="5">
        <f t="shared" si="4"/>
        <v>3</v>
      </c>
      <c r="G25" s="5">
        <v>3</v>
      </c>
    </row>
    <row r="26" spans="1:7" ht="18.75" hidden="1" customHeight="1" x14ac:dyDescent="0.35">
      <c r="A26" s="97"/>
      <c r="B26" s="112"/>
      <c r="C26" s="5">
        <f>+IFERROR(VLOOKUP($A26,RAIZ!$A$3:$X$1500,MATCH('Suc. Boulevard'!$F$1,RAIZ!$A$2:$X$2,0),FALSE),0)</f>
        <v>0</v>
      </c>
      <c r="D26" s="20"/>
      <c r="E26" s="5"/>
      <c r="F26" s="5">
        <f t="shared" si="4"/>
        <v>0</v>
      </c>
      <c r="G26" s="5"/>
    </row>
    <row r="27" spans="1:7" ht="18.75" hidden="1" customHeight="1" x14ac:dyDescent="0.35">
      <c r="A27" s="97"/>
      <c r="B27" s="112"/>
      <c r="C27" s="5">
        <f>+IFERROR(VLOOKUP($A27,RAIZ!$A$3:$X$1500,MATCH('Suc. Boulevard'!$F$1,RAIZ!$A$2:$X$2,0),FALSE),0)</f>
        <v>0</v>
      </c>
      <c r="D27" s="16"/>
      <c r="E27" s="5"/>
      <c r="F27" s="5">
        <f>IF(D27-C27&gt;=0,D27-C27,0)</f>
        <v>0</v>
      </c>
      <c r="G27" s="5"/>
    </row>
    <row r="28" spans="1:7" ht="18.75" hidden="1" customHeight="1" x14ac:dyDescent="0.35">
      <c r="A28" s="97"/>
      <c r="B28" s="112"/>
      <c r="C28" s="5">
        <f>+IFERROR(VLOOKUP($A28,RAIZ!$A$3:$X$1500,MATCH('Suc. Boulevard'!$F$1,RAIZ!$A$2:$X$2,0),FALSE),0)</f>
        <v>0</v>
      </c>
      <c r="D28" s="16"/>
      <c r="E28" s="5"/>
      <c r="F28" s="5">
        <f t="shared" si="4"/>
        <v>0</v>
      </c>
      <c r="G28" s="5"/>
    </row>
    <row r="29" spans="1:7" ht="18.75" hidden="1" customHeight="1" x14ac:dyDescent="0.35">
      <c r="A29" s="97"/>
      <c r="B29" s="112"/>
      <c r="C29" s="5">
        <f>+IFERROR(VLOOKUP($A29,RAIZ!$A$3:$X$1500,MATCH('Suc. Boulevard'!$F$1,RAIZ!$A$2:$X$2,0),FALSE),0)</f>
        <v>0</v>
      </c>
      <c r="D29" s="16"/>
      <c r="E29" s="5"/>
      <c r="F29" s="5">
        <f t="shared" si="4"/>
        <v>0</v>
      </c>
      <c r="G29" s="5"/>
    </row>
    <row r="30" spans="1:7" ht="18.75" hidden="1" customHeight="1" x14ac:dyDescent="0.35">
      <c r="A30" s="97"/>
      <c r="B30" s="112"/>
      <c r="C30" s="5">
        <f>+IFERROR(VLOOKUP($A30,RAIZ!$A$3:$X$1500,MATCH('Suc. Boulevard'!$F$1,RAIZ!$A$2:$X$2,0),FALSE),0)</f>
        <v>0</v>
      </c>
      <c r="D30" s="16"/>
      <c r="E30" s="5"/>
      <c r="F30" s="5">
        <f t="shared" si="4"/>
        <v>0</v>
      </c>
      <c r="G30" s="5"/>
    </row>
    <row r="31" spans="1:7" ht="18.75" hidden="1" customHeight="1" thickBot="1" x14ac:dyDescent="0.4">
      <c r="A31" s="97"/>
      <c r="B31" s="112"/>
      <c r="C31" s="5">
        <f>+IFERROR(VLOOKUP($A31,RAIZ!$A$3:$X$1500,MATCH('Suc. Boulevard'!$F$1,RAIZ!$A$2:$X$2,0),FALSE),0)</f>
        <v>0</v>
      </c>
      <c r="D31" s="16"/>
      <c r="E31" s="5"/>
      <c r="F31" s="5">
        <f t="shared" si="4"/>
        <v>0</v>
      </c>
      <c r="G31" s="5"/>
    </row>
    <row r="32" spans="1:7" ht="18.75" customHeight="1" thickBot="1" x14ac:dyDescent="0.4">
      <c r="A32" s="98" t="s">
        <v>13</v>
      </c>
      <c r="B32" s="111"/>
      <c r="C32" s="76">
        <f>SUM(C19:C31)</f>
        <v>6</v>
      </c>
      <c r="D32" s="76">
        <f>SUM(D19:D31)</f>
        <v>11</v>
      </c>
      <c r="E32" s="46">
        <f>SUM(E19:E31)</f>
        <v>0</v>
      </c>
      <c r="F32" s="64">
        <f>SUM(F19:F31)</f>
        <v>5</v>
      </c>
      <c r="G32" s="46">
        <f>SUM(G19:G31)</f>
        <v>4</v>
      </c>
    </row>
    <row r="33" spans="1:7" ht="18.75" customHeight="1" x14ac:dyDescent="0.35">
      <c r="A33" s="97" t="s">
        <v>14</v>
      </c>
      <c r="B33" s="112" t="s">
        <v>769</v>
      </c>
      <c r="C33" s="5">
        <f>+IFERROR(VLOOKUP($A33,RAIZ!$A$3:$X$1500,MATCH('Suc. Boulevard'!$F$1,RAIZ!$A$2:$X$2,0),FALSE),0)</f>
        <v>1</v>
      </c>
      <c r="D33" s="4">
        <v>2</v>
      </c>
      <c r="E33" s="5"/>
      <c r="F33" s="5">
        <f t="shared" ref="F33:F48" si="5">IF(D33-C33&gt;=0,D33-C33,0)</f>
        <v>1</v>
      </c>
      <c r="G33" s="5">
        <v>1</v>
      </c>
    </row>
    <row r="34" spans="1:7" ht="18.75" customHeight="1" x14ac:dyDescent="0.35">
      <c r="A34" s="97" t="s">
        <v>15</v>
      </c>
      <c r="B34" s="112" t="s">
        <v>770</v>
      </c>
      <c r="C34" s="5">
        <f>+IFERROR(VLOOKUP($A34,RAIZ!$A$3:$X$1500,MATCH('Suc. Boulevard'!$F$1,RAIZ!$A$2:$X$2,0),FALSE),0)</f>
        <v>0</v>
      </c>
      <c r="D34" s="7">
        <v>1</v>
      </c>
      <c r="E34" s="5"/>
      <c r="F34" s="5">
        <f t="shared" si="5"/>
        <v>1</v>
      </c>
      <c r="G34" s="5">
        <v>1</v>
      </c>
    </row>
    <row r="35" spans="1:7" ht="18.75" hidden="1" customHeight="1" x14ac:dyDescent="0.35">
      <c r="A35" s="97" t="s">
        <v>16</v>
      </c>
      <c r="B35" s="112" t="s">
        <v>771</v>
      </c>
      <c r="C35" s="5">
        <f>+IFERROR(VLOOKUP($A35,RAIZ!$A$3:$X$1500,MATCH('Suc. Boulevard'!$F$1,RAIZ!$A$2:$X$2,0),FALSE),0)</f>
        <v>1</v>
      </c>
      <c r="D35" s="7">
        <v>1</v>
      </c>
      <c r="E35" s="5"/>
      <c r="F35" s="5">
        <f t="shared" si="5"/>
        <v>0</v>
      </c>
      <c r="G35" s="5"/>
    </row>
    <row r="36" spans="1:7" ht="18.75" hidden="1" customHeight="1" x14ac:dyDescent="0.35">
      <c r="A36" s="97" t="s">
        <v>17</v>
      </c>
      <c r="B36" s="112" t="s">
        <v>772</v>
      </c>
      <c r="C36" s="5">
        <f>+IFERROR(VLOOKUP($A36,RAIZ!$A$3:$X$1500,MATCH('Suc. Boulevard'!$F$1,RAIZ!$A$2:$X$2,0),FALSE),0)</f>
        <v>0</v>
      </c>
      <c r="D36" s="169">
        <v>0</v>
      </c>
      <c r="E36" s="5"/>
      <c r="F36" s="5">
        <f t="shared" si="5"/>
        <v>0</v>
      </c>
      <c r="G36" s="5"/>
    </row>
    <row r="37" spans="1:7" ht="18.75" hidden="1" customHeight="1" x14ac:dyDescent="0.35">
      <c r="A37" s="97" t="s">
        <v>18</v>
      </c>
      <c r="B37" s="112" t="s">
        <v>773</v>
      </c>
      <c r="C37" s="5">
        <f>+IFERROR(VLOOKUP($A37,RAIZ!$A$3:$X$1500,MATCH('Suc. Boulevard'!$F$1,RAIZ!$A$2:$X$2,0),FALSE),0)</f>
        <v>3</v>
      </c>
      <c r="D37" s="7">
        <v>3</v>
      </c>
      <c r="E37" s="5"/>
      <c r="F37" s="5">
        <f t="shared" si="5"/>
        <v>0</v>
      </c>
      <c r="G37" s="5"/>
    </row>
    <row r="38" spans="1:7" ht="18.75" hidden="1" customHeight="1" x14ac:dyDescent="0.35">
      <c r="A38" s="97" t="s">
        <v>22</v>
      </c>
      <c r="B38" s="112" t="s">
        <v>774</v>
      </c>
      <c r="C38" s="5">
        <f>+IFERROR(VLOOKUP($A38,RAIZ!$A$3:$X$1500,MATCH('Suc. Boulevard'!$F$1,RAIZ!$A$2:$X$2,0),FALSE),0)</f>
        <v>2</v>
      </c>
      <c r="D38" s="18">
        <v>2</v>
      </c>
      <c r="E38" s="5"/>
      <c r="F38" s="5">
        <f t="shared" si="5"/>
        <v>0</v>
      </c>
      <c r="G38" s="5"/>
    </row>
    <row r="39" spans="1:7" ht="18.75" hidden="1" customHeight="1" x14ac:dyDescent="0.35">
      <c r="A39" s="97" t="s">
        <v>23</v>
      </c>
      <c r="B39" s="112" t="s">
        <v>775</v>
      </c>
      <c r="C39" s="5">
        <f>+IFERROR(VLOOKUP($A39,RAIZ!$A$3:$X$1500,MATCH('Suc. Boulevard'!$F$1,RAIZ!$A$2:$X$2,0),FALSE),0)</f>
        <v>1</v>
      </c>
      <c r="D39" s="18">
        <v>1</v>
      </c>
      <c r="E39" s="5"/>
      <c r="F39" s="5">
        <f t="shared" si="5"/>
        <v>0</v>
      </c>
      <c r="G39" s="5"/>
    </row>
    <row r="40" spans="1:7" ht="18.75" customHeight="1" x14ac:dyDescent="0.35">
      <c r="A40" s="97" t="s">
        <v>24</v>
      </c>
      <c r="B40" s="112" t="s">
        <v>776</v>
      </c>
      <c r="C40" s="5">
        <f>+IFERROR(VLOOKUP($A40,RAIZ!$A$3:$X$1500,MATCH('Suc. Boulevard'!$F$1,RAIZ!$A$2:$X$2,0),FALSE),0)</f>
        <v>1</v>
      </c>
      <c r="D40" s="7">
        <v>2</v>
      </c>
      <c r="E40" s="5"/>
      <c r="F40" s="5">
        <f t="shared" si="5"/>
        <v>1</v>
      </c>
      <c r="G40" s="5">
        <v>1</v>
      </c>
    </row>
    <row r="41" spans="1:7" ht="18.75" customHeight="1" thickBot="1" x14ac:dyDescent="0.4">
      <c r="A41" s="97" t="s">
        <v>25</v>
      </c>
      <c r="B41" s="112" t="s">
        <v>777</v>
      </c>
      <c r="C41" s="5">
        <f>+IFERROR(VLOOKUP($A41,RAIZ!$A$3:$X$1500,MATCH('Suc. Boulevard'!$F$1,RAIZ!$A$2:$X$2,0),FALSE),0)</f>
        <v>0</v>
      </c>
      <c r="D41" s="18">
        <v>1</v>
      </c>
      <c r="E41" s="5"/>
      <c r="F41" s="5">
        <f t="shared" si="5"/>
        <v>1</v>
      </c>
      <c r="G41" s="5">
        <v>1</v>
      </c>
    </row>
    <row r="42" spans="1:7" ht="18.75" hidden="1" customHeight="1" x14ac:dyDescent="0.35">
      <c r="A42" s="97"/>
      <c r="B42" s="112"/>
      <c r="C42" s="5">
        <f>+IFERROR(VLOOKUP($A42,RAIZ!$A$3:$X$1500,MATCH('Suc. Boulevard'!$F$1,RAIZ!$A$2:$X$2,0),FALSE),0)</f>
        <v>0</v>
      </c>
      <c r="D42" s="20"/>
      <c r="E42" s="5"/>
      <c r="F42" s="5">
        <f t="shared" si="5"/>
        <v>0</v>
      </c>
      <c r="G42" s="5"/>
    </row>
    <row r="43" spans="1:7" ht="18.75" hidden="1" customHeight="1" x14ac:dyDescent="0.35">
      <c r="A43" s="97"/>
      <c r="B43" s="112"/>
      <c r="C43" s="5">
        <f>+IFERROR(VLOOKUP($A43,RAIZ!$A$3:$X$1500,MATCH('Suc. Boulevard'!$F$1,RAIZ!$A$2:$X$2,0),FALSE),0)</f>
        <v>0</v>
      </c>
      <c r="D43" s="18"/>
      <c r="E43" s="5"/>
      <c r="F43" s="5">
        <f t="shared" si="5"/>
        <v>0</v>
      </c>
      <c r="G43" s="5"/>
    </row>
    <row r="44" spans="1:7" ht="18.75" hidden="1" customHeight="1" x14ac:dyDescent="0.35">
      <c r="A44" s="97"/>
      <c r="B44" s="112"/>
      <c r="C44" s="5">
        <f>+IFERROR(VLOOKUP($A44,RAIZ!$A$3:$X$1500,MATCH('Suc. Boulevard'!$F$1,RAIZ!$A$2:$X$2,0),FALSE),0)</f>
        <v>0</v>
      </c>
      <c r="D44" s="18"/>
      <c r="E44" s="5"/>
      <c r="F44" s="5">
        <f t="shared" si="5"/>
        <v>0</v>
      </c>
      <c r="G44" s="5"/>
    </row>
    <row r="45" spans="1:7" ht="18.75" hidden="1" customHeight="1" x14ac:dyDescent="0.35">
      <c r="A45" s="97"/>
      <c r="B45" s="112"/>
      <c r="C45" s="5">
        <f>+IFERROR(VLOOKUP($A45,RAIZ!$A$3:$X$1500,MATCH('Suc. Boulevard'!$F$1,RAIZ!$A$2:$X$2,0),FALSE),0)</f>
        <v>0</v>
      </c>
      <c r="D45" s="18"/>
      <c r="E45" s="5"/>
      <c r="F45" s="5">
        <f t="shared" si="5"/>
        <v>0</v>
      </c>
      <c r="G45" s="5"/>
    </row>
    <row r="46" spans="1:7" ht="18.75" hidden="1" customHeight="1" x14ac:dyDescent="0.35">
      <c r="A46" s="97"/>
      <c r="B46" s="112"/>
      <c r="C46" s="5">
        <f>+IFERROR(VLOOKUP($A46,RAIZ!$A$3:$X$1500,MATCH('Suc. Boulevard'!$F$1,RAIZ!$A$2:$X$2,0),FALSE),0)</f>
        <v>0</v>
      </c>
      <c r="D46" s="18"/>
      <c r="E46" s="5"/>
      <c r="F46" s="5">
        <f t="shared" si="5"/>
        <v>0</v>
      </c>
      <c r="G46" s="5"/>
    </row>
    <row r="47" spans="1:7" ht="18.75" hidden="1" customHeight="1" x14ac:dyDescent="0.35">
      <c r="A47" s="97"/>
      <c r="B47" s="112"/>
      <c r="C47" s="5">
        <f>+IFERROR(VLOOKUP($A47,RAIZ!$A$3:$X$1500,MATCH('Suc. Boulevard'!$F$1,RAIZ!$A$2:$X$2,0),FALSE),0)</f>
        <v>0</v>
      </c>
      <c r="D47" s="18"/>
      <c r="E47" s="5"/>
      <c r="F47" s="5">
        <f t="shared" si="5"/>
        <v>0</v>
      </c>
      <c r="G47" s="5"/>
    </row>
    <row r="48" spans="1:7" ht="18.75" hidden="1" customHeight="1" thickBot="1" x14ac:dyDescent="0.4">
      <c r="A48" s="97"/>
      <c r="B48" s="112"/>
      <c r="C48" s="5">
        <f>+IFERROR(VLOOKUP($A48,RAIZ!$A$3:$X$1500,MATCH('Suc. Boulevard'!$F$1,RAIZ!$A$2:$X$2,0),FALSE),0)</f>
        <v>0</v>
      </c>
      <c r="D48" s="18"/>
      <c r="E48" s="5"/>
      <c r="F48" s="5">
        <f t="shared" si="5"/>
        <v>0</v>
      </c>
      <c r="G48" s="5"/>
    </row>
    <row r="49" spans="1:7" ht="18.75" customHeight="1" thickBot="1" x14ac:dyDescent="0.4">
      <c r="A49" s="99" t="s">
        <v>29</v>
      </c>
      <c r="B49" s="111"/>
      <c r="C49" s="77">
        <f>SUM(C33:C48)</f>
        <v>9</v>
      </c>
      <c r="D49" s="77">
        <f>SUM(D33:D48)</f>
        <v>13</v>
      </c>
      <c r="E49" s="48">
        <f>SUM(E33:E48)</f>
        <v>0</v>
      </c>
      <c r="F49" s="65">
        <f>SUM(F33:F48)</f>
        <v>4</v>
      </c>
      <c r="G49" s="48">
        <f>SUM(G33:G48)</f>
        <v>4</v>
      </c>
    </row>
    <row r="50" spans="1:7" ht="18.75" customHeight="1" x14ac:dyDescent="0.35">
      <c r="A50" s="93" t="s">
        <v>30</v>
      </c>
      <c r="B50" s="112" t="s">
        <v>778</v>
      </c>
      <c r="C50" s="5">
        <f>+IFERROR(VLOOKUP($A50,RAIZ!$A$3:$X$1500,MATCH('Suc. Boulevard'!$F$1,RAIZ!$A$2:$X$2,0),FALSE),0)</f>
        <v>1</v>
      </c>
      <c r="D50" s="4">
        <v>3</v>
      </c>
      <c r="E50" s="5"/>
      <c r="F50" s="5">
        <f>IF(D50-C50&gt;=0,D50-C50,0)</f>
        <v>2</v>
      </c>
      <c r="G50" s="5">
        <v>2</v>
      </c>
    </row>
    <row r="51" spans="1:7" ht="18.75" customHeight="1" thickBot="1" x14ac:dyDescent="0.4">
      <c r="A51" s="95" t="s">
        <v>31</v>
      </c>
      <c r="B51" s="112" t="s">
        <v>779</v>
      </c>
      <c r="C51" s="5">
        <f>+IFERROR(VLOOKUP($A51,RAIZ!$A$3:$X$1500,MATCH('Suc. Boulevard'!$F$1,RAIZ!$A$2:$X$2,0),FALSE),0)</f>
        <v>3</v>
      </c>
      <c r="D51" s="20">
        <v>4</v>
      </c>
      <c r="E51" s="5"/>
      <c r="F51" s="5">
        <f t="shared" ref="F51" si="6">IF(D51-C51&gt;=0,D51-C51,0)</f>
        <v>1</v>
      </c>
      <c r="G51" s="5">
        <v>1</v>
      </c>
    </row>
    <row r="52" spans="1:7" ht="18.75" customHeight="1" thickBot="1" x14ac:dyDescent="0.4">
      <c r="A52" s="100" t="s">
        <v>32</v>
      </c>
      <c r="B52" s="111"/>
      <c r="C52" s="78">
        <f>SUM(C50:C51)</f>
        <v>4</v>
      </c>
      <c r="D52" s="78">
        <f>SUM(D50:D51)</f>
        <v>7</v>
      </c>
      <c r="E52" s="50">
        <f t="shared" ref="E52" si="7">SUM(E50:E51)</f>
        <v>0</v>
      </c>
      <c r="F52" s="66">
        <f t="shared" ref="F52:G52" si="8">SUM(F50:F51)</f>
        <v>3</v>
      </c>
      <c r="G52" s="50">
        <f t="shared" si="8"/>
        <v>3</v>
      </c>
    </row>
    <row r="53" spans="1:7" ht="18.75" hidden="1" customHeight="1" x14ac:dyDescent="0.35">
      <c r="A53" s="93" t="s">
        <v>33</v>
      </c>
      <c r="B53" s="112" t="s">
        <v>780</v>
      </c>
      <c r="C53" s="5">
        <f>+IFERROR(VLOOKUP($A53,RAIZ!$A$3:$X$1500,MATCH('Suc. Boulevard'!$F$1,RAIZ!$A$2:$X$2,0),FALSE),0)</f>
        <v>3</v>
      </c>
      <c r="D53" s="4">
        <v>3</v>
      </c>
      <c r="E53" s="5"/>
      <c r="F53" s="5">
        <f t="shared" ref="F53:F54" si="9">IF(D53-C53&gt;=0,D53-C53,0)</f>
        <v>0</v>
      </c>
      <c r="G53" s="5"/>
    </row>
    <row r="54" spans="1:7" ht="18.75" customHeight="1" thickBot="1" x14ac:dyDescent="0.4">
      <c r="A54" s="95" t="s">
        <v>34</v>
      </c>
      <c r="B54" s="112" t="s">
        <v>781</v>
      </c>
      <c r="C54" s="5">
        <f>+IFERROR(VLOOKUP($A54,RAIZ!$A$3:$X$1500,MATCH('Suc. Boulevard'!$F$1,RAIZ!$A$2:$X$2,0),FALSE),0)</f>
        <v>1</v>
      </c>
      <c r="D54" s="20">
        <v>3</v>
      </c>
      <c r="E54" s="5"/>
      <c r="F54" s="5">
        <f t="shared" si="9"/>
        <v>2</v>
      </c>
      <c r="G54" s="5">
        <v>2</v>
      </c>
    </row>
    <row r="55" spans="1:7" ht="18.75" customHeight="1" thickBot="1" x14ac:dyDescent="0.4">
      <c r="A55" s="99" t="s">
        <v>35</v>
      </c>
      <c r="B55" s="111"/>
      <c r="C55" s="77">
        <f>SUM(C53:C54)</f>
        <v>4</v>
      </c>
      <c r="D55" s="77">
        <f>SUM(D53:D54)</f>
        <v>6</v>
      </c>
      <c r="E55" s="48">
        <f t="shared" ref="E55" si="10">SUM(E53:E54)</f>
        <v>0</v>
      </c>
      <c r="F55" s="65">
        <f t="shared" ref="F55:G55" si="11">SUM(F53:F54)</f>
        <v>2</v>
      </c>
      <c r="G55" s="48">
        <f t="shared" si="11"/>
        <v>2</v>
      </c>
    </row>
    <row r="56" spans="1:7" ht="18.75" hidden="1" customHeight="1" x14ac:dyDescent="0.35">
      <c r="A56" s="93" t="s">
        <v>36</v>
      </c>
      <c r="B56" s="112" t="s">
        <v>782</v>
      </c>
      <c r="C56" s="5">
        <f>+IFERROR(VLOOKUP($A56,RAIZ!$A$3:$X$1500,MATCH('Suc. Boulevard'!$F$1,RAIZ!$A$2:$X$2,0),FALSE),0)</f>
        <v>1</v>
      </c>
      <c r="D56" s="4">
        <v>1</v>
      </c>
      <c r="E56" s="5"/>
      <c r="F56" s="5">
        <f t="shared" ref="F56:F70" si="12">IF(D56-C56&gt;=0,D56-C56,0)</f>
        <v>0</v>
      </c>
      <c r="G56" s="5"/>
    </row>
    <row r="57" spans="1:7" ht="18.75" hidden="1" customHeight="1" x14ac:dyDescent="0.35">
      <c r="A57" s="93" t="s">
        <v>37</v>
      </c>
      <c r="B57" s="112" t="s">
        <v>783</v>
      </c>
      <c r="C57" s="5">
        <f>+IFERROR(VLOOKUP($A57,RAIZ!$A$3:$X$1500,MATCH('Suc. Boulevard'!$F$1,RAIZ!$A$2:$X$2,0),FALSE),0)</f>
        <v>2</v>
      </c>
      <c r="D57" s="7">
        <v>1</v>
      </c>
      <c r="E57" s="5"/>
      <c r="F57" s="5">
        <f t="shared" si="12"/>
        <v>0</v>
      </c>
      <c r="G57" s="5"/>
    </row>
    <row r="58" spans="1:7" ht="18.75" hidden="1" customHeight="1" x14ac:dyDescent="0.35">
      <c r="A58" s="93" t="s">
        <v>39</v>
      </c>
      <c r="B58" s="112" t="s">
        <v>784</v>
      </c>
      <c r="C58" s="5">
        <f>+IFERROR(VLOOKUP($A58,RAIZ!$A$3:$X$1500,MATCH('Suc. Boulevard'!$F$1,RAIZ!$A$2:$X$2,0),FALSE),0)</f>
        <v>1</v>
      </c>
      <c r="D58" s="7">
        <v>1</v>
      </c>
      <c r="E58" s="5"/>
      <c r="F58" s="5">
        <f t="shared" ref="F58" si="13">IF(D58-C58&gt;=0,D58-C58,0)</f>
        <v>0</v>
      </c>
      <c r="G58" s="5"/>
    </row>
    <row r="59" spans="1:7" ht="18.75" hidden="1" customHeight="1" x14ac:dyDescent="0.35">
      <c r="A59" s="93" t="s">
        <v>40</v>
      </c>
      <c r="B59" s="112" t="s">
        <v>785</v>
      </c>
      <c r="C59" s="5">
        <f>+IFERROR(VLOOKUP($A59,RAIZ!$A$3:$X$1500,MATCH('Suc. Boulevard'!$F$1,RAIZ!$A$2:$X$2,0),FALSE),0)</f>
        <v>1</v>
      </c>
      <c r="D59" s="7">
        <v>1</v>
      </c>
      <c r="E59" s="5"/>
      <c r="F59" s="5">
        <f t="shared" si="12"/>
        <v>0</v>
      </c>
      <c r="G59" s="5"/>
    </row>
    <row r="60" spans="1:7" ht="18.75" hidden="1" customHeight="1" x14ac:dyDescent="0.35">
      <c r="A60" s="93" t="s">
        <v>41</v>
      </c>
      <c r="B60" s="112" t="s">
        <v>786</v>
      </c>
      <c r="C60" s="5">
        <f>+IFERROR(VLOOKUP($A60,RAIZ!$A$3:$X$1500,MATCH('Suc. Boulevard'!$F$1,RAIZ!$A$2:$X$2,0),FALSE),0)</f>
        <v>1</v>
      </c>
      <c r="D60" s="7">
        <v>1</v>
      </c>
      <c r="E60" s="5"/>
      <c r="F60" s="5">
        <f t="shared" si="12"/>
        <v>0</v>
      </c>
      <c r="G60" s="5"/>
    </row>
    <row r="61" spans="1:7" ht="18.75" hidden="1" customHeight="1" x14ac:dyDescent="0.35">
      <c r="A61" s="101" t="s">
        <v>42</v>
      </c>
      <c r="B61" s="112" t="s">
        <v>787</v>
      </c>
      <c r="C61" s="5">
        <f>+IFERROR(VLOOKUP($A61,RAIZ!$A$3:$X$1500,MATCH('Suc. Boulevard'!$F$1,RAIZ!$A$2:$X$2,0),FALSE),0)</f>
        <v>1</v>
      </c>
      <c r="D61" s="4">
        <v>1</v>
      </c>
      <c r="E61" s="5"/>
      <c r="F61" s="5">
        <f t="shared" si="12"/>
        <v>0</v>
      </c>
      <c r="G61" s="5"/>
    </row>
    <row r="62" spans="1:7" ht="18.75" customHeight="1" x14ac:dyDescent="0.35">
      <c r="A62" s="102" t="s">
        <v>43</v>
      </c>
      <c r="B62" s="112" t="s">
        <v>788</v>
      </c>
      <c r="C62" s="5">
        <f>+IFERROR(VLOOKUP($A62,RAIZ!$A$3:$X$1500,MATCH('Suc. Boulevard'!$F$1,RAIZ!$A$2:$X$2,0),FALSE),0)</f>
        <v>0</v>
      </c>
      <c r="D62" s="7">
        <v>1</v>
      </c>
      <c r="E62" s="5"/>
      <c r="F62" s="5">
        <f t="shared" si="12"/>
        <v>1</v>
      </c>
      <c r="G62" s="5">
        <v>1</v>
      </c>
    </row>
    <row r="63" spans="1:7" ht="18.75" hidden="1" customHeight="1" x14ac:dyDescent="0.35">
      <c r="A63" s="93" t="s">
        <v>44</v>
      </c>
      <c r="B63" s="112" t="s">
        <v>789</v>
      </c>
      <c r="C63" s="5">
        <f>+IFERROR(VLOOKUP($A63,RAIZ!$A$3:$X$1500,MATCH('Suc. Boulevard'!$F$1,RAIZ!$A$2:$X$2,0),FALSE),0)</f>
        <v>1</v>
      </c>
      <c r="D63" s="7">
        <v>1</v>
      </c>
      <c r="E63" s="5"/>
      <c r="F63" s="5">
        <f t="shared" si="12"/>
        <v>0</v>
      </c>
      <c r="G63" s="5"/>
    </row>
    <row r="64" spans="1:7" ht="18.75" hidden="1" customHeight="1" x14ac:dyDescent="0.35">
      <c r="A64" s="93" t="s">
        <v>45</v>
      </c>
      <c r="B64" s="112" t="s">
        <v>790</v>
      </c>
      <c r="C64" s="5">
        <f>+IFERROR(VLOOKUP($A64,RAIZ!$A$3:$X$1500,MATCH('Suc. Boulevard'!$F$1,RAIZ!$A$2:$X$2,0),FALSE),0)</f>
        <v>1</v>
      </c>
      <c r="D64" s="4">
        <v>1</v>
      </c>
      <c r="E64" s="5"/>
      <c r="F64" s="5">
        <f t="shared" si="12"/>
        <v>0</v>
      </c>
      <c r="G64" s="5"/>
    </row>
    <row r="65" spans="1:7" ht="18.75" customHeight="1" x14ac:dyDescent="0.35">
      <c r="A65" s="93" t="s">
        <v>46</v>
      </c>
      <c r="B65" s="112" t="s">
        <v>791</v>
      </c>
      <c r="C65" s="5">
        <f>+IFERROR(VLOOKUP($A65,RAIZ!$A$3:$X$1500,MATCH('Suc. Boulevard'!$F$1,RAIZ!$A$2:$X$2,0),FALSE),0)</f>
        <v>1</v>
      </c>
      <c r="D65" s="7">
        <v>2</v>
      </c>
      <c r="E65" s="5"/>
      <c r="F65" s="5">
        <f t="shared" si="12"/>
        <v>1</v>
      </c>
      <c r="G65" s="5">
        <v>1</v>
      </c>
    </row>
    <row r="66" spans="1:7" ht="18.75" hidden="1" customHeight="1" x14ac:dyDescent="0.35">
      <c r="A66" s="93" t="s">
        <v>48</v>
      </c>
      <c r="B66" s="112" t="s">
        <v>792</v>
      </c>
      <c r="C66" s="5">
        <f>+IFERROR(VLOOKUP($A66,RAIZ!$A$3:$X$1500,MATCH('Suc. Boulevard'!$F$1,RAIZ!$A$2:$X$2,0),FALSE),0)</f>
        <v>1</v>
      </c>
      <c r="D66" s="7">
        <v>1</v>
      </c>
      <c r="E66" s="5"/>
      <c r="F66" s="5">
        <f t="shared" si="12"/>
        <v>0</v>
      </c>
      <c r="G66" s="5"/>
    </row>
    <row r="67" spans="1:7" ht="18.75" hidden="1" customHeight="1" x14ac:dyDescent="0.35">
      <c r="A67" s="93" t="s">
        <v>49</v>
      </c>
      <c r="B67" s="112" t="s">
        <v>793</v>
      </c>
      <c r="C67" s="5">
        <f>+IFERROR(VLOOKUP($A67,RAIZ!$A$3:$X$1500,MATCH('Suc. Boulevard'!$F$1,RAIZ!$A$2:$X$2,0),FALSE),0)</f>
        <v>1</v>
      </c>
      <c r="D67" s="7">
        <v>1</v>
      </c>
      <c r="E67" s="5"/>
      <c r="F67" s="5">
        <f t="shared" si="12"/>
        <v>0</v>
      </c>
      <c r="G67" s="5"/>
    </row>
    <row r="68" spans="1:7" ht="18.75" hidden="1" customHeight="1" x14ac:dyDescent="0.35">
      <c r="A68" s="93" t="s">
        <v>50</v>
      </c>
      <c r="B68" s="112" t="s">
        <v>794</v>
      </c>
      <c r="C68" s="5">
        <f>+IFERROR(VLOOKUP($A68,RAIZ!$A$3:$X$1500,MATCH('Suc. Boulevard'!$F$1,RAIZ!$A$2:$X$2,0),FALSE),0)</f>
        <v>2</v>
      </c>
      <c r="D68" s="4">
        <v>2</v>
      </c>
      <c r="E68" s="5"/>
      <c r="F68" s="5">
        <f t="shared" si="12"/>
        <v>0</v>
      </c>
      <c r="G68" s="5"/>
    </row>
    <row r="69" spans="1:7" ht="18.75" hidden="1" customHeight="1" x14ac:dyDescent="0.35">
      <c r="A69" s="93" t="s">
        <v>51</v>
      </c>
      <c r="B69" s="112" t="s">
        <v>795</v>
      </c>
      <c r="C69" s="5">
        <f>+IFERROR(VLOOKUP($A69,RAIZ!$A$3:$X$1500,MATCH('Suc. Boulevard'!$F$1,RAIZ!$A$2:$X$2,0),FALSE),0)</f>
        <v>1</v>
      </c>
      <c r="D69" s="7">
        <v>1</v>
      </c>
      <c r="E69" s="5"/>
      <c r="F69" s="5">
        <f t="shared" si="12"/>
        <v>0</v>
      </c>
      <c r="G69" s="5"/>
    </row>
    <row r="70" spans="1:7" ht="18.75" customHeight="1" thickBot="1" x14ac:dyDescent="0.4">
      <c r="A70" s="93" t="s">
        <v>53</v>
      </c>
      <c r="B70" s="112" t="s">
        <v>796</v>
      </c>
      <c r="C70" s="5">
        <f>+IFERROR(VLOOKUP($A70,RAIZ!$A$3:$X$1500,MATCH('Suc. Boulevard'!$F$1,RAIZ!$A$2:$X$2,0),FALSE),0)</f>
        <v>0</v>
      </c>
      <c r="D70" s="20">
        <v>1</v>
      </c>
      <c r="E70" s="5"/>
      <c r="F70" s="5">
        <f t="shared" si="12"/>
        <v>1</v>
      </c>
      <c r="G70" s="5">
        <v>1</v>
      </c>
    </row>
    <row r="71" spans="1:7" ht="18.75" hidden="1" customHeight="1" x14ac:dyDescent="0.35">
      <c r="A71" s="93" t="s">
        <v>47</v>
      </c>
      <c r="B71" s="112" t="s">
        <v>873</v>
      </c>
      <c r="C71" s="5">
        <f>+IFERROR(VLOOKUP($A71,RAIZ!$A$3:$X$1500,MATCH('Suc. Boulevard'!$F$1,RAIZ!$A$2:$X$2,0),FALSE),0)</f>
        <v>2</v>
      </c>
      <c r="D71" s="20">
        <v>2</v>
      </c>
      <c r="E71" s="5"/>
      <c r="F71" s="5">
        <f t="shared" ref="F71:F77" si="14">IF(D71-C71&gt;=0,D71-C71,0)</f>
        <v>0</v>
      </c>
      <c r="G71" s="5"/>
    </row>
    <row r="72" spans="1:7" ht="18.75" hidden="1" customHeight="1" x14ac:dyDescent="0.35">
      <c r="A72" s="86" t="s">
        <v>1089</v>
      </c>
      <c r="B72" s="112" t="s">
        <v>1090</v>
      </c>
      <c r="C72" s="5">
        <f>+IFERROR(VLOOKUP($A72,RAIZ!$A$3:$X$1500,MATCH('Suc. Boulevard'!$F$1,RAIZ!$A$2:$X$2,0),FALSE),0)</f>
        <v>0</v>
      </c>
      <c r="D72" s="20">
        <v>0</v>
      </c>
      <c r="E72" s="5"/>
      <c r="F72" s="5">
        <f>IF(D72-C72&gt;=0,D72-C72,0)</f>
        <v>0</v>
      </c>
      <c r="G72" s="5"/>
    </row>
    <row r="73" spans="1:7" ht="18.75" hidden="1" customHeight="1" x14ac:dyDescent="0.35">
      <c r="A73" s="93"/>
      <c r="B73" s="112"/>
      <c r="C73" s="5">
        <f>+IFERROR(VLOOKUP($A73,RAIZ!$A$3:$X$1500,MATCH('Suc. Boulevard'!$F$1,RAIZ!$A$2:$X$2,0),FALSE),0)</f>
        <v>0</v>
      </c>
      <c r="D73" s="20"/>
      <c r="E73" s="5"/>
      <c r="F73" s="5">
        <f t="shared" si="14"/>
        <v>0</v>
      </c>
      <c r="G73" s="5"/>
    </row>
    <row r="74" spans="1:7" ht="18.75" hidden="1" customHeight="1" x14ac:dyDescent="0.35">
      <c r="A74" s="93"/>
      <c r="B74" s="112"/>
      <c r="C74" s="5">
        <f>+IFERROR(VLOOKUP($A74,RAIZ!$A$3:$X$1500,MATCH('Suc. Boulevard'!$F$1,RAIZ!$A$2:$X$2,0),FALSE),0)</f>
        <v>0</v>
      </c>
      <c r="D74" s="20"/>
      <c r="E74" s="5"/>
      <c r="F74" s="5">
        <f t="shared" si="14"/>
        <v>0</v>
      </c>
      <c r="G74" s="5"/>
    </row>
    <row r="75" spans="1:7" ht="18.75" hidden="1" customHeight="1" x14ac:dyDescent="0.35">
      <c r="A75" s="93"/>
      <c r="B75" s="112"/>
      <c r="C75" s="5">
        <f>+IFERROR(VLOOKUP($A75,RAIZ!$A$3:$X$1500,MATCH('Suc. Boulevard'!$F$1,RAIZ!$A$2:$X$2,0),FALSE),0)</f>
        <v>0</v>
      </c>
      <c r="D75" s="20"/>
      <c r="E75" s="5"/>
      <c r="F75" s="5">
        <f t="shared" si="14"/>
        <v>0</v>
      </c>
      <c r="G75" s="5"/>
    </row>
    <row r="76" spans="1:7" ht="18.75" hidden="1" customHeight="1" x14ac:dyDescent="0.35">
      <c r="A76" s="93"/>
      <c r="B76" s="112"/>
      <c r="C76" s="5">
        <f>+IFERROR(VLOOKUP($A76,RAIZ!$A$3:$X$1500,MATCH('Suc. Boulevard'!$F$1,RAIZ!$A$2:$X$2,0),FALSE),0)</f>
        <v>0</v>
      </c>
      <c r="D76" s="20"/>
      <c r="E76" s="5"/>
      <c r="F76" s="5">
        <f t="shared" si="14"/>
        <v>0</v>
      </c>
      <c r="G76" s="5"/>
    </row>
    <row r="77" spans="1:7" ht="18.75" hidden="1" customHeight="1" thickBot="1" x14ac:dyDescent="0.4">
      <c r="A77" s="93"/>
      <c r="B77" s="112"/>
      <c r="C77" s="5">
        <f>+IFERROR(VLOOKUP($A77,RAIZ!$A$3:$X$1500,MATCH('Suc. Boulevard'!$F$1,RAIZ!$A$2:$X$2,0),FALSE),0)</f>
        <v>0</v>
      </c>
      <c r="D77" s="20"/>
      <c r="E77" s="5"/>
      <c r="F77" s="5">
        <f t="shared" si="14"/>
        <v>0</v>
      </c>
      <c r="G77" s="5"/>
    </row>
    <row r="78" spans="1:7" ht="18.75" customHeight="1" thickBot="1" x14ac:dyDescent="0.4">
      <c r="A78" s="99" t="s">
        <v>54</v>
      </c>
      <c r="B78" s="111"/>
      <c r="C78" s="77">
        <f>SUM(C56:C77)</f>
        <v>17</v>
      </c>
      <c r="D78" s="77">
        <f>SUM(D56:D77)</f>
        <v>19</v>
      </c>
      <c r="E78" s="48">
        <f>SUM(E56:E77)</f>
        <v>0</v>
      </c>
      <c r="F78" s="65">
        <f>SUM(F56:F77)</f>
        <v>3</v>
      </c>
      <c r="G78" s="48">
        <f>SUM(G56:G77)</f>
        <v>3</v>
      </c>
    </row>
    <row r="79" spans="1:7" ht="18.75" customHeight="1" thickBot="1" x14ac:dyDescent="0.4">
      <c r="A79" s="103" t="s">
        <v>55</v>
      </c>
      <c r="B79" s="111"/>
      <c r="C79" s="79">
        <f>C18+C32+C49+C52+C55+C78</f>
        <v>55</v>
      </c>
      <c r="D79" s="79">
        <f>D18+D32+D49+D52+D55+D78</f>
        <v>73</v>
      </c>
      <c r="E79" s="52">
        <f>E18+E32+E49+E52+E55+E78</f>
        <v>0</v>
      </c>
      <c r="F79" s="67">
        <f>F18+F32+F49+F52+F55+F78</f>
        <v>19</v>
      </c>
      <c r="G79" s="52">
        <f>G18+G32+G49+G52+G55+G78</f>
        <v>18</v>
      </c>
    </row>
    <row r="80" spans="1:7" ht="18.75" hidden="1" customHeight="1" x14ac:dyDescent="0.35">
      <c r="A80" s="104" t="s">
        <v>56</v>
      </c>
      <c r="B80" s="111"/>
      <c r="C80" s="68"/>
      <c r="D80" s="26"/>
      <c r="E80" s="27"/>
      <c r="F80" s="27"/>
      <c r="G80" s="27"/>
    </row>
    <row r="81" spans="1:7" ht="18.75" hidden="1" customHeight="1" x14ac:dyDescent="0.35">
      <c r="A81" s="94" t="s">
        <v>57</v>
      </c>
      <c r="B81" s="112" t="s">
        <v>797</v>
      </c>
      <c r="C81" s="5">
        <f>+IFERROR(VLOOKUP($A81,RAIZ!$A$3:$X$1500,MATCH('Suc. Boulevard'!$F$1,RAIZ!$A$2:$X$2,0),FALSE),0)</f>
        <v>1</v>
      </c>
      <c r="D81" s="4">
        <v>1</v>
      </c>
      <c r="E81" s="5"/>
      <c r="F81" s="5">
        <f t="shared" ref="F81:F85" si="15">IF(D81-C81&gt;=0,D81-C81,0)</f>
        <v>0</v>
      </c>
      <c r="G81" s="5"/>
    </row>
    <row r="82" spans="1:7" ht="18.75" hidden="1" customHeight="1" x14ac:dyDescent="0.35">
      <c r="A82" s="94" t="s">
        <v>58</v>
      </c>
      <c r="B82" s="112" t="s">
        <v>867</v>
      </c>
      <c r="C82" s="5">
        <f>+IFERROR(VLOOKUP($A82,RAIZ!$A$3:$X$1500,MATCH('Suc. Boulevard'!$F$1,RAIZ!$A$2:$X$2,0),FALSE),0)</f>
        <v>1</v>
      </c>
      <c r="D82" s="4">
        <v>1</v>
      </c>
      <c r="E82" s="5"/>
      <c r="F82" s="5">
        <f t="shared" ref="F82" si="16">IF(D82-C82&gt;=0,D82-C82,0)</f>
        <v>0</v>
      </c>
      <c r="G82" s="5"/>
    </row>
    <row r="83" spans="1:7" ht="18.75" hidden="1" customHeight="1" x14ac:dyDescent="0.35">
      <c r="A83" s="94" t="s">
        <v>59</v>
      </c>
      <c r="B83" s="112" t="s">
        <v>798</v>
      </c>
      <c r="C83" s="5">
        <f>+IFERROR(VLOOKUP($A83,RAIZ!$A$3:$X$1500,MATCH('Suc. Boulevard'!$F$1,RAIZ!$A$2:$X$2,0),FALSE),0)</f>
        <v>1</v>
      </c>
      <c r="D83" s="176">
        <v>1</v>
      </c>
      <c r="E83" s="5"/>
      <c r="F83" s="5">
        <f t="shared" si="15"/>
        <v>0</v>
      </c>
      <c r="G83" s="5"/>
    </row>
    <row r="84" spans="1:7" ht="18.75" hidden="1" customHeight="1" x14ac:dyDescent="0.35">
      <c r="A84" s="94" t="s">
        <v>60</v>
      </c>
      <c r="B84" s="112" t="s">
        <v>799</v>
      </c>
      <c r="C84" s="5">
        <f>+IFERROR(VLOOKUP($A84,RAIZ!$A$3:$X$1500,MATCH('Suc. Boulevard'!$F$1,RAIZ!$A$2:$X$2,0),FALSE),0)</f>
        <v>1</v>
      </c>
      <c r="D84" s="175">
        <v>1</v>
      </c>
      <c r="E84" s="5"/>
      <c r="F84" s="5">
        <f t="shared" si="15"/>
        <v>0</v>
      </c>
      <c r="G84" s="5"/>
    </row>
    <row r="85" spans="1:7" ht="18.75" hidden="1" customHeight="1" x14ac:dyDescent="0.35">
      <c r="A85" s="94" t="s">
        <v>61</v>
      </c>
      <c r="B85" s="112" t="s">
        <v>800</v>
      </c>
      <c r="C85" s="5">
        <f>+IFERROR(VLOOKUP($A85,RAIZ!$A$3:$X$1500,MATCH('Suc. Boulevard'!$F$1,RAIZ!$A$2:$X$2,0),FALSE),0)</f>
        <v>1</v>
      </c>
      <c r="D85" s="7">
        <v>1</v>
      </c>
      <c r="E85" s="5"/>
      <c r="F85" s="5">
        <f t="shared" si="15"/>
        <v>0</v>
      </c>
      <c r="G85" s="5"/>
    </row>
    <row r="86" spans="1:7" ht="18" customHeight="1" thickBot="1" x14ac:dyDescent="0.4">
      <c r="A86" s="94" t="s">
        <v>63</v>
      </c>
      <c r="B86" s="112" t="s">
        <v>801</v>
      </c>
      <c r="C86" s="5">
        <f>+IFERROR(VLOOKUP($A86,RAIZ!$A$3:$X$1500,MATCH('Suc. Boulevard'!$F$1,RAIZ!$A$2:$X$2,0),FALSE),0)</f>
        <v>1</v>
      </c>
      <c r="D86" s="7">
        <v>3</v>
      </c>
      <c r="E86" s="5"/>
      <c r="F86" s="5">
        <f t="shared" ref="F86:F90" si="17">IF(D86-C86&gt;=0,D86-C86,0)</f>
        <v>2</v>
      </c>
      <c r="G86" s="5">
        <v>2</v>
      </c>
    </row>
    <row r="87" spans="1:7" ht="18" hidden="1" customHeight="1" x14ac:dyDescent="0.35">
      <c r="A87" s="94"/>
      <c r="B87" s="112" t="s">
        <v>1091</v>
      </c>
      <c r="C87" s="5">
        <f>+IFERROR(VLOOKUP($A87,RAIZ!$A$3:$X$1500,MATCH('Suc. Boulevard'!$F$1,RAIZ!$A$2:$X$2,0),FALSE),0)</f>
        <v>0</v>
      </c>
      <c r="D87" s="174"/>
      <c r="E87" s="5"/>
      <c r="F87" s="5">
        <f>IF(D87-C87&gt;=0,D87-C87,0)</f>
        <v>0</v>
      </c>
      <c r="G87" s="5"/>
    </row>
    <row r="88" spans="1:7" ht="18.75" hidden="1" customHeight="1" x14ac:dyDescent="0.35">
      <c r="A88" s="94"/>
      <c r="B88" s="112" t="s">
        <v>1094</v>
      </c>
      <c r="C88" s="5">
        <f>+IFERROR(VLOOKUP($A88,RAIZ!$A$3:$X$1500,MATCH('Suc. Boulevard'!$F$1,RAIZ!$A$2:$X$2,0),FALSE),0)</f>
        <v>0</v>
      </c>
      <c r="D88" s="7"/>
      <c r="E88" s="5"/>
      <c r="F88" s="5">
        <f t="shared" si="17"/>
        <v>0</v>
      </c>
      <c r="G88" s="5"/>
    </row>
    <row r="89" spans="1:7" ht="18.75" hidden="1" customHeight="1" x14ac:dyDescent="0.35">
      <c r="A89" s="94"/>
      <c r="B89" s="112" t="s">
        <v>1095</v>
      </c>
      <c r="C89" s="5">
        <f>+IFERROR(VLOOKUP($A89,RAIZ!$A$3:$X$1500,MATCH('Suc. Boulevard'!$F$1,RAIZ!$A$2:$X$2,0),FALSE),0)</f>
        <v>0</v>
      </c>
      <c r="D89" s="7"/>
      <c r="E89" s="5"/>
      <c r="F89" s="5">
        <f t="shared" si="17"/>
        <v>0</v>
      </c>
      <c r="G89" s="5"/>
    </row>
    <row r="90" spans="1:7" ht="18.75" hidden="1" customHeight="1" thickBot="1" x14ac:dyDescent="0.4">
      <c r="A90" s="94"/>
      <c r="B90" s="112" t="s">
        <v>1093</v>
      </c>
      <c r="C90" s="5">
        <f>+IFERROR(VLOOKUP($A90,RAIZ!$A$3:$X$1500,MATCH('Suc. Boulevard'!$F$1,RAIZ!$A$2:$X$2,0),FALSE),0)</f>
        <v>0</v>
      </c>
      <c r="D90" s="7"/>
      <c r="E90" s="5"/>
      <c r="F90" s="5">
        <f t="shared" si="17"/>
        <v>0</v>
      </c>
      <c r="G90" s="5"/>
    </row>
    <row r="91" spans="1:7" ht="18.75" customHeight="1" thickBot="1" x14ac:dyDescent="0.4">
      <c r="A91" s="105" t="s">
        <v>55</v>
      </c>
      <c r="B91" s="111"/>
      <c r="C91" s="80">
        <f>SUM(C81:C90)</f>
        <v>6</v>
      </c>
      <c r="D91" s="80">
        <f>SUM(D81:D90)</f>
        <v>8</v>
      </c>
      <c r="E91" s="54">
        <f>SUM(E81:E90)</f>
        <v>0</v>
      </c>
      <c r="F91" s="69">
        <f>SUM(F81:F90)</f>
        <v>2</v>
      </c>
      <c r="G91" s="54">
        <f>SUM(G81:G90)</f>
        <v>2</v>
      </c>
    </row>
    <row r="92" spans="1:7" ht="18.75" hidden="1" customHeight="1" x14ac:dyDescent="0.35">
      <c r="A92" s="106" t="s">
        <v>64</v>
      </c>
      <c r="B92" s="111"/>
      <c r="C92" s="70"/>
      <c r="D92" s="30"/>
      <c r="E92" s="31"/>
      <c r="F92" s="31"/>
      <c r="G92" s="31"/>
    </row>
    <row r="93" spans="1:7" ht="18.75" customHeight="1" x14ac:dyDescent="0.35">
      <c r="A93" s="94" t="s">
        <v>65</v>
      </c>
      <c r="B93" s="112" t="s">
        <v>802</v>
      </c>
      <c r="C93" s="5">
        <f>+IFERROR(VLOOKUP($A93,RAIZ!$A$3:$X$1500,MATCH('Suc. Boulevard'!$F$1,RAIZ!$A$2:$X$2,0),FALSE),0)</f>
        <v>1</v>
      </c>
      <c r="D93" s="4">
        <v>2</v>
      </c>
      <c r="E93" s="5"/>
      <c r="F93" s="5">
        <f t="shared" ref="F93:F104" si="18">IF(D93-C93&gt;=0,D93-C93,0)</f>
        <v>1</v>
      </c>
      <c r="G93" s="5">
        <v>1</v>
      </c>
    </row>
    <row r="94" spans="1:7" ht="18.75" hidden="1" customHeight="1" x14ac:dyDescent="0.35">
      <c r="A94" s="94" t="s">
        <v>66</v>
      </c>
      <c r="B94" s="112" t="s">
        <v>803</v>
      </c>
      <c r="C94" s="5">
        <f>+IFERROR(VLOOKUP($A94,RAIZ!$A$3:$X$1500,MATCH('Suc. Boulevard'!$F$1,RAIZ!$A$2:$X$2,0),FALSE),0)</f>
        <v>2</v>
      </c>
      <c r="D94" s="7">
        <v>2</v>
      </c>
      <c r="E94" s="5"/>
      <c r="F94" s="5">
        <f t="shared" si="18"/>
        <v>0</v>
      </c>
      <c r="G94" s="5"/>
    </row>
    <row r="95" spans="1:7" ht="18.75" customHeight="1" x14ac:dyDescent="0.35">
      <c r="A95" s="94" t="s">
        <v>68</v>
      </c>
      <c r="B95" s="112" t="s">
        <v>805</v>
      </c>
      <c r="C95" s="5">
        <f>+IFERROR(VLOOKUP($A95,RAIZ!$A$3:$X$1500,MATCH('Suc. Boulevard'!$F$1,RAIZ!$A$2:$X$2,0),FALSE),0)</f>
        <v>0</v>
      </c>
      <c r="D95" s="7">
        <v>1</v>
      </c>
      <c r="E95" s="5"/>
      <c r="F95" s="5">
        <f t="shared" si="18"/>
        <v>1</v>
      </c>
      <c r="G95" s="5">
        <v>1</v>
      </c>
    </row>
    <row r="96" spans="1:7" ht="18.75" hidden="1" customHeight="1" x14ac:dyDescent="0.35">
      <c r="A96" s="94" t="s">
        <v>69</v>
      </c>
      <c r="B96" s="112" t="s">
        <v>806</v>
      </c>
      <c r="C96" s="5">
        <f>+IFERROR(VLOOKUP($A96,RAIZ!$A$3:$X$1500,MATCH('Suc. Boulevard'!$F$1,RAIZ!$A$2:$X$2,0),FALSE),0)</f>
        <v>4</v>
      </c>
      <c r="D96" s="7">
        <v>4</v>
      </c>
      <c r="E96" s="5"/>
      <c r="F96" s="5">
        <f t="shared" si="18"/>
        <v>0</v>
      </c>
      <c r="G96" s="5"/>
    </row>
    <row r="97" spans="1:7" ht="18.75" hidden="1" customHeight="1" x14ac:dyDescent="0.35">
      <c r="A97" s="94" t="s">
        <v>70</v>
      </c>
      <c r="B97" s="112" t="s">
        <v>807</v>
      </c>
      <c r="C97" s="5">
        <f>+IFERROR(VLOOKUP($A97,RAIZ!$A$3:$X$1500,MATCH('Suc. Boulevard'!$F$1,RAIZ!$A$2:$X$2,0),FALSE),0)</f>
        <v>4</v>
      </c>
      <c r="D97" s="7">
        <v>4</v>
      </c>
      <c r="E97" s="5"/>
      <c r="F97" s="5">
        <f t="shared" si="18"/>
        <v>0</v>
      </c>
      <c r="G97" s="5"/>
    </row>
    <row r="98" spans="1:7" ht="18.75" customHeight="1" x14ac:dyDescent="0.35">
      <c r="A98" s="94" t="s">
        <v>857</v>
      </c>
      <c r="B98" s="112" t="s">
        <v>808</v>
      </c>
      <c r="C98" s="5">
        <f>+IFERROR(VLOOKUP($A98,RAIZ!$A$3:$X$1500,MATCH('Suc. Boulevard'!$F$1,RAIZ!$A$2:$X$2,0),FALSE),0)</f>
        <v>1</v>
      </c>
      <c r="D98" s="7">
        <v>2</v>
      </c>
      <c r="E98" s="201">
        <v>5</v>
      </c>
      <c r="F98" s="5">
        <f t="shared" si="18"/>
        <v>1</v>
      </c>
      <c r="G98" s="5">
        <v>3</v>
      </c>
    </row>
    <row r="99" spans="1:7" ht="18.75" hidden="1" customHeight="1" x14ac:dyDescent="0.35">
      <c r="A99" s="94" t="s">
        <v>835</v>
      </c>
      <c r="B99" s="112" t="s">
        <v>836</v>
      </c>
      <c r="C99" s="5">
        <f>+IFERROR(VLOOKUP($A99,RAIZ!$A$3:$X$1500,MATCH('Suc. Boulevard'!$F$1,RAIZ!$A$2:$X$2,0),FALSE),0)</f>
        <v>2</v>
      </c>
      <c r="D99" s="7">
        <v>2</v>
      </c>
      <c r="E99" s="5"/>
      <c r="F99" s="5">
        <f t="shared" ref="F99:F103" si="19">IF(D99-C99&gt;=0,D99-C99,0)</f>
        <v>0</v>
      </c>
      <c r="G99" s="5"/>
    </row>
    <row r="100" spans="1:7" ht="18.75" customHeight="1" thickBot="1" x14ac:dyDescent="0.4">
      <c r="A100" s="94" t="s">
        <v>72</v>
      </c>
      <c r="B100" s="112" t="s">
        <v>834</v>
      </c>
      <c r="C100" s="5">
        <f>+IFERROR(VLOOKUP($A100,RAIZ!$A$3:$X$1500,MATCH('Suc. Boulevard'!$F$1,RAIZ!$A$2:$X$2,0),FALSE),0)</f>
        <v>11</v>
      </c>
      <c r="D100" s="7">
        <v>20</v>
      </c>
      <c r="E100" s="5"/>
      <c r="F100" s="5">
        <f t="shared" si="19"/>
        <v>9</v>
      </c>
      <c r="G100" s="5">
        <v>9</v>
      </c>
    </row>
    <row r="101" spans="1:7" ht="18.75" hidden="1" customHeight="1" x14ac:dyDescent="0.35">
      <c r="A101" s="94" t="s">
        <v>73</v>
      </c>
      <c r="B101" s="112" t="s">
        <v>809</v>
      </c>
      <c r="C101" s="5">
        <f>+IFERROR(VLOOKUP($A101,RAIZ!$A$3:$X$1500,MATCH('Suc. Boulevard'!$F$1,RAIZ!$A$2:$X$2,0),FALSE),0)</f>
        <v>1</v>
      </c>
      <c r="D101" s="7">
        <v>1</v>
      </c>
      <c r="E101" s="5"/>
      <c r="F101" s="5">
        <f t="shared" si="19"/>
        <v>0</v>
      </c>
      <c r="G101" s="5"/>
    </row>
    <row r="102" spans="1:7" ht="18.75" hidden="1" customHeight="1" x14ac:dyDescent="0.35">
      <c r="A102" s="94" t="s">
        <v>74</v>
      </c>
      <c r="B102" s="112" t="s">
        <v>810</v>
      </c>
      <c r="C102" s="5">
        <f>+IFERROR(VLOOKUP($A102,RAIZ!$A$3:$X$1500,MATCH('Suc. Boulevard'!$F$1,RAIZ!$A$2:$X$2,0),FALSE),0)</f>
        <v>1</v>
      </c>
      <c r="D102" s="7">
        <v>1</v>
      </c>
      <c r="E102" s="5"/>
      <c r="F102" s="5">
        <f t="shared" si="19"/>
        <v>0</v>
      </c>
      <c r="G102" s="5"/>
    </row>
    <row r="103" spans="1:7" ht="18.75" hidden="1" customHeight="1" x14ac:dyDescent="0.35">
      <c r="A103" s="94" t="s">
        <v>75</v>
      </c>
      <c r="B103" s="112" t="s">
        <v>811</v>
      </c>
      <c r="C103" s="5">
        <f>+IFERROR(VLOOKUP($A103,RAIZ!$A$3:$X$1500,MATCH('Suc. Boulevard'!$F$1,RAIZ!$A$2:$X$2,0),FALSE),0)</f>
        <v>1</v>
      </c>
      <c r="D103" s="20">
        <v>1</v>
      </c>
      <c r="E103" s="5"/>
      <c r="F103" s="5">
        <f t="shared" si="19"/>
        <v>0</v>
      </c>
      <c r="G103" s="5"/>
    </row>
    <row r="104" spans="1:7" ht="18.75" hidden="1" customHeight="1" thickBot="1" x14ac:dyDescent="0.4">
      <c r="A104" s="94"/>
      <c r="B104" s="112" t="s">
        <v>1096</v>
      </c>
      <c r="C104" s="5">
        <f>+IFERROR(VLOOKUP($A104,RAIZ!$A$3:$X$1500,MATCH('Suc. Boulevard'!$F$1,RAIZ!$A$2:$X$2,0),FALSE),0)</f>
        <v>0</v>
      </c>
      <c r="D104" s="7"/>
      <c r="E104" s="5"/>
      <c r="F104" s="5">
        <f t="shared" si="18"/>
        <v>0</v>
      </c>
      <c r="G104" s="5"/>
    </row>
    <row r="105" spans="1:7" ht="18.75" customHeight="1" thickBot="1" x14ac:dyDescent="0.4">
      <c r="A105" s="107" t="s">
        <v>55</v>
      </c>
      <c r="B105" s="111"/>
      <c r="C105" s="81">
        <f>SUM(C93:C104)</f>
        <v>28</v>
      </c>
      <c r="D105" s="81">
        <f>SUM(D93:D104)</f>
        <v>40</v>
      </c>
      <c r="E105" s="56">
        <f>SUM(E93:E104)</f>
        <v>5</v>
      </c>
      <c r="F105" s="71">
        <f>SUM(F93:F104)</f>
        <v>12</v>
      </c>
      <c r="G105" s="56">
        <f>SUM(G93:G104)</f>
        <v>14</v>
      </c>
    </row>
    <row r="106" spans="1:7" ht="18.75" hidden="1" customHeight="1" x14ac:dyDescent="0.35">
      <c r="A106" s="108" t="s">
        <v>76</v>
      </c>
      <c r="B106" s="111"/>
      <c r="C106" s="72"/>
      <c r="D106" s="34"/>
      <c r="E106" s="35"/>
      <c r="F106" s="35"/>
      <c r="G106" s="35"/>
    </row>
    <row r="107" spans="1:7" ht="18.75" hidden="1" customHeight="1" x14ac:dyDescent="0.35">
      <c r="A107" s="94" t="s">
        <v>77</v>
      </c>
      <c r="B107" s="112" t="s">
        <v>812</v>
      </c>
      <c r="C107" s="5">
        <f>+IFERROR(VLOOKUP($A107,RAIZ!$A$3:$X$1500,MATCH('Suc. Boulevard'!$F$1,RAIZ!$A$2:$X$2,0),FALSE),0)</f>
        <v>0</v>
      </c>
      <c r="D107" s="169">
        <v>0</v>
      </c>
      <c r="E107" s="5"/>
      <c r="F107" s="5">
        <f t="shared" ref="F107:F112" si="20">IF(D107-C107&gt;=0,D107-C107,0)</f>
        <v>0</v>
      </c>
      <c r="G107" s="5"/>
    </row>
    <row r="108" spans="1:7" ht="18.75" hidden="1" customHeight="1" x14ac:dyDescent="0.35">
      <c r="A108" s="94" t="s">
        <v>621</v>
      </c>
      <c r="B108" s="112" t="s">
        <v>813</v>
      </c>
      <c r="C108" s="5">
        <f>+IFERROR(VLOOKUP($A108,RAIZ!$A$3:$X$1500,MATCH('Suc. Boulevard'!$F$1,RAIZ!$A$2:$X$2,0),FALSE),0)</f>
        <v>0</v>
      </c>
      <c r="D108" s="169">
        <v>0</v>
      </c>
      <c r="E108" s="5"/>
      <c r="F108" s="5">
        <f t="shared" si="20"/>
        <v>0</v>
      </c>
      <c r="G108" s="5"/>
    </row>
    <row r="109" spans="1:7" ht="18.75" customHeight="1" x14ac:dyDescent="0.35">
      <c r="A109" s="94" t="s">
        <v>80</v>
      </c>
      <c r="B109" s="112" t="s">
        <v>815</v>
      </c>
      <c r="C109" s="5">
        <f>+IFERROR(VLOOKUP($A109,RAIZ!$A$3:$X$1500,MATCH('Suc. Boulevard'!$F$1,RAIZ!$A$2:$X$2,0),FALSE),0)</f>
        <v>1</v>
      </c>
      <c r="D109" s="7">
        <v>2</v>
      </c>
      <c r="E109" s="5"/>
      <c r="F109" s="5">
        <f t="shared" si="20"/>
        <v>1</v>
      </c>
      <c r="G109" s="5">
        <v>1</v>
      </c>
    </row>
    <row r="110" spans="1:7" ht="18.75" customHeight="1" thickBot="1" x14ac:dyDescent="0.4">
      <c r="A110" s="94" t="s">
        <v>81</v>
      </c>
      <c r="B110" s="112" t="s">
        <v>816</v>
      </c>
      <c r="C110" s="5">
        <f>+IFERROR(VLOOKUP($A110,RAIZ!$A$3:$X$1500,MATCH('Suc. Boulevard'!$F$1,RAIZ!$A$2:$X$2,0),FALSE),0)</f>
        <v>1</v>
      </c>
      <c r="D110" s="7">
        <v>2</v>
      </c>
      <c r="E110" s="5"/>
      <c r="F110" s="5">
        <f t="shared" si="20"/>
        <v>1</v>
      </c>
      <c r="G110" s="5">
        <v>1</v>
      </c>
    </row>
    <row r="111" spans="1:7" ht="18.75" hidden="1" customHeight="1" x14ac:dyDescent="0.35">
      <c r="A111" s="95" t="s">
        <v>83</v>
      </c>
      <c r="B111" s="112" t="s">
        <v>818</v>
      </c>
      <c r="C111" s="5">
        <f>+IFERROR(VLOOKUP($A111,RAIZ!$A$3:$X$1500,MATCH('Suc. Boulevard'!$F$1,RAIZ!$A$2:$X$2,0),FALSE),0)</f>
        <v>1</v>
      </c>
      <c r="D111" s="20">
        <v>1</v>
      </c>
      <c r="E111" s="5"/>
      <c r="F111" s="5">
        <f t="shared" si="20"/>
        <v>0</v>
      </c>
      <c r="G111" s="5"/>
    </row>
    <row r="112" spans="1:7" ht="18.75" hidden="1" customHeight="1" thickBot="1" x14ac:dyDescent="0.4">
      <c r="A112" s="95"/>
      <c r="B112" s="112"/>
      <c r="C112" s="5">
        <f>+IFERROR(VLOOKUP($A112,RAIZ!$A$3:$X$1500,MATCH('Suc. Boulevard'!$F$1,RAIZ!$A$2:$X$2,0),FALSE),0)</f>
        <v>0</v>
      </c>
      <c r="D112" s="20"/>
      <c r="E112" s="5"/>
      <c r="F112" s="5">
        <f t="shared" si="20"/>
        <v>0</v>
      </c>
      <c r="G112" s="5"/>
    </row>
    <row r="113" spans="1:7" ht="18.75" customHeight="1" thickBot="1" x14ac:dyDescent="0.4">
      <c r="A113" s="109" t="s">
        <v>55</v>
      </c>
      <c r="B113" s="111"/>
      <c r="C113" s="82">
        <f>SUM(C107:C112,C114:C116)</f>
        <v>6</v>
      </c>
      <c r="D113" s="82">
        <f>SUM(D107:D112,D114:D116)</f>
        <v>10</v>
      </c>
      <c r="E113" s="58">
        <f>SUM(E107:E112,E114:E116)</f>
        <v>0</v>
      </c>
      <c r="F113" s="73">
        <f>SUM(F107:F112,F114:F116)</f>
        <v>4</v>
      </c>
      <c r="G113" s="58">
        <f>SUM(G107:G112,G114:G116)</f>
        <v>4</v>
      </c>
    </row>
    <row r="114" spans="1:7" ht="18.75" hidden="1" customHeight="1" x14ac:dyDescent="0.35">
      <c r="A114" s="93" t="s">
        <v>84</v>
      </c>
      <c r="B114" s="112" t="s">
        <v>819</v>
      </c>
      <c r="C114" s="5">
        <f>+IFERROR(VLOOKUP($A114,RAIZ!$A$3:$X$1500,MATCH('Suc. Boulevard'!$F$1,RAIZ!$A$2:$X$2,0),FALSE),0)</f>
        <v>2</v>
      </c>
      <c r="D114" s="4">
        <v>2</v>
      </c>
      <c r="E114" s="5"/>
      <c r="F114" s="5">
        <f t="shared" ref="F114" si="21">IF(D114-C114&gt;=0,D114-C114,0)</f>
        <v>0</v>
      </c>
      <c r="G114" s="5"/>
    </row>
    <row r="115" spans="1:7" ht="18.75" customHeight="1" x14ac:dyDescent="0.35">
      <c r="A115" s="95" t="s">
        <v>85</v>
      </c>
      <c r="B115" s="112" t="s">
        <v>820</v>
      </c>
      <c r="C115" s="5">
        <f>+IFERROR(VLOOKUP($A115,RAIZ!$A$3:$X$1500,MATCH('Suc. Boulevard'!$F$1,RAIZ!$A$2:$X$2,0),FALSE),0)</f>
        <v>1</v>
      </c>
      <c r="D115" s="20">
        <v>2</v>
      </c>
      <c r="E115" s="5"/>
      <c r="F115" s="5">
        <f t="shared" ref="F115:F141" si="22">IF(D115-C115&gt;=0,D115-C115,0)</f>
        <v>1</v>
      </c>
      <c r="G115" s="5">
        <v>1</v>
      </c>
    </row>
    <row r="116" spans="1:7" ht="18.75" customHeight="1" thickBot="1" x14ac:dyDescent="0.4">
      <c r="A116" s="95" t="s">
        <v>881</v>
      </c>
      <c r="B116" s="112" t="s">
        <v>882</v>
      </c>
      <c r="C116" s="5">
        <f>+IFERROR(VLOOKUP($A116,RAIZ!$A$3:$X$1500,MATCH('Suc. Boulevard'!$F$1,RAIZ!$A$2:$X$2,0),FALSE),0)</f>
        <v>0</v>
      </c>
      <c r="D116" s="20">
        <v>1</v>
      </c>
      <c r="E116" s="5"/>
      <c r="F116" s="5">
        <f t="shared" si="22"/>
        <v>1</v>
      </c>
      <c r="G116" s="5">
        <v>1</v>
      </c>
    </row>
    <row r="117" spans="1:7" ht="18.75" customHeight="1" thickBot="1" x14ac:dyDescent="0.4">
      <c r="A117" s="110" t="s">
        <v>86</v>
      </c>
      <c r="B117" s="111"/>
      <c r="C117" s="83">
        <f>C79+C91+C105+C113</f>
        <v>95</v>
      </c>
      <c r="D117" s="60">
        <f>D79+D91+D105+D113</f>
        <v>131</v>
      </c>
      <c r="E117" s="60">
        <f>E79+E91+E105+E113</f>
        <v>5</v>
      </c>
      <c r="F117" s="74">
        <f>F79+F91+F105+F113</f>
        <v>37</v>
      </c>
      <c r="G117" s="60">
        <f>G79+G91+G105+G113</f>
        <v>38</v>
      </c>
    </row>
    <row r="118" spans="1:7" ht="18.75" hidden="1" customHeight="1" x14ac:dyDescent="0.35">
      <c r="A118" s="95" t="s">
        <v>975</v>
      </c>
      <c r="B118" s="112" t="s">
        <v>976</v>
      </c>
      <c r="C118" s="5">
        <f>+IFERROR(VLOOKUP($A118,RAIZ!$A$3:$X$1500,MATCH('Suc. Boulevard'!$F$1,RAIZ!$A$2:$X$2,0),FALSE),0)</f>
        <v>2</v>
      </c>
      <c r="D118" s="20">
        <v>2</v>
      </c>
      <c r="E118" s="5"/>
      <c r="F118" s="5">
        <f>IF(D118-C118&gt;=0,D118-C118,0)</f>
        <v>0</v>
      </c>
      <c r="G118" s="5"/>
    </row>
    <row r="119" spans="1:7" ht="18.75" hidden="1" customHeight="1" x14ac:dyDescent="0.35">
      <c r="A119" s="95" t="s">
        <v>974</v>
      </c>
      <c r="B119" s="112" t="s">
        <v>977</v>
      </c>
      <c r="C119" s="5">
        <f>+IFERROR(VLOOKUP($A119,RAIZ!$A$3:$X$1500,MATCH('Suc. Boulevard'!$F$1,RAIZ!$A$2:$X$2,0),FALSE),0)</f>
        <v>1</v>
      </c>
      <c r="D119" s="20">
        <v>2</v>
      </c>
      <c r="E119" s="5"/>
      <c r="F119" s="5">
        <f t="shared" si="22"/>
        <v>1</v>
      </c>
      <c r="G119" s="5"/>
    </row>
    <row r="120" spans="1:7" ht="18.75" hidden="1" customHeight="1" thickBot="1" x14ac:dyDescent="0.4">
      <c r="A120" s="95" t="s">
        <v>1077</v>
      </c>
      <c r="B120" s="112" t="s">
        <v>817</v>
      </c>
      <c r="C120" s="5">
        <f>+IFERROR(VLOOKUP($A120,RAIZ!$A$3:$X$1500,MATCH('Suc. Boulevard'!$F$1,RAIZ!$A$2:$X$2,0),FALSE),0)</f>
        <v>0</v>
      </c>
      <c r="D120" s="20"/>
      <c r="E120" s="5"/>
      <c r="F120" s="5">
        <f t="shared" si="22"/>
        <v>0</v>
      </c>
      <c r="G120" s="5"/>
    </row>
    <row r="121" spans="1:7" ht="18.75" hidden="1" customHeight="1" thickBot="1" x14ac:dyDescent="0.4">
      <c r="A121" s="95" t="s">
        <v>1076</v>
      </c>
      <c r="B121" s="194" t="s">
        <v>1121</v>
      </c>
      <c r="C121" s="5">
        <f>+IFERROR(VLOOKUP($A121,RAIZ!$A$3:$X$1500,MATCH('Suc. Boulevard'!$F$1,RAIZ!$A$2:$X$2,0),FALSE),0)</f>
        <v>0</v>
      </c>
      <c r="D121" s="20">
        <v>0</v>
      </c>
      <c r="E121" s="5"/>
      <c r="F121" s="5">
        <f t="shared" si="22"/>
        <v>0</v>
      </c>
      <c r="G121" s="5"/>
    </row>
    <row r="122" spans="1:7" ht="18.75" hidden="1" customHeight="1" thickBot="1" x14ac:dyDescent="0.4">
      <c r="A122" s="95" t="s">
        <v>1014</v>
      </c>
      <c r="B122" s="194" t="s">
        <v>1010</v>
      </c>
      <c r="C122" s="5">
        <f>+IFERROR(VLOOKUP($A122,RAIZ!$A$3:$X$1500,MATCH('Suc. Boulevard'!$F$1,RAIZ!$A$2:$X$2,0),FALSE),0)</f>
        <v>2</v>
      </c>
      <c r="D122" s="20">
        <v>2</v>
      </c>
      <c r="E122" s="5"/>
      <c r="F122" s="5">
        <f t="shared" si="22"/>
        <v>0</v>
      </c>
      <c r="G122" s="5"/>
    </row>
    <row r="123" spans="1:7" ht="18.75" hidden="1" customHeight="1" thickBot="1" x14ac:dyDescent="0.4">
      <c r="A123" s="95" t="s">
        <v>1015</v>
      </c>
      <c r="B123" s="194" t="s">
        <v>1011</v>
      </c>
      <c r="C123" s="147">
        <f>+IFERROR(VLOOKUP($A123,RAIZ!$A$3:$X$1500,MATCH('Suc. Boulevard'!$F$1,RAIZ!$A$2:$X$2,0),FALSE),0)</f>
        <v>4</v>
      </c>
      <c r="D123" s="20">
        <v>4</v>
      </c>
      <c r="E123" s="5"/>
      <c r="F123" s="5">
        <f t="shared" si="22"/>
        <v>0</v>
      </c>
      <c r="G123" s="5"/>
    </row>
    <row r="124" spans="1:7" ht="18.75" hidden="1" customHeight="1" thickBot="1" x14ac:dyDescent="0.4">
      <c r="A124" s="95" t="s">
        <v>1016</v>
      </c>
      <c r="B124" s="194" t="s">
        <v>1012</v>
      </c>
      <c r="C124" s="147">
        <f>+IFERROR(VLOOKUP($A124,RAIZ!$A$3:$X$1500,MATCH('Suc. Boulevard'!$F$1,RAIZ!$A$2:$X$2,0),FALSE),0)</f>
        <v>3</v>
      </c>
      <c r="D124" s="20">
        <v>0</v>
      </c>
      <c r="E124" s="5"/>
      <c r="F124" s="5">
        <f t="shared" si="22"/>
        <v>0</v>
      </c>
      <c r="G124" s="5"/>
    </row>
    <row r="125" spans="1:7" ht="18.75" hidden="1" customHeight="1" thickBot="1" x14ac:dyDescent="0.4">
      <c r="A125" s="95" t="s">
        <v>1017</v>
      </c>
      <c r="B125" s="194" t="s">
        <v>1013</v>
      </c>
      <c r="C125" s="147">
        <f>+IFERROR(VLOOKUP($A125,RAIZ!$A$3:$X$1500,MATCH('Suc. Boulevard'!$F$1,RAIZ!$A$2:$X$2,0),FALSE),0)</f>
        <v>2</v>
      </c>
      <c r="D125" s="18">
        <v>2</v>
      </c>
      <c r="E125" s="5"/>
      <c r="F125" s="5">
        <f t="shared" si="22"/>
        <v>0</v>
      </c>
      <c r="G125" s="5"/>
    </row>
    <row r="126" spans="1:7" ht="18.75" hidden="1" customHeight="1" thickBot="1" x14ac:dyDescent="0.4">
      <c r="A126" s="95" t="s">
        <v>1125</v>
      </c>
      <c r="B126" s="194" t="s">
        <v>1127</v>
      </c>
      <c r="C126" s="147">
        <f>+IFERROR(VLOOKUP($A126,RAIZ!$A$3:$X$1500,MATCH('Suc. Boulevard'!$F$1,RAIZ!$A$2:$X$2,0),FALSE),0)</f>
        <v>0</v>
      </c>
      <c r="D126" s="20"/>
      <c r="E126" s="5"/>
      <c r="F126" s="5">
        <f t="shared" si="22"/>
        <v>0</v>
      </c>
      <c r="G126" s="5"/>
    </row>
    <row r="127" spans="1:7" ht="18.75" hidden="1" customHeight="1" thickBot="1" x14ac:dyDescent="0.4">
      <c r="A127" s="95" t="s">
        <v>1126</v>
      </c>
      <c r="B127" s="194" t="s">
        <v>1128</v>
      </c>
      <c r="C127" s="147">
        <f>+IFERROR(VLOOKUP($A127,RAIZ!$A$3:$X$1500,MATCH('Suc. Boulevard'!$F$1,RAIZ!$A$2:$X$2,0),FALSE),0)</f>
        <v>1</v>
      </c>
      <c r="D127" s="18"/>
      <c r="E127" s="184"/>
      <c r="F127" s="184">
        <f t="shared" si="22"/>
        <v>0</v>
      </c>
      <c r="G127" s="181"/>
    </row>
    <row r="128" spans="1:7" ht="18.75" customHeight="1" thickBot="1" x14ac:dyDescent="0.4">
      <c r="A128" s="95" t="s">
        <v>568</v>
      </c>
      <c r="B128" s="194" t="s">
        <v>1131</v>
      </c>
      <c r="C128" s="186">
        <f>+IFERROR(VLOOKUP($A128,RAIZ!$A$3:$X$1500,MATCH('Suc. Boulevard'!$F$1,RAIZ!$A$2:$X$2,0),FALSE),0)</f>
        <v>0</v>
      </c>
      <c r="D128" s="18">
        <v>3</v>
      </c>
      <c r="E128" s="185"/>
      <c r="F128" s="185">
        <f t="shared" si="22"/>
        <v>3</v>
      </c>
      <c r="G128" s="185">
        <v>3</v>
      </c>
    </row>
    <row r="129" spans="1:7" ht="18.75" hidden="1" customHeight="1" thickBot="1" x14ac:dyDescent="0.4">
      <c r="A129" s="95" t="s">
        <v>565</v>
      </c>
      <c r="B129" s="194" t="s">
        <v>1142</v>
      </c>
      <c r="C129" s="187">
        <f>+IFERROR(VLOOKUP($A129,RAIZ!$A$3:$X$1500,MATCH('Suc. Boulevard'!$F$1,RAIZ!$A$2:$X$2,0),FALSE),0)</f>
        <v>2</v>
      </c>
      <c r="D129" s="18">
        <v>2</v>
      </c>
      <c r="E129" s="185"/>
      <c r="F129" s="185">
        <f t="shared" si="22"/>
        <v>0</v>
      </c>
      <c r="G129" s="185"/>
    </row>
    <row r="130" spans="1:7" ht="18.75" customHeight="1" thickBot="1" x14ac:dyDescent="0.4">
      <c r="A130" s="95" t="s">
        <v>912</v>
      </c>
      <c r="B130" s="194" t="s">
        <v>1136</v>
      </c>
      <c r="C130" s="187">
        <f>+IFERROR(VLOOKUP($A130,RAIZ!$A$3:$X$1500,MATCH('Suc. Boulevard'!$F$1,RAIZ!$A$2:$X$2,0),FALSE),0)</f>
        <v>0</v>
      </c>
      <c r="D130" s="18">
        <v>2</v>
      </c>
      <c r="E130" s="185"/>
      <c r="F130" s="185">
        <f t="shared" si="22"/>
        <v>2</v>
      </c>
      <c r="G130" s="185">
        <v>2</v>
      </c>
    </row>
    <row r="131" spans="1:7" ht="18.75" hidden="1" customHeight="1" thickBot="1" x14ac:dyDescent="0.4">
      <c r="A131" s="95" t="s">
        <v>557</v>
      </c>
      <c r="B131" s="194" t="s">
        <v>1137</v>
      </c>
      <c r="C131" s="187">
        <f>+IFERROR(VLOOKUP($A131,RAIZ!$A$3:$X$1500,MATCH('Suc. Boulevard'!$F$1,RAIZ!$A$2:$X$2,0),FALSE),0)</f>
        <v>2</v>
      </c>
      <c r="D131" s="18">
        <v>2</v>
      </c>
      <c r="E131" s="185"/>
      <c r="F131" s="185">
        <f t="shared" si="22"/>
        <v>0</v>
      </c>
      <c r="G131" s="185"/>
    </row>
    <row r="132" spans="1:7" ht="18.75" hidden="1" customHeight="1" thickBot="1" x14ac:dyDescent="0.4">
      <c r="A132" s="95" t="s">
        <v>573</v>
      </c>
      <c r="B132" s="194" t="s">
        <v>1138</v>
      </c>
      <c r="C132" s="187">
        <f>+IFERROR(VLOOKUP($A132,RAIZ!$A$3:$X$1500,MATCH('Suc. Boulevard'!$F$1,RAIZ!$A$2:$X$2,0),FALSE),0)</f>
        <v>0</v>
      </c>
      <c r="D132" s="18">
        <v>1</v>
      </c>
      <c r="E132" s="185"/>
      <c r="F132" s="185">
        <f t="shared" si="22"/>
        <v>1</v>
      </c>
      <c r="G132" s="185"/>
    </row>
    <row r="133" spans="1:7" ht="18.75" hidden="1" customHeight="1" thickBot="1" x14ac:dyDescent="0.4">
      <c r="A133" s="95" t="s">
        <v>421</v>
      </c>
      <c r="B133" s="194" t="s">
        <v>1140</v>
      </c>
      <c r="C133" s="187">
        <f>+IFERROR(VLOOKUP($A133,RAIZ!$A$3:$X$1500,MATCH('Suc. Boulevard'!$F$1,RAIZ!$A$2:$X$2,0),FALSE),0)</f>
        <v>2</v>
      </c>
      <c r="D133" s="18">
        <v>2</v>
      </c>
      <c r="E133" s="185"/>
      <c r="F133" s="185">
        <f t="shared" si="22"/>
        <v>0</v>
      </c>
      <c r="G133" s="185"/>
    </row>
    <row r="134" spans="1:7" ht="18.75" customHeight="1" thickBot="1" x14ac:dyDescent="0.4">
      <c r="A134" s="95" t="s">
        <v>249</v>
      </c>
      <c r="B134" s="194" t="s">
        <v>1134</v>
      </c>
      <c r="C134" s="187">
        <f>+IFERROR(VLOOKUP($A134,RAIZ!$A$3:$X$1500,MATCH('Suc. Boulevard'!$F$1,RAIZ!$A$2:$X$2,0),FALSE),0)</f>
        <v>1</v>
      </c>
      <c r="D134" s="18">
        <v>2</v>
      </c>
      <c r="E134" s="185"/>
      <c r="F134" s="185">
        <f t="shared" si="22"/>
        <v>1</v>
      </c>
      <c r="G134" s="185">
        <v>1</v>
      </c>
    </row>
    <row r="135" spans="1:7" ht="18.75" hidden="1" customHeight="1" thickBot="1" x14ac:dyDescent="0.4">
      <c r="A135" s="95" t="s">
        <v>1030</v>
      </c>
      <c r="B135" s="194" t="s">
        <v>1143</v>
      </c>
      <c r="C135" s="187">
        <f>+IFERROR(VLOOKUP($A135,RAIZ!$A$3:$X$1500,MATCH('Suc. Boulevard'!$F$1,RAIZ!$A$2:$X$2,0),FALSE),0)</f>
        <v>6</v>
      </c>
      <c r="D135" s="18">
        <v>6</v>
      </c>
      <c r="E135" s="185"/>
      <c r="F135" s="185">
        <f t="shared" si="22"/>
        <v>0</v>
      </c>
      <c r="G135" s="185"/>
    </row>
    <row r="136" spans="1:7" ht="18.75" hidden="1" customHeight="1" thickBot="1" x14ac:dyDescent="0.4">
      <c r="A136" s="95" t="s">
        <v>253</v>
      </c>
      <c r="B136" s="194" t="s">
        <v>1135</v>
      </c>
      <c r="C136" s="187">
        <f>+IFERROR(VLOOKUP($A136,RAIZ!$A$3:$X$1500,MATCH('Suc. Boulevard'!$F$1,RAIZ!$A$2:$X$2,0),FALSE),0)</f>
        <v>2</v>
      </c>
      <c r="D136" s="18">
        <v>2</v>
      </c>
      <c r="E136" s="185"/>
      <c r="F136" s="185">
        <f t="shared" si="22"/>
        <v>0</v>
      </c>
      <c r="G136" s="185"/>
    </row>
    <row r="137" spans="1:7" ht="18.75" hidden="1" customHeight="1" thickBot="1" x14ac:dyDescent="0.4">
      <c r="A137" s="95" t="s">
        <v>240</v>
      </c>
      <c r="B137" s="194" t="s">
        <v>1139</v>
      </c>
      <c r="C137" s="187">
        <f>+IFERROR(VLOOKUP($A137,RAIZ!$A$3:$X$1500,MATCH('Suc. Boulevard'!$F$1,RAIZ!$A$2:$X$2,0),FALSE),0)</f>
        <v>0</v>
      </c>
      <c r="D137" s="18">
        <v>0</v>
      </c>
      <c r="E137" s="185"/>
      <c r="F137" s="185">
        <f t="shared" si="22"/>
        <v>0</v>
      </c>
      <c r="G137" s="185"/>
    </row>
    <row r="138" spans="1:7" ht="18.75" hidden="1" customHeight="1" thickBot="1" x14ac:dyDescent="0.4">
      <c r="A138" s="95" t="s">
        <v>204</v>
      </c>
      <c r="B138" s="194" t="s">
        <v>1106</v>
      </c>
      <c r="C138" s="187">
        <f>+IFERROR(VLOOKUP($A138,RAIZ!$A$3:$X$1500,MATCH('Suc. Boulevard'!$F$1,RAIZ!$A$2:$X$2,0),FALSE),0)</f>
        <v>0</v>
      </c>
      <c r="D138" s="18">
        <v>0</v>
      </c>
      <c r="E138" s="185"/>
      <c r="F138" s="185">
        <f t="shared" si="22"/>
        <v>0</v>
      </c>
      <c r="G138" s="185"/>
    </row>
    <row r="139" spans="1:7" ht="18.75" hidden="1" customHeight="1" thickBot="1" x14ac:dyDescent="0.4">
      <c r="A139" s="95" t="s">
        <v>1132</v>
      </c>
      <c r="B139" s="194" t="s">
        <v>1141</v>
      </c>
      <c r="C139" s="187">
        <f>+IFERROR(VLOOKUP($A139,RAIZ!$A$3:$X$1500,MATCH('Suc. Boulevard'!$F$1,RAIZ!$A$2:$X$2,0),FALSE),0)</f>
        <v>1</v>
      </c>
      <c r="D139" s="18">
        <v>1</v>
      </c>
      <c r="E139" s="185"/>
      <c r="F139" s="185">
        <f t="shared" si="22"/>
        <v>0</v>
      </c>
      <c r="G139" s="185"/>
    </row>
    <row r="140" spans="1:7" ht="18.75" hidden="1" customHeight="1" thickBot="1" x14ac:dyDescent="0.4">
      <c r="A140" s="95" t="s">
        <v>914</v>
      </c>
      <c r="B140" s="194" t="s">
        <v>1133</v>
      </c>
      <c r="C140" s="187">
        <f>+IFERROR(VLOOKUP($A140,RAIZ!$A$3:$X$1500,MATCH('Suc. Boulevard'!$F$1,RAIZ!$A$2:$X$2,0),FALSE),0)</f>
        <v>2</v>
      </c>
      <c r="D140" s="18">
        <v>1</v>
      </c>
      <c r="E140" s="185"/>
      <c r="F140" s="185">
        <f t="shared" si="22"/>
        <v>0</v>
      </c>
      <c r="G140" s="185"/>
    </row>
    <row r="141" spans="1:7" ht="18.75" hidden="1" customHeight="1" thickBot="1" x14ac:dyDescent="0.4">
      <c r="A141" s="243" t="s">
        <v>1120</v>
      </c>
      <c r="B141" s="194" t="s">
        <v>1159</v>
      </c>
      <c r="C141" s="187">
        <f>+IFERROR(VLOOKUP($A141,RAIZ!$A$3:$X$1500,MATCH('Suc. Boulevard'!$F$1,RAIZ!$A$2:$X$2,0),FALSE),0)</f>
        <v>0</v>
      </c>
      <c r="D141" s="18"/>
      <c r="E141" s="185"/>
      <c r="F141" s="185">
        <f t="shared" si="22"/>
        <v>0</v>
      </c>
      <c r="G141" s="185"/>
    </row>
    <row r="142" spans="1:7" ht="18.75" hidden="1" customHeight="1" thickBot="1" x14ac:dyDescent="0.4">
      <c r="A142" s="95"/>
      <c r="B142" s="194"/>
      <c r="C142" s="187">
        <f>+IFERROR(VLOOKUP($A142,RAIZ!$A$3:$X$1500,MATCH('Suc. Boulevard'!$F$1,RAIZ!$A$2:$X$2,0),FALSE),0)</f>
        <v>0</v>
      </c>
      <c r="D142" s="18"/>
      <c r="E142" s="185"/>
      <c r="F142" s="185"/>
      <c r="G142" s="185"/>
    </row>
    <row r="143" spans="1:7" ht="18.75" hidden="1" customHeight="1" thickBot="1" x14ac:dyDescent="0.4">
      <c r="A143" s="95"/>
      <c r="B143" s="193"/>
      <c r="C143" s="187">
        <f>+IFERROR(VLOOKUP($A143,RAIZ!$A$3:$X$1500,MATCH('Suc. Boulevard'!$F$1,RAIZ!$A$2:$X$2,0),FALSE),0)</f>
        <v>0</v>
      </c>
      <c r="D143" s="18"/>
      <c r="E143" s="185"/>
      <c r="F143" s="185"/>
      <c r="G143" s="185"/>
    </row>
    <row r="144" spans="1:7" ht="18.75" hidden="1" customHeight="1" thickBot="1" x14ac:dyDescent="0.4">
      <c r="A144" s="95"/>
      <c r="B144" s="194"/>
      <c r="C144" s="187">
        <f>+IFERROR(VLOOKUP($A144,RAIZ!$A$3:$X$1500,MATCH('Suc. Boulevard'!$F$1,RAIZ!$A$2:$X$2,0),FALSE),0)</f>
        <v>0</v>
      </c>
      <c r="D144" s="18"/>
      <c r="E144" s="185"/>
      <c r="F144" s="185"/>
      <c r="G144" s="185"/>
    </row>
    <row r="145" spans="1:7" ht="18.75" hidden="1" customHeight="1" thickBot="1" x14ac:dyDescent="0.4">
      <c r="A145" s="95"/>
      <c r="B145" s="192"/>
      <c r="C145" s="187">
        <f>+IFERROR(VLOOKUP($A145,RAIZ!$A$3:$X$1500,MATCH('Suc. Boulevard'!$F$1,RAIZ!$A$2:$X$2,0),FALSE),0)</f>
        <v>0</v>
      </c>
      <c r="D145" s="18"/>
      <c r="E145" s="185"/>
      <c r="F145" s="185"/>
      <c r="G145" s="185"/>
    </row>
    <row r="146" spans="1:7" ht="18.75" hidden="1" customHeight="1" thickBot="1" x14ac:dyDescent="0.4">
      <c r="A146" s="95"/>
      <c r="B146" s="194"/>
      <c r="C146" s="187">
        <f>+IFERROR(VLOOKUP($A146,RAIZ!$A$3:$X$1500,MATCH('Suc. Boulevard'!$F$1,RAIZ!$A$2:$X$2,0),FALSE),0)</f>
        <v>0</v>
      </c>
      <c r="D146" s="18"/>
      <c r="E146" s="185"/>
      <c r="F146" s="185"/>
      <c r="G146" s="185"/>
    </row>
    <row r="147" spans="1:7" ht="18.75" hidden="1" customHeight="1" thickBot="1" x14ac:dyDescent="0.4">
      <c r="A147" s="95"/>
      <c r="B147" s="193"/>
      <c r="C147" s="187">
        <f>+IFERROR(VLOOKUP($A147,RAIZ!$A$3:$X$1500,MATCH('Suc. Boulevard'!$F$1,RAIZ!$A$2:$X$2,0),FALSE),0)</f>
        <v>0</v>
      </c>
      <c r="D147" s="14"/>
      <c r="E147" s="185"/>
      <c r="F147" s="185"/>
      <c r="G147" s="185"/>
    </row>
    <row r="148" spans="1:7" ht="18.75" hidden="1" customHeight="1" thickBot="1" x14ac:dyDescent="0.4">
      <c r="A148" s="95"/>
      <c r="B148" s="193"/>
      <c r="C148" s="188">
        <f>+IFERROR(VLOOKUP($A148,RAIZ!$A$3:$X$1500,MATCH('Suc. Boulevard'!$F$1,RAIZ!$A$2:$X$2,0),FALSE),0)</f>
        <v>0</v>
      </c>
      <c r="D148" s="14"/>
      <c r="E148" s="185"/>
      <c r="F148" s="185"/>
      <c r="G148" s="185"/>
    </row>
    <row r="149" spans="1:7" ht="18.75" customHeight="1" thickBot="1" x14ac:dyDescent="0.4">
      <c r="A149" s="173"/>
      <c r="B149" s="109"/>
      <c r="C149" s="182">
        <f>SUM(C118:C127,)</f>
        <v>15</v>
      </c>
      <c r="D149" s="182">
        <f>SUM(D118:D127,)</f>
        <v>12</v>
      </c>
      <c r="E149" s="182">
        <f>SUM(E118:E127,)</f>
        <v>0</v>
      </c>
      <c r="F149" s="182">
        <f>SUM(F118:F127,)</f>
        <v>1</v>
      </c>
      <c r="G149" s="182">
        <f>SUM(G118:G148,)</f>
        <v>6</v>
      </c>
    </row>
    <row r="150" spans="1:7" ht="18.75" customHeight="1" thickBot="1" x14ac:dyDescent="0.4">
      <c r="A150" s="110" t="s">
        <v>86</v>
      </c>
      <c r="B150" s="111"/>
      <c r="C150" s="83">
        <f>C149+C117</f>
        <v>110</v>
      </c>
      <c r="D150" s="83">
        <f>D149+D117</f>
        <v>143</v>
      </c>
      <c r="E150" s="83">
        <f>E149+E117</f>
        <v>5</v>
      </c>
      <c r="F150" s="83">
        <f>F149+F117</f>
        <v>38</v>
      </c>
      <c r="G150" s="83">
        <f>G149+G117</f>
        <v>44</v>
      </c>
    </row>
  </sheetData>
  <autoFilter ref="A2:H150" xr:uid="{EB8C532E-B865-431C-AAF8-EE2B296465F8}">
    <filterColumn colId="6">
      <customFilters>
        <customFilter operator="notEqual" val=" "/>
      </customFilters>
    </filterColumn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1E31B62-5FC8-45D2-A466-CE8A616AB124}">
          <x14:formula1>
            <xm:f>Hoja1!$C$2:$C$9</xm:f>
          </x14:formula1>
          <xm:sqref>H2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19EE8-88B3-420F-8A99-C6233BBE39DB}">
  <sheetPr codeName="Hoja11" filterMode="1">
    <tabColor rgb="FF00B050"/>
  </sheetPr>
  <dimension ref="A1:H150"/>
  <sheetViews>
    <sheetView zoomScale="80" zoomScaleNormal="80" workbookViewId="0">
      <pane xSplit="2" ySplit="2" topLeftCell="G86" activePane="bottomRight" state="frozen"/>
      <selection activeCell="I134" sqref="I134"/>
      <selection pane="topRight" activeCell="I134" sqref="I134"/>
      <selection pane="bottomLeft" activeCell="I134" sqref="I134"/>
      <selection pane="bottomRight" activeCell="A2" sqref="A2:XFD2"/>
    </sheetView>
  </sheetViews>
  <sheetFormatPr baseColWidth="10" defaultRowHeight="18" x14ac:dyDescent="0.35"/>
  <cols>
    <col min="1" max="1" width="55.6640625" customWidth="1"/>
    <col min="2" max="2" width="7.6640625" style="91" bestFit="1" customWidth="1"/>
    <col min="3" max="3" width="14" bestFit="1" customWidth="1"/>
    <col min="4" max="5" width="15" customWidth="1"/>
    <col min="6" max="6" width="14.5546875" customWidth="1"/>
  </cols>
  <sheetData>
    <row r="1" spans="1:8" ht="18.600000000000001" thickBot="1" x14ac:dyDescent="0.4">
      <c r="A1" s="1">
        <f>RAIZ!B1</f>
        <v>46301</v>
      </c>
      <c r="C1" s="2"/>
      <c r="D1" s="2" t="s">
        <v>702</v>
      </c>
      <c r="E1" s="2"/>
      <c r="F1" s="2" t="s">
        <v>97</v>
      </c>
      <c r="H1" t="s">
        <v>741</v>
      </c>
    </row>
    <row r="2" spans="1:8" ht="31.8" thickBot="1" x14ac:dyDescent="0.35">
      <c r="A2" s="90" t="s">
        <v>0</v>
      </c>
      <c r="B2" s="92" t="s">
        <v>755</v>
      </c>
      <c r="C2" s="39" t="s">
        <v>703</v>
      </c>
      <c r="D2" s="40" t="s">
        <v>704</v>
      </c>
      <c r="E2" s="88" t="s">
        <v>726</v>
      </c>
      <c r="F2" s="41" t="s">
        <v>705</v>
      </c>
      <c r="G2" s="62" t="s">
        <v>725</v>
      </c>
      <c r="H2" s="87" t="s">
        <v>731</v>
      </c>
    </row>
    <row r="3" spans="1:8" ht="18.75" customHeight="1" x14ac:dyDescent="0.35">
      <c r="A3" s="93" t="s">
        <v>1</v>
      </c>
      <c r="B3" s="112" t="s">
        <v>756</v>
      </c>
      <c r="C3" s="5">
        <f>+IFERROR(VLOOKUP($A3,RAIZ!$A$3:$X$1500,MATCH('Suc. Plaza'!$F$1,RAIZ!$A$2:$X$2,0),FALSE),0)</f>
        <v>0</v>
      </c>
      <c r="D3" s="4">
        <v>1</v>
      </c>
      <c r="E3" s="5"/>
      <c r="F3" s="5">
        <f>IF(D3-C3&gt;=0,D3-C3,0)</f>
        <v>1</v>
      </c>
      <c r="G3" s="5">
        <v>1</v>
      </c>
    </row>
    <row r="4" spans="1:8" ht="18.75" customHeight="1" x14ac:dyDescent="0.35">
      <c r="A4" s="93" t="s">
        <v>2</v>
      </c>
      <c r="B4" s="112" t="s">
        <v>865</v>
      </c>
      <c r="C4" s="5">
        <f>+IFERROR(VLOOKUP($A4,RAIZ!$A$3:$X$1500,MATCH('Suc. Plaza'!$F$1,RAIZ!$A$2:$X$2,0),FALSE),0)</f>
        <v>0</v>
      </c>
      <c r="D4" s="4">
        <v>1</v>
      </c>
      <c r="E4" s="5"/>
      <c r="F4" s="5">
        <f>IF(D4-C4&gt;=0,D4-C4,0)</f>
        <v>1</v>
      </c>
      <c r="G4" s="5">
        <v>1</v>
      </c>
    </row>
    <row r="5" spans="1:8" ht="18.75" hidden="1" customHeight="1" x14ac:dyDescent="0.35">
      <c r="A5" s="93" t="s">
        <v>3</v>
      </c>
      <c r="B5" s="112" t="s">
        <v>757</v>
      </c>
      <c r="C5" s="5">
        <f>+IFERROR(VLOOKUP($A5,RAIZ!$A$3:$X$1500,MATCH('Suc. Plaza'!$F$1,RAIZ!$A$2:$X$2,0),FALSE),0)</f>
        <v>1</v>
      </c>
      <c r="D5" s="7">
        <v>1</v>
      </c>
      <c r="E5" s="5"/>
      <c r="F5" s="5">
        <f t="shared" ref="F5:F10" si="0">IF(D5-C5&gt;=0,D5-C5,0)</f>
        <v>0</v>
      </c>
      <c r="G5" s="5"/>
    </row>
    <row r="6" spans="1:8" ht="18.75" hidden="1" customHeight="1" x14ac:dyDescent="0.35">
      <c r="A6" s="93" t="s">
        <v>4</v>
      </c>
      <c r="B6" s="112" t="s">
        <v>758</v>
      </c>
      <c r="C6" s="5">
        <f>+IFERROR(VLOOKUP($A6,RAIZ!$A$3:$X$1500,MATCH('Suc. Plaza'!$F$1,RAIZ!$A$2:$X$2,0),FALSE),0)</f>
        <v>2</v>
      </c>
      <c r="D6" s="7">
        <v>2</v>
      </c>
      <c r="E6" s="5"/>
      <c r="F6" s="5">
        <f t="shared" si="0"/>
        <v>0</v>
      </c>
      <c r="G6" s="5"/>
    </row>
    <row r="7" spans="1:8" ht="18.75" hidden="1" customHeight="1" x14ac:dyDescent="0.35">
      <c r="A7" s="93" t="s">
        <v>5</v>
      </c>
      <c r="B7" s="112" t="s">
        <v>759</v>
      </c>
      <c r="C7" s="5">
        <f>+IFERROR(VLOOKUP($A7,RAIZ!$A$3:$X$1500,MATCH('Suc. Plaza'!$F$1,RAIZ!$A$2:$X$2,0),FALSE),0)</f>
        <v>1</v>
      </c>
      <c r="D7" s="7">
        <v>1</v>
      </c>
      <c r="E7" s="5"/>
      <c r="F7" s="5">
        <f t="shared" si="0"/>
        <v>0</v>
      </c>
      <c r="G7" s="5"/>
    </row>
    <row r="8" spans="1:8" ht="18.75" customHeight="1" x14ac:dyDescent="0.35">
      <c r="A8" s="93" t="s">
        <v>6</v>
      </c>
      <c r="B8" s="112" t="s">
        <v>760</v>
      </c>
      <c r="C8" s="5">
        <f>+IFERROR(VLOOKUP($A8,RAIZ!$A$3:$X$1500,MATCH('Suc. Plaza'!$F$1,RAIZ!$A$2:$X$2,0),FALSE),0)</f>
        <v>0</v>
      </c>
      <c r="D8" s="7">
        <v>1</v>
      </c>
      <c r="E8" s="5"/>
      <c r="F8" s="5">
        <f t="shared" si="0"/>
        <v>1</v>
      </c>
      <c r="G8" s="5">
        <v>1</v>
      </c>
    </row>
    <row r="9" spans="1:8" ht="18.75" customHeight="1" x14ac:dyDescent="0.35">
      <c r="A9" s="93" t="s">
        <v>7</v>
      </c>
      <c r="B9" s="112" t="s">
        <v>761</v>
      </c>
      <c r="C9" s="5">
        <f>+IFERROR(VLOOKUP($A9,RAIZ!$A$3:$X$1500,MATCH('Suc. Plaza'!$F$1,RAIZ!$A$2:$X$2,0),FALSE),0)</f>
        <v>0</v>
      </c>
      <c r="D9" s="7">
        <v>1</v>
      </c>
      <c r="E9" s="5"/>
      <c r="F9" s="5">
        <f t="shared" si="0"/>
        <v>1</v>
      </c>
      <c r="G9" s="5">
        <v>1</v>
      </c>
    </row>
    <row r="10" spans="1:8" ht="18.75" customHeight="1" x14ac:dyDescent="0.35">
      <c r="A10" s="93" t="s">
        <v>8</v>
      </c>
      <c r="B10" s="112" t="s">
        <v>762</v>
      </c>
      <c r="C10" s="5">
        <f>+IFERROR(VLOOKUP($A10,RAIZ!$A$3:$X$1500,MATCH('Suc. Plaza'!$F$1,RAIZ!$A$2:$X$2,0),FALSE),0)</f>
        <v>0</v>
      </c>
      <c r="D10" s="7">
        <v>1</v>
      </c>
      <c r="E10" s="5"/>
      <c r="F10" s="5">
        <f t="shared" si="0"/>
        <v>1</v>
      </c>
      <c r="G10" s="5">
        <v>1</v>
      </c>
    </row>
    <row r="11" spans="1:8" ht="18.75" customHeight="1" thickBot="1" x14ac:dyDescent="0.4">
      <c r="A11" s="93" t="s">
        <v>9</v>
      </c>
      <c r="B11" s="112" t="s">
        <v>763</v>
      </c>
      <c r="C11" s="5">
        <f>+IFERROR(VLOOKUP($A11,RAIZ!$A$3:$X$1500,MATCH('Suc. Plaza'!$F$1,RAIZ!$A$2:$X$2,0),FALSE),0)</f>
        <v>0</v>
      </c>
      <c r="D11" s="9">
        <v>1</v>
      </c>
      <c r="E11" s="5"/>
      <c r="F11" s="5">
        <f t="shared" ref="F11:F12" si="1">IF(D11-C11&gt;=0,D11-C11,0)</f>
        <v>1</v>
      </c>
      <c r="G11" s="5">
        <v>1</v>
      </c>
    </row>
    <row r="12" spans="1:8" ht="18.75" hidden="1" customHeight="1" x14ac:dyDescent="0.35">
      <c r="A12" s="93"/>
      <c r="B12" s="112"/>
      <c r="C12" s="5">
        <f>+IFERROR(VLOOKUP($A12,RAIZ!$A$3:$X$1500,MATCH('Suc. Plaza'!$F$1,RAIZ!$A$2:$X$2,0),FALSE),0)</f>
        <v>0</v>
      </c>
      <c r="D12" s="20"/>
      <c r="E12" s="5"/>
      <c r="F12" s="5">
        <f t="shared" si="1"/>
        <v>0</v>
      </c>
      <c r="G12" s="5"/>
    </row>
    <row r="13" spans="1:8" ht="18.75" hidden="1" customHeight="1" x14ac:dyDescent="0.35">
      <c r="A13" s="93"/>
      <c r="B13" s="112"/>
      <c r="C13" s="5">
        <f>+IFERROR(VLOOKUP($A13,RAIZ!$A$3:$X$1500,MATCH('Suc. Plaza'!$F$1,RAIZ!$A$2:$X$2,0),FALSE),0)</f>
        <v>0</v>
      </c>
      <c r="D13" s="20"/>
      <c r="E13" s="5"/>
      <c r="F13" s="5">
        <f t="shared" ref="F13:F17" si="2">IF(D13-C13&gt;=0,D13-C13,0)</f>
        <v>0</v>
      </c>
      <c r="G13" s="5"/>
    </row>
    <row r="14" spans="1:8" ht="18.75" hidden="1" customHeight="1" x14ac:dyDescent="0.35">
      <c r="A14" s="93"/>
      <c r="B14" s="112"/>
      <c r="C14" s="5">
        <f>+IFERROR(VLOOKUP($A14,RAIZ!$A$3:$X$1500,MATCH('Suc. Plaza'!$F$1,RAIZ!$A$2:$X$2,0),FALSE),0)</f>
        <v>0</v>
      </c>
      <c r="D14" s="20"/>
      <c r="E14" s="5"/>
      <c r="F14" s="5">
        <f>IF(D14-C14&gt;=0,D14-C14,0)</f>
        <v>0</v>
      </c>
      <c r="G14" s="5"/>
    </row>
    <row r="15" spans="1:8" ht="18.75" hidden="1" customHeight="1" x14ac:dyDescent="0.35">
      <c r="A15" s="93"/>
      <c r="B15" s="112"/>
      <c r="C15" s="5">
        <f>+IFERROR(VLOOKUP($A15,RAIZ!$A$3:$X$1500,MATCH('Suc. Plaza'!$F$1,RAIZ!$A$2:$X$2,0),FALSE),0)</f>
        <v>0</v>
      </c>
      <c r="D15" s="9"/>
      <c r="E15" s="5"/>
      <c r="F15" s="5">
        <f t="shared" si="2"/>
        <v>0</v>
      </c>
      <c r="G15" s="5"/>
    </row>
    <row r="16" spans="1:8" ht="18.75" hidden="1" customHeight="1" x14ac:dyDescent="0.35">
      <c r="A16" s="93"/>
      <c r="B16" s="112"/>
      <c r="C16" s="5">
        <f>+IFERROR(VLOOKUP($A16,RAIZ!$A$3:$X$1500,MATCH('Suc. Plaza'!$F$1,RAIZ!$A$2:$X$2,0),FALSE),0)</f>
        <v>0</v>
      </c>
      <c r="D16" s="9"/>
      <c r="E16" s="5"/>
      <c r="F16" s="5">
        <f t="shared" si="2"/>
        <v>0</v>
      </c>
      <c r="G16" s="5"/>
    </row>
    <row r="17" spans="1:7" ht="18.75" hidden="1" customHeight="1" thickBot="1" x14ac:dyDescent="0.4">
      <c r="A17" s="93"/>
      <c r="B17" s="112"/>
      <c r="C17" s="5">
        <f>+IFERROR(VLOOKUP($A17,RAIZ!$A$3:$X$1500,MATCH('Suc. Plaza'!$F$1,RAIZ!$A$2:$X$2,0),FALSE),0)</f>
        <v>0</v>
      </c>
      <c r="D17" s="9"/>
      <c r="E17" s="5"/>
      <c r="F17" s="5">
        <f t="shared" si="2"/>
        <v>0</v>
      </c>
      <c r="G17" s="5"/>
    </row>
    <row r="18" spans="1:7" ht="18.75" customHeight="1" thickBot="1" x14ac:dyDescent="0.4">
      <c r="A18" s="96" t="s">
        <v>10</v>
      </c>
      <c r="B18" s="111"/>
      <c r="C18" s="75">
        <f>SUM(C3:C17)</f>
        <v>4</v>
      </c>
      <c r="D18" s="75">
        <f>SUM(D3:D17)</f>
        <v>10</v>
      </c>
      <c r="E18" s="44">
        <f>SUM(E3:E17)</f>
        <v>0</v>
      </c>
      <c r="F18" s="63">
        <f>SUM(F3:F17)</f>
        <v>6</v>
      </c>
      <c r="G18" s="44">
        <f>SUM(G3:G17)</f>
        <v>6</v>
      </c>
    </row>
    <row r="19" spans="1:7" ht="18.75" hidden="1" customHeight="1" x14ac:dyDescent="0.35">
      <c r="A19" s="97" t="s">
        <v>676</v>
      </c>
      <c r="B19" s="112" t="s">
        <v>764</v>
      </c>
      <c r="C19" s="5">
        <f>+IFERROR(VLOOKUP($A19,RAIZ!$A$3:$X$1500,MATCH('Suc. Plaza'!$F$1,RAIZ!$A$2:$X$2,0),FALSE),0)</f>
        <v>1</v>
      </c>
      <c r="D19" s="12">
        <v>1</v>
      </c>
      <c r="E19" s="5"/>
      <c r="F19" s="5">
        <f t="shared" ref="F19:F21" si="3">IF(D19-C19&gt;=0,D19-C19,0)</f>
        <v>0</v>
      </c>
      <c r="G19" s="5"/>
    </row>
    <row r="20" spans="1:7" ht="18.75" hidden="1" customHeight="1" x14ac:dyDescent="0.35">
      <c r="A20" s="97" t="s">
        <v>11</v>
      </c>
      <c r="B20" s="112" t="s">
        <v>827</v>
      </c>
      <c r="C20" s="5">
        <f>+IFERROR(VLOOKUP($A20,RAIZ!$A$3:$X$1500,MATCH('Suc. Plaza'!$F$1,RAIZ!$A$2:$X$2,0),FALSE),0)</f>
        <v>1</v>
      </c>
      <c r="D20" s="14">
        <v>1</v>
      </c>
      <c r="E20" s="5"/>
      <c r="F20" s="5">
        <f t="shared" si="3"/>
        <v>0</v>
      </c>
      <c r="G20" s="5"/>
    </row>
    <row r="21" spans="1:7" ht="18.75" customHeight="1" x14ac:dyDescent="0.35">
      <c r="A21" s="97" t="s">
        <v>344</v>
      </c>
      <c r="B21" s="112" t="s">
        <v>765</v>
      </c>
      <c r="C21" s="5">
        <f>+IFERROR(VLOOKUP($A21,RAIZ!$A$3:$X$1500,MATCH('Suc. Plaza'!$F$1,RAIZ!$A$2:$X$2,0),FALSE),0)</f>
        <v>0</v>
      </c>
      <c r="D21" s="14">
        <v>1</v>
      </c>
      <c r="E21" s="5"/>
      <c r="F21" s="5">
        <f t="shared" si="3"/>
        <v>1</v>
      </c>
      <c r="G21" s="5">
        <v>1</v>
      </c>
    </row>
    <row r="22" spans="1:7" ht="18.75" hidden="1" customHeight="1" x14ac:dyDescent="0.35">
      <c r="A22" s="97" t="s">
        <v>832</v>
      </c>
      <c r="B22" s="112" t="s">
        <v>833</v>
      </c>
      <c r="C22" s="5">
        <f>+IFERROR(VLOOKUP($A22,RAIZ!$A$3:$X$1500,MATCH('Suc. Plaza'!$F$1,RAIZ!$A$2:$X$2,0),FALSE),0)</f>
        <v>1</v>
      </c>
      <c r="D22" s="14">
        <v>1</v>
      </c>
      <c r="E22" s="5"/>
      <c r="F22" s="5">
        <f t="shared" ref="F22:F31" si="4">IF(D22-C22&gt;=0,D22-C22,0)</f>
        <v>0</v>
      </c>
      <c r="G22" s="5"/>
    </row>
    <row r="23" spans="1:7" ht="18.75" customHeight="1" thickBot="1" x14ac:dyDescent="0.4">
      <c r="A23" s="97" t="s">
        <v>12</v>
      </c>
      <c r="B23" s="112" t="s">
        <v>766</v>
      </c>
      <c r="C23" s="5">
        <f>+IFERROR(VLOOKUP($A23,RAIZ!$A$3:$X$1500,MATCH('Suc. Plaza'!$F$1,RAIZ!$A$2:$X$2,0),FALSE),0)</f>
        <v>0</v>
      </c>
      <c r="D23" s="14">
        <v>1</v>
      </c>
      <c r="E23" s="5"/>
      <c r="F23" s="5">
        <f t="shared" si="4"/>
        <v>1</v>
      </c>
      <c r="G23" s="5">
        <v>1</v>
      </c>
    </row>
    <row r="24" spans="1:7" ht="18.75" hidden="1" customHeight="1" x14ac:dyDescent="0.35">
      <c r="A24" s="97" t="s">
        <v>432</v>
      </c>
      <c r="B24" s="112" t="s">
        <v>767</v>
      </c>
      <c r="C24" s="5">
        <f>+IFERROR(VLOOKUP($A24,RAIZ!$A$3:$X$1500,MATCH('Suc. Plaza'!$F$1,RAIZ!$A$2:$X$2,0),FALSE),0)</f>
        <v>0</v>
      </c>
      <c r="D24" s="14">
        <v>1</v>
      </c>
      <c r="E24" s="5"/>
      <c r="F24" s="5">
        <f t="shared" si="4"/>
        <v>1</v>
      </c>
      <c r="G24" s="5"/>
    </row>
    <row r="25" spans="1:7" ht="18.75" hidden="1" customHeight="1" x14ac:dyDescent="0.35">
      <c r="A25" s="97" t="s">
        <v>468</v>
      </c>
      <c r="B25" s="112" t="s">
        <v>768</v>
      </c>
      <c r="C25" s="5">
        <f>+IFERROR(VLOOKUP($A25,RAIZ!$A$3:$X$1500,MATCH('Suc. Plaza'!$F$1,RAIZ!$A$2:$X$2,0),FALSE),0)</f>
        <v>1</v>
      </c>
      <c r="D25" s="16">
        <v>1</v>
      </c>
      <c r="E25" s="5"/>
      <c r="F25" s="5">
        <f t="shared" si="4"/>
        <v>0</v>
      </c>
      <c r="G25" s="5"/>
    </row>
    <row r="26" spans="1:7" ht="18.75" hidden="1" customHeight="1" x14ac:dyDescent="0.35">
      <c r="A26" s="97"/>
      <c r="B26" s="112"/>
      <c r="C26" s="5">
        <f>+IFERROR(VLOOKUP($A26,RAIZ!$A$3:$X$1500,MATCH('Suc. Plaza'!$F$1,RAIZ!$A$2:$X$2,0),FALSE),0)</f>
        <v>0</v>
      </c>
      <c r="D26" s="20">
        <v>0</v>
      </c>
      <c r="E26" s="5"/>
      <c r="F26" s="5">
        <f t="shared" si="4"/>
        <v>0</v>
      </c>
      <c r="G26" s="5"/>
    </row>
    <row r="27" spans="1:7" ht="18.75" hidden="1" customHeight="1" x14ac:dyDescent="0.35">
      <c r="A27" s="97"/>
      <c r="B27" s="112"/>
      <c r="C27" s="5">
        <f>+IFERROR(VLOOKUP($A27,RAIZ!$A$3:$X$1500,MATCH('Suc. Plaza'!$F$1,RAIZ!$A$2:$X$2,0),FALSE),0)</f>
        <v>0</v>
      </c>
      <c r="D27" s="16"/>
      <c r="E27" s="5"/>
      <c r="F27" s="5">
        <f>IF(D27-C27&gt;=0,D27-C27,0)</f>
        <v>0</v>
      </c>
      <c r="G27" s="5"/>
    </row>
    <row r="28" spans="1:7" ht="18.75" hidden="1" customHeight="1" x14ac:dyDescent="0.35">
      <c r="A28" s="97"/>
      <c r="B28" s="112"/>
      <c r="C28" s="5">
        <f>+IFERROR(VLOOKUP($A28,RAIZ!$A$3:$X$1500,MATCH('Suc. Plaza'!$F$1,RAIZ!$A$2:$X$2,0),FALSE),0)</f>
        <v>0</v>
      </c>
      <c r="D28" s="16"/>
      <c r="E28" s="5"/>
      <c r="F28" s="5">
        <f t="shared" si="4"/>
        <v>0</v>
      </c>
      <c r="G28" s="5"/>
    </row>
    <row r="29" spans="1:7" ht="18.75" hidden="1" customHeight="1" x14ac:dyDescent="0.35">
      <c r="A29" s="97"/>
      <c r="B29" s="112"/>
      <c r="C29" s="5">
        <f>+IFERROR(VLOOKUP($A29,RAIZ!$A$3:$X$1500,MATCH('Suc. Plaza'!$F$1,RAIZ!$A$2:$X$2,0),FALSE),0)</f>
        <v>0</v>
      </c>
      <c r="D29" s="16"/>
      <c r="E29" s="5"/>
      <c r="F29" s="5">
        <f t="shared" si="4"/>
        <v>0</v>
      </c>
      <c r="G29" s="5"/>
    </row>
    <row r="30" spans="1:7" ht="18.75" hidden="1" customHeight="1" x14ac:dyDescent="0.35">
      <c r="A30" s="97"/>
      <c r="B30" s="112"/>
      <c r="C30" s="5">
        <f>+IFERROR(VLOOKUP($A30,RAIZ!$A$3:$X$1500,MATCH('Suc. Plaza'!$F$1,RAIZ!$A$2:$X$2,0),FALSE),0)</f>
        <v>0</v>
      </c>
      <c r="D30" s="16"/>
      <c r="E30" s="5"/>
      <c r="F30" s="5">
        <f t="shared" si="4"/>
        <v>0</v>
      </c>
      <c r="G30" s="5"/>
    </row>
    <row r="31" spans="1:7" ht="18.75" hidden="1" customHeight="1" thickBot="1" x14ac:dyDescent="0.4">
      <c r="A31" s="97"/>
      <c r="B31" s="112"/>
      <c r="C31" s="5">
        <f>+IFERROR(VLOOKUP($A31,RAIZ!$A$3:$X$1500,MATCH('Suc. Plaza'!$F$1,RAIZ!$A$2:$X$2,0),FALSE),0)</f>
        <v>0</v>
      </c>
      <c r="D31" s="16"/>
      <c r="E31" s="5"/>
      <c r="F31" s="5">
        <f t="shared" si="4"/>
        <v>0</v>
      </c>
      <c r="G31" s="5"/>
    </row>
    <row r="32" spans="1:7" ht="18.75" customHeight="1" thickBot="1" x14ac:dyDescent="0.4">
      <c r="A32" s="98" t="s">
        <v>13</v>
      </c>
      <c r="B32" s="111"/>
      <c r="C32" s="76">
        <f>SUM(C19:C31)</f>
        <v>4</v>
      </c>
      <c r="D32" s="76">
        <f>SUM(D19:D31)</f>
        <v>7</v>
      </c>
      <c r="E32" s="46">
        <f>SUM(E19:E31)</f>
        <v>0</v>
      </c>
      <c r="F32" s="64">
        <f>SUM(F19:F31)</f>
        <v>3</v>
      </c>
      <c r="G32" s="46">
        <f>SUM(G19:G31)</f>
        <v>2</v>
      </c>
    </row>
    <row r="33" spans="1:7" ht="18.75" hidden="1" customHeight="1" x14ac:dyDescent="0.35">
      <c r="A33" s="97" t="s">
        <v>14</v>
      </c>
      <c r="B33" s="112" t="s">
        <v>769</v>
      </c>
      <c r="C33" s="5">
        <f>+IFERROR(VLOOKUP($A33,RAIZ!$A$3:$X$1500,MATCH('Suc. Plaza'!$F$1,RAIZ!$A$2:$X$2,0),FALSE),0)</f>
        <v>1</v>
      </c>
      <c r="D33" s="4">
        <v>1</v>
      </c>
      <c r="E33" s="5"/>
      <c r="F33" s="5">
        <f t="shared" ref="F33:F48" si="5">IF(D33-C33&gt;=0,D33-C33,0)</f>
        <v>0</v>
      </c>
      <c r="G33" s="5"/>
    </row>
    <row r="34" spans="1:7" ht="18.75" customHeight="1" x14ac:dyDescent="0.35">
      <c r="A34" s="97" t="s">
        <v>15</v>
      </c>
      <c r="B34" s="112" t="s">
        <v>770</v>
      </c>
      <c r="C34" s="5">
        <f>+IFERROR(VLOOKUP($A34,RAIZ!$A$3:$X$1500,MATCH('Suc. Plaza'!$F$1,RAIZ!$A$2:$X$2,0),FALSE),0)</f>
        <v>0</v>
      </c>
      <c r="D34" s="7">
        <v>1</v>
      </c>
      <c r="E34" s="5"/>
      <c r="F34" s="5">
        <f t="shared" si="5"/>
        <v>1</v>
      </c>
      <c r="G34" s="5">
        <v>1</v>
      </c>
    </row>
    <row r="35" spans="1:7" ht="18.75" hidden="1" customHeight="1" x14ac:dyDescent="0.35">
      <c r="A35" s="97" t="s">
        <v>16</v>
      </c>
      <c r="B35" s="112" t="s">
        <v>771</v>
      </c>
      <c r="C35" s="5">
        <f>+IFERROR(VLOOKUP($A35,RAIZ!$A$3:$X$1500,MATCH('Suc. Plaza'!$F$1,RAIZ!$A$2:$X$2,0),FALSE),0)</f>
        <v>1</v>
      </c>
      <c r="D35" s="7">
        <v>1</v>
      </c>
      <c r="E35" s="5"/>
      <c r="F35" s="5">
        <f t="shared" si="5"/>
        <v>0</v>
      </c>
      <c r="G35" s="5"/>
    </row>
    <row r="36" spans="1:7" ht="18.75" hidden="1" customHeight="1" x14ac:dyDescent="0.35">
      <c r="A36" s="97" t="s">
        <v>17</v>
      </c>
      <c r="B36" s="112" t="s">
        <v>772</v>
      </c>
      <c r="C36" s="5">
        <f>+IFERROR(VLOOKUP($A36,RAIZ!$A$3:$X$1500,MATCH('Suc. Plaza'!$F$1,RAIZ!$A$2:$X$2,0),FALSE),0)</f>
        <v>1</v>
      </c>
      <c r="D36" s="7">
        <v>1</v>
      </c>
      <c r="E36" s="5"/>
      <c r="F36" s="5">
        <f t="shared" si="5"/>
        <v>0</v>
      </c>
      <c r="G36" s="5"/>
    </row>
    <row r="37" spans="1:7" ht="18.75" customHeight="1" x14ac:dyDescent="0.35">
      <c r="A37" s="97" t="s">
        <v>18</v>
      </c>
      <c r="B37" s="112" t="s">
        <v>773</v>
      </c>
      <c r="C37" s="5">
        <f>+IFERROR(VLOOKUP($A37,RAIZ!$A$3:$X$1500,MATCH('Suc. Plaza'!$F$1,RAIZ!$A$2:$X$2,0),FALSE),0)</f>
        <v>0</v>
      </c>
      <c r="D37" s="7">
        <v>1</v>
      </c>
      <c r="E37" s="5"/>
      <c r="F37" s="5">
        <f t="shared" si="5"/>
        <v>1</v>
      </c>
      <c r="G37" s="5">
        <v>1</v>
      </c>
    </row>
    <row r="38" spans="1:7" ht="18.75" customHeight="1" x14ac:dyDescent="0.35">
      <c r="A38" s="97" t="s">
        <v>22</v>
      </c>
      <c r="B38" s="112" t="s">
        <v>774</v>
      </c>
      <c r="C38" s="5">
        <f>+IFERROR(VLOOKUP($A38,RAIZ!$A$3:$X$1500,MATCH('Suc. Plaza'!$F$1,RAIZ!$A$2:$X$2,0),FALSE),0)</f>
        <v>0</v>
      </c>
      <c r="D38" s="18">
        <v>1</v>
      </c>
      <c r="E38" s="5"/>
      <c r="F38" s="5">
        <f t="shared" si="5"/>
        <v>1</v>
      </c>
      <c r="G38" s="5">
        <v>1</v>
      </c>
    </row>
    <row r="39" spans="1:7" ht="18.75" hidden="1" customHeight="1" x14ac:dyDescent="0.35">
      <c r="A39" s="97" t="s">
        <v>23</v>
      </c>
      <c r="B39" s="112" t="s">
        <v>775</v>
      </c>
      <c r="C39" s="5">
        <f>+IFERROR(VLOOKUP($A39,RAIZ!$A$3:$X$1500,MATCH('Suc. Plaza'!$F$1,RAIZ!$A$2:$X$2,0),FALSE),0)</f>
        <v>1</v>
      </c>
      <c r="D39" s="18">
        <v>1</v>
      </c>
      <c r="E39" s="5"/>
      <c r="F39" s="5">
        <f t="shared" si="5"/>
        <v>0</v>
      </c>
      <c r="G39" s="5"/>
    </row>
    <row r="40" spans="1:7" ht="18.75" customHeight="1" x14ac:dyDescent="0.35">
      <c r="A40" s="97" t="s">
        <v>24</v>
      </c>
      <c r="B40" s="112" t="s">
        <v>776</v>
      </c>
      <c r="C40" s="5">
        <f>+IFERROR(VLOOKUP($A40,RAIZ!$A$3:$X$1500,MATCH('Suc. Plaza'!$F$1,RAIZ!$A$2:$X$2,0),FALSE),0)</f>
        <v>0</v>
      </c>
      <c r="D40" s="7">
        <v>1</v>
      </c>
      <c r="E40" s="5"/>
      <c r="F40" s="5">
        <f t="shared" si="5"/>
        <v>1</v>
      </c>
      <c r="G40" s="5">
        <v>1</v>
      </c>
    </row>
    <row r="41" spans="1:7" ht="18.75" customHeight="1" thickBot="1" x14ac:dyDescent="0.4">
      <c r="A41" s="97" t="s">
        <v>25</v>
      </c>
      <c r="B41" s="112" t="s">
        <v>777</v>
      </c>
      <c r="C41" s="5">
        <f>+IFERROR(VLOOKUP($A41,RAIZ!$A$3:$X$1500,MATCH('Suc. Plaza'!$F$1,RAIZ!$A$2:$X$2,0),FALSE),0)</f>
        <v>0</v>
      </c>
      <c r="D41" s="18">
        <v>1</v>
      </c>
      <c r="E41" s="5"/>
      <c r="F41" s="5">
        <f t="shared" si="5"/>
        <v>1</v>
      </c>
      <c r="G41" s="5">
        <v>1</v>
      </c>
    </row>
    <row r="42" spans="1:7" ht="18.75" hidden="1" customHeight="1" x14ac:dyDescent="0.35">
      <c r="A42" s="97"/>
      <c r="B42" s="112"/>
      <c r="C42" s="5">
        <f>+IFERROR(VLOOKUP($A42,RAIZ!$A$3:$X$1500,MATCH('Suc. Plaza'!$F$1,RAIZ!$A$2:$X$2,0),FALSE),0)</f>
        <v>0</v>
      </c>
      <c r="D42" s="20"/>
      <c r="E42" s="5"/>
      <c r="F42" s="5">
        <f t="shared" si="5"/>
        <v>0</v>
      </c>
      <c r="G42" s="5"/>
    </row>
    <row r="43" spans="1:7" ht="18.75" hidden="1" customHeight="1" x14ac:dyDescent="0.35">
      <c r="A43" s="97"/>
      <c r="B43" s="112"/>
      <c r="C43" s="5">
        <f>+IFERROR(VLOOKUP($A43,RAIZ!$A$3:$X$1500,MATCH('Suc. Plaza'!$F$1,RAIZ!$A$2:$X$2,0),FALSE),0)</f>
        <v>0</v>
      </c>
      <c r="D43" s="18"/>
      <c r="E43" s="5"/>
      <c r="F43" s="5">
        <f t="shared" si="5"/>
        <v>0</v>
      </c>
      <c r="G43" s="5"/>
    </row>
    <row r="44" spans="1:7" ht="18.75" hidden="1" customHeight="1" x14ac:dyDescent="0.35">
      <c r="A44" s="97"/>
      <c r="B44" s="112"/>
      <c r="C44" s="5">
        <f>+IFERROR(VLOOKUP($A44,RAIZ!$A$3:$X$1500,MATCH('Suc. Plaza'!$F$1,RAIZ!$A$2:$X$2,0),FALSE),0)</f>
        <v>0</v>
      </c>
      <c r="D44" s="18"/>
      <c r="E44" s="5"/>
      <c r="F44" s="5">
        <f t="shared" si="5"/>
        <v>0</v>
      </c>
      <c r="G44" s="5"/>
    </row>
    <row r="45" spans="1:7" ht="18.75" hidden="1" customHeight="1" x14ac:dyDescent="0.35">
      <c r="A45" s="97"/>
      <c r="B45" s="112"/>
      <c r="C45" s="5">
        <f>+IFERROR(VLOOKUP($A45,RAIZ!$A$3:$X$1500,MATCH('Suc. Plaza'!$F$1,RAIZ!$A$2:$X$2,0),FALSE),0)</f>
        <v>0</v>
      </c>
      <c r="D45" s="18"/>
      <c r="E45" s="5"/>
      <c r="F45" s="5">
        <f t="shared" si="5"/>
        <v>0</v>
      </c>
      <c r="G45" s="5"/>
    </row>
    <row r="46" spans="1:7" ht="18.75" hidden="1" customHeight="1" x14ac:dyDescent="0.35">
      <c r="A46" s="97"/>
      <c r="B46" s="112"/>
      <c r="C46" s="5">
        <f>+IFERROR(VLOOKUP($A46,RAIZ!$A$3:$X$1500,MATCH('Suc. Plaza'!$F$1,RAIZ!$A$2:$X$2,0),FALSE),0)</f>
        <v>0</v>
      </c>
      <c r="D46" s="18"/>
      <c r="E46" s="5"/>
      <c r="F46" s="5">
        <f t="shared" si="5"/>
        <v>0</v>
      </c>
      <c r="G46" s="5"/>
    </row>
    <row r="47" spans="1:7" ht="18.75" hidden="1" customHeight="1" x14ac:dyDescent="0.35">
      <c r="A47" s="97"/>
      <c r="B47" s="112"/>
      <c r="C47" s="5">
        <f>+IFERROR(VLOOKUP($A47,RAIZ!$A$3:$X$1500,MATCH('Suc. Plaza'!$F$1,RAIZ!$A$2:$X$2,0),FALSE),0)</f>
        <v>0</v>
      </c>
      <c r="D47" s="18"/>
      <c r="E47" s="5"/>
      <c r="F47" s="5">
        <f t="shared" si="5"/>
        <v>0</v>
      </c>
      <c r="G47" s="5"/>
    </row>
    <row r="48" spans="1:7" ht="18.75" hidden="1" customHeight="1" thickBot="1" x14ac:dyDescent="0.4">
      <c r="A48" s="97"/>
      <c r="B48" s="112"/>
      <c r="C48" s="5">
        <f>+IFERROR(VLOOKUP($A48,RAIZ!$A$3:$X$1500,MATCH('Suc. Plaza'!$F$1,RAIZ!$A$2:$X$2,0),FALSE),0)</f>
        <v>0</v>
      </c>
      <c r="D48" s="18"/>
      <c r="E48" s="5"/>
      <c r="F48" s="5">
        <f t="shared" si="5"/>
        <v>0</v>
      </c>
      <c r="G48" s="5"/>
    </row>
    <row r="49" spans="1:7" ht="18.75" customHeight="1" thickBot="1" x14ac:dyDescent="0.4">
      <c r="A49" s="99" t="s">
        <v>29</v>
      </c>
      <c r="B49" s="111"/>
      <c r="C49" s="77">
        <f>SUM(C33:C48)</f>
        <v>4</v>
      </c>
      <c r="D49" s="77">
        <f>SUM(D33:D48)</f>
        <v>9</v>
      </c>
      <c r="E49" s="48">
        <f>SUM(E33:E48)</f>
        <v>0</v>
      </c>
      <c r="F49" s="65">
        <f>SUM(F33:F48)</f>
        <v>5</v>
      </c>
      <c r="G49" s="48">
        <f>SUM(G33:G48)</f>
        <v>5</v>
      </c>
    </row>
    <row r="50" spans="1:7" ht="18.75" customHeight="1" x14ac:dyDescent="0.35">
      <c r="A50" s="93" t="s">
        <v>30</v>
      </c>
      <c r="B50" s="112" t="s">
        <v>778</v>
      </c>
      <c r="C50" s="5">
        <f>+IFERROR(VLOOKUP($A50,RAIZ!$A$3:$X$1500,MATCH('Suc. Plaza'!$F$1,RAIZ!$A$2:$X$2,0),FALSE),0)</f>
        <v>4</v>
      </c>
      <c r="D50" s="162">
        <v>5</v>
      </c>
      <c r="E50" s="254" t="s">
        <v>962</v>
      </c>
      <c r="F50" s="5">
        <f>IF(D50-C50&gt;=0,D50-C50,0)</f>
        <v>1</v>
      </c>
      <c r="G50" s="5">
        <v>1</v>
      </c>
    </row>
    <row r="51" spans="1:7" ht="18.75" customHeight="1" thickBot="1" x14ac:dyDescent="0.4">
      <c r="A51" s="95" t="s">
        <v>31</v>
      </c>
      <c r="B51" s="112" t="s">
        <v>779</v>
      </c>
      <c r="C51" s="5">
        <f>+IFERROR(VLOOKUP($A51,RAIZ!$A$3:$X$1500,MATCH('Suc. Plaza'!$F$1,RAIZ!$A$2:$X$2,0),FALSE),0)</f>
        <v>4</v>
      </c>
      <c r="D51" s="146">
        <v>5</v>
      </c>
      <c r="E51" s="255"/>
      <c r="F51" s="5">
        <f t="shared" ref="F51" si="6">IF(D51-C51&gt;=0,D51-C51,0)</f>
        <v>1</v>
      </c>
      <c r="G51" s="5">
        <v>1</v>
      </c>
    </row>
    <row r="52" spans="1:7" ht="18.75" customHeight="1" thickBot="1" x14ac:dyDescent="0.4">
      <c r="A52" s="100" t="s">
        <v>32</v>
      </c>
      <c r="B52" s="111"/>
      <c r="C52" s="78">
        <f>SUM(C50:C51)</f>
        <v>8</v>
      </c>
      <c r="D52" s="78">
        <f>SUM(D50:D51)</f>
        <v>10</v>
      </c>
      <c r="E52" s="50">
        <f t="shared" ref="E52" si="7">SUM(E50:E51)</f>
        <v>0</v>
      </c>
      <c r="F52" s="66">
        <f t="shared" ref="F52:G52" si="8">SUM(F50:F51)</f>
        <v>2</v>
      </c>
      <c r="G52" s="50">
        <f t="shared" si="8"/>
        <v>2</v>
      </c>
    </row>
    <row r="53" spans="1:7" ht="18.75" customHeight="1" x14ac:dyDescent="0.35">
      <c r="A53" s="93" t="s">
        <v>33</v>
      </c>
      <c r="B53" s="112" t="s">
        <v>780</v>
      </c>
      <c r="C53" s="5">
        <f>+IFERROR(VLOOKUP($A53,RAIZ!$A$3:$X$1500,MATCH('Suc. Plaza'!$F$1,RAIZ!$A$2:$X$2,0),FALSE),0)</f>
        <v>1</v>
      </c>
      <c r="D53" s="4">
        <v>2</v>
      </c>
      <c r="E53" s="254" t="s">
        <v>962</v>
      </c>
      <c r="F53" s="5">
        <f t="shared" ref="F53:F54" si="9">IF(D53-C53&gt;=0,D53-C53,0)</f>
        <v>1</v>
      </c>
      <c r="G53" s="5">
        <v>1</v>
      </c>
    </row>
    <row r="54" spans="1:7" ht="18.75" customHeight="1" thickBot="1" x14ac:dyDescent="0.4">
      <c r="A54" s="95" t="s">
        <v>34</v>
      </c>
      <c r="B54" s="112" t="s">
        <v>781</v>
      </c>
      <c r="C54" s="5">
        <f>+IFERROR(VLOOKUP($A54,RAIZ!$A$3:$X$1500,MATCH('Suc. Plaza'!$F$1,RAIZ!$A$2:$X$2,0),FALSE),0)</f>
        <v>1</v>
      </c>
      <c r="D54" s="20">
        <v>2</v>
      </c>
      <c r="E54" s="255"/>
      <c r="F54" s="5">
        <f t="shared" si="9"/>
        <v>1</v>
      </c>
      <c r="G54" s="5">
        <v>1</v>
      </c>
    </row>
    <row r="55" spans="1:7" ht="18.75" customHeight="1" thickBot="1" x14ac:dyDescent="0.4">
      <c r="A55" s="99" t="s">
        <v>35</v>
      </c>
      <c r="B55" s="111"/>
      <c r="C55" s="77">
        <f>SUM(C53:C54)</f>
        <v>2</v>
      </c>
      <c r="D55" s="77">
        <f>SUM(D53:D54)</f>
        <v>4</v>
      </c>
      <c r="E55" s="48">
        <f t="shared" ref="E55" si="10">SUM(E53:E54)</f>
        <v>0</v>
      </c>
      <c r="F55" s="65">
        <f t="shared" ref="F55:G55" si="11">SUM(F53:F54)</f>
        <v>2</v>
      </c>
      <c r="G55" s="48">
        <f t="shared" si="11"/>
        <v>2</v>
      </c>
    </row>
    <row r="56" spans="1:7" ht="18.75" hidden="1" customHeight="1" x14ac:dyDescent="0.35">
      <c r="A56" s="93" t="s">
        <v>36</v>
      </c>
      <c r="B56" s="112" t="s">
        <v>782</v>
      </c>
      <c r="C56" s="5">
        <f>+IFERROR(VLOOKUP($A56,RAIZ!$A$3:$X$1500,MATCH('Suc. Plaza'!$F$1,RAIZ!$A$2:$X$2,0),FALSE),0)</f>
        <v>1</v>
      </c>
      <c r="D56" s="4">
        <v>1</v>
      </c>
      <c r="E56" s="5"/>
      <c r="F56" s="5">
        <f t="shared" ref="F56:F70" si="12">IF(D56-C56&gt;=0,D56-C56,0)</f>
        <v>0</v>
      </c>
      <c r="G56" s="5"/>
    </row>
    <row r="57" spans="1:7" ht="18.75" hidden="1" customHeight="1" x14ac:dyDescent="0.35">
      <c r="A57" s="93" t="s">
        <v>37</v>
      </c>
      <c r="B57" s="112" t="s">
        <v>783</v>
      </c>
      <c r="C57" s="5">
        <f>+IFERROR(VLOOKUP($A57,RAIZ!$A$3:$X$1500,MATCH('Suc. Plaza'!$F$1,RAIZ!$A$2:$X$2,0),FALSE),0)</f>
        <v>2</v>
      </c>
      <c r="D57" s="7">
        <v>2</v>
      </c>
      <c r="E57" s="5"/>
      <c r="F57" s="5">
        <f t="shared" si="12"/>
        <v>0</v>
      </c>
      <c r="G57" s="5"/>
    </row>
    <row r="58" spans="1:7" ht="18.75" hidden="1" customHeight="1" x14ac:dyDescent="0.35">
      <c r="A58" s="93" t="s">
        <v>39</v>
      </c>
      <c r="B58" s="112" t="s">
        <v>784</v>
      </c>
      <c r="C58" s="5">
        <f>+IFERROR(VLOOKUP($A58,RAIZ!$A$3:$X$1500,MATCH('Suc. Plaza'!$F$1,RAIZ!$A$2:$X$2,0),FALSE),0)</f>
        <v>1</v>
      </c>
      <c r="D58" s="7">
        <v>1</v>
      </c>
      <c r="E58" s="5"/>
      <c r="F58" s="5">
        <f t="shared" ref="F58" si="13">IF(D58-C58&gt;=0,D58-C58,0)</f>
        <v>0</v>
      </c>
      <c r="G58" s="5"/>
    </row>
    <row r="59" spans="1:7" ht="18.75" hidden="1" customHeight="1" x14ac:dyDescent="0.35">
      <c r="A59" s="93" t="s">
        <v>40</v>
      </c>
      <c r="B59" s="112" t="s">
        <v>785</v>
      </c>
      <c r="C59" s="5">
        <f>+IFERROR(VLOOKUP($A59,RAIZ!$A$3:$X$1500,MATCH('Suc. Plaza'!$F$1,RAIZ!$A$2:$X$2,0),FALSE),0)</f>
        <v>1</v>
      </c>
      <c r="D59" s="7">
        <v>1</v>
      </c>
      <c r="E59" s="5"/>
      <c r="F59" s="5">
        <f t="shared" si="12"/>
        <v>0</v>
      </c>
      <c r="G59" s="5"/>
    </row>
    <row r="60" spans="1:7" ht="18.75" hidden="1" customHeight="1" x14ac:dyDescent="0.35">
      <c r="A60" s="93" t="s">
        <v>41</v>
      </c>
      <c r="B60" s="112" t="s">
        <v>786</v>
      </c>
      <c r="C60" s="5">
        <f>+IFERROR(VLOOKUP($A60,RAIZ!$A$3:$X$1500,MATCH('Suc. Plaza'!$F$1,RAIZ!$A$2:$X$2,0),FALSE),0)</f>
        <v>1</v>
      </c>
      <c r="D60" s="7">
        <v>2</v>
      </c>
      <c r="E60" s="5"/>
      <c r="F60" s="5">
        <f t="shared" si="12"/>
        <v>1</v>
      </c>
      <c r="G60" s="5"/>
    </row>
    <row r="61" spans="1:7" ht="18.75" hidden="1" customHeight="1" x14ac:dyDescent="0.35">
      <c r="A61" s="101" t="s">
        <v>42</v>
      </c>
      <c r="B61" s="112" t="s">
        <v>787</v>
      </c>
      <c r="C61" s="5">
        <f>+IFERROR(VLOOKUP($A61,RAIZ!$A$3:$X$1500,MATCH('Suc. Plaza'!$F$1,RAIZ!$A$2:$X$2,0),FALSE),0)</f>
        <v>0</v>
      </c>
      <c r="D61" s="4">
        <v>1</v>
      </c>
      <c r="E61" s="5"/>
      <c r="F61" s="5">
        <f t="shared" si="12"/>
        <v>1</v>
      </c>
      <c r="G61" s="5"/>
    </row>
    <row r="62" spans="1:7" ht="18.75" hidden="1" customHeight="1" x14ac:dyDescent="0.35">
      <c r="A62" s="102" t="s">
        <v>43</v>
      </c>
      <c r="B62" s="112" t="s">
        <v>788</v>
      </c>
      <c r="C62" s="5">
        <f>+IFERROR(VLOOKUP($A62,RAIZ!$A$3:$X$1500,MATCH('Suc. Plaza'!$F$1,RAIZ!$A$2:$X$2,0),FALSE),0)</f>
        <v>1</v>
      </c>
      <c r="D62" s="7">
        <v>1</v>
      </c>
      <c r="E62" s="5"/>
      <c r="F62" s="5">
        <f t="shared" si="12"/>
        <v>0</v>
      </c>
      <c r="G62" s="5"/>
    </row>
    <row r="63" spans="1:7" ht="18.75" hidden="1" customHeight="1" x14ac:dyDescent="0.35">
      <c r="A63" s="93" t="s">
        <v>44</v>
      </c>
      <c r="B63" s="112" t="s">
        <v>789</v>
      </c>
      <c r="C63" s="5">
        <f>+IFERROR(VLOOKUP($A63,RAIZ!$A$3:$X$1500,MATCH('Suc. Plaza'!$F$1,RAIZ!$A$2:$X$2,0),FALSE),0)</f>
        <v>0</v>
      </c>
      <c r="D63" s="7">
        <v>0</v>
      </c>
      <c r="E63" s="5"/>
      <c r="F63" s="5">
        <f t="shared" si="12"/>
        <v>0</v>
      </c>
      <c r="G63" s="5"/>
    </row>
    <row r="64" spans="1:7" ht="18.75" hidden="1" customHeight="1" x14ac:dyDescent="0.35">
      <c r="A64" s="93" t="s">
        <v>45</v>
      </c>
      <c r="B64" s="112" t="s">
        <v>790</v>
      </c>
      <c r="C64" s="5">
        <f>+IFERROR(VLOOKUP($A64,RAIZ!$A$3:$X$1500,MATCH('Suc. Plaza'!$F$1,RAIZ!$A$2:$X$2,0),FALSE),0)</f>
        <v>3</v>
      </c>
      <c r="D64" s="4">
        <v>3</v>
      </c>
      <c r="E64" s="5"/>
      <c r="F64" s="5">
        <f t="shared" si="12"/>
        <v>0</v>
      </c>
      <c r="G64" s="5">
        <v>0</v>
      </c>
    </row>
    <row r="65" spans="1:7" ht="18.75" customHeight="1" x14ac:dyDescent="0.35">
      <c r="A65" s="93" t="s">
        <v>46</v>
      </c>
      <c r="B65" s="112" t="s">
        <v>791</v>
      </c>
      <c r="C65" s="5">
        <f>+IFERROR(VLOOKUP($A65,RAIZ!$A$3:$X$1500,MATCH('Suc. Plaza'!$F$1,RAIZ!$A$2:$X$2,0),FALSE),0)</f>
        <v>3</v>
      </c>
      <c r="D65" s="7">
        <v>4</v>
      </c>
      <c r="E65" s="5"/>
      <c r="F65" s="5">
        <f t="shared" si="12"/>
        <v>1</v>
      </c>
      <c r="G65" s="5">
        <v>1</v>
      </c>
    </row>
    <row r="66" spans="1:7" ht="18.75" hidden="1" customHeight="1" x14ac:dyDescent="0.35">
      <c r="A66" s="93" t="s">
        <v>48</v>
      </c>
      <c r="B66" s="112" t="s">
        <v>792</v>
      </c>
      <c r="C66" s="5">
        <f>+IFERROR(VLOOKUP($A66,RAIZ!$A$3:$X$1500,MATCH('Suc. Plaza'!$F$1,RAIZ!$A$2:$X$2,0),FALSE),0)</f>
        <v>1</v>
      </c>
      <c r="D66" s="7">
        <v>1</v>
      </c>
      <c r="E66" s="5"/>
      <c r="F66" s="5">
        <f t="shared" si="12"/>
        <v>0</v>
      </c>
      <c r="G66" s="5"/>
    </row>
    <row r="67" spans="1:7" ht="18.75" hidden="1" customHeight="1" x14ac:dyDescent="0.35">
      <c r="A67" s="93" t="s">
        <v>49</v>
      </c>
      <c r="B67" s="112" t="s">
        <v>793</v>
      </c>
      <c r="C67" s="5">
        <f>+IFERROR(VLOOKUP($A67,RAIZ!$A$3:$X$1500,MATCH('Suc. Plaza'!$F$1,RAIZ!$A$2:$X$2,0),FALSE),0)</f>
        <v>1</v>
      </c>
      <c r="D67" s="7">
        <v>1</v>
      </c>
      <c r="E67" s="5"/>
      <c r="F67" s="5">
        <f t="shared" si="12"/>
        <v>0</v>
      </c>
      <c r="G67" s="5"/>
    </row>
    <row r="68" spans="1:7" ht="18.75" customHeight="1" thickBot="1" x14ac:dyDescent="0.4">
      <c r="A68" s="93" t="s">
        <v>50</v>
      </c>
      <c r="B68" s="112" t="s">
        <v>794</v>
      </c>
      <c r="C68" s="5">
        <f>+IFERROR(VLOOKUP($A68,RAIZ!$A$3:$X$1500,MATCH('Suc. Plaza'!$F$1,RAIZ!$A$2:$X$2,0),FALSE),0)</f>
        <v>1</v>
      </c>
      <c r="D68" s="4">
        <v>3</v>
      </c>
      <c r="E68" s="5"/>
      <c r="F68" s="5">
        <f t="shared" si="12"/>
        <v>2</v>
      </c>
      <c r="G68" s="5">
        <v>2</v>
      </c>
    </row>
    <row r="69" spans="1:7" ht="18.75" hidden="1" customHeight="1" x14ac:dyDescent="0.35">
      <c r="A69" s="93" t="s">
        <v>51</v>
      </c>
      <c r="B69" s="112" t="s">
        <v>795</v>
      </c>
      <c r="C69" s="5">
        <f>+IFERROR(VLOOKUP($A69,RAIZ!$A$3:$X$1500,MATCH('Suc. Plaza'!$F$1,RAIZ!$A$2:$X$2,0),FALSE),0)</f>
        <v>0</v>
      </c>
      <c r="D69" s="7">
        <v>1</v>
      </c>
      <c r="E69" s="5"/>
      <c r="F69" s="5">
        <f t="shared" si="12"/>
        <v>1</v>
      </c>
      <c r="G69" s="5"/>
    </row>
    <row r="70" spans="1:7" ht="18.75" hidden="1" customHeight="1" x14ac:dyDescent="0.35">
      <c r="A70" s="93" t="s">
        <v>53</v>
      </c>
      <c r="B70" s="112" t="s">
        <v>796</v>
      </c>
      <c r="C70" s="5">
        <f>+IFERROR(VLOOKUP($A70,RAIZ!$A$3:$X$1500,MATCH('Suc. Plaza'!$F$1,RAIZ!$A$2:$X$2,0),FALSE),0)</f>
        <v>3</v>
      </c>
      <c r="D70" s="20">
        <v>3</v>
      </c>
      <c r="E70" s="5"/>
      <c r="F70" s="5">
        <f t="shared" si="12"/>
        <v>0</v>
      </c>
      <c r="G70" s="5"/>
    </row>
    <row r="71" spans="1:7" ht="18.75" hidden="1" customHeight="1" x14ac:dyDescent="0.35">
      <c r="A71" s="93" t="s">
        <v>47</v>
      </c>
      <c r="B71" s="112" t="s">
        <v>873</v>
      </c>
      <c r="C71" s="5">
        <f>+IFERROR(VLOOKUP($A71,RAIZ!$A$3:$X$1500,MATCH('Suc. Plaza'!$F$1,RAIZ!$A$2:$X$2,0),FALSE),0)</f>
        <v>2</v>
      </c>
      <c r="D71" s="20">
        <v>2</v>
      </c>
      <c r="E71" s="5"/>
      <c r="F71" s="5">
        <f t="shared" ref="F71:F77" si="14">IF(D71-C71&gt;=0,D71-C71,0)</f>
        <v>0</v>
      </c>
      <c r="G71" s="5"/>
    </row>
    <row r="72" spans="1:7" ht="18.75" hidden="1" customHeight="1" x14ac:dyDescent="0.35">
      <c r="A72" s="86" t="s">
        <v>1089</v>
      </c>
      <c r="B72" s="112" t="s">
        <v>1090</v>
      </c>
      <c r="C72" s="5">
        <f>+IFERROR(VLOOKUP($A72,RAIZ!$A$3:$X$1500,MATCH('Suc. Plaza'!$F$1,RAIZ!$A$2:$X$2,0),FALSE),0)</f>
        <v>0</v>
      </c>
      <c r="D72" s="20">
        <v>3</v>
      </c>
      <c r="E72" s="5"/>
      <c r="F72" s="5">
        <f>IF(D72-C72&gt;=0,D72-C72,0)</f>
        <v>3</v>
      </c>
      <c r="G72" s="5"/>
    </row>
    <row r="73" spans="1:7" ht="18.75" hidden="1" customHeight="1" x14ac:dyDescent="0.35">
      <c r="A73" s="93"/>
      <c r="B73" s="112"/>
      <c r="C73" s="5">
        <f>+IFERROR(VLOOKUP($A73,RAIZ!$A$3:$X$1500,MATCH('Suc. Plaza'!$F$1,RAIZ!$A$2:$X$2,0),FALSE),0)</f>
        <v>0</v>
      </c>
      <c r="D73" s="20"/>
      <c r="E73" s="5"/>
      <c r="F73" s="5">
        <f t="shared" si="14"/>
        <v>0</v>
      </c>
      <c r="G73" s="5"/>
    </row>
    <row r="74" spans="1:7" ht="18.75" hidden="1" customHeight="1" x14ac:dyDescent="0.35">
      <c r="A74" s="93"/>
      <c r="B74" s="112"/>
      <c r="C74" s="5">
        <f>+IFERROR(VLOOKUP($A74,RAIZ!$A$3:$X$1500,MATCH('Suc. Plaza'!$F$1,RAIZ!$A$2:$X$2,0),FALSE),0)</f>
        <v>0</v>
      </c>
      <c r="D74" s="20"/>
      <c r="E74" s="5"/>
      <c r="F74" s="5">
        <f t="shared" si="14"/>
        <v>0</v>
      </c>
      <c r="G74" s="5"/>
    </row>
    <row r="75" spans="1:7" ht="18.75" hidden="1" customHeight="1" x14ac:dyDescent="0.35">
      <c r="A75" s="93"/>
      <c r="B75" s="112"/>
      <c r="C75" s="5">
        <f>+IFERROR(VLOOKUP($A75,RAIZ!$A$3:$X$1500,MATCH('Suc. Plaza'!$F$1,RAIZ!$A$2:$X$2,0),FALSE),0)</f>
        <v>0</v>
      </c>
      <c r="D75" s="20"/>
      <c r="E75" s="5"/>
      <c r="F75" s="5">
        <f t="shared" si="14"/>
        <v>0</v>
      </c>
      <c r="G75" s="5"/>
    </row>
    <row r="76" spans="1:7" ht="18.75" hidden="1" customHeight="1" x14ac:dyDescent="0.35">
      <c r="A76" s="93"/>
      <c r="B76" s="112"/>
      <c r="C76" s="5">
        <f>+IFERROR(VLOOKUP($A76,RAIZ!$A$3:$X$1500,MATCH('Suc. Plaza'!$F$1,RAIZ!$A$2:$X$2,0),FALSE),0)</f>
        <v>0</v>
      </c>
      <c r="D76" s="20"/>
      <c r="E76" s="5"/>
      <c r="F76" s="5">
        <f t="shared" si="14"/>
        <v>0</v>
      </c>
      <c r="G76" s="5"/>
    </row>
    <row r="77" spans="1:7" ht="18.75" hidden="1" customHeight="1" thickBot="1" x14ac:dyDescent="0.4">
      <c r="A77" s="93"/>
      <c r="B77" s="112"/>
      <c r="C77" s="5">
        <f>+IFERROR(VLOOKUP($A77,RAIZ!$A$3:$X$1500,MATCH('Suc. Plaza'!$F$1,RAIZ!$A$2:$X$2,0),FALSE),0)</f>
        <v>0</v>
      </c>
      <c r="D77" s="20"/>
      <c r="E77" s="5"/>
      <c r="F77" s="5">
        <f t="shared" si="14"/>
        <v>0</v>
      </c>
      <c r="G77" s="5"/>
    </row>
    <row r="78" spans="1:7" ht="18.75" customHeight="1" thickBot="1" x14ac:dyDescent="0.4">
      <c r="A78" s="99" t="s">
        <v>54</v>
      </c>
      <c r="B78" s="111"/>
      <c r="C78" s="77">
        <f>SUM(C56:C77)</f>
        <v>21</v>
      </c>
      <c r="D78" s="77">
        <f>SUM(D56:D77)</f>
        <v>30</v>
      </c>
      <c r="E78" s="48">
        <f>SUM(E56:E77)</f>
        <v>0</v>
      </c>
      <c r="F78" s="65">
        <f>SUM(F56:F77)</f>
        <v>9</v>
      </c>
      <c r="G78" s="48">
        <f>SUM(G56:G77)</f>
        <v>3</v>
      </c>
    </row>
    <row r="79" spans="1:7" ht="18.75" customHeight="1" thickBot="1" x14ac:dyDescent="0.4">
      <c r="A79" s="103" t="s">
        <v>55</v>
      </c>
      <c r="B79" s="111"/>
      <c r="C79" s="79">
        <f>C18+C32+C49+C52+C55+C78</f>
        <v>43</v>
      </c>
      <c r="D79" s="79">
        <f>D18+D32+D49+D52+D55+D78</f>
        <v>70</v>
      </c>
      <c r="E79" s="52">
        <f>E18+E32+E49+E52+E55+E78</f>
        <v>0</v>
      </c>
      <c r="F79" s="67">
        <f>F18+F32+F49+F52+F55+F78</f>
        <v>27</v>
      </c>
      <c r="G79" s="52">
        <f>G18+G32+G49+G52+G55+G78</f>
        <v>20</v>
      </c>
    </row>
    <row r="80" spans="1:7" ht="18.75" hidden="1" customHeight="1" x14ac:dyDescent="0.35">
      <c r="A80" s="104" t="s">
        <v>56</v>
      </c>
      <c r="B80" s="111"/>
      <c r="C80" s="68"/>
      <c r="D80" s="26"/>
      <c r="E80" s="27"/>
      <c r="F80" s="27"/>
      <c r="G80" s="27"/>
    </row>
    <row r="81" spans="1:7" ht="18.75" hidden="1" customHeight="1" x14ac:dyDescent="0.35">
      <c r="A81" s="94" t="s">
        <v>57</v>
      </c>
      <c r="B81" s="112" t="s">
        <v>797</v>
      </c>
      <c r="C81" s="5">
        <f>+IFERROR(VLOOKUP($A81,RAIZ!$A$3:$X$1500,MATCH('Suc. Plaza'!$F$1,RAIZ!$A$2:$X$2,0),FALSE),0)</f>
        <v>1</v>
      </c>
      <c r="D81" s="4">
        <v>1</v>
      </c>
      <c r="E81" s="5"/>
      <c r="F81" s="5">
        <f t="shared" ref="F81:F85" si="15">IF(D81-C81&gt;=0,D81-C81,0)</f>
        <v>0</v>
      </c>
      <c r="G81" s="5"/>
    </row>
    <row r="82" spans="1:7" ht="18.75" hidden="1" customHeight="1" x14ac:dyDescent="0.35">
      <c r="A82" s="94" t="s">
        <v>58</v>
      </c>
      <c r="B82" s="112" t="s">
        <v>867</v>
      </c>
      <c r="C82" s="5">
        <f>+IFERROR(VLOOKUP($A82,RAIZ!$A$3:$X$1500,MATCH('Suc. Plaza'!$F$1,RAIZ!$A$2:$X$2,0),FALSE),0)</f>
        <v>1</v>
      </c>
      <c r="D82" s="197">
        <v>1</v>
      </c>
      <c r="E82" s="5"/>
      <c r="F82" s="5">
        <f t="shared" ref="F82" si="16">IF(D82-C82&gt;=0,D82-C82,0)</f>
        <v>0</v>
      </c>
      <c r="G82" s="5"/>
    </row>
    <row r="83" spans="1:7" ht="18.75" customHeight="1" x14ac:dyDescent="0.35">
      <c r="A83" s="94" t="s">
        <v>59</v>
      </c>
      <c r="B83" s="112" t="s">
        <v>798</v>
      </c>
      <c r="C83" s="5">
        <f>+IFERROR(VLOOKUP($A83,RAIZ!$A$3:$X$1500,MATCH('Suc. Plaza'!$F$1,RAIZ!$A$2:$X$2,0),FALSE),0)</f>
        <v>0</v>
      </c>
      <c r="D83" s="7">
        <v>1</v>
      </c>
      <c r="E83" s="5"/>
      <c r="F83" s="5">
        <f t="shared" si="15"/>
        <v>1</v>
      </c>
      <c r="G83" s="5">
        <v>1</v>
      </c>
    </row>
    <row r="84" spans="1:7" ht="18.75" hidden="1" customHeight="1" x14ac:dyDescent="0.35">
      <c r="A84" s="94" t="s">
        <v>60</v>
      </c>
      <c r="B84" s="112" t="s">
        <v>799</v>
      </c>
      <c r="C84" s="5">
        <f>+IFERROR(VLOOKUP($A84,RAIZ!$A$3:$X$1500,MATCH('Suc. Plaza'!$F$1,RAIZ!$A$2:$X$2,0),FALSE),0)</f>
        <v>0</v>
      </c>
      <c r="D84" s="7">
        <v>0</v>
      </c>
      <c r="E84" s="5"/>
      <c r="F84" s="5">
        <f t="shared" si="15"/>
        <v>0</v>
      </c>
      <c r="G84" s="5"/>
    </row>
    <row r="85" spans="1:7" ht="18.75" customHeight="1" x14ac:dyDescent="0.35">
      <c r="A85" s="94" t="s">
        <v>61</v>
      </c>
      <c r="B85" s="112" t="s">
        <v>800</v>
      </c>
      <c r="C85" s="5">
        <f>+IFERROR(VLOOKUP($A85,RAIZ!$A$3:$X$1500,MATCH('Suc. Plaza'!$F$1,RAIZ!$A$2:$X$2,0),FALSE),0)</f>
        <v>0</v>
      </c>
      <c r="D85" s="7">
        <v>1</v>
      </c>
      <c r="E85" s="5"/>
      <c r="F85" s="5">
        <f t="shared" si="15"/>
        <v>1</v>
      </c>
      <c r="G85" s="5">
        <v>1</v>
      </c>
    </row>
    <row r="86" spans="1:7" ht="18.75" customHeight="1" thickBot="1" x14ac:dyDescent="0.4">
      <c r="A86" s="94" t="s">
        <v>63</v>
      </c>
      <c r="B86" s="112" t="s">
        <v>801</v>
      </c>
      <c r="C86" s="5">
        <f>+IFERROR(VLOOKUP($A86,RAIZ!$A$3:$X$1500,MATCH('Suc. Plaza'!$F$1,RAIZ!$A$2:$X$2,0),FALSE),0)</f>
        <v>0</v>
      </c>
      <c r="D86" s="7">
        <v>2</v>
      </c>
      <c r="E86" s="5"/>
      <c r="F86" s="5">
        <f t="shared" ref="F86:F90" si="17">IF(D86-C86&gt;=0,D86-C86,0)</f>
        <v>2</v>
      </c>
      <c r="G86" s="5">
        <v>2</v>
      </c>
    </row>
    <row r="87" spans="1:7" ht="18.75" hidden="1" customHeight="1" x14ac:dyDescent="0.35">
      <c r="A87" s="94"/>
      <c r="B87" s="112" t="s">
        <v>1091</v>
      </c>
      <c r="C87" s="5">
        <f>+IFERROR(VLOOKUP($A87,RAIZ!$A$3:$X$1500,MATCH('Suc. Plaza'!$F$1,RAIZ!$A$2:$X$2,0),FALSE),0)</f>
        <v>0</v>
      </c>
      <c r="D87" s="20"/>
      <c r="E87" s="5"/>
      <c r="F87" s="5">
        <f>IF(D87-C87&gt;=0,D87-C87,0)</f>
        <v>0</v>
      </c>
      <c r="G87" s="5"/>
    </row>
    <row r="88" spans="1:7" ht="18.75" hidden="1" customHeight="1" x14ac:dyDescent="0.35">
      <c r="A88" s="94"/>
      <c r="B88" s="112" t="s">
        <v>1094</v>
      </c>
      <c r="C88" s="5">
        <f>+IFERROR(VLOOKUP($A88,RAIZ!$A$3:$X$1500,MATCH('Suc. Plaza'!$F$1,RAIZ!$A$2:$X$2,0),FALSE),0)</f>
        <v>0</v>
      </c>
      <c r="D88" s="7"/>
      <c r="E88" s="5"/>
      <c r="F88" s="5">
        <f t="shared" si="17"/>
        <v>0</v>
      </c>
      <c r="G88" s="5"/>
    </row>
    <row r="89" spans="1:7" ht="18.75" hidden="1" customHeight="1" x14ac:dyDescent="0.35">
      <c r="A89" s="94"/>
      <c r="B89" s="112" t="s">
        <v>1095</v>
      </c>
      <c r="C89" s="5">
        <f>+IFERROR(VLOOKUP($A89,RAIZ!$A$3:$X$1500,MATCH('Suc. Plaza'!$F$1,RAIZ!$A$2:$X$2,0),FALSE),0)</f>
        <v>0</v>
      </c>
      <c r="D89" s="7"/>
      <c r="E89" s="5"/>
      <c r="F89" s="5">
        <f t="shared" si="17"/>
        <v>0</v>
      </c>
      <c r="G89" s="5"/>
    </row>
    <row r="90" spans="1:7" ht="18.75" hidden="1" customHeight="1" thickBot="1" x14ac:dyDescent="0.4">
      <c r="A90" s="94"/>
      <c r="B90" s="112" t="s">
        <v>1093</v>
      </c>
      <c r="C90" s="5">
        <f>+IFERROR(VLOOKUP($A90,RAIZ!$A$3:$X$1500,MATCH('Suc. Plaza'!$F$1,RAIZ!$A$2:$X$2,0),FALSE),0)</f>
        <v>0</v>
      </c>
      <c r="D90" s="7"/>
      <c r="E90" s="5"/>
      <c r="F90" s="5">
        <f t="shared" si="17"/>
        <v>0</v>
      </c>
      <c r="G90" s="5"/>
    </row>
    <row r="91" spans="1:7" ht="18.75" customHeight="1" thickBot="1" x14ac:dyDescent="0.4">
      <c r="A91" s="105" t="s">
        <v>55</v>
      </c>
      <c r="B91" s="111"/>
      <c r="C91" s="80">
        <f>SUM(C81:C90)</f>
        <v>2</v>
      </c>
      <c r="D91" s="80">
        <f>SUM(D81:D90)</f>
        <v>6</v>
      </c>
      <c r="E91" s="54">
        <f>SUM(E81:E90)</f>
        <v>0</v>
      </c>
      <c r="F91" s="69">
        <f>SUM(F81:F90)</f>
        <v>4</v>
      </c>
      <c r="G91" s="54">
        <f>SUM(G81:G90)</f>
        <v>4</v>
      </c>
    </row>
    <row r="92" spans="1:7" ht="18.75" hidden="1" customHeight="1" x14ac:dyDescent="0.35">
      <c r="A92" s="106" t="s">
        <v>64</v>
      </c>
      <c r="B92" s="111"/>
      <c r="C92" s="70"/>
      <c r="D92" s="30"/>
      <c r="E92" s="31"/>
      <c r="F92" s="31"/>
      <c r="G92" s="31"/>
    </row>
    <row r="93" spans="1:7" ht="18.75" customHeight="1" x14ac:dyDescent="0.35">
      <c r="A93" s="94" t="s">
        <v>65</v>
      </c>
      <c r="B93" s="112" t="s">
        <v>802</v>
      </c>
      <c r="C93" s="5">
        <f>+IFERROR(VLOOKUP($A93,RAIZ!$A$3:$X$1500,MATCH('Suc. Plaza'!$F$1,RAIZ!$A$2:$X$2,0),FALSE),0)</f>
        <v>1</v>
      </c>
      <c r="D93" s="4">
        <v>2</v>
      </c>
      <c r="E93" s="5"/>
      <c r="F93" s="5">
        <f t="shared" ref="F93:F104" si="18">IF(D93-C93&gt;=0,D93-C93,0)</f>
        <v>1</v>
      </c>
      <c r="G93" s="5">
        <v>1</v>
      </c>
    </row>
    <row r="94" spans="1:7" ht="18.75" hidden="1" customHeight="1" x14ac:dyDescent="0.35">
      <c r="A94" s="94" t="s">
        <v>66</v>
      </c>
      <c r="B94" s="112" t="s">
        <v>803</v>
      </c>
      <c r="C94" s="5">
        <f>+IFERROR(VLOOKUP($A94,RAIZ!$A$3:$X$1500,MATCH('Suc. Plaza'!$F$1,RAIZ!$A$2:$X$2,0),FALSE),0)</f>
        <v>1</v>
      </c>
      <c r="D94" s="7">
        <v>1</v>
      </c>
      <c r="E94" s="5"/>
      <c r="F94" s="5">
        <f t="shared" si="18"/>
        <v>0</v>
      </c>
      <c r="G94" s="5"/>
    </row>
    <row r="95" spans="1:7" ht="18.75" hidden="1" customHeight="1" x14ac:dyDescent="0.35">
      <c r="A95" s="94" t="s">
        <v>68</v>
      </c>
      <c r="B95" s="112" t="s">
        <v>805</v>
      </c>
      <c r="C95" s="5">
        <f>+IFERROR(VLOOKUP($A95,RAIZ!$A$3:$X$1500,MATCH('Suc. Plaza'!$F$1,RAIZ!$A$2:$X$2,0),FALSE),0)</f>
        <v>1</v>
      </c>
      <c r="D95" s="7">
        <v>1</v>
      </c>
      <c r="E95" s="5"/>
      <c r="F95" s="5">
        <f t="shared" si="18"/>
        <v>0</v>
      </c>
      <c r="G95" s="5"/>
    </row>
    <row r="96" spans="1:7" ht="18.75" customHeight="1" x14ac:dyDescent="0.35">
      <c r="A96" s="94" t="s">
        <v>69</v>
      </c>
      <c r="B96" s="112" t="s">
        <v>806</v>
      </c>
      <c r="C96" s="5">
        <f>+IFERROR(VLOOKUP($A96,RAIZ!$A$3:$X$1500,MATCH('Suc. Plaza'!$F$1,RAIZ!$A$2:$X$2,0),FALSE),0)</f>
        <v>7</v>
      </c>
      <c r="D96" s="7">
        <v>10</v>
      </c>
      <c r="E96" s="5"/>
      <c r="F96" s="5">
        <f t="shared" si="18"/>
        <v>3</v>
      </c>
      <c r="G96" s="5">
        <v>3</v>
      </c>
    </row>
    <row r="97" spans="1:7" ht="18.75" hidden="1" customHeight="1" x14ac:dyDescent="0.35">
      <c r="A97" s="94" t="s">
        <v>70</v>
      </c>
      <c r="B97" s="112" t="s">
        <v>807</v>
      </c>
      <c r="C97" s="5">
        <f>+IFERROR(VLOOKUP($A97,RAIZ!$A$3:$X$1500,MATCH('Suc. Plaza'!$F$1,RAIZ!$A$2:$X$2,0),FALSE),0)</f>
        <v>5</v>
      </c>
      <c r="D97" s="7">
        <v>5</v>
      </c>
      <c r="E97" s="5"/>
      <c r="F97" s="5">
        <f t="shared" si="18"/>
        <v>0</v>
      </c>
      <c r="G97" s="5"/>
    </row>
    <row r="98" spans="1:7" ht="18.75" hidden="1" customHeight="1" x14ac:dyDescent="0.35">
      <c r="A98" s="94" t="s">
        <v>857</v>
      </c>
      <c r="B98" s="112" t="s">
        <v>808</v>
      </c>
      <c r="C98" s="5">
        <f>+IFERROR(VLOOKUP($A98,RAIZ!$A$3:$X$1500,MATCH('Suc. Plaza'!$F$1,RAIZ!$A$2:$X$2,0),FALSE),0)</f>
        <v>5</v>
      </c>
      <c r="D98" s="7">
        <v>3</v>
      </c>
      <c r="E98" s="201">
        <v>7</v>
      </c>
      <c r="F98" s="5">
        <f t="shared" si="18"/>
        <v>0</v>
      </c>
      <c r="G98" s="5"/>
    </row>
    <row r="99" spans="1:7" ht="18.75" customHeight="1" x14ac:dyDescent="0.35">
      <c r="A99" s="94" t="s">
        <v>835</v>
      </c>
      <c r="B99" s="112" t="s">
        <v>836</v>
      </c>
      <c r="C99" s="5">
        <f>+IFERROR(VLOOKUP($A99,RAIZ!$A$3:$X$1500,MATCH('Suc. Plaza'!$F$1,RAIZ!$A$2:$X$2,0),FALSE),0)</f>
        <v>2</v>
      </c>
      <c r="D99" s="7">
        <v>3</v>
      </c>
      <c r="E99" s="5"/>
      <c r="F99" s="5">
        <f t="shared" ref="F99:F103" si="19">IF(D99-C99&gt;=0,D99-C99,0)</f>
        <v>1</v>
      </c>
      <c r="G99" s="5">
        <v>1</v>
      </c>
    </row>
    <row r="100" spans="1:7" ht="18.75" customHeight="1" x14ac:dyDescent="0.35">
      <c r="A100" s="94" t="s">
        <v>72</v>
      </c>
      <c r="B100" s="112" t="s">
        <v>834</v>
      </c>
      <c r="C100" s="5">
        <f>+IFERROR(VLOOKUP($A100,RAIZ!$A$3:$X$1500,MATCH('Suc. Plaza'!$F$1,RAIZ!$A$2:$X$2,0),FALSE),0)</f>
        <v>7</v>
      </c>
      <c r="D100" s="7">
        <v>25</v>
      </c>
      <c r="E100" s="5"/>
      <c r="F100" s="5">
        <f t="shared" si="19"/>
        <v>18</v>
      </c>
      <c r="G100" s="5">
        <v>18</v>
      </c>
    </row>
    <row r="101" spans="1:7" ht="18.75" hidden="1" customHeight="1" x14ac:dyDescent="0.35">
      <c r="A101" s="94" t="s">
        <v>73</v>
      </c>
      <c r="B101" s="112" t="s">
        <v>809</v>
      </c>
      <c r="C101" s="5">
        <f>+IFERROR(VLOOKUP($A101,RAIZ!$A$3:$X$1500,MATCH('Suc. Plaza'!$F$1,RAIZ!$A$2:$X$2,0),FALSE),0)</f>
        <v>1</v>
      </c>
      <c r="D101" s="7">
        <v>1</v>
      </c>
      <c r="E101" s="5"/>
      <c r="F101" s="5">
        <f t="shared" si="19"/>
        <v>0</v>
      </c>
      <c r="G101" s="5"/>
    </row>
    <row r="102" spans="1:7" ht="18.75" customHeight="1" x14ac:dyDescent="0.35">
      <c r="A102" s="94" t="s">
        <v>74</v>
      </c>
      <c r="B102" s="112" t="s">
        <v>810</v>
      </c>
      <c r="C102" s="5">
        <f>+IFERROR(VLOOKUP($A102,RAIZ!$A$3:$X$1500,MATCH('Suc. Plaza'!$F$1,RAIZ!$A$2:$X$2,0),FALSE),0)</f>
        <v>1</v>
      </c>
      <c r="D102" s="7">
        <v>2</v>
      </c>
      <c r="E102" s="5"/>
      <c r="F102" s="5">
        <f t="shared" si="19"/>
        <v>1</v>
      </c>
      <c r="G102" s="5">
        <v>1</v>
      </c>
    </row>
    <row r="103" spans="1:7" ht="18.75" customHeight="1" thickBot="1" x14ac:dyDescent="0.4">
      <c r="A103" s="94" t="s">
        <v>75</v>
      </c>
      <c r="B103" s="112" t="s">
        <v>811</v>
      </c>
      <c r="C103" s="5">
        <f>+IFERROR(VLOOKUP($A103,RAIZ!$A$3:$X$1500,MATCH('Suc. Plaza'!$F$1,RAIZ!$A$2:$X$2,0),FALSE),0)</f>
        <v>0</v>
      </c>
      <c r="D103" s="20">
        <v>2</v>
      </c>
      <c r="E103" s="5"/>
      <c r="F103" s="5">
        <f t="shared" si="19"/>
        <v>2</v>
      </c>
      <c r="G103" s="5">
        <v>2</v>
      </c>
    </row>
    <row r="104" spans="1:7" ht="18.75" hidden="1" customHeight="1" thickBot="1" x14ac:dyDescent="0.4">
      <c r="A104" s="94"/>
      <c r="B104" s="112" t="s">
        <v>1096</v>
      </c>
      <c r="C104" s="5">
        <f>+IFERROR(VLOOKUP($A104,RAIZ!$A$3:$X$1500,MATCH('Suc. Plaza'!$F$1,RAIZ!$A$2:$X$2,0),FALSE),0)</f>
        <v>0</v>
      </c>
      <c r="D104" s="7">
        <v>0</v>
      </c>
      <c r="E104" s="5"/>
      <c r="F104" s="5">
        <f t="shared" si="18"/>
        <v>0</v>
      </c>
      <c r="G104" s="5"/>
    </row>
    <row r="105" spans="1:7" ht="18.75" customHeight="1" thickBot="1" x14ac:dyDescent="0.4">
      <c r="A105" s="107" t="s">
        <v>55</v>
      </c>
      <c r="B105" s="111"/>
      <c r="C105" s="81">
        <f>SUM(C93:C104)</f>
        <v>31</v>
      </c>
      <c r="D105" s="81">
        <f>SUM(D93:D104)</f>
        <v>55</v>
      </c>
      <c r="E105" s="56">
        <f>SUM(E93:E104)</f>
        <v>7</v>
      </c>
      <c r="F105" s="71">
        <f>SUM(F93:F104)</f>
        <v>26</v>
      </c>
      <c r="G105" s="56">
        <f>SUM(G93:G104)</f>
        <v>26</v>
      </c>
    </row>
    <row r="106" spans="1:7" ht="18.75" hidden="1" customHeight="1" x14ac:dyDescent="0.35">
      <c r="A106" s="108" t="s">
        <v>76</v>
      </c>
      <c r="B106" s="111"/>
      <c r="C106" s="72"/>
      <c r="D106" s="34"/>
      <c r="E106" s="35"/>
      <c r="F106" s="35"/>
      <c r="G106" s="35"/>
    </row>
    <row r="107" spans="1:7" ht="18.75" hidden="1" customHeight="1" x14ac:dyDescent="0.35">
      <c r="A107" s="94" t="s">
        <v>77</v>
      </c>
      <c r="B107" s="112" t="s">
        <v>812</v>
      </c>
      <c r="C107" s="5">
        <f>+IFERROR(VLOOKUP($A107,RAIZ!$A$3:$X$1500,MATCH('Suc. Plaza'!$F$1,RAIZ!$A$2:$X$2,0),FALSE),0)</f>
        <v>1</v>
      </c>
      <c r="D107" s="7">
        <v>1</v>
      </c>
      <c r="E107" s="5"/>
      <c r="F107" s="5">
        <f t="shared" ref="F107:F112" si="20">IF(D107-C107&gt;=0,D107-C107,0)</f>
        <v>0</v>
      </c>
      <c r="G107" s="5"/>
    </row>
    <row r="108" spans="1:7" ht="18.75" hidden="1" customHeight="1" x14ac:dyDescent="0.35">
      <c r="A108" s="94" t="s">
        <v>621</v>
      </c>
      <c r="B108" s="112" t="s">
        <v>813</v>
      </c>
      <c r="C108" s="5">
        <f>+IFERROR(VLOOKUP($A108,RAIZ!$A$3:$X$1500,MATCH('Suc. Plaza'!$F$1,RAIZ!$A$2:$X$2,0),FALSE),0)</f>
        <v>0</v>
      </c>
      <c r="D108" s="7">
        <v>0</v>
      </c>
      <c r="E108" s="5"/>
      <c r="F108" s="5">
        <f t="shared" si="20"/>
        <v>0</v>
      </c>
      <c r="G108" s="5"/>
    </row>
    <row r="109" spans="1:7" ht="18.75" customHeight="1" thickBot="1" x14ac:dyDescent="0.4">
      <c r="A109" s="94" t="s">
        <v>80</v>
      </c>
      <c r="B109" s="112" t="s">
        <v>815</v>
      </c>
      <c r="C109" s="5">
        <f>+IFERROR(VLOOKUP($A109,RAIZ!$A$3:$X$1500,MATCH('Suc. Plaza'!$F$1,RAIZ!$A$2:$X$2,0),FALSE),0)</f>
        <v>8</v>
      </c>
      <c r="D109" s="7">
        <v>10</v>
      </c>
      <c r="E109" s="5"/>
      <c r="F109" s="5">
        <f t="shared" si="20"/>
        <v>2</v>
      </c>
      <c r="G109" s="5">
        <v>2</v>
      </c>
    </row>
    <row r="110" spans="1:7" ht="18.75" hidden="1" customHeight="1" x14ac:dyDescent="0.35">
      <c r="A110" s="94" t="s">
        <v>81</v>
      </c>
      <c r="B110" s="112" t="s">
        <v>816</v>
      </c>
      <c r="C110" s="5">
        <f>+IFERROR(VLOOKUP($A110,RAIZ!$A$3:$X$1500,MATCH('Suc. Plaza'!$F$1,RAIZ!$A$2:$X$2,0),FALSE),0)</f>
        <v>10</v>
      </c>
      <c r="D110" s="7">
        <v>10</v>
      </c>
      <c r="E110" s="5"/>
      <c r="F110" s="5">
        <f t="shared" si="20"/>
        <v>0</v>
      </c>
      <c r="G110" s="5"/>
    </row>
    <row r="111" spans="1:7" ht="18.75" hidden="1" customHeight="1" x14ac:dyDescent="0.35">
      <c r="A111" s="95" t="s">
        <v>83</v>
      </c>
      <c r="B111" s="112" t="s">
        <v>818</v>
      </c>
      <c r="C111" s="5">
        <f>+IFERROR(VLOOKUP($A111,RAIZ!$A$3:$X$1500,MATCH('Suc. Plaza'!$F$1,RAIZ!$A$2:$X$2,0),FALSE),0)</f>
        <v>2</v>
      </c>
      <c r="D111" s="20">
        <v>2</v>
      </c>
      <c r="E111" s="5"/>
      <c r="F111" s="5">
        <f t="shared" si="20"/>
        <v>0</v>
      </c>
      <c r="G111" s="5"/>
    </row>
    <row r="112" spans="1:7" ht="18.75" hidden="1" customHeight="1" thickBot="1" x14ac:dyDescent="0.4">
      <c r="A112" s="95"/>
      <c r="B112" s="112"/>
      <c r="C112" s="5">
        <f>+IFERROR(VLOOKUP($A112,RAIZ!$A$3:$X$1500,MATCH('Suc. Plaza'!$F$1,RAIZ!$A$2:$X$2,0),FALSE),0)</f>
        <v>0</v>
      </c>
      <c r="D112" s="20"/>
      <c r="E112" s="5"/>
      <c r="F112" s="5">
        <f t="shared" si="20"/>
        <v>0</v>
      </c>
      <c r="G112" s="5"/>
    </row>
    <row r="113" spans="1:7" ht="18.75" customHeight="1" thickBot="1" x14ac:dyDescent="0.4">
      <c r="A113" s="109" t="s">
        <v>55</v>
      </c>
      <c r="B113" s="111"/>
      <c r="C113" s="82">
        <f>SUM(C107:C112,C114:C116)</f>
        <v>30</v>
      </c>
      <c r="D113" s="82">
        <f>SUM(D107:D112,D114:D116)</f>
        <v>36</v>
      </c>
      <c r="E113" s="58">
        <f>SUM(E107:E112,E114:E116)</f>
        <v>0</v>
      </c>
      <c r="F113" s="73">
        <f>SUM(F107:F112,F114:F116)</f>
        <v>6</v>
      </c>
      <c r="G113" s="58">
        <f>SUM(G107:G112,G114:G116)</f>
        <v>6</v>
      </c>
    </row>
    <row r="114" spans="1:7" ht="18.75" hidden="1" customHeight="1" x14ac:dyDescent="0.35">
      <c r="A114" s="93" t="s">
        <v>84</v>
      </c>
      <c r="B114" s="112" t="s">
        <v>819</v>
      </c>
      <c r="C114" s="5">
        <f>+IFERROR(VLOOKUP($A114,RAIZ!$A$3:$X$1500,MATCH('Suc. Plaza'!$F$1,RAIZ!$A$2:$X$2,0),FALSE),0)</f>
        <v>4</v>
      </c>
      <c r="D114" s="4">
        <v>4</v>
      </c>
      <c r="E114" s="5"/>
      <c r="F114" s="5">
        <f t="shared" ref="F114" si="21">IF(D114-C114&gt;=0,D114-C114,0)</f>
        <v>0</v>
      </c>
      <c r="G114" s="5"/>
    </row>
    <row r="115" spans="1:7" ht="18.75" customHeight="1" x14ac:dyDescent="0.35">
      <c r="A115" s="95" t="s">
        <v>85</v>
      </c>
      <c r="B115" s="112" t="s">
        <v>820</v>
      </c>
      <c r="C115" s="5">
        <f>+IFERROR(VLOOKUP($A115,RAIZ!$A$3:$X$1500,MATCH('Suc. Plaza'!$F$1,RAIZ!$A$2:$X$2,0),FALSE),0)</f>
        <v>3</v>
      </c>
      <c r="D115" s="20">
        <v>4</v>
      </c>
      <c r="E115" s="5"/>
      <c r="F115" s="5">
        <f t="shared" ref="F115:F141" si="22">IF(D115-C115&gt;=0,D115-C115,0)</f>
        <v>1</v>
      </c>
      <c r="G115" s="5">
        <v>1</v>
      </c>
    </row>
    <row r="116" spans="1:7" ht="18.75" customHeight="1" thickBot="1" x14ac:dyDescent="0.4">
      <c r="A116" s="95" t="s">
        <v>881</v>
      </c>
      <c r="B116" s="112" t="s">
        <v>882</v>
      </c>
      <c r="C116" s="5">
        <f>+IFERROR(VLOOKUP($A116,RAIZ!$A$3:$X$1500,MATCH('Suc. Plaza'!$F$1,RAIZ!$A$2:$X$2,0),FALSE),0)</f>
        <v>2</v>
      </c>
      <c r="D116" s="20">
        <v>5</v>
      </c>
      <c r="E116" s="5"/>
      <c r="F116" s="5">
        <f t="shared" si="22"/>
        <v>3</v>
      </c>
      <c r="G116" s="5">
        <v>3</v>
      </c>
    </row>
    <row r="117" spans="1:7" ht="18.75" customHeight="1" thickBot="1" x14ac:dyDescent="0.4">
      <c r="A117" s="110" t="s">
        <v>86</v>
      </c>
      <c r="B117" s="111"/>
      <c r="C117" s="83">
        <f>C79+C91+C105+C113</f>
        <v>106</v>
      </c>
      <c r="D117" s="83">
        <f>D79+D91+D105+D113</f>
        <v>167</v>
      </c>
      <c r="E117" s="60">
        <f>E79+E91+E105+E113</f>
        <v>7</v>
      </c>
      <c r="F117" s="74">
        <f>F79+F91+F105+F113</f>
        <v>63</v>
      </c>
      <c r="G117" s="60">
        <f>G79+G91+G105+G113</f>
        <v>56</v>
      </c>
    </row>
    <row r="118" spans="1:7" ht="18.75" customHeight="1" thickBot="1" x14ac:dyDescent="0.4">
      <c r="A118" s="95" t="s">
        <v>975</v>
      </c>
      <c r="B118" s="112" t="s">
        <v>976</v>
      </c>
      <c r="C118" s="5">
        <f>+IFERROR(VLOOKUP($A118,RAIZ!$A$3:$X$1500,MATCH('Suc. Plaza'!$F$1,RAIZ!$A$2:$X$2,0),FALSE),0)</f>
        <v>3</v>
      </c>
      <c r="D118" s="20">
        <v>4</v>
      </c>
      <c r="E118" s="5"/>
      <c r="F118" s="5">
        <f>IF(D118-C118&gt;=0,D118-C118,0)</f>
        <v>1</v>
      </c>
      <c r="G118" s="5">
        <v>1</v>
      </c>
    </row>
    <row r="119" spans="1:7" ht="18.75" hidden="1" customHeight="1" x14ac:dyDescent="0.35">
      <c r="A119" s="95" t="s">
        <v>974</v>
      </c>
      <c r="B119" s="112" t="s">
        <v>977</v>
      </c>
      <c r="C119" s="5">
        <f>+IFERROR(VLOOKUP($A119,RAIZ!$A$3:$X$1500,MATCH('Suc. Plaza'!$F$1,RAIZ!$A$2:$X$2,0),FALSE),0)</f>
        <v>3</v>
      </c>
      <c r="D119" s="20">
        <v>4</v>
      </c>
      <c r="E119" s="5"/>
      <c r="F119" s="5">
        <f t="shared" si="22"/>
        <v>1</v>
      </c>
      <c r="G119" s="5"/>
    </row>
    <row r="120" spans="1:7" ht="18.75" hidden="1" customHeight="1" thickBot="1" x14ac:dyDescent="0.4">
      <c r="A120" s="95" t="s">
        <v>1077</v>
      </c>
      <c r="B120" s="112" t="s">
        <v>817</v>
      </c>
      <c r="C120" s="5">
        <f>+IFERROR(VLOOKUP($A120,RAIZ!$A$3:$X$1500,MATCH('Suc. Plaza'!$F$1,RAIZ!$A$2:$X$2,0),FALSE),0)</f>
        <v>0</v>
      </c>
      <c r="D120" s="20">
        <v>0</v>
      </c>
      <c r="E120" s="5"/>
      <c r="F120" s="5">
        <f t="shared" si="22"/>
        <v>0</v>
      </c>
      <c r="G120" s="5"/>
    </row>
    <row r="121" spans="1:7" ht="18.75" hidden="1" customHeight="1" thickBot="1" x14ac:dyDescent="0.4">
      <c r="A121" s="95" t="s">
        <v>1076</v>
      </c>
      <c r="B121" s="194" t="s">
        <v>1121</v>
      </c>
      <c r="C121" s="5">
        <f>+IFERROR(VLOOKUP($A121,RAIZ!$A$3:$X$1500,MATCH('Suc. Plaza'!$F$1,RAIZ!$A$2:$X$2,0),FALSE),0)</f>
        <v>0</v>
      </c>
      <c r="D121" s="20">
        <v>0</v>
      </c>
      <c r="E121" s="5"/>
      <c r="F121" s="5">
        <f t="shared" si="22"/>
        <v>0</v>
      </c>
      <c r="G121" s="5"/>
    </row>
    <row r="122" spans="1:7" ht="18.75" customHeight="1" thickBot="1" x14ac:dyDescent="0.4">
      <c r="A122" s="95" t="s">
        <v>1014</v>
      </c>
      <c r="B122" s="194" t="s">
        <v>1010</v>
      </c>
      <c r="C122" s="5">
        <f>+IFERROR(VLOOKUP($A122,RAIZ!$A$3:$X$1500,MATCH('Suc. Plaza'!$F$1,RAIZ!$A$2:$X$2,0),FALSE),0)</f>
        <v>9</v>
      </c>
      <c r="D122" s="20">
        <v>10</v>
      </c>
      <c r="E122" s="5"/>
      <c r="F122" s="5">
        <f t="shared" si="22"/>
        <v>1</v>
      </c>
      <c r="G122" s="5">
        <v>1</v>
      </c>
    </row>
    <row r="123" spans="1:7" ht="18.75" hidden="1" customHeight="1" thickBot="1" x14ac:dyDescent="0.4">
      <c r="A123" s="95" t="s">
        <v>1015</v>
      </c>
      <c r="B123" s="194" t="s">
        <v>1011</v>
      </c>
      <c r="C123" s="147">
        <f>+IFERROR(VLOOKUP($A123,RAIZ!$A$3:$X$1500,MATCH('Suc. Plaza'!$F$1,RAIZ!$A$2:$X$2,0),FALSE),0)</f>
        <v>10</v>
      </c>
      <c r="D123" s="20">
        <v>10</v>
      </c>
      <c r="E123" s="5"/>
      <c r="F123" s="5">
        <f t="shared" si="22"/>
        <v>0</v>
      </c>
      <c r="G123" s="5"/>
    </row>
    <row r="124" spans="1:7" ht="18.75" hidden="1" customHeight="1" thickBot="1" x14ac:dyDescent="0.4">
      <c r="A124" s="95" t="s">
        <v>1016</v>
      </c>
      <c r="B124" s="194" t="s">
        <v>1012</v>
      </c>
      <c r="C124" s="147">
        <f>+IFERROR(VLOOKUP($A124,RAIZ!$A$3:$X$1500,MATCH('Suc. Plaza'!$F$1,RAIZ!$A$2:$X$2,0),FALSE),0)</f>
        <v>10</v>
      </c>
      <c r="D124" s="20">
        <v>10</v>
      </c>
      <c r="E124" s="5"/>
      <c r="F124" s="5">
        <f t="shared" si="22"/>
        <v>0</v>
      </c>
      <c r="G124" s="5"/>
    </row>
    <row r="125" spans="1:7" ht="18.75" hidden="1" customHeight="1" thickBot="1" x14ac:dyDescent="0.4">
      <c r="A125" s="95" t="s">
        <v>1017</v>
      </c>
      <c r="B125" s="194" t="s">
        <v>1013</v>
      </c>
      <c r="C125" s="147">
        <f>+IFERROR(VLOOKUP($A125,RAIZ!$A$3:$X$1500,MATCH('Suc. Plaza'!$F$1,RAIZ!$A$2:$X$2,0),FALSE),0)</f>
        <v>10</v>
      </c>
      <c r="D125" s="18">
        <v>10</v>
      </c>
      <c r="E125" s="5"/>
      <c r="F125" s="5">
        <f t="shared" si="22"/>
        <v>0</v>
      </c>
      <c r="G125" s="5"/>
    </row>
    <row r="126" spans="1:7" ht="18.75" hidden="1" customHeight="1" thickBot="1" x14ac:dyDescent="0.4">
      <c r="A126" s="95" t="s">
        <v>1125</v>
      </c>
      <c r="B126" s="194" t="s">
        <v>1127</v>
      </c>
      <c r="C126" s="147">
        <f>+IFERROR(VLOOKUP($A126,RAIZ!$A$3:$X$1500,MATCH('Suc. Plaza'!$F$1,RAIZ!$A$2:$X$2,0),FALSE),0)</f>
        <v>2</v>
      </c>
      <c r="D126" s="20"/>
      <c r="E126" s="5"/>
      <c r="F126" s="5">
        <f t="shared" si="22"/>
        <v>0</v>
      </c>
      <c r="G126" s="5"/>
    </row>
    <row r="127" spans="1:7" ht="18.75" hidden="1" customHeight="1" thickBot="1" x14ac:dyDescent="0.4">
      <c r="A127" s="95" t="s">
        <v>1126</v>
      </c>
      <c r="B127" s="194" t="s">
        <v>1128</v>
      </c>
      <c r="C127" s="147">
        <f>+IFERROR(VLOOKUP($A127,RAIZ!$A$3:$X$1500,MATCH('Suc. Plaza'!$F$1,RAIZ!$A$2:$X$2,0),FALSE),0)</f>
        <v>2</v>
      </c>
      <c r="D127" s="18"/>
      <c r="E127" s="184"/>
      <c r="F127" s="184">
        <f t="shared" si="22"/>
        <v>0</v>
      </c>
      <c r="G127" s="181"/>
    </row>
    <row r="128" spans="1:7" ht="18.75" customHeight="1" thickBot="1" x14ac:dyDescent="0.4">
      <c r="A128" s="95" t="s">
        <v>568</v>
      </c>
      <c r="B128" s="194" t="s">
        <v>1131</v>
      </c>
      <c r="C128" s="186">
        <f>+IFERROR(VLOOKUP($A128,RAIZ!$A$3:$X$1500,MATCH('Suc. Plaza'!$F$1,RAIZ!$A$2:$X$2,0),FALSE),0)</f>
        <v>2</v>
      </c>
      <c r="D128" s="18">
        <v>3</v>
      </c>
      <c r="E128" s="185"/>
      <c r="F128" s="185">
        <f t="shared" si="22"/>
        <v>1</v>
      </c>
      <c r="G128" s="185">
        <v>1</v>
      </c>
    </row>
    <row r="129" spans="1:7" ht="18.75" hidden="1" customHeight="1" thickBot="1" x14ac:dyDescent="0.4">
      <c r="A129" s="95" t="s">
        <v>565</v>
      </c>
      <c r="B129" s="194" t="s">
        <v>1142</v>
      </c>
      <c r="C129" s="187">
        <f>+IFERROR(VLOOKUP($A129,RAIZ!$A$3:$X$1500,MATCH('Suc. Plaza'!$F$1,RAIZ!$A$2:$X$2,0),FALSE),0)</f>
        <v>0</v>
      </c>
      <c r="D129" s="18">
        <v>2</v>
      </c>
      <c r="E129" s="185"/>
      <c r="F129" s="185">
        <f t="shared" si="22"/>
        <v>2</v>
      </c>
      <c r="G129" s="185"/>
    </row>
    <row r="130" spans="1:7" ht="18.75" customHeight="1" thickBot="1" x14ac:dyDescent="0.4">
      <c r="A130" s="95" t="s">
        <v>912</v>
      </c>
      <c r="B130" s="194" t="s">
        <v>1136</v>
      </c>
      <c r="C130" s="187">
        <f>+IFERROR(VLOOKUP($A130,RAIZ!$A$3:$X$1500,MATCH('Suc. Plaza'!$F$1,RAIZ!$A$2:$X$2,0),FALSE),0)</f>
        <v>0</v>
      </c>
      <c r="D130" s="18">
        <v>2</v>
      </c>
      <c r="E130" s="185"/>
      <c r="F130" s="185">
        <f t="shared" si="22"/>
        <v>2</v>
      </c>
      <c r="G130" s="185">
        <v>2</v>
      </c>
    </row>
    <row r="131" spans="1:7" ht="18.75" customHeight="1" thickBot="1" x14ac:dyDescent="0.4">
      <c r="A131" s="95" t="s">
        <v>557</v>
      </c>
      <c r="B131" s="194" t="s">
        <v>1137</v>
      </c>
      <c r="C131" s="187">
        <f>+IFERROR(VLOOKUP($A131,RAIZ!$A$3:$X$1500,MATCH('Suc. Plaza'!$F$1,RAIZ!$A$2:$X$2,0),FALSE),0)</f>
        <v>1</v>
      </c>
      <c r="D131" s="18">
        <v>2</v>
      </c>
      <c r="E131" s="185"/>
      <c r="F131" s="185">
        <f t="shared" si="22"/>
        <v>1</v>
      </c>
      <c r="G131" s="185">
        <v>1</v>
      </c>
    </row>
    <row r="132" spans="1:7" ht="18.75" hidden="1" customHeight="1" thickBot="1" x14ac:dyDescent="0.4">
      <c r="A132" s="95" t="s">
        <v>573</v>
      </c>
      <c r="B132" s="194" t="s">
        <v>1138</v>
      </c>
      <c r="C132" s="187">
        <f>+IFERROR(VLOOKUP($A132,RAIZ!$A$3:$X$1500,MATCH('Suc. Plaza'!$F$1,RAIZ!$A$2:$X$2,0),FALSE),0)</f>
        <v>0</v>
      </c>
      <c r="D132" s="18">
        <v>1</v>
      </c>
      <c r="E132" s="185"/>
      <c r="F132" s="185">
        <f t="shared" si="22"/>
        <v>1</v>
      </c>
      <c r="G132" s="185"/>
    </row>
    <row r="133" spans="1:7" ht="18.75" hidden="1" customHeight="1" thickBot="1" x14ac:dyDescent="0.4">
      <c r="A133" s="95" t="s">
        <v>421</v>
      </c>
      <c r="B133" s="194" t="s">
        <v>1140</v>
      </c>
      <c r="C133" s="187">
        <f>+IFERROR(VLOOKUP($A133,RAIZ!$A$3:$X$1500,MATCH('Suc. Plaza'!$F$1,RAIZ!$A$2:$X$2,0),FALSE),0)</f>
        <v>3</v>
      </c>
      <c r="D133" s="18">
        <v>2</v>
      </c>
      <c r="E133" s="185"/>
      <c r="F133" s="185">
        <f t="shared" si="22"/>
        <v>0</v>
      </c>
      <c r="G133" s="185"/>
    </row>
    <row r="134" spans="1:7" ht="18.75" hidden="1" customHeight="1" thickBot="1" x14ac:dyDescent="0.4">
      <c r="A134" s="95" t="s">
        <v>249</v>
      </c>
      <c r="B134" s="194" t="s">
        <v>1134</v>
      </c>
      <c r="C134" s="187">
        <f>+IFERROR(VLOOKUP($A134,RAIZ!$A$3:$X$1500,MATCH('Suc. Plaza'!$F$1,RAIZ!$A$2:$X$2,0),FALSE),0)</f>
        <v>2</v>
      </c>
      <c r="D134" s="18">
        <v>2</v>
      </c>
      <c r="E134" s="185"/>
      <c r="F134" s="185">
        <f t="shared" si="22"/>
        <v>0</v>
      </c>
      <c r="G134" s="185"/>
    </row>
    <row r="135" spans="1:7" ht="18.75" hidden="1" customHeight="1" thickBot="1" x14ac:dyDescent="0.4">
      <c r="A135" s="95" t="s">
        <v>1030</v>
      </c>
      <c r="B135" s="194" t="s">
        <v>1143</v>
      </c>
      <c r="C135" s="187">
        <f>+IFERROR(VLOOKUP($A135,RAIZ!$A$3:$X$1500,MATCH('Suc. Plaza'!$F$1,RAIZ!$A$2:$X$2,0),FALSE),0)</f>
        <v>5</v>
      </c>
      <c r="D135" s="18">
        <v>6</v>
      </c>
      <c r="E135" s="185"/>
      <c r="F135" s="185">
        <f t="shared" si="22"/>
        <v>1</v>
      </c>
      <c r="G135" s="185"/>
    </row>
    <row r="136" spans="1:7" ht="18.75" hidden="1" customHeight="1" thickBot="1" x14ac:dyDescent="0.4">
      <c r="A136" s="95" t="s">
        <v>253</v>
      </c>
      <c r="B136" s="194" t="s">
        <v>1135</v>
      </c>
      <c r="C136" s="187">
        <f>+IFERROR(VLOOKUP($A136,RAIZ!$A$3:$X$1500,MATCH('Suc. Plaza'!$F$1,RAIZ!$A$2:$X$2,0),FALSE),0)</f>
        <v>2</v>
      </c>
      <c r="D136" s="18">
        <v>2</v>
      </c>
      <c r="E136" s="185"/>
      <c r="F136" s="185">
        <f t="shared" si="22"/>
        <v>0</v>
      </c>
      <c r="G136" s="185"/>
    </row>
    <row r="137" spans="1:7" ht="18.75" hidden="1" customHeight="1" thickBot="1" x14ac:dyDescent="0.4">
      <c r="A137" s="95" t="s">
        <v>240</v>
      </c>
      <c r="B137" s="194" t="s">
        <v>1139</v>
      </c>
      <c r="C137" s="187">
        <f>+IFERROR(VLOOKUP($A137,RAIZ!$A$3:$X$1500,MATCH('Suc. Plaza'!$F$1,RAIZ!$A$2:$X$2,0),FALSE),0)</f>
        <v>0</v>
      </c>
      <c r="D137" s="18">
        <v>0</v>
      </c>
      <c r="E137" s="185"/>
      <c r="F137" s="185">
        <f t="shared" si="22"/>
        <v>0</v>
      </c>
      <c r="G137" s="185"/>
    </row>
    <row r="138" spans="1:7" ht="18.75" hidden="1" customHeight="1" thickBot="1" x14ac:dyDescent="0.4">
      <c r="A138" s="95" t="s">
        <v>204</v>
      </c>
      <c r="B138" s="194" t="s">
        <v>1106</v>
      </c>
      <c r="C138" s="187">
        <f>+IFERROR(VLOOKUP($A138,RAIZ!$A$3:$X$1500,MATCH('Suc. Plaza'!$F$1,RAIZ!$A$2:$X$2,0),FALSE),0)</f>
        <v>0</v>
      </c>
      <c r="D138" s="18">
        <v>0</v>
      </c>
      <c r="E138" s="185"/>
      <c r="F138" s="185">
        <f t="shared" si="22"/>
        <v>0</v>
      </c>
      <c r="G138" s="185"/>
    </row>
    <row r="139" spans="1:7" ht="18.75" customHeight="1" thickBot="1" x14ac:dyDescent="0.4">
      <c r="A139" s="95" t="s">
        <v>1132</v>
      </c>
      <c r="B139" s="194" t="s">
        <v>1141</v>
      </c>
      <c r="C139" s="187">
        <f>+IFERROR(VLOOKUP($A139,RAIZ!$A$3:$X$1500,MATCH('Suc. Plaza'!$F$1,RAIZ!$A$2:$X$2,0),FALSE),0)</f>
        <v>0</v>
      </c>
      <c r="D139" s="18">
        <v>1</v>
      </c>
      <c r="E139" s="185"/>
      <c r="F139" s="185">
        <f t="shared" si="22"/>
        <v>1</v>
      </c>
      <c r="G139" s="185">
        <v>1</v>
      </c>
    </row>
    <row r="140" spans="1:7" ht="18.75" hidden="1" customHeight="1" thickBot="1" x14ac:dyDescent="0.4">
      <c r="A140" s="95" t="s">
        <v>914</v>
      </c>
      <c r="B140" s="194" t="s">
        <v>1133</v>
      </c>
      <c r="C140" s="187">
        <f>+IFERROR(VLOOKUP($A140,RAIZ!$A$3:$X$1500,MATCH('Suc. Plaza'!$F$1,RAIZ!$A$2:$X$2,0),FALSE),0)</f>
        <v>1</v>
      </c>
      <c r="D140" s="18">
        <v>1</v>
      </c>
      <c r="E140" s="185"/>
      <c r="F140" s="185">
        <f t="shared" si="22"/>
        <v>0</v>
      </c>
      <c r="G140" s="185"/>
    </row>
    <row r="141" spans="1:7" ht="18.75" hidden="1" customHeight="1" thickBot="1" x14ac:dyDescent="0.4">
      <c r="A141" s="243" t="s">
        <v>1120</v>
      </c>
      <c r="B141" s="194" t="s">
        <v>1159</v>
      </c>
      <c r="C141" s="187">
        <f>+IFERROR(VLOOKUP($A141,RAIZ!$A$3:$X$1500,MATCH('Suc. Plaza'!$F$1,RAIZ!$A$2:$X$2,0),FALSE),0)</f>
        <v>0</v>
      </c>
      <c r="D141" s="18"/>
      <c r="E141" s="185"/>
      <c r="F141" s="185">
        <f t="shared" si="22"/>
        <v>0</v>
      </c>
      <c r="G141" s="185"/>
    </row>
    <row r="142" spans="1:7" ht="18.75" hidden="1" customHeight="1" thickBot="1" x14ac:dyDescent="0.4">
      <c r="A142" s="95"/>
      <c r="B142" s="194"/>
      <c r="C142" s="187">
        <f>+IFERROR(VLOOKUP($A142,RAIZ!$A$3:$X$1500,MATCH('Suc. Plaza'!$F$1,RAIZ!$A$2:$X$2,0),FALSE),0)</f>
        <v>0</v>
      </c>
      <c r="D142" s="18"/>
      <c r="E142" s="185"/>
      <c r="F142" s="185"/>
      <c r="G142" s="185"/>
    </row>
    <row r="143" spans="1:7" ht="18.75" hidden="1" customHeight="1" thickBot="1" x14ac:dyDescent="0.4">
      <c r="A143" s="95"/>
      <c r="B143" s="193"/>
      <c r="C143" s="187">
        <f>+IFERROR(VLOOKUP($A143,RAIZ!$A$3:$X$1500,MATCH('Suc. Plaza'!$F$1,RAIZ!$A$2:$X$2,0),FALSE),0)</f>
        <v>0</v>
      </c>
      <c r="D143" s="18"/>
      <c r="E143" s="185"/>
      <c r="F143" s="185"/>
      <c r="G143" s="185"/>
    </row>
    <row r="144" spans="1:7" ht="18.75" hidden="1" customHeight="1" thickBot="1" x14ac:dyDescent="0.4">
      <c r="A144" s="95"/>
      <c r="B144" s="194"/>
      <c r="C144" s="187">
        <f>+IFERROR(VLOOKUP($A144,RAIZ!$A$3:$X$1500,MATCH('Suc. Plaza'!$F$1,RAIZ!$A$2:$X$2,0),FALSE),0)</f>
        <v>0</v>
      </c>
      <c r="D144" s="18"/>
      <c r="E144" s="185"/>
      <c r="F144" s="185"/>
      <c r="G144" s="185"/>
    </row>
    <row r="145" spans="1:7" ht="18.75" hidden="1" customHeight="1" thickBot="1" x14ac:dyDescent="0.4">
      <c r="A145" s="95"/>
      <c r="B145" s="192"/>
      <c r="C145" s="187">
        <f>+IFERROR(VLOOKUP($A145,RAIZ!$A$3:$X$1500,MATCH('Suc. Plaza'!$F$1,RAIZ!$A$2:$X$2,0),FALSE),0)</f>
        <v>0</v>
      </c>
      <c r="D145" s="18"/>
      <c r="E145" s="185"/>
      <c r="F145" s="185"/>
      <c r="G145" s="185"/>
    </row>
    <row r="146" spans="1:7" ht="18.75" hidden="1" customHeight="1" thickBot="1" x14ac:dyDescent="0.4">
      <c r="A146" s="95"/>
      <c r="B146" s="194"/>
      <c r="C146" s="187">
        <f>+IFERROR(VLOOKUP($A146,RAIZ!$A$3:$X$1500,MATCH('Suc. Plaza'!$F$1,RAIZ!$A$2:$X$2,0),FALSE),0)</f>
        <v>0</v>
      </c>
      <c r="D146" s="18"/>
      <c r="E146" s="185"/>
      <c r="F146" s="185"/>
      <c r="G146" s="185"/>
    </row>
    <row r="147" spans="1:7" ht="18.75" hidden="1" customHeight="1" thickBot="1" x14ac:dyDescent="0.4">
      <c r="A147" s="95"/>
      <c r="B147" s="193"/>
      <c r="C147" s="187">
        <f>+IFERROR(VLOOKUP($A147,RAIZ!$A$3:$X$1500,MATCH('Suc. Plaza'!$F$1,RAIZ!$A$2:$X$2,0),FALSE),0)</f>
        <v>0</v>
      </c>
      <c r="D147" s="14">
        <v>0</v>
      </c>
      <c r="E147" s="185"/>
      <c r="F147" s="185"/>
      <c r="G147" s="185"/>
    </row>
    <row r="148" spans="1:7" ht="18.75" hidden="1" customHeight="1" thickBot="1" x14ac:dyDescent="0.4">
      <c r="A148" s="95"/>
      <c r="B148" s="193"/>
      <c r="C148" s="188">
        <f>+IFERROR(VLOOKUP($A148,RAIZ!$A$3:$X$1500,MATCH('Suc. Plaza'!$F$1,RAIZ!$A$2:$X$2,0),FALSE),0)</f>
        <v>0</v>
      </c>
      <c r="D148" s="14">
        <v>0</v>
      </c>
      <c r="E148" s="185"/>
      <c r="F148" s="185"/>
      <c r="G148" s="185"/>
    </row>
    <row r="149" spans="1:7" ht="18.75" customHeight="1" thickBot="1" x14ac:dyDescent="0.4">
      <c r="A149" s="173"/>
      <c r="B149" s="109"/>
      <c r="C149" s="182">
        <f>SUM(C118:C127,)</f>
        <v>49</v>
      </c>
      <c r="D149" s="182">
        <f>SUM(D118:D127,)</f>
        <v>48</v>
      </c>
      <c r="E149" s="182">
        <f>SUM(E118:E127,)</f>
        <v>0</v>
      </c>
      <c r="F149" s="182">
        <f>SUM(F118:F127,)</f>
        <v>3</v>
      </c>
      <c r="G149" s="182">
        <f>SUM(G118:G148,)</f>
        <v>7</v>
      </c>
    </row>
    <row r="150" spans="1:7" ht="18.75" customHeight="1" thickBot="1" x14ac:dyDescent="0.4">
      <c r="A150" s="110" t="s">
        <v>86</v>
      </c>
      <c r="B150" s="111"/>
      <c r="C150" s="83">
        <f>C149+C117</f>
        <v>155</v>
      </c>
      <c r="D150" s="83">
        <f>D149+D117</f>
        <v>215</v>
      </c>
      <c r="E150" s="83">
        <f>E149+E117</f>
        <v>7</v>
      </c>
      <c r="F150" s="83">
        <f>F149+F117</f>
        <v>66</v>
      </c>
      <c r="G150" s="83">
        <f>G149+G117</f>
        <v>63</v>
      </c>
    </row>
  </sheetData>
  <autoFilter ref="A2:H150" xr:uid="{86B19EE8-88B3-420F-8A99-C6233BBE39DB}">
    <filterColumn colId="6">
      <filters>
        <filter val="1"/>
        <filter val="18"/>
        <filter val="2"/>
        <filter val="20"/>
        <filter val="26"/>
        <filter val="3"/>
        <filter val="4"/>
        <filter val="5"/>
        <filter val="56"/>
        <filter val="6"/>
        <filter val="63"/>
        <filter val="7"/>
      </filters>
    </filterColumn>
  </autoFilter>
  <mergeCells count="2">
    <mergeCell ref="E50:E51"/>
    <mergeCell ref="E53:E54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178B964C-321B-44AC-BFDC-4C10064E6B6C}">
          <x14:formula1>
            <xm:f>Hoja1!$C$2:$C$9</xm:f>
          </x14:formula1>
          <xm:sqref>H2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7E170-7645-47CE-967E-1DDC6456B3E6}">
  <sheetPr codeName="Hoja4" filterMode="1">
    <tabColor rgb="FF00B050"/>
  </sheetPr>
  <dimension ref="A1:H150"/>
  <sheetViews>
    <sheetView zoomScale="80" zoomScaleNormal="80" workbookViewId="0">
      <pane xSplit="2" ySplit="2" topLeftCell="G36" activePane="bottomRight" state="frozen"/>
      <selection activeCell="I134" sqref="I134"/>
      <selection pane="topRight" activeCell="I134" sqref="I134"/>
      <selection pane="bottomLeft" activeCell="I134" sqref="I134"/>
      <selection pane="bottomRight" activeCell="A2" sqref="A2:XFD2"/>
    </sheetView>
  </sheetViews>
  <sheetFormatPr baseColWidth="10" defaultRowHeight="18" x14ac:dyDescent="0.35"/>
  <cols>
    <col min="1" max="1" width="55.6640625" customWidth="1"/>
    <col min="2" max="2" width="7.6640625" style="91" bestFit="1" customWidth="1"/>
    <col min="3" max="3" width="14" bestFit="1" customWidth="1"/>
    <col min="4" max="5" width="15" style="84" customWidth="1"/>
    <col min="6" max="6" width="14.6640625" bestFit="1" customWidth="1"/>
  </cols>
  <sheetData>
    <row r="1" spans="1:8" ht="18.600000000000001" thickBot="1" x14ac:dyDescent="0.4">
      <c r="A1" s="1">
        <f>RAIZ!B1</f>
        <v>46301</v>
      </c>
      <c r="C1" s="2"/>
      <c r="D1" s="2" t="s">
        <v>702</v>
      </c>
      <c r="E1" s="2"/>
      <c r="F1" s="2" t="s">
        <v>89</v>
      </c>
      <c r="H1" t="s">
        <v>728</v>
      </c>
    </row>
    <row r="2" spans="1:8" ht="31.8" thickBot="1" x14ac:dyDescent="0.35">
      <c r="A2" s="90" t="s">
        <v>0</v>
      </c>
      <c r="B2" s="92" t="s">
        <v>755</v>
      </c>
      <c r="C2" s="39" t="s">
        <v>703</v>
      </c>
      <c r="D2" s="40" t="s">
        <v>704</v>
      </c>
      <c r="E2" s="88" t="s">
        <v>726</v>
      </c>
      <c r="F2" s="41" t="s">
        <v>705</v>
      </c>
      <c r="G2" s="62" t="s">
        <v>725</v>
      </c>
      <c r="H2" s="87" t="s">
        <v>731</v>
      </c>
    </row>
    <row r="3" spans="1:8" ht="18.75" hidden="1" customHeight="1" x14ac:dyDescent="0.35">
      <c r="A3" s="93" t="s">
        <v>1</v>
      </c>
      <c r="B3" s="112" t="s">
        <v>756</v>
      </c>
      <c r="C3" s="5">
        <f>+IFERROR(VLOOKUP($A3,RAIZ!$A$3:$X$1500,MATCH('San Cayetano'!$F$1,RAIZ!$A$2:$X$2,0),FALSE),0)</f>
        <v>2</v>
      </c>
      <c r="D3" s="4">
        <v>2</v>
      </c>
      <c r="E3" s="5"/>
      <c r="F3" s="5">
        <f>IF(D3-C3&gt;=0,D3-C3,0)</f>
        <v>0</v>
      </c>
      <c r="G3" s="5"/>
    </row>
    <row r="4" spans="1:8" ht="18.75" hidden="1" customHeight="1" x14ac:dyDescent="0.35">
      <c r="A4" s="93" t="s">
        <v>2</v>
      </c>
      <c r="B4" s="112" t="s">
        <v>865</v>
      </c>
      <c r="C4" s="5">
        <f>+IFERROR(VLOOKUP($A4,RAIZ!$A$3:$X$1500,MATCH('San Cayetano'!$F$1,RAIZ!$A$2:$X$2,0),FALSE),0)</f>
        <v>2</v>
      </c>
      <c r="D4" s="4">
        <v>2</v>
      </c>
      <c r="E4" s="5"/>
      <c r="F4" s="5">
        <f>IF(D4-C4&gt;=0,D4-C4,0)</f>
        <v>0</v>
      </c>
      <c r="G4" s="5"/>
    </row>
    <row r="5" spans="1:8" ht="18.75" customHeight="1" x14ac:dyDescent="0.35">
      <c r="A5" s="93" t="s">
        <v>3</v>
      </c>
      <c r="B5" s="112" t="s">
        <v>757</v>
      </c>
      <c r="C5" s="5">
        <f>+IFERROR(VLOOKUP($A5,RAIZ!$A$3:$X$1500,MATCH('San Cayetano'!$F$1,RAIZ!$A$2:$X$2,0),FALSE),0)</f>
        <v>1</v>
      </c>
      <c r="D5" s="7">
        <v>2</v>
      </c>
      <c r="E5" s="5"/>
      <c r="F5" s="5">
        <f t="shared" ref="F5:F10" si="0">IF(D5-C5&gt;=0,D5-C5,0)</f>
        <v>1</v>
      </c>
      <c r="G5" s="5">
        <v>1</v>
      </c>
    </row>
    <row r="6" spans="1:8" ht="18.75" customHeight="1" x14ac:dyDescent="0.35">
      <c r="A6" s="93" t="s">
        <v>4</v>
      </c>
      <c r="B6" s="112" t="s">
        <v>758</v>
      </c>
      <c r="C6" s="5">
        <f>+IFERROR(VLOOKUP($A6,RAIZ!$A$3:$X$1500,MATCH('San Cayetano'!$F$1,RAIZ!$A$2:$X$2,0),FALSE),0)</f>
        <v>2</v>
      </c>
      <c r="D6" s="7">
        <v>4</v>
      </c>
      <c r="E6" s="5"/>
      <c r="F6" s="5">
        <f t="shared" si="0"/>
        <v>2</v>
      </c>
      <c r="G6" s="5">
        <v>2</v>
      </c>
    </row>
    <row r="7" spans="1:8" ht="18.75" customHeight="1" x14ac:dyDescent="0.35">
      <c r="A7" s="93" t="s">
        <v>5</v>
      </c>
      <c r="B7" s="112" t="s">
        <v>759</v>
      </c>
      <c r="C7" s="5">
        <f>+IFERROR(VLOOKUP($A7,RAIZ!$A$3:$X$1500,MATCH('San Cayetano'!$F$1,RAIZ!$A$2:$X$2,0),FALSE),0)</f>
        <v>1</v>
      </c>
      <c r="D7" s="7">
        <v>2</v>
      </c>
      <c r="E7" s="5"/>
      <c r="F7" s="5">
        <f t="shared" si="0"/>
        <v>1</v>
      </c>
      <c r="G7" s="5">
        <v>1</v>
      </c>
    </row>
    <row r="8" spans="1:8" ht="18.75" customHeight="1" thickBot="1" x14ac:dyDescent="0.4">
      <c r="A8" s="93" t="s">
        <v>6</v>
      </c>
      <c r="B8" s="112" t="s">
        <v>760</v>
      </c>
      <c r="C8" s="5">
        <f>+IFERROR(VLOOKUP($A8,RAIZ!$A$3:$X$1500,MATCH('San Cayetano'!$F$1,RAIZ!$A$2:$X$2,0),FALSE),0)</f>
        <v>2</v>
      </c>
      <c r="D8" s="7">
        <v>3</v>
      </c>
      <c r="E8" s="5"/>
      <c r="F8" s="5">
        <f t="shared" si="0"/>
        <v>1</v>
      </c>
      <c r="G8" s="5">
        <v>1</v>
      </c>
    </row>
    <row r="9" spans="1:8" ht="18.75" hidden="1" customHeight="1" x14ac:dyDescent="0.35">
      <c r="A9" s="93" t="s">
        <v>7</v>
      </c>
      <c r="B9" s="112" t="s">
        <v>761</v>
      </c>
      <c r="C9" s="5">
        <f>+IFERROR(VLOOKUP($A9,RAIZ!$A$3:$X$1500,MATCH('San Cayetano'!$F$1,RAIZ!$A$2:$X$2,0),FALSE),0)</f>
        <v>2</v>
      </c>
      <c r="D9" s="7">
        <v>2</v>
      </c>
      <c r="E9" s="5"/>
      <c r="F9" s="5">
        <f t="shared" si="0"/>
        <v>0</v>
      </c>
      <c r="G9" s="5"/>
    </row>
    <row r="10" spans="1:8" ht="18.75" hidden="1" customHeight="1" x14ac:dyDescent="0.35">
      <c r="A10" s="93" t="s">
        <v>8</v>
      </c>
      <c r="B10" s="112" t="s">
        <v>762</v>
      </c>
      <c r="C10" s="5">
        <f>+IFERROR(VLOOKUP($A10,RAIZ!$A$3:$X$1500,MATCH('San Cayetano'!$F$1,RAIZ!$A$2:$X$2,0),FALSE),0)</f>
        <v>2</v>
      </c>
      <c r="D10" s="7">
        <v>2</v>
      </c>
      <c r="E10" s="5"/>
      <c r="F10" s="5">
        <f t="shared" si="0"/>
        <v>0</v>
      </c>
      <c r="G10" s="5"/>
    </row>
    <row r="11" spans="1:8" ht="18.75" hidden="1" customHeight="1" x14ac:dyDescent="0.35">
      <c r="A11" s="93" t="s">
        <v>9</v>
      </c>
      <c r="B11" s="112" t="s">
        <v>763</v>
      </c>
      <c r="C11" s="5">
        <f>+IFERROR(VLOOKUP($A11,RAIZ!$A$3:$X$1500,MATCH('San Cayetano'!$F$1,RAIZ!$A$2:$X$2,0),FALSE),0)</f>
        <v>2</v>
      </c>
      <c r="D11" s="9">
        <v>2</v>
      </c>
      <c r="E11" s="5"/>
      <c r="F11" s="5">
        <f t="shared" ref="F11:F12" si="1">IF(D11-C11&gt;=0,D11-C11,0)</f>
        <v>0</v>
      </c>
      <c r="G11" s="5"/>
    </row>
    <row r="12" spans="1:8" ht="18.75" hidden="1" customHeight="1" x14ac:dyDescent="0.35">
      <c r="A12" s="93"/>
      <c r="B12" s="112"/>
      <c r="C12" s="5">
        <f>+IFERROR(VLOOKUP($A12,RAIZ!$A$3:$X$1500,MATCH('San Cayetano'!$F$1,RAIZ!$A$2:$X$2,0),FALSE),0)</f>
        <v>0</v>
      </c>
      <c r="D12" s="20"/>
      <c r="E12" s="5"/>
      <c r="F12" s="5">
        <f t="shared" si="1"/>
        <v>0</v>
      </c>
      <c r="G12" s="5"/>
    </row>
    <row r="13" spans="1:8" ht="18.75" hidden="1" customHeight="1" x14ac:dyDescent="0.35">
      <c r="A13" s="93"/>
      <c r="B13" s="112"/>
      <c r="C13" s="5">
        <f>+IFERROR(VLOOKUP($A13,RAIZ!$A$3:$X$1500,MATCH('San Cayetano'!$F$1,RAIZ!$A$2:$X$2,0),FALSE),0)</f>
        <v>0</v>
      </c>
      <c r="D13" s="20"/>
      <c r="E13" s="5"/>
      <c r="F13" s="5">
        <f t="shared" ref="F13:F17" si="2">IF(D13-C13&gt;=0,D13-C13,0)</f>
        <v>0</v>
      </c>
      <c r="G13" s="5"/>
    </row>
    <row r="14" spans="1:8" ht="18.75" hidden="1" customHeight="1" x14ac:dyDescent="0.35">
      <c r="A14" s="93"/>
      <c r="B14" s="112"/>
      <c r="C14" s="5">
        <f>+IFERROR(VLOOKUP($A14,RAIZ!$A$3:$X$1500,MATCH('San Cayetano'!$F$1,RAIZ!$A$2:$X$2,0),FALSE),0)</f>
        <v>0</v>
      </c>
      <c r="D14" s="20"/>
      <c r="E14" s="5"/>
      <c r="F14" s="5">
        <f>IF(D14-C14&gt;=0,D14-C14,0)</f>
        <v>0</v>
      </c>
      <c r="G14" s="5"/>
    </row>
    <row r="15" spans="1:8" ht="18.75" hidden="1" customHeight="1" x14ac:dyDescent="0.35">
      <c r="A15" s="93"/>
      <c r="B15" s="112"/>
      <c r="C15" s="5">
        <f>+IFERROR(VLOOKUP($A15,RAIZ!$A$3:$X$1500,MATCH('San Cayetano'!$F$1,RAIZ!$A$2:$X$2,0),FALSE),0)</f>
        <v>0</v>
      </c>
      <c r="D15" s="9"/>
      <c r="E15" s="5"/>
      <c r="F15" s="5">
        <f t="shared" si="2"/>
        <v>0</v>
      </c>
      <c r="G15" s="5"/>
    </row>
    <row r="16" spans="1:8" ht="18.75" hidden="1" customHeight="1" x14ac:dyDescent="0.35">
      <c r="A16" s="93"/>
      <c r="B16" s="112"/>
      <c r="C16" s="5">
        <f>+IFERROR(VLOOKUP($A16,RAIZ!$A$3:$X$1500,MATCH('San Cayetano'!$F$1,RAIZ!$A$2:$X$2,0),FALSE),0)</f>
        <v>0</v>
      </c>
      <c r="D16" s="9"/>
      <c r="E16" s="5"/>
      <c r="F16" s="5">
        <f t="shared" si="2"/>
        <v>0</v>
      </c>
      <c r="G16" s="5"/>
    </row>
    <row r="17" spans="1:7" ht="18.75" hidden="1" customHeight="1" thickBot="1" x14ac:dyDescent="0.4">
      <c r="A17" s="93"/>
      <c r="B17" s="112"/>
      <c r="C17" s="5">
        <f>+IFERROR(VLOOKUP($A17,RAIZ!$A$3:$X$1500,MATCH('San Cayetano'!$F$1,RAIZ!$A$2:$X$2,0),FALSE),0)</f>
        <v>0</v>
      </c>
      <c r="D17" s="9"/>
      <c r="E17" s="5"/>
      <c r="F17" s="5">
        <f t="shared" si="2"/>
        <v>0</v>
      </c>
      <c r="G17" s="5"/>
    </row>
    <row r="18" spans="1:7" ht="18.75" customHeight="1" thickBot="1" x14ac:dyDescent="0.4">
      <c r="A18" s="96" t="s">
        <v>10</v>
      </c>
      <c r="B18" s="111"/>
      <c r="C18" s="75">
        <f>SUM(C3:C17)</f>
        <v>16</v>
      </c>
      <c r="D18" s="44">
        <f>SUM(D3:D17)</f>
        <v>21</v>
      </c>
      <c r="E18" s="44">
        <f>SUM(E3:E17)</f>
        <v>0</v>
      </c>
      <c r="F18" s="63">
        <f>SUM(F3:F17)</f>
        <v>5</v>
      </c>
      <c r="G18" s="44">
        <f>SUM(G3:G17)</f>
        <v>5</v>
      </c>
    </row>
    <row r="19" spans="1:7" ht="18.75" hidden="1" customHeight="1" x14ac:dyDescent="0.35">
      <c r="A19" s="97" t="s">
        <v>676</v>
      </c>
      <c r="B19" s="112" t="s">
        <v>764</v>
      </c>
      <c r="C19" s="5">
        <f>+IFERROR(VLOOKUP($A19,RAIZ!$A$3:$X$1500,MATCH('San Cayetano'!$F$1,RAIZ!$A$2:$X$2,0),FALSE),0)</f>
        <v>2</v>
      </c>
      <c r="D19" s="12">
        <v>2</v>
      </c>
      <c r="E19" s="5"/>
      <c r="F19" s="5">
        <f t="shared" ref="F19:F21" si="3">IF(D19-C19&gt;=0,D19-C19,0)</f>
        <v>0</v>
      </c>
      <c r="G19" s="5"/>
    </row>
    <row r="20" spans="1:7" ht="18.75" customHeight="1" x14ac:dyDescent="0.35">
      <c r="A20" s="97" t="s">
        <v>11</v>
      </c>
      <c r="B20" s="112" t="s">
        <v>827</v>
      </c>
      <c r="C20" s="5">
        <f>+IFERROR(VLOOKUP($A20,RAIZ!$A$3:$X$1500,MATCH('San Cayetano'!$F$1,RAIZ!$A$2:$X$2,0),FALSE),0)</f>
        <v>3</v>
      </c>
      <c r="D20" s="14">
        <v>4</v>
      </c>
      <c r="E20" s="5"/>
      <c r="F20" s="5">
        <f t="shared" si="3"/>
        <v>1</v>
      </c>
      <c r="G20" s="5">
        <v>1</v>
      </c>
    </row>
    <row r="21" spans="1:7" ht="18.75" hidden="1" customHeight="1" x14ac:dyDescent="0.35">
      <c r="A21" s="97" t="s">
        <v>344</v>
      </c>
      <c r="B21" s="112" t="s">
        <v>765</v>
      </c>
      <c r="C21" s="5">
        <f>+IFERROR(VLOOKUP($A21,RAIZ!$A$3:$X$1500,MATCH('San Cayetano'!$F$1,RAIZ!$A$2:$X$2,0),FALSE),0)</f>
        <v>2</v>
      </c>
      <c r="D21" s="14">
        <v>2</v>
      </c>
      <c r="E21" s="5"/>
      <c r="F21" s="5">
        <f t="shared" si="3"/>
        <v>0</v>
      </c>
      <c r="G21" s="5"/>
    </row>
    <row r="22" spans="1:7" ht="18.75" hidden="1" customHeight="1" x14ac:dyDescent="0.35">
      <c r="A22" s="97" t="s">
        <v>832</v>
      </c>
      <c r="B22" s="112" t="s">
        <v>833</v>
      </c>
      <c r="C22" s="5">
        <f>+IFERROR(VLOOKUP($A22,RAIZ!$A$3:$X$1500,MATCH('San Cayetano'!$F$1,RAIZ!$A$2:$X$2,0),FALSE),0)</f>
        <v>2</v>
      </c>
      <c r="D22" s="14">
        <v>2</v>
      </c>
      <c r="E22" s="5"/>
      <c r="F22" s="5">
        <f t="shared" ref="F22:F31" si="4">IF(D22-C22&gt;=0,D22-C22,0)</f>
        <v>0</v>
      </c>
      <c r="G22" s="5"/>
    </row>
    <row r="23" spans="1:7" ht="18.75" hidden="1" customHeight="1" x14ac:dyDescent="0.35">
      <c r="A23" s="97" t="s">
        <v>12</v>
      </c>
      <c r="B23" s="112" t="s">
        <v>766</v>
      </c>
      <c r="C23" s="5">
        <f>+IFERROR(VLOOKUP($A23,RAIZ!$A$3:$X$1500,MATCH('San Cayetano'!$F$1,RAIZ!$A$2:$X$2,0),FALSE),0)</f>
        <v>2</v>
      </c>
      <c r="D23" s="14">
        <v>2</v>
      </c>
      <c r="E23" s="5"/>
      <c r="F23" s="5">
        <f t="shared" si="4"/>
        <v>0</v>
      </c>
      <c r="G23" s="5"/>
    </row>
    <row r="24" spans="1:7" ht="18.75" hidden="1" customHeight="1" x14ac:dyDescent="0.35">
      <c r="A24" s="97" t="s">
        <v>432</v>
      </c>
      <c r="B24" s="112" t="s">
        <v>767</v>
      </c>
      <c r="C24" s="5">
        <f>+IFERROR(VLOOKUP($A24,RAIZ!$A$3:$X$1500,MATCH('San Cayetano'!$F$1,RAIZ!$A$2:$X$2,0),FALSE),0)</f>
        <v>2</v>
      </c>
      <c r="D24" s="14">
        <v>2</v>
      </c>
      <c r="E24" s="5"/>
      <c r="F24" s="5">
        <f t="shared" si="4"/>
        <v>0</v>
      </c>
      <c r="G24" s="5"/>
    </row>
    <row r="25" spans="1:7" ht="18.75" customHeight="1" thickBot="1" x14ac:dyDescent="0.4">
      <c r="A25" s="97" t="s">
        <v>468</v>
      </c>
      <c r="B25" s="112" t="s">
        <v>768</v>
      </c>
      <c r="C25" s="5">
        <f>+IFERROR(VLOOKUP($A25,RAIZ!$A$3:$X$1500,MATCH('San Cayetano'!$F$1,RAIZ!$A$2:$X$2,0),FALSE),0)</f>
        <v>2</v>
      </c>
      <c r="D25" s="16">
        <v>4</v>
      </c>
      <c r="E25" s="5"/>
      <c r="F25" s="5">
        <f t="shared" si="4"/>
        <v>2</v>
      </c>
      <c r="G25" s="5">
        <v>2</v>
      </c>
    </row>
    <row r="26" spans="1:7" ht="18.75" hidden="1" customHeight="1" x14ac:dyDescent="0.35">
      <c r="A26" s="97"/>
      <c r="B26" s="112"/>
      <c r="C26" s="5">
        <f>+IFERROR(VLOOKUP($A26,RAIZ!$A$3:$X$1500,MATCH('San Cayetano'!$F$1,RAIZ!$A$2:$X$2,0),FALSE),0)</f>
        <v>0</v>
      </c>
      <c r="D26" s="20"/>
      <c r="E26" s="5"/>
      <c r="F26" s="5">
        <f t="shared" si="4"/>
        <v>0</v>
      </c>
      <c r="G26" s="5"/>
    </row>
    <row r="27" spans="1:7" ht="18.75" hidden="1" customHeight="1" x14ac:dyDescent="0.35">
      <c r="A27" s="97"/>
      <c r="B27" s="112"/>
      <c r="C27" s="5">
        <f>+IFERROR(VLOOKUP($A27,RAIZ!$A$3:$X$1500,MATCH('San Cayetano'!$F$1,RAIZ!$A$2:$X$2,0),FALSE),0)</f>
        <v>0</v>
      </c>
      <c r="D27" s="16"/>
      <c r="E27" s="5"/>
      <c r="F27" s="5">
        <f>IF(D27-C27&gt;=0,D27-C27,0)</f>
        <v>0</v>
      </c>
      <c r="G27" s="5"/>
    </row>
    <row r="28" spans="1:7" ht="18.75" hidden="1" customHeight="1" x14ac:dyDescent="0.35">
      <c r="A28" s="97"/>
      <c r="B28" s="112"/>
      <c r="C28" s="5">
        <f>+IFERROR(VLOOKUP($A28,RAIZ!$A$3:$X$1500,MATCH('San Cayetano'!$F$1,RAIZ!$A$2:$X$2,0),FALSE),0)</f>
        <v>0</v>
      </c>
      <c r="D28" s="16"/>
      <c r="E28" s="5"/>
      <c r="F28" s="5">
        <f t="shared" si="4"/>
        <v>0</v>
      </c>
      <c r="G28" s="5"/>
    </row>
    <row r="29" spans="1:7" ht="18.75" hidden="1" customHeight="1" x14ac:dyDescent="0.35">
      <c r="A29" s="97"/>
      <c r="B29" s="112"/>
      <c r="C29" s="5">
        <f>+IFERROR(VLOOKUP($A29,RAIZ!$A$3:$X$1500,MATCH('San Cayetano'!$F$1,RAIZ!$A$2:$X$2,0),FALSE),0)</f>
        <v>0</v>
      </c>
      <c r="D29" s="16"/>
      <c r="E29" s="5"/>
      <c r="F29" s="5">
        <f t="shared" si="4"/>
        <v>0</v>
      </c>
      <c r="G29" s="5"/>
    </row>
    <row r="30" spans="1:7" ht="18.75" hidden="1" customHeight="1" x14ac:dyDescent="0.35">
      <c r="A30" s="97"/>
      <c r="B30" s="112"/>
      <c r="C30" s="5">
        <f>+IFERROR(VLOOKUP($A30,RAIZ!$A$3:$X$1500,MATCH('San Cayetano'!$F$1,RAIZ!$A$2:$X$2,0),FALSE),0)</f>
        <v>0</v>
      </c>
      <c r="D30" s="16"/>
      <c r="E30" s="5"/>
      <c r="F30" s="5">
        <f t="shared" si="4"/>
        <v>0</v>
      </c>
      <c r="G30" s="5"/>
    </row>
    <row r="31" spans="1:7" ht="18.75" hidden="1" customHeight="1" thickBot="1" x14ac:dyDescent="0.4">
      <c r="A31" s="97"/>
      <c r="B31" s="112"/>
      <c r="C31" s="5">
        <f>+IFERROR(VLOOKUP($A31,RAIZ!$A$3:$X$1500,MATCH('San Cayetano'!$F$1,RAIZ!$A$2:$X$2,0),FALSE),0)</f>
        <v>0</v>
      </c>
      <c r="D31" s="16"/>
      <c r="E31" s="5"/>
      <c r="F31" s="5">
        <f t="shared" si="4"/>
        <v>0</v>
      </c>
      <c r="G31" s="5"/>
    </row>
    <row r="32" spans="1:7" ht="18.75" customHeight="1" thickBot="1" x14ac:dyDescent="0.4">
      <c r="A32" s="98" t="s">
        <v>13</v>
      </c>
      <c r="B32" s="111"/>
      <c r="C32" s="76">
        <f>SUM(C19:C31)</f>
        <v>15</v>
      </c>
      <c r="D32" s="46">
        <f>SUM(D19:D31)</f>
        <v>18</v>
      </c>
      <c r="E32" s="46">
        <f>SUM(E19:E31)</f>
        <v>0</v>
      </c>
      <c r="F32" s="64">
        <f>SUM(F19:F31)</f>
        <v>3</v>
      </c>
      <c r="G32" s="46">
        <f>SUM(G19:G31)</f>
        <v>3</v>
      </c>
    </row>
    <row r="33" spans="1:7" ht="18.75" hidden="1" customHeight="1" x14ac:dyDescent="0.35">
      <c r="A33" s="97" t="s">
        <v>14</v>
      </c>
      <c r="B33" s="112" t="s">
        <v>769</v>
      </c>
      <c r="C33" s="5">
        <f>+IFERROR(VLOOKUP($A33,RAIZ!$A$3:$X$1500,MATCH('San Cayetano'!$F$1,RAIZ!$A$2:$X$2,0),FALSE),0)</f>
        <v>2</v>
      </c>
      <c r="D33" s="4">
        <v>2</v>
      </c>
      <c r="E33" s="5"/>
      <c r="F33" s="5">
        <f t="shared" ref="F33:F48" si="5">IF(D33-C33&gt;=0,D33-C33,0)</f>
        <v>0</v>
      </c>
      <c r="G33" s="5"/>
    </row>
    <row r="34" spans="1:7" ht="18.75" customHeight="1" x14ac:dyDescent="0.35">
      <c r="A34" s="97" t="s">
        <v>15</v>
      </c>
      <c r="B34" s="112" t="s">
        <v>770</v>
      </c>
      <c r="C34" s="5">
        <f>+IFERROR(VLOOKUP($A34,RAIZ!$A$3:$X$1500,MATCH('San Cayetano'!$F$1,RAIZ!$A$2:$X$2,0),FALSE),0)</f>
        <v>1</v>
      </c>
      <c r="D34" s="7">
        <v>2</v>
      </c>
      <c r="E34" s="5"/>
      <c r="F34" s="5">
        <f t="shared" si="5"/>
        <v>1</v>
      </c>
      <c r="G34" s="5">
        <v>1</v>
      </c>
    </row>
    <row r="35" spans="1:7" ht="18.75" hidden="1" customHeight="1" x14ac:dyDescent="0.35">
      <c r="A35" s="97" t="s">
        <v>16</v>
      </c>
      <c r="B35" s="112" t="s">
        <v>771</v>
      </c>
      <c r="C35" s="5">
        <f>+IFERROR(VLOOKUP($A35,RAIZ!$A$3:$X$1500,MATCH('San Cayetano'!$F$1,RAIZ!$A$2:$X$2,0),FALSE),0)</f>
        <v>1</v>
      </c>
      <c r="D35" s="7">
        <v>1</v>
      </c>
      <c r="E35" s="5"/>
      <c r="F35" s="5">
        <f t="shared" si="5"/>
        <v>0</v>
      </c>
      <c r="G35" s="5"/>
    </row>
    <row r="36" spans="1:7" ht="18.75" customHeight="1" x14ac:dyDescent="0.35">
      <c r="A36" s="97" t="s">
        <v>17</v>
      </c>
      <c r="B36" s="112" t="s">
        <v>772</v>
      </c>
      <c r="C36" s="5">
        <f>+IFERROR(VLOOKUP($A36,RAIZ!$A$3:$X$1500,MATCH('San Cayetano'!$F$1,RAIZ!$A$2:$X$2,0),FALSE),0)</f>
        <v>1</v>
      </c>
      <c r="D36" s="7">
        <v>2</v>
      </c>
      <c r="E36" s="5"/>
      <c r="F36" s="5">
        <f t="shared" si="5"/>
        <v>1</v>
      </c>
      <c r="G36" s="5">
        <v>1</v>
      </c>
    </row>
    <row r="37" spans="1:7" ht="18.75" hidden="1" customHeight="1" x14ac:dyDescent="0.35">
      <c r="A37" s="97" t="s">
        <v>18</v>
      </c>
      <c r="B37" s="112" t="s">
        <v>773</v>
      </c>
      <c r="C37" s="5">
        <f>+IFERROR(VLOOKUP($A37,RAIZ!$A$3:$X$1500,MATCH('San Cayetano'!$F$1,RAIZ!$A$2:$X$2,0),FALSE),0)</f>
        <v>3</v>
      </c>
      <c r="D37" s="7">
        <v>3</v>
      </c>
      <c r="E37" s="5"/>
      <c r="F37" s="5">
        <f t="shared" si="5"/>
        <v>0</v>
      </c>
      <c r="G37" s="5"/>
    </row>
    <row r="38" spans="1:7" ht="18.75" hidden="1" customHeight="1" x14ac:dyDescent="0.35">
      <c r="A38" s="97" t="s">
        <v>22</v>
      </c>
      <c r="B38" s="112" t="s">
        <v>774</v>
      </c>
      <c r="C38" s="5">
        <f>+IFERROR(VLOOKUP($A38,RAIZ!$A$3:$X$1500,MATCH('San Cayetano'!$F$1,RAIZ!$A$2:$X$2,0),FALSE),0)</f>
        <v>3</v>
      </c>
      <c r="D38" s="18">
        <v>3</v>
      </c>
      <c r="E38" s="5"/>
      <c r="F38" s="5">
        <f t="shared" si="5"/>
        <v>0</v>
      </c>
      <c r="G38" s="5"/>
    </row>
    <row r="39" spans="1:7" ht="18.75" hidden="1" customHeight="1" x14ac:dyDescent="0.35">
      <c r="A39" s="97" t="s">
        <v>23</v>
      </c>
      <c r="B39" s="112" t="s">
        <v>775</v>
      </c>
      <c r="C39" s="5">
        <f>+IFERROR(VLOOKUP($A39,RAIZ!$A$3:$X$1500,MATCH('San Cayetano'!$F$1,RAIZ!$A$2:$X$2,0),FALSE),0)</f>
        <v>2</v>
      </c>
      <c r="D39" s="18">
        <v>2</v>
      </c>
      <c r="E39" s="5"/>
      <c r="F39" s="5">
        <f t="shared" si="5"/>
        <v>0</v>
      </c>
      <c r="G39" s="5"/>
    </row>
    <row r="40" spans="1:7" ht="18.75" hidden="1" customHeight="1" x14ac:dyDescent="0.35">
      <c r="A40" s="97" t="s">
        <v>24</v>
      </c>
      <c r="B40" s="112" t="s">
        <v>776</v>
      </c>
      <c r="C40" s="5">
        <f>+IFERROR(VLOOKUP($A40,RAIZ!$A$3:$X$1500,MATCH('San Cayetano'!$F$1,RAIZ!$A$2:$X$2,0),FALSE),0)</f>
        <v>2</v>
      </c>
      <c r="D40" s="7">
        <v>2</v>
      </c>
      <c r="E40" s="5"/>
      <c r="F40" s="5">
        <f t="shared" si="5"/>
        <v>0</v>
      </c>
      <c r="G40" s="5"/>
    </row>
    <row r="41" spans="1:7" ht="18.75" customHeight="1" thickBot="1" x14ac:dyDescent="0.4">
      <c r="A41" s="97" t="s">
        <v>25</v>
      </c>
      <c r="B41" s="112" t="s">
        <v>777</v>
      </c>
      <c r="C41" s="5">
        <f>+IFERROR(VLOOKUP($A41,RAIZ!$A$3:$X$1500,MATCH('San Cayetano'!$F$1,RAIZ!$A$2:$X$2,0),FALSE),0)</f>
        <v>1</v>
      </c>
      <c r="D41" s="18">
        <v>2</v>
      </c>
      <c r="E41" s="5"/>
      <c r="F41" s="5">
        <f t="shared" si="5"/>
        <v>1</v>
      </c>
      <c r="G41" s="5">
        <v>1</v>
      </c>
    </row>
    <row r="42" spans="1:7" ht="18.75" hidden="1" customHeight="1" x14ac:dyDescent="0.35">
      <c r="A42" s="97"/>
      <c r="B42" s="112"/>
      <c r="C42" s="5">
        <f>+IFERROR(VLOOKUP($A42,RAIZ!$A$3:$X$1500,MATCH('San Cayetano'!$F$1,RAIZ!$A$2:$X$2,0),FALSE),0)</f>
        <v>0</v>
      </c>
      <c r="D42" s="20"/>
      <c r="E42" s="5"/>
      <c r="F42" s="5">
        <f t="shared" si="5"/>
        <v>0</v>
      </c>
      <c r="G42" s="5"/>
    </row>
    <row r="43" spans="1:7" ht="18.75" hidden="1" customHeight="1" x14ac:dyDescent="0.35">
      <c r="A43" s="97"/>
      <c r="B43" s="112"/>
      <c r="C43" s="5">
        <f>+IFERROR(VLOOKUP($A43,RAIZ!$A$3:$X$1500,MATCH('San Cayetano'!$F$1,RAIZ!$A$2:$X$2,0),FALSE),0)</f>
        <v>0</v>
      </c>
      <c r="D43" s="18"/>
      <c r="E43" s="5"/>
      <c r="F43" s="5">
        <f t="shared" si="5"/>
        <v>0</v>
      </c>
      <c r="G43" s="5"/>
    </row>
    <row r="44" spans="1:7" ht="18.75" hidden="1" customHeight="1" x14ac:dyDescent="0.35">
      <c r="A44" s="97"/>
      <c r="B44" s="112"/>
      <c r="C44" s="5">
        <f>+IFERROR(VLOOKUP($A44,RAIZ!$A$3:$X$1500,MATCH('San Cayetano'!$F$1,RAIZ!$A$2:$X$2,0),FALSE),0)</f>
        <v>0</v>
      </c>
      <c r="D44" s="18"/>
      <c r="E44" s="5"/>
      <c r="F44" s="5">
        <f t="shared" si="5"/>
        <v>0</v>
      </c>
      <c r="G44" s="5"/>
    </row>
    <row r="45" spans="1:7" ht="18.75" hidden="1" customHeight="1" x14ac:dyDescent="0.35">
      <c r="A45" s="97"/>
      <c r="B45" s="112"/>
      <c r="C45" s="5">
        <f>+IFERROR(VLOOKUP($A45,RAIZ!$A$3:$X$1500,MATCH('San Cayetano'!$F$1,RAIZ!$A$2:$X$2,0),FALSE),0)</f>
        <v>0</v>
      </c>
      <c r="D45" s="18"/>
      <c r="E45" s="5"/>
      <c r="F45" s="5">
        <f t="shared" si="5"/>
        <v>0</v>
      </c>
      <c r="G45" s="5"/>
    </row>
    <row r="46" spans="1:7" ht="18.75" hidden="1" customHeight="1" x14ac:dyDescent="0.35">
      <c r="A46" s="97"/>
      <c r="B46" s="112"/>
      <c r="C46" s="5">
        <f>+IFERROR(VLOOKUP($A46,RAIZ!$A$3:$X$1500,MATCH('San Cayetano'!$F$1,RAIZ!$A$2:$X$2,0),FALSE),0)</f>
        <v>0</v>
      </c>
      <c r="D46" s="18"/>
      <c r="E46" s="5"/>
      <c r="F46" s="5">
        <f t="shared" si="5"/>
        <v>0</v>
      </c>
      <c r="G46" s="5"/>
    </row>
    <row r="47" spans="1:7" ht="18.75" hidden="1" customHeight="1" x14ac:dyDescent="0.35">
      <c r="A47" s="97"/>
      <c r="B47" s="112"/>
      <c r="C47" s="5">
        <f>+IFERROR(VLOOKUP($A47,RAIZ!$A$3:$X$1500,MATCH('San Cayetano'!$F$1,RAIZ!$A$2:$X$2,0),FALSE),0)</f>
        <v>0</v>
      </c>
      <c r="D47" s="18"/>
      <c r="E47" s="5"/>
      <c r="F47" s="5">
        <f t="shared" si="5"/>
        <v>0</v>
      </c>
      <c r="G47" s="5"/>
    </row>
    <row r="48" spans="1:7" ht="18.75" hidden="1" customHeight="1" thickBot="1" x14ac:dyDescent="0.4">
      <c r="A48" s="97"/>
      <c r="B48" s="112"/>
      <c r="C48" s="5">
        <f>+IFERROR(VLOOKUP($A48,RAIZ!$A$3:$X$1500,MATCH('San Cayetano'!$F$1,RAIZ!$A$2:$X$2,0),FALSE),0)</f>
        <v>0</v>
      </c>
      <c r="D48" s="18"/>
      <c r="E48" s="5"/>
      <c r="F48" s="5">
        <f t="shared" si="5"/>
        <v>0</v>
      </c>
      <c r="G48" s="5"/>
    </row>
    <row r="49" spans="1:7" ht="18.75" customHeight="1" thickBot="1" x14ac:dyDescent="0.4">
      <c r="A49" s="99" t="s">
        <v>29</v>
      </c>
      <c r="B49" s="111"/>
      <c r="C49" s="77">
        <f>SUM(C33:C48)</f>
        <v>16</v>
      </c>
      <c r="D49" s="48">
        <f>SUM(D33:D48)</f>
        <v>19</v>
      </c>
      <c r="E49" s="48">
        <f>SUM(E33:E48)</f>
        <v>0</v>
      </c>
      <c r="F49" s="65">
        <f>SUM(F33:F48)</f>
        <v>3</v>
      </c>
      <c r="G49" s="48">
        <f>SUM(G33:G48)</f>
        <v>3</v>
      </c>
    </row>
    <row r="50" spans="1:7" ht="18.75" hidden="1" customHeight="1" x14ac:dyDescent="0.35">
      <c r="A50" s="93" t="s">
        <v>30</v>
      </c>
      <c r="B50" s="112" t="s">
        <v>778</v>
      </c>
      <c r="C50" s="5">
        <f>+IFERROR(VLOOKUP($A50,RAIZ!$A$3:$X$1500,MATCH('San Cayetano'!$F$1,RAIZ!$A$2:$X$2,0),FALSE),0)</f>
        <v>6</v>
      </c>
      <c r="D50" s="4">
        <v>6</v>
      </c>
      <c r="E50" s="5"/>
      <c r="F50" s="5">
        <f>IF(D50-C50&gt;=0,D50-C50,0)</f>
        <v>0</v>
      </c>
      <c r="G50" s="5"/>
    </row>
    <row r="51" spans="1:7" ht="18.75" customHeight="1" thickBot="1" x14ac:dyDescent="0.4">
      <c r="A51" s="95" t="s">
        <v>31</v>
      </c>
      <c r="B51" s="112" t="s">
        <v>779</v>
      </c>
      <c r="C51" s="5">
        <f>+IFERROR(VLOOKUP($A51,RAIZ!$A$3:$X$1500,MATCH('San Cayetano'!$F$1,RAIZ!$A$2:$X$2,0),FALSE),0)</f>
        <v>3</v>
      </c>
      <c r="D51" s="20">
        <v>6</v>
      </c>
      <c r="E51" s="5"/>
      <c r="F51" s="5">
        <f t="shared" ref="F51" si="6">IF(D51-C51&gt;=0,D51-C51,0)</f>
        <v>3</v>
      </c>
      <c r="G51" s="5">
        <v>3</v>
      </c>
    </row>
    <row r="52" spans="1:7" ht="18.75" customHeight="1" thickBot="1" x14ac:dyDescent="0.4">
      <c r="A52" s="100" t="s">
        <v>32</v>
      </c>
      <c r="B52" s="111"/>
      <c r="C52" s="78">
        <f>SUM(C50:C51)</f>
        <v>9</v>
      </c>
      <c r="D52" s="50">
        <f t="shared" ref="D52" si="7">SUM(D50:D51)</f>
        <v>12</v>
      </c>
      <c r="E52" s="50">
        <f t="shared" ref="E52" si="8">SUM(E50:E51)</f>
        <v>0</v>
      </c>
      <c r="F52" s="66">
        <f t="shared" ref="F52:G52" si="9">SUM(F50:F51)</f>
        <v>3</v>
      </c>
      <c r="G52" s="50">
        <f t="shared" si="9"/>
        <v>3</v>
      </c>
    </row>
    <row r="53" spans="1:7" ht="18.75" customHeight="1" x14ac:dyDescent="0.35">
      <c r="A53" s="93" t="s">
        <v>33</v>
      </c>
      <c r="B53" s="112" t="s">
        <v>780</v>
      </c>
      <c r="C53" s="5">
        <f>+IFERROR(VLOOKUP($A53,RAIZ!$A$3:$X$1500,MATCH('San Cayetano'!$F$1,RAIZ!$A$2:$X$2,0),FALSE),0)</f>
        <v>2</v>
      </c>
      <c r="D53" s="4">
        <v>6</v>
      </c>
      <c r="E53" s="5"/>
      <c r="F53" s="5">
        <f t="shared" ref="F53:F54" si="10">IF(D53-C53&gt;=0,D53-C53,0)</f>
        <v>4</v>
      </c>
      <c r="G53" s="5">
        <v>4</v>
      </c>
    </row>
    <row r="54" spans="1:7" ht="18.75" customHeight="1" thickBot="1" x14ac:dyDescent="0.4">
      <c r="A54" s="95" t="s">
        <v>34</v>
      </c>
      <c r="B54" s="112" t="s">
        <v>781</v>
      </c>
      <c r="C54" s="5">
        <f>+IFERROR(VLOOKUP($A54,RAIZ!$A$3:$X$1500,MATCH('San Cayetano'!$F$1,RAIZ!$A$2:$X$2,0),FALSE),0)</f>
        <v>3</v>
      </c>
      <c r="D54" s="20">
        <v>6</v>
      </c>
      <c r="E54" s="5"/>
      <c r="F54" s="5">
        <f t="shared" si="10"/>
        <v>3</v>
      </c>
      <c r="G54" s="5">
        <v>3</v>
      </c>
    </row>
    <row r="55" spans="1:7" ht="18.75" customHeight="1" thickBot="1" x14ac:dyDescent="0.4">
      <c r="A55" s="99" t="s">
        <v>35</v>
      </c>
      <c r="B55" s="111"/>
      <c r="C55" s="77">
        <f>SUM(C53:C54)</f>
        <v>5</v>
      </c>
      <c r="D55" s="48">
        <f t="shared" ref="D55" si="11">SUM(D53:D54)</f>
        <v>12</v>
      </c>
      <c r="E55" s="48">
        <f t="shared" ref="E55" si="12">SUM(E53:E54)</f>
        <v>0</v>
      </c>
      <c r="F55" s="65">
        <f t="shared" ref="F55:G55" si="13">SUM(F53:F54)</f>
        <v>7</v>
      </c>
      <c r="G55" s="48">
        <f t="shared" si="13"/>
        <v>7</v>
      </c>
    </row>
    <row r="56" spans="1:7" ht="18.75" hidden="1" customHeight="1" x14ac:dyDescent="0.35">
      <c r="A56" s="93" t="s">
        <v>36</v>
      </c>
      <c r="B56" s="112" t="s">
        <v>782</v>
      </c>
      <c r="C56" s="5">
        <f>+IFERROR(VLOOKUP($A56,RAIZ!$A$3:$X$1500,MATCH('San Cayetano'!$F$1,RAIZ!$A$2:$X$2,0),FALSE),0)</f>
        <v>1</v>
      </c>
      <c r="D56" s="4">
        <v>1</v>
      </c>
      <c r="E56" s="5"/>
      <c r="F56" s="5">
        <f t="shared" ref="F56:F70" si="14">IF(D56-C56&gt;=0,D56-C56,0)</f>
        <v>0</v>
      </c>
      <c r="G56" s="5"/>
    </row>
    <row r="57" spans="1:7" ht="18.75" hidden="1" customHeight="1" x14ac:dyDescent="0.35">
      <c r="A57" s="93" t="s">
        <v>37</v>
      </c>
      <c r="B57" s="112" t="s">
        <v>783</v>
      </c>
      <c r="C57" s="5">
        <f>+IFERROR(VLOOKUP($A57,RAIZ!$A$3:$X$1500,MATCH('San Cayetano'!$F$1,RAIZ!$A$2:$X$2,0),FALSE),0)</f>
        <v>1</v>
      </c>
      <c r="D57" s="7">
        <v>1</v>
      </c>
      <c r="E57" s="5"/>
      <c r="F57" s="5">
        <f t="shared" si="14"/>
        <v>0</v>
      </c>
      <c r="G57" s="5"/>
    </row>
    <row r="58" spans="1:7" ht="18.75" hidden="1" customHeight="1" x14ac:dyDescent="0.35">
      <c r="A58" s="93" t="s">
        <v>39</v>
      </c>
      <c r="B58" s="112" t="s">
        <v>784</v>
      </c>
      <c r="C58" s="5">
        <f>+IFERROR(VLOOKUP($A58,RAIZ!$A$3:$X$1500,MATCH('San Cayetano'!$F$1,RAIZ!$A$2:$X$2,0),FALSE),0)</f>
        <v>1</v>
      </c>
      <c r="D58" s="196">
        <v>1</v>
      </c>
      <c r="E58" s="5"/>
      <c r="F58" s="5">
        <f t="shared" ref="F58" si="15">IF(D58-C58&gt;=0,D58-C58,0)</f>
        <v>0</v>
      </c>
      <c r="G58" s="5"/>
    </row>
    <row r="59" spans="1:7" ht="18.75" hidden="1" customHeight="1" x14ac:dyDescent="0.35">
      <c r="A59" s="93" t="s">
        <v>40</v>
      </c>
      <c r="B59" s="112" t="s">
        <v>785</v>
      </c>
      <c r="C59" s="5">
        <f>+IFERROR(VLOOKUP($A59,RAIZ!$A$3:$X$1500,MATCH('San Cayetano'!$F$1,RAIZ!$A$2:$X$2,0),FALSE),0)</f>
        <v>1</v>
      </c>
      <c r="D59" s="7">
        <v>1</v>
      </c>
      <c r="E59" s="5"/>
      <c r="F59" s="5">
        <f t="shared" si="14"/>
        <v>0</v>
      </c>
      <c r="G59" s="5"/>
    </row>
    <row r="60" spans="1:7" ht="18.75" hidden="1" customHeight="1" x14ac:dyDescent="0.35">
      <c r="A60" s="93" t="s">
        <v>41</v>
      </c>
      <c r="B60" s="112" t="s">
        <v>786</v>
      </c>
      <c r="C60" s="5">
        <f>+IFERROR(VLOOKUP($A60,RAIZ!$A$3:$X$1500,MATCH('San Cayetano'!$F$1,RAIZ!$A$2:$X$2,0),FALSE),0)</f>
        <v>1</v>
      </c>
      <c r="D60" s="7">
        <v>1</v>
      </c>
      <c r="E60" s="5"/>
      <c r="F60" s="5">
        <f t="shared" si="14"/>
        <v>0</v>
      </c>
      <c r="G60" s="5"/>
    </row>
    <row r="61" spans="1:7" ht="18.75" hidden="1" customHeight="1" x14ac:dyDescent="0.35">
      <c r="A61" s="101" t="s">
        <v>42</v>
      </c>
      <c r="B61" s="112" t="s">
        <v>787</v>
      </c>
      <c r="C61" s="5">
        <f>+IFERROR(VLOOKUP($A61,RAIZ!$A$3:$X$1500,MATCH('San Cayetano'!$F$1,RAIZ!$A$2:$X$2,0),FALSE),0)</f>
        <v>1</v>
      </c>
      <c r="D61" s="4">
        <v>1</v>
      </c>
      <c r="E61" s="5"/>
      <c r="F61" s="5">
        <f t="shared" si="14"/>
        <v>0</v>
      </c>
      <c r="G61" s="5"/>
    </row>
    <row r="62" spans="1:7" ht="18.75" hidden="1" customHeight="1" x14ac:dyDescent="0.35">
      <c r="A62" s="102" t="s">
        <v>43</v>
      </c>
      <c r="B62" s="112" t="s">
        <v>788</v>
      </c>
      <c r="C62" s="5">
        <f>+IFERROR(VLOOKUP($A62,RAIZ!$A$3:$X$1500,MATCH('San Cayetano'!$F$1,RAIZ!$A$2:$X$2,0),FALSE),0)</f>
        <v>1</v>
      </c>
      <c r="D62" s="7">
        <v>1</v>
      </c>
      <c r="E62" s="5"/>
      <c r="F62" s="5">
        <f t="shared" si="14"/>
        <v>0</v>
      </c>
      <c r="G62" s="5"/>
    </row>
    <row r="63" spans="1:7" ht="18.75" customHeight="1" x14ac:dyDescent="0.35">
      <c r="A63" s="93" t="s">
        <v>44</v>
      </c>
      <c r="B63" s="112" t="s">
        <v>789</v>
      </c>
      <c r="C63" s="5">
        <f>+IFERROR(VLOOKUP($A63,RAIZ!$A$3:$X$1500,MATCH('San Cayetano'!$F$1,RAIZ!$A$2:$X$2,0),FALSE),0)</f>
        <v>1</v>
      </c>
      <c r="D63" s="7">
        <v>2</v>
      </c>
      <c r="E63" s="5"/>
      <c r="F63" s="5">
        <f t="shared" si="14"/>
        <v>1</v>
      </c>
      <c r="G63" s="5">
        <v>1</v>
      </c>
    </row>
    <row r="64" spans="1:7" ht="18.75" hidden="1" customHeight="1" x14ac:dyDescent="0.35">
      <c r="A64" s="93" t="s">
        <v>45</v>
      </c>
      <c r="B64" s="112" t="s">
        <v>790</v>
      </c>
      <c r="C64" s="5">
        <f>+IFERROR(VLOOKUP($A64,RAIZ!$A$3:$X$1500,MATCH('San Cayetano'!$F$1,RAIZ!$A$2:$X$2,0),FALSE),0)</f>
        <v>1</v>
      </c>
      <c r="D64" s="4">
        <v>1</v>
      </c>
      <c r="E64" s="5"/>
      <c r="F64" s="5">
        <f t="shared" si="14"/>
        <v>0</v>
      </c>
      <c r="G64" s="5"/>
    </row>
    <row r="65" spans="1:7" ht="18.75" customHeight="1" x14ac:dyDescent="0.35">
      <c r="A65" s="93" t="s">
        <v>46</v>
      </c>
      <c r="B65" s="112" t="s">
        <v>791</v>
      </c>
      <c r="C65" s="5">
        <f>+IFERROR(VLOOKUP($A65,RAIZ!$A$3:$X$1500,MATCH('San Cayetano'!$F$1,RAIZ!$A$2:$X$2,0),FALSE),0)</f>
        <v>1</v>
      </c>
      <c r="D65" s="7">
        <v>3</v>
      </c>
      <c r="E65" s="5"/>
      <c r="F65" s="5">
        <f t="shared" si="14"/>
        <v>2</v>
      </c>
      <c r="G65" s="5">
        <v>2</v>
      </c>
    </row>
    <row r="66" spans="1:7" ht="18.75" hidden="1" customHeight="1" x14ac:dyDescent="0.35">
      <c r="A66" s="93" t="s">
        <v>48</v>
      </c>
      <c r="B66" s="112" t="s">
        <v>792</v>
      </c>
      <c r="C66" s="5">
        <f>+IFERROR(VLOOKUP($A66,RAIZ!$A$3:$X$1500,MATCH('San Cayetano'!$F$1,RAIZ!$A$2:$X$2,0),FALSE),0)</f>
        <v>1</v>
      </c>
      <c r="D66" s="7">
        <v>1</v>
      </c>
      <c r="E66" s="5"/>
      <c r="F66" s="5">
        <f t="shared" si="14"/>
        <v>0</v>
      </c>
      <c r="G66" s="5"/>
    </row>
    <row r="67" spans="1:7" ht="18.75" hidden="1" customHeight="1" x14ac:dyDescent="0.35">
      <c r="A67" s="93" t="s">
        <v>49</v>
      </c>
      <c r="B67" s="112" t="s">
        <v>793</v>
      </c>
      <c r="C67" s="5">
        <f>+IFERROR(VLOOKUP($A67,RAIZ!$A$3:$X$1500,MATCH('San Cayetano'!$F$1,RAIZ!$A$2:$X$2,0),FALSE),0)</f>
        <v>1</v>
      </c>
      <c r="D67" s="7">
        <v>1</v>
      </c>
      <c r="E67" s="5"/>
      <c r="F67" s="5">
        <f t="shared" si="14"/>
        <v>0</v>
      </c>
      <c r="G67" s="5"/>
    </row>
    <row r="68" spans="1:7" ht="18.75" customHeight="1" thickBot="1" x14ac:dyDescent="0.4">
      <c r="A68" s="93" t="s">
        <v>50</v>
      </c>
      <c r="B68" s="112" t="s">
        <v>794</v>
      </c>
      <c r="C68" s="5">
        <f>+IFERROR(VLOOKUP($A68,RAIZ!$A$3:$X$1500,MATCH('San Cayetano'!$F$1,RAIZ!$A$2:$X$2,0),FALSE),0)</f>
        <v>1</v>
      </c>
      <c r="D68" s="4">
        <v>3</v>
      </c>
      <c r="E68" s="5"/>
      <c r="F68" s="5">
        <f t="shared" si="14"/>
        <v>2</v>
      </c>
      <c r="G68" s="5">
        <v>2</v>
      </c>
    </row>
    <row r="69" spans="1:7" ht="18.75" hidden="1" customHeight="1" x14ac:dyDescent="0.35">
      <c r="A69" s="93" t="s">
        <v>51</v>
      </c>
      <c r="B69" s="112" t="s">
        <v>795</v>
      </c>
      <c r="C69" s="5">
        <f>+IFERROR(VLOOKUP($A69,RAIZ!$A$3:$X$1500,MATCH('San Cayetano'!$F$1,RAIZ!$A$2:$X$2,0),FALSE),0)</f>
        <v>1</v>
      </c>
      <c r="D69" s="7">
        <v>1</v>
      </c>
      <c r="E69" s="5"/>
      <c r="F69" s="5">
        <f t="shared" si="14"/>
        <v>0</v>
      </c>
      <c r="G69" s="5"/>
    </row>
    <row r="70" spans="1:7" ht="18.75" hidden="1" customHeight="1" x14ac:dyDescent="0.35">
      <c r="A70" s="93" t="s">
        <v>53</v>
      </c>
      <c r="B70" s="112" t="s">
        <v>796</v>
      </c>
      <c r="C70" s="5">
        <f>+IFERROR(VLOOKUP($A70,RAIZ!$A$3:$X$1500,MATCH('San Cayetano'!$F$1,RAIZ!$A$2:$X$2,0),FALSE),0)</f>
        <v>3</v>
      </c>
      <c r="D70" s="20">
        <v>3</v>
      </c>
      <c r="E70" s="5"/>
      <c r="F70" s="5">
        <f t="shared" si="14"/>
        <v>0</v>
      </c>
      <c r="G70" s="5"/>
    </row>
    <row r="71" spans="1:7" ht="18.75" hidden="1" customHeight="1" x14ac:dyDescent="0.35">
      <c r="A71" s="93" t="s">
        <v>47</v>
      </c>
      <c r="B71" s="112" t="s">
        <v>873</v>
      </c>
      <c r="C71" s="5">
        <f>+IFERROR(VLOOKUP($A71,RAIZ!$A$3:$X$1500,MATCH('San Cayetano'!$F$1,RAIZ!$A$2:$X$2,0),FALSE),0)</f>
        <v>1</v>
      </c>
      <c r="D71" s="20">
        <v>1</v>
      </c>
      <c r="E71" s="5"/>
      <c r="F71" s="5">
        <f t="shared" ref="F71:F77" si="16">IF(D71-C71&gt;=0,D71-C71,0)</f>
        <v>0</v>
      </c>
      <c r="G71" s="5"/>
    </row>
    <row r="72" spans="1:7" ht="18.75" hidden="1" customHeight="1" x14ac:dyDescent="0.35">
      <c r="A72" s="86" t="s">
        <v>1089</v>
      </c>
      <c r="B72" s="112" t="s">
        <v>1090</v>
      </c>
      <c r="C72" s="5">
        <f>+IFERROR(VLOOKUP($A72,RAIZ!$A$3:$X$1500,MATCH('San Cayetano'!$F$1,RAIZ!$A$2:$X$2,0),FALSE),0)</f>
        <v>0</v>
      </c>
      <c r="D72" s="20">
        <v>0</v>
      </c>
      <c r="E72" s="5"/>
      <c r="F72" s="5">
        <f>IF(D72-C72&gt;=0,D72-C72,0)</f>
        <v>0</v>
      </c>
      <c r="G72" s="5"/>
    </row>
    <row r="73" spans="1:7" ht="18.75" hidden="1" customHeight="1" x14ac:dyDescent="0.35">
      <c r="A73" s="93"/>
      <c r="B73" s="112"/>
      <c r="C73" s="5">
        <f>+IFERROR(VLOOKUP($A73,RAIZ!$A$3:$X$1500,MATCH('San Cayetano'!$F$1,RAIZ!$A$2:$X$2,0),FALSE),0)</f>
        <v>0</v>
      </c>
      <c r="D73" s="20"/>
      <c r="E73" s="5"/>
      <c r="F73" s="5">
        <f t="shared" si="16"/>
        <v>0</v>
      </c>
      <c r="G73" s="5"/>
    </row>
    <row r="74" spans="1:7" ht="18.75" hidden="1" customHeight="1" x14ac:dyDescent="0.35">
      <c r="A74" s="93"/>
      <c r="B74" s="112"/>
      <c r="C74" s="5">
        <f>+IFERROR(VLOOKUP($A74,RAIZ!$A$3:$X$1500,MATCH('San Cayetano'!$F$1,RAIZ!$A$2:$X$2,0),FALSE),0)</f>
        <v>0</v>
      </c>
      <c r="D74" s="20"/>
      <c r="E74" s="5"/>
      <c r="F74" s="5">
        <f t="shared" si="16"/>
        <v>0</v>
      </c>
      <c r="G74" s="5"/>
    </row>
    <row r="75" spans="1:7" ht="18.75" hidden="1" customHeight="1" x14ac:dyDescent="0.35">
      <c r="A75" s="93"/>
      <c r="B75" s="112"/>
      <c r="C75" s="5">
        <f>+IFERROR(VLOOKUP($A75,RAIZ!$A$3:$X$1500,MATCH('San Cayetano'!$F$1,RAIZ!$A$2:$X$2,0),FALSE),0)</f>
        <v>0</v>
      </c>
      <c r="D75" s="20"/>
      <c r="E75" s="5"/>
      <c r="F75" s="5">
        <f t="shared" si="16"/>
        <v>0</v>
      </c>
      <c r="G75" s="5"/>
    </row>
    <row r="76" spans="1:7" ht="18.75" hidden="1" customHeight="1" x14ac:dyDescent="0.35">
      <c r="A76" s="93"/>
      <c r="B76" s="112"/>
      <c r="C76" s="5">
        <f>+IFERROR(VLOOKUP($A76,RAIZ!$A$3:$X$1500,MATCH('San Cayetano'!$F$1,RAIZ!$A$2:$X$2,0),FALSE),0)</f>
        <v>0</v>
      </c>
      <c r="D76" s="20"/>
      <c r="E76" s="5"/>
      <c r="F76" s="5">
        <f t="shared" si="16"/>
        <v>0</v>
      </c>
      <c r="G76" s="5"/>
    </row>
    <row r="77" spans="1:7" ht="18.75" hidden="1" customHeight="1" thickBot="1" x14ac:dyDescent="0.4">
      <c r="A77" s="93"/>
      <c r="B77" s="112"/>
      <c r="C77" s="5">
        <f>+IFERROR(VLOOKUP($A77,RAIZ!$A$3:$X$1500,MATCH('San Cayetano'!$F$1,RAIZ!$A$2:$X$2,0),FALSE),0)</f>
        <v>0</v>
      </c>
      <c r="D77" s="20"/>
      <c r="E77" s="5"/>
      <c r="F77" s="5">
        <f t="shared" si="16"/>
        <v>0</v>
      </c>
      <c r="G77" s="5"/>
    </row>
    <row r="78" spans="1:7" ht="18.75" customHeight="1" thickBot="1" x14ac:dyDescent="0.4">
      <c r="A78" s="99" t="s">
        <v>54</v>
      </c>
      <c r="B78" s="111"/>
      <c r="C78" s="77">
        <f>SUM(C56:C77)</f>
        <v>18</v>
      </c>
      <c r="D78" s="48">
        <f>SUM(D56:D77)</f>
        <v>23</v>
      </c>
      <c r="E78" s="48">
        <f>SUM(E56:E77)</f>
        <v>0</v>
      </c>
      <c r="F78" s="65">
        <f>SUM(F56:F77)</f>
        <v>5</v>
      </c>
      <c r="G78" s="48">
        <f>SUM(G56:G77)</f>
        <v>5</v>
      </c>
    </row>
    <row r="79" spans="1:7" ht="18.75" customHeight="1" thickBot="1" x14ac:dyDescent="0.4">
      <c r="A79" s="103" t="s">
        <v>55</v>
      </c>
      <c r="B79" s="111"/>
      <c r="C79" s="79">
        <f>C18+C32+C49+C52+C55+C78</f>
        <v>79</v>
      </c>
      <c r="D79" s="52">
        <f>D18+D32+D49+D52+D55+D78</f>
        <v>105</v>
      </c>
      <c r="E79" s="52">
        <f>E18+E32+E49+E52+E55+E78</f>
        <v>0</v>
      </c>
      <c r="F79" s="67">
        <f>F18+F32+F49+F52+F55+F78</f>
        <v>26</v>
      </c>
      <c r="G79" s="52">
        <f>G18+G32+G49+G52+G55+G78</f>
        <v>26</v>
      </c>
    </row>
    <row r="80" spans="1:7" ht="18.75" hidden="1" customHeight="1" x14ac:dyDescent="0.35">
      <c r="A80" s="104" t="s">
        <v>56</v>
      </c>
      <c r="B80" s="111"/>
      <c r="C80" s="68"/>
      <c r="D80" s="26"/>
      <c r="E80" s="27"/>
      <c r="F80" s="27"/>
      <c r="G80" s="27"/>
    </row>
    <row r="81" spans="1:7" ht="18.75" hidden="1" customHeight="1" x14ac:dyDescent="0.35">
      <c r="A81" s="94" t="s">
        <v>57</v>
      </c>
      <c r="B81" s="112" t="s">
        <v>797</v>
      </c>
      <c r="C81" s="5">
        <f>+IFERROR(VLOOKUP($A81,RAIZ!$A$3:$X$1500,MATCH('San Cayetano'!$F$1,RAIZ!$A$2:$X$2,0),FALSE),0)</f>
        <v>1</v>
      </c>
      <c r="D81" s="4">
        <v>1</v>
      </c>
      <c r="E81" s="5"/>
      <c r="F81" s="5">
        <f t="shared" ref="F81:F85" si="17">IF(D81-C81&gt;=0,D81-C81,0)</f>
        <v>0</v>
      </c>
      <c r="G81" s="5"/>
    </row>
    <row r="82" spans="1:7" ht="18.75" customHeight="1" thickBot="1" x14ac:dyDescent="0.4">
      <c r="A82" s="94" t="s">
        <v>58</v>
      </c>
      <c r="B82" s="112" t="s">
        <v>867</v>
      </c>
      <c r="C82" s="5">
        <f>+IFERROR(VLOOKUP($A82,RAIZ!$A$3:$X$1500,MATCH('San Cayetano'!$F$1,RAIZ!$A$2:$X$2,0),FALSE),0)</f>
        <v>0</v>
      </c>
      <c r="D82" s="4">
        <v>1</v>
      </c>
      <c r="E82" s="5"/>
      <c r="F82" s="5">
        <f t="shared" ref="F82" si="18">IF(D82-C82&gt;=0,D82-C82,0)</f>
        <v>1</v>
      </c>
      <c r="G82" s="5">
        <v>1</v>
      </c>
    </row>
    <row r="83" spans="1:7" ht="18.75" hidden="1" customHeight="1" x14ac:dyDescent="0.35">
      <c r="A83" s="94" t="s">
        <v>59</v>
      </c>
      <c r="B83" s="112" t="s">
        <v>798</v>
      </c>
      <c r="C83" s="5">
        <f>+IFERROR(VLOOKUP($A83,RAIZ!$A$3:$X$1500,MATCH('San Cayetano'!$F$1,RAIZ!$A$2:$X$2,0),FALSE),0)</f>
        <v>1</v>
      </c>
      <c r="D83" s="196">
        <v>1</v>
      </c>
      <c r="E83" s="5"/>
      <c r="F83" s="5">
        <f t="shared" si="17"/>
        <v>0</v>
      </c>
      <c r="G83" s="5"/>
    </row>
    <row r="84" spans="1:7" ht="18.75" hidden="1" customHeight="1" x14ac:dyDescent="0.35">
      <c r="A84" s="94" t="s">
        <v>60</v>
      </c>
      <c r="B84" s="112" t="s">
        <v>799</v>
      </c>
      <c r="C84" s="5">
        <f>+IFERROR(VLOOKUP($A84,RAIZ!$A$3:$X$1500,MATCH('San Cayetano'!$F$1,RAIZ!$A$2:$X$2,0),FALSE),0)</f>
        <v>1</v>
      </c>
      <c r="D84" s="196">
        <v>1</v>
      </c>
      <c r="E84" s="5"/>
      <c r="F84" s="5">
        <f t="shared" si="17"/>
        <v>0</v>
      </c>
      <c r="G84" s="5"/>
    </row>
    <row r="85" spans="1:7" ht="18.75" hidden="1" customHeight="1" x14ac:dyDescent="0.35">
      <c r="A85" s="94" t="s">
        <v>61</v>
      </c>
      <c r="B85" s="112" t="s">
        <v>800</v>
      </c>
      <c r="C85" s="5">
        <f>+IFERROR(VLOOKUP($A85,RAIZ!$A$3:$X$1500,MATCH('San Cayetano'!$F$1,RAIZ!$A$2:$X$2,0),FALSE),0)</f>
        <v>1</v>
      </c>
      <c r="D85" s="7">
        <v>1</v>
      </c>
      <c r="E85" s="5"/>
      <c r="F85" s="5">
        <f t="shared" si="17"/>
        <v>0</v>
      </c>
      <c r="G85" s="5"/>
    </row>
    <row r="86" spans="1:7" ht="18.75" hidden="1" customHeight="1" x14ac:dyDescent="0.35">
      <c r="A86" s="94" t="s">
        <v>63</v>
      </c>
      <c r="B86" s="112" t="s">
        <v>801</v>
      </c>
      <c r="C86" s="5">
        <f>+IFERROR(VLOOKUP($A86,RAIZ!$A$3:$X$1500,MATCH('San Cayetano'!$F$1,RAIZ!$A$2:$X$2,0),FALSE),0)</f>
        <v>2</v>
      </c>
      <c r="D86" s="7">
        <v>2</v>
      </c>
      <c r="E86" s="5"/>
      <c r="F86" s="5">
        <f t="shared" ref="F86:F90" si="19">IF(D86-C86&gt;=0,D86-C86,0)</f>
        <v>0</v>
      </c>
      <c r="G86" s="5"/>
    </row>
    <row r="87" spans="1:7" ht="18.75" hidden="1" customHeight="1" x14ac:dyDescent="0.35">
      <c r="A87" s="94"/>
      <c r="B87" s="112" t="s">
        <v>1091</v>
      </c>
      <c r="C87" s="5">
        <f>+IFERROR(VLOOKUP($A87,RAIZ!$A$3:$X$1500,MATCH('San Cayetano'!$F$1,RAIZ!$A$2:$X$2,0),FALSE),0)</f>
        <v>0</v>
      </c>
      <c r="D87" s="20"/>
      <c r="E87" s="5"/>
      <c r="F87" s="5">
        <f>IF(D87-C87&gt;=0,D87-C87,0)</f>
        <v>0</v>
      </c>
      <c r="G87" s="5"/>
    </row>
    <row r="88" spans="1:7" ht="18.75" hidden="1" customHeight="1" x14ac:dyDescent="0.35">
      <c r="A88" s="94"/>
      <c r="B88" s="112" t="s">
        <v>1094</v>
      </c>
      <c r="C88" s="5">
        <f>+IFERROR(VLOOKUP($A88,RAIZ!$A$3:$X$1500,MATCH('San Cayetano'!$F$1,RAIZ!$A$2:$X$2,0),FALSE),0)</f>
        <v>0</v>
      </c>
      <c r="D88" s="7"/>
      <c r="E88" s="5"/>
      <c r="F88" s="5">
        <f t="shared" si="19"/>
        <v>0</v>
      </c>
      <c r="G88" s="5"/>
    </row>
    <row r="89" spans="1:7" ht="18.75" hidden="1" customHeight="1" x14ac:dyDescent="0.35">
      <c r="A89" s="94"/>
      <c r="B89" s="112" t="s">
        <v>1095</v>
      </c>
      <c r="C89" s="5">
        <f>+IFERROR(VLOOKUP($A89,RAIZ!$A$3:$X$1500,MATCH('San Cayetano'!$F$1,RAIZ!$A$2:$X$2,0),FALSE),0)</f>
        <v>0</v>
      </c>
      <c r="D89" s="7"/>
      <c r="E89" s="5"/>
      <c r="F89" s="5">
        <f t="shared" si="19"/>
        <v>0</v>
      </c>
      <c r="G89" s="5"/>
    </row>
    <row r="90" spans="1:7" ht="18.75" hidden="1" customHeight="1" thickBot="1" x14ac:dyDescent="0.4">
      <c r="A90" s="94"/>
      <c r="B90" s="112" t="s">
        <v>1093</v>
      </c>
      <c r="C90" s="5">
        <f>+IFERROR(VLOOKUP($A90,RAIZ!$A$3:$X$1500,MATCH('San Cayetano'!$F$1,RAIZ!$A$2:$X$2,0),FALSE),0)</f>
        <v>0</v>
      </c>
      <c r="D90" s="7"/>
      <c r="E90" s="5"/>
      <c r="F90" s="5">
        <f t="shared" si="19"/>
        <v>0</v>
      </c>
      <c r="G90" s="5"/>
    </row>
    <row r="91" spans="1:7" ht="18.75" customHeight="1" thickBot="1" x14ac:dyDescent="0.4">
      <c r="A91" s="105" t="s">
        <v>55</v>
      </c>
      <c r="B91" s="111"/>
      <c r="C91" s="80">
        <f>SUM(C81:C90)</f>
        <v>6</v>
      </c>
      <c r="D91" s="54">
        <f>SUM(D81:D90)</f>
        <v>7</v>
      </c>
      <c r="E91" s="54">
        <f>SUM(E81:E90)</f>
        <v>0</v>
      </c>
      <c r="F91" s="69">
        <f>SUM(F81:F90)</f>
        <v>1</v>
      </c>
      <c r="G91" s="54">
        <f>SUM(G81:G90)</f>
        <v>1</v>
      </c>
    </row>
    <row r="92" spans="1:7" ht="18.75" hidden="1" customHeight="1" x14ac:dyDescent="0.35">
      <c r="A92" s="106" t="s">
        <v>64</v>
      </c>
      <c r="B92" s="111"/>
      <c r="C92" s="70"/>
      <c r="D92" s="30"/>
      <c r="E92" s="31"/>
      <c r="F92" s="31"/>
      <c r="G92" s="31"/>
    </row>
    <row r="93" spans="1:7" ht="18.75" hidden="1" customHeight="1" x14ac:dyDescent="0.35">
      <c r="A93" s="94" t="s">
        <v>65</v>
      </c>
      <c r="B93" s="112" t="s">
        <v>802</v>
      </c>
      <c r="C93" s="5">
        <f>+IFERROR(VLOOKUP($A93,RAIZ!$A$3:$X$1500,MATCH('San Cayetano'!$F$1,RAIZ!$A$2:$X$2,0),FALSE),0)</f>
        <v>1</v>
      </c>
      <c r="D93" s="4">
        <v>1</v>
      </c>
      <c r="E93" s="5"/>
      <c r="F93" s="5">
        <f t="shared" ref="F93:F104" si="20">IF(D93-C93&gt;=0,D93-C93,0)</f>
        <v>0</v>
      </c>
      <c r="G93" s="5"/>
    </row>
    <row r="94" spans="1:7" ht="18.75" hidden="1" customHeight="1" x14ac:dyDescent="0.35">
      <c r="A94" s="94" t="s">
        <v>66</v>
      </c>
      <c r="B94" s="112" t="s">
        <v>803</v>
      </c>
      <c r="C94" s="5">
        <f>+IFERROR(VLOOKUP($A94,RAIZ!$A$3:$X$1500,MATCH('San Cayetano'!$F$1,RAIZ!$A$2:$X$2,0),FALSE),0)</f>
        <v>1</v>
      </c>
      <c r="D94" s="7">
        <v>1</v>
      </c>
      <c r="E94" s="5"/>
      <c r="F94" s="5">
        <f t="shared" si="20"/>
        <v>0</v>
      </c>
      <c r="G94" s="5"/>
    </row>
    <row r="95" spans="1:7" ht="18.75" hidden="1" customHeight="1" x14ac:dyDescent="0.35">
      <c r="A95" s="94" t="s">
        <v>68</v>
      </c>
      <c r="B95" s="112" t="s">
        <v>805</v>
      </c>
      <c r="C95" s="5">
        <f>+IFERROR(VLOOKUP($A95,RAIZ!$A$3:$X$1500,MATCH('San Cayetano'!$F$1,RAIZ!$A$2:$X$2,0),FALSE),0)</f>
        <v>1</v>
      </c>
      <c r="D95" s="7">
        <v>1</v>
      </c>
      <c r="E95" s="5"/>
      <c r="F95" s="5">
        <f t="shared" si="20"/>
        <v>0</v>
      </c>
      <c r="G95" s="5"/>
    </row>
    <row r="96" spans="1:7" ht="18.75" hidden="1" customHeight="1" x14ac:dyDescent="0.35">
      <c r="A96" s="94" t="s">
        <v>69</v>
      </c>
      <c r="B96" s="112" t="s">
        <v>806</v>
      </c>
      <c r="C96" s="5">
        <f>+IFERROR(VLOOKUP($A96,RAIZ!$A$3:$X$1500,MATCH('San Cayetano'!$F$1,RAIZ!$A$2:$X$2,0),FALSE),0)</f>
        <v>5</v>
      </c>
      <c r="D96" s="7">
        <v>5</v>
      </c>
      <c r="E96" s="5"/>
      <c r="F96" s="5">
        <f t="shared" si="20"/>
        <v>0</v>
      </c>
      <c r="G96" s="5"/>
    </row>
    <row r="97" spans="1:7" ht="18.75" customHeight="1" x14ac:dyDescent="0.35">
      <c r="A97" s="94" t="s">
        <v>70</v>
      </c>
      <c r="B97" s="112" t="s">
        <v>807</v>
      </c>
      <c r="C97" s="5">
        <f>+IFERROR(VLOOKUP($A97,RAIZ!$A$3:$X$1500,MATCH('San Cayetano'!$F$1,RAIZ!$A$2:$X$2,0),FALSE),0)</f>
        <v>3</v>
      </c>
      <c r="D97" s="7">
        <v>5</v>
      </c>
      <c r="E97" s="5"/>
      <c r="F97" s="5">
        <f t="shared" si="20"/>
        <v>2</v>
      </c>
      <c r="G97" s="5">
        <v>2</v>
      </c>
    </row>
    <row r="98" spans="1:7" ht="18.75" customHeight="1" x14ac:dyDescent="0.35">
      <c r="A98" s="94" t="s">
        <v>857</v>
      </c>
      <c r="B98" s="112" t="s">
        <v>808</v>
      </c>
      <c r="C98" s="5">
        <f>+IFERROR(VLOOKUP($A98,RAIZ!$A$3:$X$1500,MATCH('San Cayetano'!$F$1,RAIZ!$A$2:$X$2,0),FALSE),0)</f>
        <v>4</v>
      </c>
      <c r="D98" s="7">
        <v>4</v>
      </c>
      <c r="E98" s="201">
        <v>5</v>
      </c>
      <c r="F98" s="5">
        <f t="shared" si="20"/>
        <v>0</v>
      </c>
      <c r="G98" s="5">
        <v>2</v>
      </c>
    </row>
    <row r="99" spans="1:7" ht="18.75" hidden="1" customHeight="1" x14ac:dyDescent="0.35">
      <c r="A99" s="94" t="s">
        <v>835</v>
      </c>
      <c r="B99" s="112" t="s">
        <v>836</v>
      </c>
      <c r="C99" s="5">
        <f>+IFERROR(VLOOKUP($A99,RAIZ!$A$3:$X$1500,MATCH('San Cayetano'!$F$1,RAIZ!$A$2:$X$2,0),FALSE),0)</f>
        <v>2</v>
      </c>
      <c r="D99" s="7">
        <v>2</v>
      </c>
      <c r="E99" s="5"/>
      <c r="F99" s="5">
        <f t="shared" ref="F99:F103" si="21">IF(D99-C99&gt;=0,D99-C99,0)</f>
        <v>0</v>
      </c>
      <c r="G99" s="5"/>
    </row>
    <row r="100" spans="1:7" ht="18.75" customHeight="1" x14ac:dyDescent="0.35">
      <c r="A100" s="94" t="s">
        <v>72</v>
      </c>
      <c r="B100" s="112" t="s">
        <v>834</v>
      </c>
      <c r="C100" s="5">
        <f>+IFERROR(VLOOKUP($A100,RAIZ!$A$3:$X$1500,MATCH('San Cayetano'!$F$1,RAIZ!$A$2:$X$2,0),FALSE),0)</f>
        <v>13</v>
      </c>
      <c r="D100" s="7">
        <v>20</v>
      </c>
      <c r="E100" s="5"/>
      <c r="F100" s="5">
        <f t="shared" si="21"/>
        <v>7</v>
      </c>
      <c r="G100" s="5">
        <v>7</v>
      </c>
    </row>
    <row r="101" spans="1:7" ht="18.75" hidden="1" customHeight="1" x14ac:dyDescent="0.35">
      <c r="A101" s="94" t="s">
        <v>73</v>
      </c>
      <c r="B101" s="112" t="s">
        <v>809</v>
      </c>
      <c r="C101" s="5">
        <f>+IFERROR(VLOOKUP($A101,RAIZ!$A$3:$X$1500,MATCH('San Cayetano'!$F$1,RAIZ!$A$2:$X$2,0),FALSE),0)</f>
        <v>1</v>
      </c>
      <c r="D101" s="7">
        <v>1</v>
      </c>
      <c r="E101" s="5"/>
      <c r="F101" s="5">
        <f t="shared" si="21"/>
        <v>0</v>
      </c>
      <c r="G101" s="5"/>
    </row>
    <row r="102" spans="1:7" ht="18.75" customHeight="1" x14ac:dyDescent="0.35">
      <c r="A102" s="94" t="s">
        <v>74</v>
      </c>
      <c r="B102" s="112" t="s">
        <v>810</v>
      </c>
      <c r="C102" s="5">
        <f>+IFERROR(VLOOKUP($A102,RAIZ!$A$3:$X$1500,MATCH('San Cayetano'!$F$1,RAIZ!$A$2:$X$2,0),FALSE),0)</f>
        <v>1</v>
      </c>
      <c r="D102" s="7">
        <v>2</v>
      </c>
      <c r="E102" s="5"/>
      <c r="F102" s="5">
        <f t="shared" si="21"/>
        <v>1</v>
      </c>
      <c r="G102" s="5">
        <v>1</v>
      </c>
    </row>
    <row r="103" spans="1:7" ht="18.75" customHeight="1" thickBot="1" x14ac:dyDescent="0.4">
      <c r="A103" s="94" t="s">
        <v>75</v>
      </c>
      <c r="B103" s="112" t="s">
        <v>811</v>
      </c>
      <c r="C103" s="5">
        <f>+IFERROR(VLOOKUP($A103,RAIZ!$A$3:$X$1500,MATCH('San Cayetano'!$F$1,RAIZ!$A$2:$X$2,0),FALSE),0)</f>
        <v>2</v>
      </c>
      <c r="D103" s="20">
        <v>3</v>
      </c>
      <c r="E103" s="5"/>
      <c r="F103" s="5">
        <f t="shared" si="21"/>
        <v>1</v>
      </c>
      <c r="G103" s="5">
        <v>1</v>
      </c>
    </row>
    <row r="104" spans="1:7" ht="18.75" hidden="1" customHeight="1" thickBot="1" x14ac:dyDescent="0.4">
      <c r="A104" s="94"/>
      <c r="B104" s="112" t="s">
        <v>1096</v>
      </c>
      <c r="C104" s="5">
        <f>+IFERROR(VLOOKUP($A104,RAIZ!$A$3:$X$1500,MATCH('San Cayetano'!$F$1,RAIZ!$A$2:$X$2,0),FALSE),0)</f>
        <v>0</v>
      </c>
      <c r="D104" s="7"/>
      <c r="E104" s="5"/>
      <c r="F104" s="5">
        <f t="shared" si="20"/>
        <v>0</v>
      </c>
      <c r="G104" s="5"/>
    </row>
    <row r="105" spans="1:7" ht="18.75" customHeight="1" thickBot="1" x14ac:dyDescent="0.4">
      <c r="A105" s="107" t="s">
        <v>55</v>
      </c>
      <c r="B105" s="111"/>
      <c r="C105" s="81">
        <f>SUM(C93:C104)</f>
        <v>34</v>
      </c>
      <c r="D105" s="56">
        <f>SUM(D93:D104)</f>
        <v>45</v>
      </c>
      <c r="E105" s="56">
        <f>SUM(E93:E104)</f>
        <v>5</v>
      </c>
      <c r="F105" s="71">
        <f>SUM(F93:F104)</f>
        <v>11</v>
      </c>
      <c r="G105" s="56">
        <f>SUM(G93:G104)</f>
        <v>13</v>
      </c>
    </row>
    <row r="106" spans="1:7" ht="18.75" hidden="1" customHeight="1" x14ac:dyDescent="0.35">
      <c r="A106" s="108" t="s">
        <v>76</v>
      </c>
      <c r="B106" s="111"/>
      <c r="C106" s="72"/>
      <c r="D106" s="34"/>
      <c r="E106" s="35"/>
      <c r="F106" s="35"/>
      <c r="G106" s="35"/>
    </row>
    <row r="107" spans="1:7" ht="18.75" customHeight="1" x14ac:dyDescent="0.35">
      <c r="A107" s="94" t="s">
        <v>77</v>
      </c>
      <c r="B107" s="112" t="s">
        <v>812</v>
      </c>
      <c r="C107" s="5">
        <f>+IFERROR(VLOOKUP($A107,RAIZ!$A$3:$X$1500,MATCH('San Cayetano'!$F$1,RAIZ!$A$2:$X$2,0),FALSE),0)</f>
        <v>0</v>
      </c>
      <c r="D107" s="7">
        <v>1</v>
      </c>
      <c r="E107" s="5"/>
      <c r="F107" s="5">
        <f t="shared" ref="F107:F112" si="22">IF(D107-C107&gt;=0,D107-C107,0)</f>
        <v>1</v>
      </c>
      <c r="G107" s="5">
        <v>1</v>
      </c>
    </row>
    <row r="108" spans="1:7" ht="18.75" hidden="1" customHeight="1" x14ac:dyDescent="0.35">
      <c r="A108" s="94" t="s">
        <v>621</v>
      </c>
      <c r="B108" s="112" t="s">
        <v>813</v>
      </c>
      <c r="C108" s="5">
        <f>+IFERROR(VLOOKUP($A108,RAIZ!$A$3:$X$1500,MATCH('San Cayetano'!$F$1,RAIZ!$A$2:$X$2,0),FALSE),0)</f>
        <v>1</v>
      </c>
      <c r="D108" s="7">
        <v>0</v>
      </c>
      <c r="E108" s="5"/>
      <c r="F108" s="5">
        <f t="shared" si="22"/>
        <v>0</v>
      </c>
      <c r="G108" s="5"/>
    </row>
    <row r="109" spans="1:7" ht="18.75" hidden="1" customHeight="1" x14ac:dyDescent="0.35">
      <c r="A109" s="94" t="s">
        <v>80</v>
      </c>
      <c r="B109" s="112" t="s">
        <v>815</v>
      </c>
      <c r="C109" s="5">
        <f>+IFERROR(VLOOKUP($A109,RAIZ!$A$3:$X$1500,MATCH('San Cayetano'!$F$1,RAIZ!$A$2:$X$2,0),FALSE),0)</f>
        <v>10</v>
      </c>
      <c r="D109" s="7">
        <v>10</v>
      </c>
      <c r="E109" s="5"/>
      <c r="F109" s="5">
        <f t="shared" si="22"/>
        <v>0</v>
      </c>
      <c r="G109" s="5"/>
    </row>
    <row r="110" spans="1:7" ht="18.75" hidden="1" customHeight="1" x14ac:dyDescent="0.35">
      <c r="A110" s="94" t="s">
        <v>81</v>
      </c>
      <c r="B110" s="112" t="s">
        <v>816</v>
      </c>
      <c r="C110" s="5">
        <f>+IFERROR(VLOOKUP($A110,RAIZ!$A$3:$X$1500,MATCH('San Cayetano'!$F$1,RAIZ!$A$2:$X$2,0),FALSE),0)</f>
        <v>10</v>
      </c>
      <c r="D110" s="7">
        <v>10</v>
      </c>
      <c r="E110" s="5"/>
      <c r="F110" s="5">
        <f t="shared" si="22"/>
        <v>0</v>
      </c>
      <c r="G110" s="5"/>
    </row>
    <row r="111" spans="1:7" ht="18.75" customHeight="1" thickBot="1" x14ac:dyDescent="0.4">
      <c r="A111" s="95" t="s">
        <v>83</v>
      </c>
      <c r="B111" s="112" t="s">
        <v>818</v>
      </c>
      <c r="C111" s="5">
        <f>+IFERROR(VLOOKUP($A111,RAIZ!$A$3:$X$1500,MATCH('San Cayetano'!$F$1,RAIZ!$A$2:$X$2,0),FALSE),0)</f>
        <v>0</v>
      </c>
      <c r="D111" s="20">
        <v>2</v>
      </c>
      <c r="E111" s="5"/>
      <c r="F111" s="5">
        <f t="shared" si="22"/>
        <v>2</v>
      </c>
      <c r="G111" s="5">
        <v>2</v>
      </c>
    </row>
    <row r="112" spans="1:7" ht="18.75" hidden="1" customHeight="1" thickBot="1" x14ac:dyDescent="0.4">
      <c r="A112" s="95"/>
      <c r="B112" s="112"/>
      <c r="C112" s="5">
        <f>+IFERROR(VLOOKUP($A112,RAIZ!$A$3:$X$1500,MATCH('San Cayetano'!$F$1,RAIZ!$A$2:$X$2,0),FALSE),0)</f>
        <v>0</v>
      </c>
      <c r="D112" s="20"/>
      <c r="E112" s="5"/>
      <c r="F112" s="5">
        <f t="shared" si="22"/>
        <v>0</v>
      </c>
      <c r="G112" s="5"/>
    </row>
    <row r="113" spans="1:7" ht="18.75" customHeight="1" thickBot="1" x14ac:dyDescent="0.4">
      <c r="A113" s="109" t="s">
        <v>55</v>
      </c>
      <c r="B113" s="111"/>
      <c r="C113" s="82">
        <f>SUM(C107:C112,C114:C116)</f>
        <v>24</v>
      </c>
      <c r="D113" s="58">
        <f>SUM(D107:D112,D114:D116)</f>
        <v>31</v>
      </c>
      <c r="E113" s="58">
        <f>SUM(E107:E112,E114:E116)</f>
        <v>0</v>
      </c>
      <c r="F113" s="73">
        <f>SUM(F107:F112,F114:F116)</f>
        <v>8</v>
      </c>
      <c r="G113" s="58">
        <f>SUM(G107:G112,G114:G116)</f>
        <v>8</v>
      </c>
    </row>
    <row r="114" spans="1:7" ht="18.75" customHeight="1" x14ac:dyDescent="0.35">
      <c r="A114" s="93" t="s">
        <v>84</v>
      </c>
      <c r="B114" s="112" t="s">
        <v>819</v>
      </c>
      <c r="C114" s="5">
        <f>+IFERROR(VLOOKUP($A114,RAIZ!$A$3:$X$1500,MATCH('San Cayetano'!$F$1,RAIZ!$A$2:$X$2,0),FALSE),0)</f>
        <v>0</v>
      </c>
      <c r="D114" s="4">
        <v>2</v>
      </c>
      <c r="E114" s="5"/>
      <c r="F114" s="5">
        <f t="shared" ref="F114" si="23">IF(D114-C114&gt;=0,D114-C114,0)</f>
        <v>2</v>
      </c>
      <c r="G114" s="5">
        <v>2</v>
      </c>
    </row>
    <row r="115" spans="1:7" ht="18.75" customHeight="1" x14ac:dyDescent="0.35">
      <c r="A115" s="95" t="s">
        <v>85</v>
      </c>
      <c r="B115" s="112" t="s">
        <v>820</v>
      </c>
      <c r="C115" s="5">
        <f>+IFERROR(VLOOKUP($A115,RAIZ!$A$3:$X$1500,MATCH('San Cayetano'!$F$1,RAIZ!$A$2:$X$2,0),FALSE),0)</f>
        <v>2</v>
      </c>
      <c r="D115" s="20">
        <v>3</v>
      </c>
      <c r="E115" s="5"/>
      <c r="F115" s="5">
        <f t="shared" ref="F115:F141" si="24">IF(D115-C115&gt;=0,D115-C115,0)</f>
        <v>1</v>
      </c>
      <c r="G115" s="5">
        <v>1</v>
      </c>
    </row>
    <row r="116" spans="1:7" ht="18.75" customHeight="1" thickBot="1" x14ac:dyDescent="0.4">
      <c r="A116" s="95" t="s">
        <v>881</v>
      </c>
      <c r="B116" s="112" t="s">
        <v>882</v>
      </c>
      <c r="C116" s="5">
        <f>+IFERROR(VLOOKUP($A116,RAIZ!$A$3:$X$1500,MATCH('San Cayetano'!$F$1,RAIZ!$A$2:$X$2,0),FALSE),0)</f>
        <v>1</v>
      </c>
      <c r="D116" s="20">
        <v>3</v>
      </c>
      <c r="E116" s="5"/>
      <c r="F116" s="5">
        <f t="shared" si="24"/>
        <v>2</v>
      </c>
      <c r="G116" s="5">
        <v>2</v>
      </c>
    </row>
    <row r="117" spans="1:7" ht="18.75" customHeight="1" thickBot="1" x14ac:dyDescent="0.4">
      <c r="A117" s="110" t="s">
        <v>86</v>
      </c>
      <c r="B117" s="111"/>
      <c r="C117" s="83">
        <f>C79+C91+C105+C113</f>
        <v>143</v>
      </c>
      <c r="D117" s="60">
        <f>D79+D91+D105+D113</f>
        <v>188</v>
      </c>
      <c r="E117" s="60">
        <f>E79+E91+E105+E113</f>
        <v>5</v>
      </c>
      <c r="F117" s="74">
        <f>F79+F91+F105+F113</f>
        <v>46</v>
      </c>
      <c r="G117" s="60">
        <f>G79+G91+G105+G113</f>
        <v>48</v>
      </c>
    </row>
    <row r="118" spans="1:7" ht="18.75" customHeight="1" thickBot="1" x14ac:dyDescent="0.4">
      <c r="A118" s="95" t="s">
        <v>975</v>
      </c>
      <c r="B118" s="112" t="s">
        <v>976</v>
      </c>
      <c r="C118" s="5">
        <f>+IFERROR(VLOOKUP($A118,RAIZ!$A$3:$X$1500,MATCH('San Cayetano'!$F$1,RAIZ!$A$2:$X$2,0),FALSE),0)</f>
        <v>0</v>
      </c>
      <c r="D118" s="20">
        <v>4</v>
      </c>
      <c r="E118" s="5"/>
      <c r="F118" s="5">
        <f>IF(D118-C118&gt;=0,D118-C118,0)</f>
        <v>4</v>
      </c>
      <c r="G118" s="5">
        <v>4</v>
      </c>
    </row>
    <row r="119" spans="1:7" ht="18.75" hidden="1" customHeight="1" x14ac:dyDescent="0.35">
      <c r="A119" s="95" t="s">
        <v>974</v>
      </c>
      <c r="B119" s="112" t="s">
        <v>977</v>
      </c>
      <c r="C119" s="5">
        <f>+IFERROR(VLOOKUP($A119,RAIZ!$A$3:$X$1500,MATCH('San Cayetano'!$F$1,RAIZ!$A$2:$X$2,0),FALSE),0)</f>
        <v>0</v>
      </c>
      <c r="D119" s="20">
        <v>4</v>
      </c>
      <c r="E119" s="5"/>
      <c r="F119" s="5">
        <f t="shared" si="24"/>
        <v>4</v>
      </c>
      <c r="G119" s="5"/>
    </row>
    <row r="120" spans="1:7" ht="18.75" hidden="1" customHeight="1" thickBot="1" x14ac:dyDescent="0.4">
      <c r="A120" s="95" t="s">
        <v>1077</v>
      </c>
      <c r="B120" s="112" t="s">
        <v>817</v>
      </c>
      <c r="C120" s="5">
        <f>+IFERROR(VLOOKUP($A120,RAIZ!$A$3:$X$1500,MATCH('San Cayetano'!$F$1,RAIZ!$A$2:$X$2,0),FALSE),0)</f>
        <v>2</v>
      </c>
      <c r="D120" s="20"/>
      <c r="E120" s="5"/>
      <c r="F120" s="5">
        <f t="shared" si="24"/>
        <v>0</v>
      </c>
      <c r="G120" s="5"/>
    </row>
    <row r="121" spans="1:7" ht="18.75" hidden="1" customHeight="1" thickBot="1" x14ac:dyDescent="0.4">
      <c r="A121" s="95" t="s">
        <v>1076</v>
      </c>
      <c r="B121" s="194" t="s">
        <v>1121</v>
      </c>
      <c r="C121" s="5">
        <f>+IFERROR(VLOOKUP($A121,RAIZ!$A$3:$X$1500,MATCH('San Cayetano'!$F$1,RAIZ!$A$2:$X$2,0),FALSE),0)</f>
        <v>2</v>
      </c>
      <c r="D121" s="20">
        <v>0</v>
      </c>
      <c r="E121" s="5"/>
      <c r="F121" s="5">
        <f t="shared" si="24"/>
        <v>0</v>
      </c>
      <c r="G121" s="5"/>
    </row>
    <row r="122" spans="1:7" ht="18.75" hidden="1" customHeight="1" thickBot="1" x14ac:dyDescent="0.4">
      <c r="A122" s="95" t="s">
        <v>1014</v>
      </c>
      <c r="B122" s="194" t="s">
        <v>1010</v>
      </c>
      <c r="C122" s="5">
        <f>+IFERROR(VLOOKUP($A122,RAIZ!$A$3:$X$1500,MATCH('San Cayetano'!$F$1,RAIZ!$A$2:$X$2,0),FALSE),0)</f>
        <v>5</v>
      </c>
      <c r="D122" s="20">
        <v>5</v>
      </c>
      <c r="E122" s="5"/>
      <c r="F122" s="5">
        <f t="shared" si="24"/>
        <v>0</v>
      </c>
      <c r="G122" s="5"/>
    </row>
    <row r="123" spans="1:7" ht="18.75" hidden="1" customHeight="1" thickBot="1" x14ac:dyDescent="0.4">
      <c r="A123" s="95" t="s">
        <v>1015</v>
      </c>
      <c r="B123" s="194" t="s">
        <v>1011</v>
      </c>
      <c r="C123" s="147">
        <f>+IFERROR(VLOOKUP($A123,RAIZ!$A$3:$X$1500,MATCH('San Cayetano'!$F$1,RAIZ!$A$2:$X$2,0),FALSE),0)</f>
        <v>5</v>
      </c>
      <c r="D123" s="20">
        <v>5</v>
      </c>
      <c r="E123" s="5"/>
      <c r="F123" s="5">
        <f t="shared" si="24"/>
        <v>0</v>
      </c>
      <c r="G123" s="5"/>
    </row>
    <row r="124" spans="1:7" ht="18.75" hidden="1" customHeight="1" thickBot="1" x14ac:dyDescent="0.4">
      <c r="A124" s="95" t="s">
        <v>1016</v>
      </c>
      <c r="B124" s="194" t="s">
        <v>1012</v>
      </c>
      <c r="C124" s="147">
        <f>+IFERROR(VLOOKUP($A124,RAIZ!$A$3:$X$1500,MATCH('San Cayetano'!$F$1,RAIZ!$A$2:$X$2,0),FALSE),0)</f>
        <v>5</v>
      </c>
      <c r="D124" s="20">
        <v>5</v>
      </c>
      <c r="E124" s="5"/>
      <c r="F124" s="5">
        <f t="shared" si="24"/>
        <v>0</v>
      </c>
      <c r="G124" s="5"/>
    </row>
    <row r="125" spans="1:7" ht="18.75" hidden="1" customHeight="1" thickBot="1" x14ac:dyDescent="0.4">
      <c r="A125" s="95" t="s">
        <v>1017</v>
      </c>
      <c r="B125" s="194" t="s">
        <v>1013</v>
      </c>
      <c r="C125" s="147">
        <f>+IFERROR(VLOOKUP($A125,RAIZ!$A$3:$X$1500,MATCH('San Cayetano'!$F$1,RAIZ!$A$2:$X$2,0),FALSE),0)</f>
        <v>5</v>
      </c>
      <c r="D125" s="18">
        <v>5</v>
      </c>
      <c r="E125" s="5"/>
      <c r="F125" s="5">
        <f t="shared" si="24"/>
        <v>0</v>
      </c>
      <c r="G125" s="5"/>
    </row>
    <row r="126" spans="1:7" ht="18.75" hidden="1" customHeight="1" thickBot="1" x14ac:dyDescent="0.4">
      <c r="A126" s="95" t="s">
        <v>1125</v>
      </c>
      <c r="B126" s="194" t="s">
        <v>1127</v>
      </c>
      <c r="C126" s="147">
        <f>+IFERROR(VLOOKUP($A126,RAIZ!$A$3:$X$1500,MATCH('San Cayetano'!$F$1,RAIZ!$A$2:$X$2,0),FALSE),0)</f>
        <v>2</v>
      </c>
      <c r="D126" s="20"/>
      <c r="E126" s="5"/>
      <c r="F126" s="5">
        <f t="shared" si="24"/>
        <v>0</v>
      </c>
      <c r="G126" s="5"/>
    </row>
    <row r="127" spans="1:7" ht="18.75" hidden="1" customHeight="1" thickBot="1" x14ac:dyDescent="0.4">
      <c r="A127" s="95" t="s">
        <v>1126</v>
      </c>
      <c r="B127" s="194" t="s">
        <v>1128</v>
      </c>
      <c r="C127" s="147">
        <f>+IFERROR(VLOOKUP($A127,RAIZ!$A$3:$X$1500,MATCH('San Cayetano'!$F$1,RAIZ!$A$2:$X$2,0),FALSE),0)</f>
        <v>1</v>
      </c>
      <c r="D127" s="18"/>
      <c r="E127" s="184"/>
      <c r="F127" s="184">
        <f t="shared" si="24"/>
        <v>0</v>
      </c>
      <c r="G127" s="181"/>
    </row>
    <row r="128" spans="1:7" ht="18.75" hidden="1" customHeight="1" thickBot="1" x14ac:dyDescent="0.4">
      <c r="A128" s="95" t="s">
        <v>568</v>
      </c>
      <c r="B128" s="194" t="s">
        <v>1131</v>
      </c>
      <c r="C128" s="186">
        <f>+IFERROR(VLOOKUP($A128,RAIZ!$A$3:$X$1500,MATCH('San Cayetano'!$F$1,RAIZ!$A$2:$X$2,0),FALSE),0)</f>
        <v>3</v>
      </c>
      <c r="D128" s="18">
        <v>3</v>
      </c>
      <c r="E128" s="185"/>
      <c r="F128" s="185">
        <f t="shared" si="24"/>
        <v>0</v>
      </c>
      <c r="G128" s="185"/>
    </row>
    <row r="129" spans="1:7" ht="18.75" hidden="1" customHeight="1" thickBot="1" x14ac:dyDescent="0.4">
      <c r="A129" s="95" t="s">
        <v>565</v>
      </c>
      <c r="B129" s="194" t="s">
        <v>1142</v>
      </c>
      <c r="C129" s="187">
        <f>+IFERROR(VLOOKUP($A129,RAIZ!$A$3:$X$1500,MATCH('San Cayetano'!$F$1,RAIZ!$A$2:$X$2,0),FALSE),0)</f>
        <v>2</v>
      </c>
      <c r="D129" s="18">
        <v>2</v>
      </c>
      <c r="E129" s="185"/>
      <c r="F129" s="185">
        <f t="shared" si="24"/>
        <v>0</v>
      </c>
      <c r="G129" s="185"/>
    </row>
    <row r="130" spans="1:7" ht="18.75" customHeight="1" thickBot="1" x14ac:dyDescent="0.4">
      <c r="A130" s="95" t="s">
        <v>912</v>
      </c>
      <c r="B130" s="194" t="s">
        <v>1136</v>
      </c>
      <c r="C130" s="187">
        <f>+IFERROR(VLOOKUP($A130,RAIZ!$A$3:$X$1500,MATCH('San Cayetano'!$F$1,RAIZ!$A$2:$X$2,0),FALSE),0)</f>
        <v>0</v>
      </c>
      <c r="D130" s="18">
        <v>2</v>
      </c>
      <c r="E130" s="185"/>
      <c r="F130" s="185">
        <f t="shared" si="24"/>
        <v>2</v>
      </c>
      <c r="G130" s="185">
        <v>2</v>
      </c>
    </row>
    <row r="131" spans="1:7" ht="18.75" customHeight="1" thickBot="1" x14ac:dyDescent="0.4">
      <c r="A131" s="95" t="s">
        <v>557</v>
      </c>
      <c r="B131" s="194" t="s">
        <v>1137</v>
      </c>
      <c r="C131" s="187">
        <f>+IFERROR(VLOOKUP($A131,RAIZ!$A$3:$X$1500,MATCH('San Cayetano'!$F$1,RAIZ!$A$2:$X$2,0),FALSE),0)</f>
        <v>1</v>
      </c>
      <c r="D131" s="18">
        <v>2</v>
      </c>
      <c r="E131" s="185"/>
      <c r="F131" s="185">
        <f t="shared" si="24"/>
        <v>1</v>
      </c>
      <c r="G131" s="185">
        <v>1</v>
      </c>
    </row>
    <row r="132" spans="1:7" ht="18.75" hidden="1" customHeight="1" thickBot="1" x14ac:dyDescent="0.4">
      <c r="A132" s="95" t="s">
        <v>573</v>
      </c>
      <c r="B132" s="194" t="s">
        <v>1138</v>
      </c>
      <c r="C132" s="187">
        <f>+IFERROR(VLOOKUP($A132,RAIZ!$A$3:$X$1500,MATCH('San Cayetano'!$F$1,RAIZ!$A$2:$X$2,0),FALSE),0)</f>
        <v>2</v>
      </c>
      <c r="D132" s="18">
        <v>1</v>
      </c>
      <c r="E132" s="185"/>
      <c r="F132" s="185">
        <f t="shared" si="24"/>
        <v>0</v>
      </c>
      <c r="G132" s="185"/>
    </row>
    <row r="133" spans="1:7" ht="18.75" hidden="1" customHeight="1" thickBot="1" x14ac:dyDescent="0.4">
      <c r="A133" s="95" t="s">
        <v>421</v>
      </c>
      <c r="B133" s="194" t="s">
        <v>1140</v>
      </c>
      <c r="C133" s="187">
        <f>+IFERROR(VLOOKUP($A133,RAIZ!$A$3:$X$1500,MATCH('San Cayetano'!$F$1,RAIZ!$A$2:$X$2,0),FALSE),0)</f>
        <v>2</v>
      </c>
      <c r="D133" s="18">
        <v>2</v>
      </c>
      <c r="E133" s="185"/>
      <c r="F133" s="185">
        <f t="shared" si="24"/>
        <v>0</v>
      </c>
      <c r="G133" s="185"/>
    </row>
    <row r="134" spans="1:7" ht="18.75" customHeight="1" thickBot="1" x14ac:dyDescent="0.4">
      <c r="A134" s="95" t="s">
        <v>249</v>
      </c>
      <c r="B134" s="194" t="s">
        <v>1134</v>
      </c>
      <c r="C134" s="187">
        <f>+IFERROR(VLOOKUP($A134,RAIZ!$A$3:$X$1500,MATCH('San Cayetano'!$F$1,RAIZ!$A$2:$X$2,0),FALSE),0)</f>
        <v>0</v>
      </c>
      <c r="D134" s="18">
        <v>2</v>
      </c>
      <c r="E134" s="185"/>
      <c r="F134" s="185">
        <f t="shared" si="24"/>
        <v>2</v>
      </c>
      <c r="G134" s="185">
        <v>2</v>
      </c>
    </row>
    <row r="135" spans="1:7" ht="18.75" hidden="1" customHeight="1" thickBot="1" x14ac:dyDescent="0.4">
      <c r="A135" s="95" t="s">
        <v>1030</v>
      </c>
      <c r="B135" s="194" t="s">
        <v>1143</v>
      </c>
      <c r="C135" s="187">
        <f>+IFERROR(VLOOKUP($A135,RAIZ!$A$3:$X$1500,MATCH('San Cayetano'!$F$1,RAIZ!$A$2:$X$2,0),FALSE),0)</f>
        <v>5</v>
      </c>
      <c r="D135" s="18">
        <v>6</v>
      </c>
      <c r="E135" s="185"/>
      <c r="F135" s="185">
        <f t="shared" si="24"/>
        <v>1</v>
      </c>
      <c r="G135" s="185"/>
    </row>
    <row r="136" spans="1:7" ht="18.75" hidden="1" customHeight="1" thickBot="1" x14ac:dyDescent="0.4">
      <c r="A136" s="95" t="s">
        <v>253</v>
      </c>
      <c r="B136" s="194" t="s">
        <v>1135</v>
      </c>
      <c r="C136" s="187">
        <f>+IFERROR(VLOOKUP($A136,RAIZ!$A$3:$X$1500,MATCH('San Cayetano'!$F$1,RAIZ!$A$2:$X$2,0),FALSE),0)</f>
        <v>2</v>
      </c>
      <c r="D136" s="18">
        <v>2</v>
      </c>
      <c r="E136" s="185"/>
      <c r="F136" s="185">
        <f t="shared" si="24"/>
        <v>0</v>
      </c>
      <c r="G136" s="185"/>
    </row>
    <row r="137" spans="1:7" ht="18.75" hidden="1" customHeight="1" thickBot="1" x14ac:dyDescent="0.4">
      <c r="A137" s="95" t="s">
        <v>240</v>
      </c>
      <c r="B137" s="194" t="s">
        <v>1139</v>
      </c>
      <c r="C137" s="187">
        <f>+IFERROR(VLOOKUP($A137,RAIZ!$A$3:$X$1500,MATCH('San Cayetano'!$F$1,RAIZ!$A$2:$X$2,0),FALSE),0)</f>
        <v>0</v>
      </c>
      <c r="D137" s="18">
        <v>0</v>
      </c>
      <c r="E137" s="185"/>
      <c r="F137" s="185">
        <f t="shared" si="24"/>
        <v>0</v>
      </c>
      <c r="G137" s="185"/>
    </row>
    <row r="138" spans="1:7" ht="18.75" hidden="1" customHeight="1" thickBot="1" x14ac:dyDescent="0.4">
      <c r="A138" s="95" t="s">
        <v>204</v>
      </c>
      <c r="B138" s="194" t="s">
        <v>1106</v>
      </c>
      <c r="C138" s="187">
        <f>+IFERROR(VLOOKUP($A138,RAIZ!$A$3:$X$1500,MATCH('San Cayetano'!$F$1,RAIZ!$A$2:$X$2,0),FALSE),0)</f>
        <v>0</v>
      </c>
      <c r="D138" s="18">
        <v>0</v>
      </c>
      <c r="E138" s="185"/>
      <c r="F138" s="185">
        <f t="shared" si="24"/>
        <v>0</v>
      </c>
      <c r="G138" s="185"/>
    </row>
    <row r="139" spans="1:7" ht="18.75" hidden="1" customHeight="1" thickBot="1" x14ac:dyDescent="0.4">
      <c r="A139" s="95" t="s">
        <v>1132</v>
      </c>
      <c r="B139" s="194" t="s">
        <v>1141</v>
      </c>
      <c r="C139" s="187">
        <f>+IFERROR(VLOOKUP($A139,RAIZ!$A$3:$X$1500,MATCH('San Cayetano'!$F$1,RAIZ!$A$2:$X$2,0),FALSE),0)</f>
        <v>1</v>
      </c>
      <c r="D139" s="18">
        <v>1</v>
      </c>
      <c r="E139" s="185"/>
      <c r="F139" s="185">
        <f t="shared" si="24"/>
        <v>0</v>
      </c>
      <c r="G139" s="185"/>
    </row>
    <row r="140" spans="1:7" ht="18.75" hidden="1" customHeight="1" thickBot="1" x14ac:dyDescent="0.4">
      <c r="A140" s="95" t="s">
        <v>914</v>
      </c>
      <c r="B140" s="194" t="s">
        <v>1133</v>
      </c>
      <c r="C140" s="187">
        <f>+IFERROR(VLOOKUP($A140,RAIZ!$A$3:$X$1500,MATCH('San Cayetano'!$F$1,RAIZ!$A$2:$X$2,0),FALSE),0)</f>
        <v>1</v>
      </c>
      <c r="D140" s="18">
        <v>1</v>
      </c>
      <c r="E140" s="185"/>
      <c r="F140" s="185">
        <f t="shared" si="24"/>
        <v>0</v>
      </c>
      <c r="G140" s="185"/>
    </row>
    <row r="141" spans="1:7" ht="18.75" hidden="1" customHeight="1" thickBot="1" x14ac:dyDescent="0.4">
      <c r="A141" s="243" t="s">
        <v>1120</v>
      </c>
      <c r="B141" s="194" t="s">
        <v>1159</v>
      </c>
      <c r="C141" s="187">
        <f>+IFERROR(VLOOKUP($A141,RAIZ!$A$3:$X$1500,MATCH('San Cayetano'!$F$1,RAIZ!$A$2:$X$2,0),FALSE),0)</f>
        <v>0</v>
      </c>
      <c r="D141" s="18"/>
      <c r="E141" s="185"/>
      <c r="F141" s="185">
        <f t="shared" si="24"/>
        <v>0</v>
      </c>
      <c r="G141" s="185"/>
    </row>
    <row r="142" spans="1:7" ht="18.75" hidden="1" customHeight="1" thickBot="1" x14ac:dyDescent="0.4">
      <c r="A142" s="95"/>
      <c r="B142" s="194"/>
      <c r="C142" s="187">
        <f>+IFERROR(VLOOKUP($A142,RAIZ!$A$3:$X$1500,MATCH('San Cayetano'!$F$1,RAIZ!$A$2:$X$2,0),FALSE),0)</f>
        <v>0</v>
      </c>
      <c r="D142" s="18"/>
      <c r="E142" s="185"/>
      <c r="F142" s="185"/>
      <c r="G142" s="185"/>
    </row>
    <row r="143" spans="1:7" ht="18.75" hidden="1" customHeight="1" thickBot="1" x14ac:dyDescent="0.4">
      <c r="A143" s="95"/>
      <c r="B143" s="193"/>
      <c r="C143" s="187">
        <f>+IFERROR(VLOOKUP($A143,RAIZ!$A$3:$X$1500,MATCH('San Cayetano'!$F$1,RAIZ!$A$2:$X$2,0),FALSE),0)</f>
        <v>0</v>
      </c>
      <c r="D143" s="18"/>
      <c r="E143" s="185"/>
      <c r="F143" s="185"/>
      <c r="G143" s="185"/>
    </row>
    <row r="144" spans="1:7" ht="18.75" hidden="1" customHeight="1" thickBot="1" x14ac:dyDescent="0.4">
      <c r="A144" s="95"/>
      <c r="B144" s="194"/>
      <c r="C144" s="187">
        <f>+IFERROR(VLOOKUP($A144,RAIZ!$A$3:$X$1500,MATCH('San Cayetano'!$F$1,RAIZ!$A$2:$X$2,0),FALSE),0)</f>
        <v>0</v>
      </c>
      <c r="D144" s="18"/>
      <c r="E144" s="185"/>
      <c r="F144" s="185"/>
      <c r="G144" s="185"/>
    </row>
    <row r="145" spans="1:7" ht="18.75" hidden="1" customHeight="1" thickBot="1" x14ac:dyDescent="0.4">
      <c r="A145" s="95"/>
      <c r="B145" s="192"/>
      <c r="C145" s="187">
        <f>+IFERROR(VLOOKUP($A145,RAIZ!$A$3:$X$1500,MATCH('San Cayetano'!$F$1,RAIZ!$A$2:$X$2,0),FALSE),0)</f>
        <v>0</v>
      </c>
      <c r="D145" s="18"/>
      <c r="E145" s="185"/>
      <c r="F145" s="185"/>
      <c r="G145" s="185"/>
    </row>
    <row r="146" spans="1:7" ht="18.75" hidden="1" customHeight="1" thickBot="1" x14ac:dyDescent="0.4">
      <c r="A146" s="95"/>
      <c r="B146" s="194"/>
      <c r="C146" s="187">
        <f>+IFERROR(VLOOKUP($A146,RAIZ!$A$3:$X$1500,MATCH('San Cayetano'!$F$1,RAIZ!$A$2:$X$2,0),FALSE),0)</f>
        <v>0</v>
      </c>
      <c r="D146" s="18"/>
      <c r="E146" s="185"/>
      <c r="F146" s="185"/>
      <c r="G146" s="185"/>
    </row>
    <row r="147" spans="1:7" ht="18.75" hidden="1" customHeight="1" thickBot="1" x14ac:dyDescent="0.4">
      <c r="A147" s="95"/>
      <c r="B147" s="193"/>
      <c r="C147" s="187">
        <f>+IFERROR(VLOOKUP($A147,RAIZ!$A$3:$X$1500,MATCH('San Cayetano'!$F$1,RAIZ!$A$2:$X$2,0),FALSE),0)</f>
        <v>0</v>
      </c>
      <c r="D147" s="14"/>
      <c r="E147" s="185"/>
      <c r="F147" s="185"/>
      <c r="G147" s="185"/>
    </row>
    <row r="148" spans="1:7" ht="18.75" hidden="1" customHeight="1" thickBot="1" x14ac:dyDescent="0.4">
      <c r="A148" s="95"/>
      <c r="B148" s="193"/>
      <c r="C148" s="188">
        <f>+IFERROR(VLOOKUP($A148,RAIZ!$A$3:$X$1500,MATCH('San Cayetano'!$F$1,RAIZ!$A$2:$X$2,0),FALSE),0)</f>
        <v>0</v>
      </c>
      <c r="D148" s="14"/>
      <c r="E148" s="185"/>
      <c r="F148" s="185"/>
      <c r="G148" s="185"/>
    </row>
    <row r="149" spans="1:7" ht="18.75" customHeight="1" thickBot="1" x14ac:dyDescent="0.4">
      <c r="A149" s="173"/>
      <c r="B149" s="109"/>
      <c r="C149" s="182">
        <f>SUM(C118:C127,)</f>
        <v>27</v>
      </c>
      <c r="D149" s="182">
        <f>SUM(D118:D127,)</f>
        <v>28</v>
      </c>
      <c r="E149" s="182">
        <f>SUM(E118:E127,)</f>
        <v>0</v>
      </c>
      <c r="F149" s="182">
        <f>SUM(F118:F127,)</f>
        <v>8</v>
      </c>
      <c r="G149" s="182">
        <f>SUM(G118:G148,)</f>
        <v>9</v>
      </c>
    </row>
    <row r="150" spans="1:7" ht="18.75" customHeight="1" thickBot="1" x14ac:dyDescent="0.4">
      <c r="A150" s="110" t="s">
        <v>86</v>
      </c>
      <c r="B150" s="111"/>
      <c r="C150" s="83">
        <f>C149+C117</f>
        <v>170</v>
      </c>
      <c r="D150" s="83">
        <f>D149+D117</f>
        <v>216</v>
      </c>
      <c r="E150" s="83">
        <f>E149+E117</f>
        <v>5</v>
      </c>
      <c r="F150" s="83">
        <f>F149+F117</f>
        <v>54</v>
      </c>
      <c r="G150" s="83">
        <f>G149+G117</f>
        <v>57</v>
      </c>
    </row>
  </sheetData>
  <autoFilter ref="A2:H150" xr:uid="{8707E170-7645-47CE-967E-1DDC6456B3E6}">
    <filterColumn colId="6">
      <customFilters>
        <customFilter operator="notEqual" val=" "/>
      </customFilters>
    </filterColumn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0CE4594-D144-40C3-B41F-AF8B4CB23FD3}">
          <x14:formula1>
            <xm:f>Hoja1!$C$2:$C$9</xm:f>
          </x14:formula1>
          <xm:sqref>H2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4BED5-20CA-4BEA-81F5-C56D8C1A2BEE}">
  <sheetPr codeName="Hoja9">
    <tabColor theme="8" tint="0.59999389629810485"/>
  </sheetPr>
  <dimension ref="A1:H170"/>
  <sheetViews>
    <sheetView zoomScale="90" zoomScaleNormal="90" workbookViewId="0">
      <pane xSplit="2" ySplit="2" topLeftCell="C3" activePane="bottomRight" state="frozen"/>
      <selection activeCell="A2" sqref="A2"/>
      <selection pane="topRight" activeCell="A2" sqref="A2"/>
      <selection pane="bottomLeft" activeCell="A2" sqref="A2"/>
      <selection pane="bottomRight" activeCell="D3" sqref="D3"/>
    </sheetView>
  </sheetViews>
  <sheetFormatPr baseColWidth="10" defaultRowHeight="18" x14ac:dyDescent="0.35"/>
  <cols>
    <col min="1" max="1" width="49.33203125" bestFit="1" customWidth="1"/>
    <col min="2" max="2" width="7.6640625" style="91" bestFit="1" customWidth="1"/>
    <col min="3" max="3" width="14" bestFit="1" customWidth="1"/>
    <col min="4" max="5" width="15" style="84" customWidth="1"/>
    <col min="6" max="6" width="23.5546875" bestFit="1" customWidth="1"/>
  </cols>
  <sheetData>
    <row r="1" spans="1:8" ht="18.600000000000001" thickBot="1" x14ac:dyDescent="0.4">
      <c r="A1" s="1">
        <f>+RAIZ!B1</f>
        <v>46301</v>
      </c>
      <c r="C1" s="2"/>
      <c r="D1" s="2" t="s">
        <v>702</v>
      </c>
      <c r="E1" s="2"/>
      <c r="F1" s="2" t="s">
        <v>95</v>
      </c>
      <c r="H1" t="s">
        <v>739</v>
      </c>
    </row>
    <row r="2" spans="1:8" ht="31.8" thickBot="1" x14ac:dyDescent="0.35">
      <c r="A2" s="90" t="s">
        <v>0</v>
      </c>
      <c r="B2" s="92" t="s">
        <v>755</v>
      </c>
      <c r="C2" s="39" t="s">
        <v>703</v>
      </c>
      <c r="D2" s="40" t="s">
        <v>704</v>
      </c>
      <c r="E2" s="88" t="s">
        <v>726</v>
      </c>
      <c r="F2" s="41" t="s">
        <v>705</v>
      </c>
      <c r="G2" s="62" t="s">
        <v>725</v>
      </c>
      <c r="H2" s="87"/>
    </row>
    <row r="3" spans="1:8" x14ac:dyDescent="0.35">
      <c r="A3" s="93" t="s">
        <v>1</v>
      </c>
      <c r="B3" s="113" t="s">
        <v>756</v>
      </c>
      <c r="C3" s="5">
        <f>+IFERROR(VLOOKUP($A3,RAIZ!$A$3:$V$800,MATCH('Suc. La Nueva Canasta'!$F$1,RAIZ!$A$2:$V$2,0),FALSE),0)</f>
        <v>0</v>
      </c>
      <c r="D3" s="5"/>
      <c r="E3" s="5"/>
      <c r="F3" s="5">
        <f>IF(D3-C3&gt;=0,D3-C3,0)</f>
        <v>0</v>
      </c>
      <c r="G3" s="5"/>
    </row>
    <row r="4" spans="1:8" x14ac:dyDescent="0.35">
      <c r="A4" s="93" t="s">
        <v>2</v>
      </c>
      <c r="B4" s="113" t="s">
        <v>865</v>
      </c>
      <c r="C4" s="5">
        <f>+IFERROR(VLOOKUP($A4,RAIZ!$A$3:$V$800,MATCH('Suc. La Nueva Canasta'!$F$1,RAIZ!$A$2:$V$2,0),FALSE),0)</f>
        <v>0</v>
      </c>
      <c r="D4" s="5"/>
      <c r="E4" s="5"/>
      <c r="F4" s="5">
        <f>IF(D4-C4&gt;=0,D4-C4,0)</f>
        <v>0</v>
      </c>
      <c r="G4" s="5"/>
    </row>
    <row r="5" spans="1:8" x14ac:dyDescent="0.35">
      <c r="A5" s="93" t="s">
        <v>3</v>
      </c>
      <c r="B5" s="113" t="s">
        <v>757</v>
      </c>
      <c r="C5" s="5">
        <f>+IFERROR(VLOOKUP($A5,RAIZ!$A$3:$V$800,MATCH('Suc. La Nueva Canasta'!$F$1,RAIZ!$A$2:$V$2,0),FALSE),0)</f>
        <v>0</v>
      </c>
      <c r="D5" s="5"/>
      <c r="E5" s="5"/>
      <c r="F5" s="5">
        <f t="shared" ref="F5:F10" si="0">IF(D5-C5&gt;=0,D5-C5,0)</f>
        <v>0</v>
      </c>
      <c r="G5" s="5"/>
    </row>
    <row r="6" spans="1:8" x14ac:dyDescent="0.35">
      <c r="A6" s="93" t="s">
        <v>4</v>
      </c>
      <c r="B6" s="113" t="s">
        <v>758</v>
      </c>
      <c r="C6" s="5">
        <f>+IFERROR(VLOOKUP($A6,RAIZ!$A$3:$V$800,MATCH('Suc. La Nueva Canasta'!$F$1,RAIZ!$A$2:$V$2,0),FALSE),0)</f>
        <v>0</v>
      </c>
      <c r="D6" s="5"/>
      <c r="E6" s="5"/>
      <c r="F6" s="5">
        <f t="shared" si="0"/>
        <v>0</v>
      </c>
      <c r="G6" s="5"/>
    </row>
    <row r="7" spans="1:8" x14ac:dyDescent="0.35">
      <c r="A7" s="93" t="s">
        <v>5</v>
      </c>
      <c r="B7" s="113" t="s">
        <v>759</v>
      </c>
      <c r="C7" s="5">
        <f>+IFERROR(VLOOKUP($A7,RAIZ!$A$3:$V$800,MATCH('Suc. La Nueva Canasta'!$F$1,RAIZ!$A$2:$V$2,0),FALSE),0)</f>
        <v>0</v>
      </c>
      <c r="D7" s="5"/>
      <c r="E7" s="5"/>
      <c r="F7" s="5">
        <f t="shared" si="0"/>
        <v>0</v>
      </c>
      <c r="G7" s="5"/>
    </row>
    <row r="8" spans="1:8" x14ac:dyDescent="0.35">
      <c r="A8" s="93" t="s">
        <v>6</v>
      </c>
      <c r="B8" s="113" t="s">
        <v>760</v>
      </c>
      <c r="C8" s="5">
        <f>+IFERROR(VLOOKUP($A8,RAIZ!$A$3:$V$800,MATCH('Suc. La Nueva Canasta'!$F$1,RAIZ!$A$2:$V$2,0),FALSE),0)</f>
        <v>0</v>
      </c>
      <c r="D8" s="5"/>
      <c r="E8" s="5"/>
      <c r="F8" s="5">
        <f t="shared" si="0"/>
        <v>0</v>
      </c>
      <c r="G8" s="5"/>
    </row>
    <row r="9" spans="1:8" x14ac:dyDescent="0.35">
      <c r="A9" s="93" t="s">
        <v>7</v>
      </c>
      <c r="B9" s="113" t="s">
        <v>761</v>
      </c>
      <c r="C9" s="5">
        <f>+IFERROR(VLOOKUP($A9,RAIZ!$A$3:$V$800,MATCH('Suc. La Nueva Canasta'!$F$1,RAIZ!$A$2:$V$2,0),FALSE),0)</f>
        <v>0</v>
      </c>
      <c r="D9" s="5"/>
      <c r="E9" s="5"/>
      <c r="F9" s="5">
        <f t="shared" si="0"/>
        <v>0</v>
      </c>
      <c r="G9" s="5"/>
    </row>
    <row r="10" spans="1:8" x14ac:dyDescent="0.35">
      <c r="A10" s="93" t="s">
        <v>8</v>
      </c>
      <c r="B10" s="113" t="s">
        <v>762</v>
      </c>
      <c r="C10" s="5">
        <f>+IFERROR(VLOOKUP($A10,RAIZ!$A$3:$V$800,MATCH('Suc. La Nueva Canasta'!$F$1,RAIZ!$A$2:$V$2,0),FALSE),0)</f>
        <v>0</v>
      </c>
      <c r="D10" s="5"/>
      <c r="E10" s="5"/>
      <c r="F10" s="5">
        <f t="shared" si="0"/>
        <v>0</v>
      </c>
      <c r="G10" s="5"/>
    </row>
    <row r="11" spans="1:8" x14ac:dyDescent="0.35">
      <c r="A11" s="93" t="s">
        <v>9</v>
      </c>
      <c r="B11" s="113" t="s">
        <v>763</v>
      </c>
      <c r="C11" s="5">
        <f>+IFERROR(VLOOKUP($A11,RAIZ!$A$3:$V$800,MATCH('Suc. La Nueva Canasta'!$F$1,RAIZ!$A$2:$V$2,0),FALSE),0)</f>
        <v>0</v>
      </c>
      <c r="D11" s="5"/>
      <c r="E11" s="5"/>
      <c r="F11" s="5">
        <f t="shared" ref="F11:F12" si="1">IF(D11-C11&gt;=0,D11-C11,0)</f>
        <v>0</v>
      </c>
      <c r="G11" s="5"/>
    </row>
    <row r="12" spans="1:8" x14ac:dyDescent="0.35">
      <c r="A12" s="93" t="s">
        <v>892</v>
      </c>
      <c r="B12" s="113" t="s">
        <v>920</v>
      </c>
      <c r="C12" s="5">
        <f>+IFERROR(VLOOKUP($A12,RAIZ!$A$3:$V$800,MATCH('Suc. La Nueva Canasta'!$F$1,RAIZ!$A$2:$V$2,0),FALSE),0)</f>
        <v>0</v>
      </c>
      <c r="D12" s="5"/>
      <c r="E12" s="5"/>
      <c r="F12" s="5">
        <f t="shared" si="1"/>
        <v>0</v>
      </c>
      <c r="G12" s="5"/>
    </row>
    <row r="13" spans="1:8" x14ac:dyDescent="0.35">
      <c r="A13" s="93" t="s">
        <v>896</v>
      </c>
      <c r="B13" s="113" t="s">
        <v>897</v>
      </c>
      <c r="C13" s="5">
        <f>+IFERROR(VLOOKUP($A13,RAIZ!$A$3:$V$800,MATCH('Suc. La Nueva Canasta'!$F$1,RAIZ!$A$2:$V$2,0),FALSE),0)</f>
        <v>0</v>
      </c>
      <c r="D13" s="5"/>
      <c r="E13" s="5"/>
      <c r="F13" s="5">
        <f t="shared" ref="F13:F17" si="2">IF(D13-C13&gt;=0,D13-C13,0)</f>
        <v>0</v>
      </c>
      <c r="G13" s="5"/>
    </row>
    <row r="14" spans="1:8" x14ac:dyDescent="0.35">
      <c r="A14" s="93" t="s">
        <v>895</v>
      </c>
      <c r="B14" s="113" t="s">
        <v>898</v>
      </c>
      <c r="C14" s="5">
        <f>+IFERROR(VLOOKUP($A14,RAIZ!$A$3:$V$800,MATCH('Suc. La Nueva Canasta'!$F$1,RAIZ!$A$2:$V$2,0),FALSE),0)</f>
        <v>0</v>
      </c>
      <c r="D14" s="5"/>
      <c r="E14" s="5"/>
      <c r="F14" s="5">
        <f>IF(D14-C14&gt;=0,D14-C14,0)</f>
        <v>0</v>
      </c>
      <c r="G14" s="5"/>
    </row>
    <row r="15" spans="1:8" x14ac:dyDescent="0.35">
      <c r="A15" s="93"/>
      <c r="B15" s="113"/>
      <c r="C15" s="5">
        <f>+IFERROR(VLOOKUP($A15,RAIZ!$A$3:$V$800,MATCH('Suc. La Nueva Canasta'!$F$1,RAIZ!$A$2:$V$2,0),FALSE),0)</f>
        <v>0</v>
      </c>
      <c r="D15" s="5"/>
      <c r="E15" s="5"/>
      <c r="F15" s="5">
        <f t="shared" si="2"/>
        <v>0</v>
      </c>
      <c r="G15" s="5"/>
    </row>
    <row r="16" spans="1:8" x14ac:dyDescent="0.35">
      <c r="A16" s="93"/>
      <c r="B16" s="113"/>
      <c r="C16" s="5">
        <f>+IFERROR(VLOOKUP($A16,RAIZ!$A$3:$V$800,MATCH('Suc. La Nueva Canasta'!$F$1,RAIZ!$A$2:$V$2,0),FALSE),0)</f>
        <v>0</v>
      </c>
      <c r="D16" s="5"/>
      <c r="E16" s="5"/>
      <c r="F16" s="5">
        <f t="shared" si="2"/>
        <v>0</v>
      </c>
      <c r="G16" s="5"/>
    </row>
    <row r="17" spans="1:7" ht="18.600000000000001" thickBot="1" x14ac:dyDescent="0.4">
      <c r="A17" s="93"/>
      <c r="B17" s="113"/>
      <c r="C17" s="5">
        <f>+IFERROR(VLOOKUP($A17,RAIZ!$A$3:$V$800,MATCH('Suc. La Nueva Canasta'!$F$1,RAIZ!$A$2:$V$2,0),FALSE),0)</f>
        <v>0</v>
      </c>
      <c r="D17" s="5"/>
      <c r="E17" s="5"/>
      <c r="F17" s="5">
        <f t="shared" si="2"/>
        <v>0</v>
      </c>
      <c r="G17" s="5"/>
    </row>
    <row r="18" spans="1:7" ht="18.600000000000001" thickBot="1" x14ac:dyDescent="0.4">
      <c r="A18" s="96" t="s">
        <v>10</v>
      </c>
      <c r="B18" s="111"/>
      <c r="C18" s="75">
        <f>SUM(C3:C17)</f>
        <v>0</v>
      </c>
      <c r="D18" s="44">
        <f>SUM(D3:D17)</f>
        <v>0</v>
      </c>
      <c r="E18" s="44">
        <f>SUM(E3:E17)</f>
        <v>0</v>
      </c>
      <c r="F18" s="63">
        <f>SUM(F3:F17)</f>
        <v>0</v>
      </c>
      <c r="G18" s="44">
        <f>SUM(G3:G17)</f>
        <v>0</v>
      </c>
    </row>
    <row r="19" spans="1:7" x14ac:dyDescent="0.35">
      <c r="A19" s="97" t="s">
        <v>676</v>
      </c>
      <c r="B19" s="113" t="s">
        <v>764</v>
      </c>
      <c r="C19" s="5">
        <f>+IFERROR(VLOOKUP($A19,RAIZ!$A$3:$V$800,MATCH('Suc. La Nueva Canasta'!$F$1,RAIZ!$A$2:$V$2,0),FALSE),0)</f>
        <v>0</v>
      </c>
      <c r="D19" s="5"/>
      <c r="E19" s="5"/>
      <c r="F19" s="5">
        <f t="shared" ref="F19:F21" si="3">IF(D19-C19&gt;=0,D19-C19,0)</f>
        <v>0</v>
      </c>
      <c r="G19" s="5"/>
    </row>
    <row r="20" spans="1:7" x14ac:dyDescent="0.35">
      <c r="A20" s="97" t="s">
        <v>11</v>
      </c>
      <c r="B20" s="113" t="s">
        <v>827</v>
      </c>
      <c r="C20" s="5">
        <f>+IFERROR(VLOOKUP($A20,RAIZ!$A$3:$V$800,MATCH('Suc. La Nueva Canasta'!$F$1,RAIZ!$A$2:$V$2,0),FALSE),0)</f>
        <v>0</v>
      </c>
      <c r="D20" s="5"/>
      <c r="E20" s="5"/>
      <c r="F20" s="5">
        <f t="shared" si="3"/>
        <v>0</v>
      </c>
      <c r="G20" s="5"/>
    </row>
    <row r="21" spans="1:7" x14ac:dyDescent="0.35">
      <c r="A21" s="97" t="s">
        <v>344</v>
      </c>
      <c r="B21" s="113" t="s">
        <v>765</v>
      </c>
      <c r="C21" s="5">
        <f>+IFERROR(VLOOKUP($A21,RAIZ!$A$3:$V$800,MATCH('Suc. La Nueva Canasta'!$F$1,RAIZ!$A$2:$V$2,0),FALSE),0)</f>
        <v>0</v>
      </c>
      <c r="D21" s="5"/>
      <c r="E21" s="5"/>
      <c r="F21" s="5">
        <f t="shared" si="3"/>
        <v>0</v>
      </c>
      <c r="G21" s="5"/>
    </row>
    <row r="22" spans="1:7" x14ac:dyDescent="0.35">
      <c r="A22" s="97" t="s">
        <v>832</v>
      </c>
      <c r="B22" s="113" t="s">
        <v>833</v>
      </c>
      <c r="C22" s="5">
        <f>+IFERROR(VLOOKUP($A22,RAIZ!$A$3:$V$800,MATCH('Suc. La Nueva Canasta'!$F$1,RAIZ!$A$2:$V$2,0),FALSE),0)</f>
        <v>0</v>
      </c>
      <c r="D22" s="5"/>
      <c r="E22" s="5"/>
      <c r="F22" s="5">
        <f t="shared" ref="F22:F31" si="4">IF(D22-C22&gt;=0,D22-C22,0)</f>
        <v>0</v>
      </c>
      <c r="G22" s="5"/>
    </row>
    <row r="23" spans="1:7" x14ac:dyDescent="0.35">
      <c r="A23" s="97" t="s">
        <v>12</v>
      </c>
      <c r="B23" s="113" t="s">
        <v>766</v>
      </c>
      <c r="C23" s="5">
        <f>+IFERROR(VLOOKUP($A23,RAIZ!$A$3:$V$800,MATCH('Suc. La Nueva Canasta'!$F$1,RAIZ!$A$2:$V$2,0),FALSE),0)</f>
        <v>0</v>
      </c>
      <c r="D23" s="5"/>
      <c r="E23" s="5"/>
      <c r="F23" s="5">
        <f t="shared" si="4"/>
        <v>0</v>
      </c>
      <c r="G23" s="5"/>
    </row>
    <row r="24" spans="1:7" x14ac:dyDescent="0.35">
      <c r="A24" s="97" t="s">
        <v>432</v>
      </c>
      <c r="B24" s="113" t="s">
        <v>767</v>
      </c>
      <c r="C24" s="5">
        <f>+IFERROR(VLOOKUP($A24,RAIZ!$A$3:$V$800,MATCH('Suc. La Nueva Canasta'!$F$1,RAIZ!$A$2:$V$2,0),FALSE),0)</f>
        <v>0</v>
      </c>
      <c r="D24" s="5"/>
      <c r="E24" s="5"/>
      <c r="F24" s="5">
        <f t="shared" si="4"/>
        <v>0</v>
      </c>
      <c r="G24" s="5"/>
    </row>
    <row r="25" spans="1:7" x14ac:dyDescent="0.35">
      <c r="A25" s="97" t="s">
        <v>468</v>
      </c>
      <c r="B25" s="113" t="s">
        <v>768</v>
      </c>
      <c r="C25" s="5">
        <f>+IFERROR(VLOOKUP($A25,RAIZ!$A$3:$V$800,MATCH('Suc. La Nueva Canasta'!$F$1,RAIZ!$A$2:$V$2,0),FALSE),0)</f>
        <v>0</v>
      </c>
      <c r="D25" s="5"/>
      <c r="E25" s="5"/>
      <c r="F25" s="5">
        <f t="shared" si="4"/>
        <v>0</v>
      </c>
      <c r="G25" s="5"/>
    </row>
    <row r="26" spans="1:7" x14ac:dyDescent="0.35">
      <c r="A26" s="97" t="s">
        <v>893</v>
      </c>
      <c r="B26" s="113" t="s">
        <v>921</v>
      </c>
      <c r="C26" s="5">
        <f>+IFERROR(VLOOKUP($A26,RAIZ!$A$3:$V$800,MATCH('Suc. La Nueva Canasta'!$F$1,RAIZ!$A$2:$V$2,0),FALSE),0)</f>
        <v>0</v>
      </c>
      <c r="D26" s="5"/>
      <c r="E26" s="5"/>
      <c r="F26" s="5">
        <f t="shared" si="4"/>
        <v>0</v>
      </c>
      <c r="G26" s="5"/>
    </row>
    <row r="27" spans="1:7" x14ac:dyDescent="0.35">
      <c r="A27" s="97"/>
      <c r="B27" s="113"/>
      <c r="C27" s="5">
        <f>+IFERROR(VLOOKUP($A27,RAIZ!$A$3:$V$800,MATCH('Suc. La Nueva Canasta'!$F$1,RAIZ!$A$2:$V$2,0),FALSE),0)</f>
        <v>0</v>
      </c>
      <c r="D27" s="5"/>
      <c r="E27" s="5"/>
      <c r="F27" s="5">
        <f>IF(D27-C27&gt;=0,D27-C27,0)</f>
        <v>0</v>
      </c>
      <c r="G27" s="5"/>
    </row>
    <row r="28" spans="1:7" x14ac:dyDescent="0.35">
      <c r="A28" s="97"/>
      <c r="B28" s="113"/>
      <c r="C28" s="5">
        <f>+IFERROR(VLOOKUP($A28,RAIZ!$A$3:$V$800,MATCH('Suc. La Nueva Canasta'!$F$1,RAIZ!$A$2:$V$2,0),FALSE),0)</f>
        <v>0</v>
      </c>
      <c r="D28" s="5"/>
      <c r="E28" s="5"/>
      <c r="F28" s="5">
        <f t="shared" si="4"/>
        <v>0</v>
      </c>
      <c r="G28" s="5"/>
    </row>
    <row r="29" spans="1:7" x14ac:dyDescent="0.35">
      <c r="A29" s="97"/>
      <c r="B29" s="113"/>
      <c r="C29" s="5">
        <f>+IFERROR(VLOOKUP($A29,RAIZ!$A$3:$V$800,MATCH('Suc. La Nueva Canasta'!$F$1,RAIZ!$A$2:$V$2,0),FALSE),0)</f>
        <v>0</v>
      </c>
      <c r="D29" s="5"/>
      <c r="E29" s="5"/>
      <c r="F29" s="5">
        <f t="shared" si="4"/>
        <v>0</v>
      </c>
      <c r="G29" s="5"/>
    </row>
    <row r="30" spans="1:7" x14ac:dyDescent="0.35">
      <c r="A30" s="97"/>
      <c r="B30" s="113"/>
      <c r="C30" s="5">
        <f>+IFERROR(VLOOKUP($A30,RAIZ!$A$3:$V$800,MATCH('Suc. La Nueva Canasta'!$F$1,RAIZ!$A$2:$V$2,0),FALSE),0)</f>
        <v>0</v>
      </c>
      <c r="D30" s="5"/>
      <c r="E30" s="5"/>
      <c r="F30" s="5">
        <f t="shared" si="4"/>
        <v>0</v>
      </c>
      <c r="G30" s="5"/>
    </row>
    <row r="31" spans="1:7" ht="18.600000000000001" thickBot="1" x14ac:dyDescent="0.4">
      <c r="A31" s="97"/>
      <c r="B31" s="113"/>
      <c r="C31" s="5">
        <f>+IFERROR(VLOOKUP($A31,RAIZ!$A$3:$V$800,MATCH('Suc. La Nueva Canasta'!$F$1,RAIZ!$A$2:$V$2,0),FALSE),0)</f>
        <v>0</v>
      </c>
      <c r="D31" s="5"/>
      <c r="E31" s="5"/>
      <c r="F31" s="5">
        <f t="shared" si="4"/>
        <v>0</v>
      </c>
      <c r="G31" s="5"/>
    </row>
    <row r="32" spans="1:7" ht="18.600000000000001" thickBot="1" x14ac:dyDescent="0.4">
      <c r="A32" s="98" t="s">
        <v>13</v>
      </c>
      <c r="B32" s="111"/>
      <c r="C32" s="76">
        <f>SUM(C19:C31)</f>
        <v>0</v>
      </c>
      <c r="D32" s="46">
        <f>SUM(D19:D31)</f>
        <v>0</v>
      </c>
      <c r="E32" s="46">
        <f>SUM(E19:E31)</f>
        <v>0</v>
      </c>
      <c r="F32" s="64">
        <f>SUM(F19:F31)</f>
        <v>0</v>
      </c>
      <c r="G32" s="46">
        <f>SUM(G19:G31)</f>
        <v>0</v>
      </c>
    </row>
    <row r="33" spans="1:7" x14ac:dyDescent="0.35">
      <c r="A33" s="97" t="s">
        <v>14</v>
      </c>
      <c r="B33" s="113" t="s">
        <v>769</v>
      </c>
      <c r="C33" s="5">
        <f>+IFERROR(VLOOKUP($A33,RAIZ!$A$3:$V$800,MATCH('Suc. La Nueva Canasta'!$F$1,RAIZ!$A$2:$V$2,0),FALSE),0)</f>
        <v>0</v>
      </c>
      <c r="D33" s="5"/>
      <c r="E33" s="5"/>
      <c r="F33" s="5">
        <f t="shared" ref="F33:F48" si="5">IF(D33-C33&gt;=0,D33-C33,0)</f>
        <v>0</v>
      </c>
      <c r="G33" s="5"/>
    </row>
    <row r="34" spans="1:7" x14ac:dyDescent="0.35">
      <c r="A34" s="97" t="s">
        <v>15</v>
      </c>
      <c r="B34" s="113" t="s">
        <v>770</v>
      </c>
      <c r="C34" s="5">
        <f>+IFERROR(VLOOKUP($A34,RAIZ!$A$3:$V$800,MATCH('Suc. La Nueva Canasta'!$F$1,RAIZ!$A$2:$V$2,0),FALSE),0)</f>
        <v>0</v>
      </c>
      <c r="D34" s="5"/>
      <c r="E34" s="5"/>
      <c r="F34" s="5">
        <f t="shared" si="5"/>
        <v>0</v>
      </c>
      <c r="G34" s="5"/>
    </row>
    <row r="35" spans="1:7" x14ac:dyDescent="0.35">
      <c r="A35" s="97" t="s">
        <v>16</v>
      </c>
      <c r="B35" s="113" t="s">
        <v>771</v>
      </c>
      <c r="C35" s="5">
        <f>+IFERROR(VLOOKUP($A35,RAIZ!$A$3:$V$800,MATCH('Suc. La Nueva Canasta'!$F$1,RAIZ!$A$2:$V$2,0),FALSE),0)</f>
        <v>0</v>
      </c>
      <c r="D35" s="5"/>
      <c r="E35" s="5"/>
      <c r="F35" s="5">
        <f t="shared" si="5"/>
        <v>0</v>
      </c>
      <c r="G35" s="5"/>
    </row>
    <row r="36" spans="1:7" x14ac:dyDescent="0.35">
      <c r="A36" s="97" t="s">
        <v>17</v>
      </c>
      <c r="B36" s="113" t="s">
        <v>772</v>
      </c>
      <c r="C36" s="5">
        <f>+IFERROR(VLOOKUP($A36,RAIZ!$A$3:$V$800,MATCH('Suc. La Nueva Canasta'!$F$1,RAIZ!$A$2:$V$2,0),FALSE),0)</f>
        <v>0</v>
      </c>
      <c r="D36" s="5"/>
      <c r="E36" s="5"/>
      <c r="F36" s="5">
        <f t="shared" si="5"/>
        <v>0</v>
      </c>
      <c r="G36" s="5"/>
    </row>
    <row r="37" spans="1:7" x14ac:dyDescent="0.35">
      <c r="A37" s="97" t="s">
        <v>18</v>
      </c>
      <c r="B37" s="113" t="s">
        <v>773</v>
      </c>
      <c r="C37" s="5">
        <f>+IFERROR(VLOOKUP($A37,RAIZ!$A$3:$V$800,MATCH('Suc. La Nueva Canasta'!$F$1,RAIZ!$A$2:$V$2,0),FALSE),0)</f>
        <v>0</v>
      </c>
      <c r="D37" s="5"/>
      <c r="E37" s="5"/>
      <c r="F37" s="5">
        <f t="shared" si="5"/>
        <v>0</v>
      </c>
      <c r="G37" s="5"/>
    </row>
    <row r="38" spans="1:7" x14ac:dyDescent="0.35">
      <c r="A38" s="97" t="s">
        <v>22</v>
      </c>
      <c r="B38" s="113" t="s">
        <v>774</v>
      </c>
      <c r="C38" s="5">
        <f>+IFERROR(VLOOKUP($A38,RAIZ!$A$3:$V$800,MATCH('Suc. La Nueva Canasta'!$F$1,RAIZ!$A$2:$V$2,0),FALSE),0)</f>
        <v>0</v>
      </c>
      <c r="D38" s="5"/>
      <c r="E38" s="5"/>
      <c r="F38" s="5">
        <f t="shared" si="5"/>
        <v>0</v>
      </c>
      <c r="G38" s="5"/>
    </row>
    <row r="39" spans="1:7" x14ac:dyDescent="0.35">
      <c r="A39" s="97" t="s">
        <v>23</v>
      </c>
      <c r="B39" s="113" t="s">
        <v>775</v>
      </c>
      <c r="C39" s="5">
        <f>+IFERROR(VLOOKUP($A39,RAIZ!$A$3:$V$800,MATCH('Suc. La Nueva Canasta'!$F$1,RAIZ!$A$2:$V$2,0),FALSE),0)</f>
        <v>0</v>
      </c>
      <c r="D39" s="5"/>
      <c r="E39" s="5"/>
      <c r="F39" s="5">
        <f t="shared" si="5"/>
        <v>0</v>
      </c>
      <c r="G39" s="5"/>
    </row>
    <row r="40" spans="1:7" x14ac:dyDescent="0.35">
      <c r="A40" s="97" t="s">
        <v>24</v>
      </c>
      <c r="B40" s="113" t="s">
        <v>776</v>
      </c>
      <c r="C40" s="5">
        <f>+IFERROR(VLOOKUP($A40,RAIZ!$A$3:$V$800,MATCH('Suc. La Nueva Canasta'!$F$1,RAIZ!$A$2:$V$2,0),FALSE),0)</f>
        <v>0</v>
      </c>
      <c r="D40" s="5"/>
      <c r="E40" s="5"/>
      <c r="F40" s="5">
        <f t="shared" si="5"/>
        <v>0</v>
      </c>
      <c r="G40" s="5"/>
    </row>
    <row r="41" spans="1:7" x14ac:dyDescent="0.35">
      <c r="A41" s="97" t="s">
        <v>25</v>
      </c>
      <c r="B41" s="113" t="s">
        <v>777</v>
      </c>
      <c r="C41" s="5">
        <f>+IFERROR(VLOOKUP($A41,RAIZ!$A$3:$V$800,MATCH('Suc. La Nueva Canasta'!$F$1,RAIZ!$A$2:$V$2,0),FALSE),0)</f>
        <v>0</v>
      </c>
      <c r="D41" s="5"/>
      <c r="E41" s="5"/>
      <c r="F41" s="5">
        <f t="shared" si="5"/>
        <v>0</v>
      </c>
      <c r="G41" s="5"/>
    </row>
    <row r="42" spans="1:7" x14ac:dyDescent="0.35">
      <c r="A42" s="97" t="s">
        <v>891</v>
      </c>
      <c r="B42" s="113" t="s">
        <v>922</v>
      </c>
      <c r="C42" s="5">
        <f>+IFERROR(VLOOKUP($A42,RAIZ!$A$3:$V$800,MATCH('Suc. La Nueva Canasta'!$F$1,RAIZ!$A$2:$V$2,0),FALSE),0)</f>
        <v>0</v>
      </c>
      <c r="D42" s="5"/>
      <c r="E42" s="5"/>
      <c r="F42" s="5">
        <f t="shared" si="5"/>
        <v>0</v>
      </c>
      <c r="G42" s="5"/>
    </row>
    <row r="43" spans="1:7" x14ac:dyDescent="0.35">
      <c r="A43" s="97"/>
      <c r="B43" s="113"/>
      <c r="C43" s="5">
        <f>+IFERROR(VLOOKUP($A43,RAIZ!$A$3:$V$800,MATCH('Suc. La Nueva Canasta'!$F$1,RAIZ!$A$2:$V$2,0),FALSE),0)</f>
        <v>0</v>
      </c>
      <c r="D43" s="5"/>
      <c r="E43" s="5"/>
      <c r="F43" s="5">
        <f t="shared" si="5"/>
        <v>0</v>
      </c>
      <c r="G43" s="5"/>
    </row>
    <row r="44" spans="1:7" x14ac:dyDescent="0.35">
      <c r="A44" s="97"/>
      <c r="B44" s="113"/>
      <c r="C44" s="5">
        <f>+IFERROR(VLOOKUP($A44,RAIZ!$A$3:$V$800,MATCH('Suc. La Nueva Canasta'!$F$1,RAIZ!$A$2:$V$2,0),FALSE),0)</f>
        <v>0</v>
      </c>
      <c r="D44" s="5"/>
      <c r="E44" s="5"/>
      <c r="F44" s="5">
        <f t="shared" si="5"/>
        <v>0</v>
      </c>
      <c r="G44" s="5"/>
    </row>
    <row r="45" spans="1:7" x14ac:dyDescent="0.35">
      <c r="A45" s="97"/>
      <c r="B45" s="113"/>
      <c r="C45" s="5">
        <f>+IFERROR(VLOOKUP($A45,RAIZ!$A$3:$V$800,MATCH('Suc. La Nueva Canasta'!$F$1,RAIZ!$A$2:$V$2,0),FALSE),0)</f>
        <v>0</v>
      </c>
      <c r="D45" s="5"/>
      <c r="E45" s="5"/>
      <c r="F45" s="5">
        <f t="shared" si="5"/>
        <v>0</v>
      </c>
      <c r="G45" s="5"/>
    </row>
    <row r="46" spans="1:7" x14ac:dyDescent="0.35">
      <c r="A46" s="97"/>
      <c r="B46" s="113"/>
      <c r="C46" s="5">
        <f>+IFERROR(VLOOKUP($A46,RAIZ!$A$3:$V$800,MATCH('Suc. La Nueva Canasta'!$F$1,RAIZ!$A$2:$V$2,0),FALSE),0)</f>
        <v>0</v>
      </c>
      <c r="D46" s="5"/>
      <c r="E46" s="5"/>
      <c r="F46" s="5">
        <f t="shared" si="5"/>
        <v>0</v>
      </c>
      <c r="G46" s="5"/>
    </row>
    <row r="47" spans="1:7" x14ac:dyDescent="0.35">
      <c r="A47" s="97"/>
      <c r="B47" s="113"/>
      <c r="C47" s="5">
        <f>+IFERROR(VLOOKUP($A47,RAIZ!$A$3:$V$800,MATCH('Suc. La Nueva Canasta'!$F$1,RAIZ!$A$2:$V$2,0),FALSE),0)</f>
        <v>0</v>
      </c>
      <c r="D47" s="5"/>
      <c r="E47" s="5"/>
      <c r="F47" s="5">
        <f t="shared" si="5"/>
        <v>0</v>
      </c>
      <c r="G47" s="5"/>
    </row>
    <row r="48" spans="1:7" ht="18.600000000000001" thickBot="1" x14ac:dyDescent="0.4">
      <c r="A48" s="97"/>
      <c r="B48" s="113"/>
      <c r="C48" s="5">
        <f>+IFERROR(VLOOKUP($A48,RAIZ!$A$3:$V$800,MATCH('Suc. La Nueva Canasta'!$F$1,RAIZ!$A$2:$V$2,0),FALSE),0)</f>
        <v>0</v>
      </c>
      <c r="D48" s="5"/>
      <c r="E48" s="5"/>
      <c r="F48" s="5">
        <f t="shared" si="5"/>
        <v>0</v>
      </c>
      <c r="G48" s="5"/>
    </row>
    <row r="49" spans="1:7" ht="18.600000000000001" thickBot="1" x14ac:dyDescent="0.4">
      <c r="A49" s="99" t="s">
        <v>29</v>
      </c>
      <c r="B49" s="111"/>
      <c r="C49" s="77">
        <f>SUM(C33:C48)</f>
        <v>0</v>
      </c>
      <c r="D49" s="48">
        <f>SUM(D33:D48)</f>
        <v>0</v>
      </c>
      <c r="E49" s="48">
        <f>SUM(E33:E48)</f>
        <v>0</v>
      </c>
      <c r="F49" s="65">
        <f>SUM(F33:F48)</f>
        <v>0</v>
      </c>
      <c r="G49" s="48">
        <f>SUM(G33:G48)</f>
        <v>0</v>
      </c>
    </row>
    <row r="50" spans="1:7" x14ac:dyDescent="0.35">
      <c r="A50" s="93" t="s">
        <v>30</v>
      </c>
      <c r="B50" s="113" t="s">
        <v>778</v>
      </c>
      <c r="C50" s="5">
        <f>+IFERROR(VLOOKUP($A50,RAIZ!$A$3:$V$800,MATCH('Suc. La Nueva Canasta'!$F$1,RAIZ!$A$2:$V$2,0),FALSE),0)</f>
        <v>0</v>
      </c>
      <c r="D50" s="5"/>
      <c r="E50" s="5"/>
      <c r="F50" s="5">
        <f>IF(D50-C50&gt;=0,D50-C50,0)</f>
        <v>0</v>
      </c>
      <c r="G50" s="5"/>
    </row>
    <row r="51" spans="1:7" ht="18.600000000000001" thickBot="1" x14ac:dyDescent="0.4">
      <c r="A51" s="95" t="s">
        <v>31</v>
      </c>
      <c r="B51" s="113" t="s">
        <v>779</v>
      </c>
      <c r="C51" s="5">
        <f>+IFERROR(VLOOKUP($A51,RAIZ!$A$3:$V$800,MATCH('Suc. La Nueva Canasta'!$F$1,RAIZ!$A$2:$V$2,0),FALSE),0)</f>
        <v>0</v>
      </c>
      <c r="D51" s="5"/>
      <c r="E51" s="5"/>
      <c r="F51" s="5">
        <f t="shared" ref="F51" si="6">IF(D51-C51&gt;=0,D51-C51,0)</f>
        <v>0</v>
      </c>
      <c r="G51" s="5"/>
    </row>
    <row r="52" spans="1:7" ht="18.600000000000001" thickBot="1" x14ac:dyDescent="0.4">
      <c r="A52" s="100" t="s">
        <v>32</v>
      </c>
      <c r="B52" s="111"/>
      <c r="C52" s="78">
        <f>SUM(C50:C51)</f>
        <v>0</v>
      </c>
      <c r="D52" s="50">
        <f t="shared" ref="D52:E52" si="7">SUM(D50:D51)</f>
        <v>0</v>
      </c>
      <c r="E52" s="50">
        <f t="shared" si="7"/>
        <v>0</v>
      </c>
      <c r="F52" s="66">
        <f t="shared" ref="F52:G52" si="8">SUM(F50:F51)</f>
        <v>0</v>
      </c>
      <c r="G52" s="50">
        <f t="shared" si="8"/>
        <v>0</v>
      </c>
    </row>
    <row r="53" spans="1:7" x14ac:dyDescent="0.35">
      <c r="A53" s="93" t="s">
        <v>33</v>
      </c>
      <c r="B53" s="113" t="s">
        <v>780</v>
      </c>
      <c r="C53" s="5">
        <f>+IFERROR(VLOOKUP($A53,RAIZ!$A$3:$V$800,MATCH('Suc. La Nueva Canasta'!$F$1,RAIZ!$A$2:$V$2,0),FALSE),0)</f>
        <v>0</v>
      </c>
      <c r="D53" s="5"/>
      <c r="E53" s="5"/>
      <c r="F53" s="5">
        <f t="shared" ref="F53:F54" si="9">IF(D53-C53&gt;=0,D53-C53,0)</f>
        <v>0</v>
      </c>
      <c r="G53" s="5"/>
    </row>
    <row r="54" spans="1:7" ht="18.600000000000001" thickBot="1" x14ac:dyDescent="0.4">
      <c r="A54" s="95" t="s">
        <v>34</v>
      </c>
      <c r="B54" s="113" t="s">
        <v>781</v>
      </c>
      <c r="C54" s="5">
        <f>+IFERROR(VLOOKUP($A54,RAIZ!$A$3:$V$800,MATCH('Suc. La Nueva Canasta'!$F$1,RAIZ!$A$2:$V$2,0),FALSE),0)</f>
        <v>0</v>
      </c>
      <c r="D54" s="5"/>
      <c r="E54" s="5"/>
      <c r="F54" s="5">
        <f t="shared" si="9"/>
        <v>0</v>
      </c>
      <c r="G54" s="5"/>
    </row>
    <row r="55" spans="1:7" ht="18.600000000000001" thickBot="1" x14ac:dyDescent="0.4">
      <c r="A55" s="99" t="s">
        <v>35</v>
      </c>
      <c r="B55" s="111"/>
      <c r="C55" s="77">
        <f>SUM(C53:C54)</f>
        <v>0</v>
      </c>
      <c r="D55" s="48">
        <f t="shared" ref="D55:E55" si="10">SUM(D53:D54)</f>
        <v>0</v>
      </c>
      <c r="E55" s="48">
        <f t="shared" si="10"/>
        <v>0</v>
      </c>
      <c r="F55" s="65">
        <f t="shared" ref="F55:G55" si="11">SUM(F53:F54)</f>
        <v>0</v>
      </c>
      <c r="G55" s="48">
        <f t="shared" si="11"/>
        <v>0</v>
      </c>
    </row>
    <row r="56" spans="1:7" x14ac:dyDescent="0.35">
      <c r="A56" s="93" t="s">
        <v>36</v>
      </c>
      <c r="B56" s="113" t="s">
        <v>782</v>
      </c>
      <c r="C56" s="5">
        <f>+IFERROR(VLOOKUP($A56,RAIZ!$A$3:$V$800,MATCH('Suc. La Nueva Canasta'!$F$1,RAIZ!$A$2:$V$2,0),FALSE),0)</f>
        <v>0</v>
      </c>
      <c r="D56" s="5"/>
      <c r="E56" s="5"/>
      <c r="F56" s="5">
        <f t="shared" ref="F56:F70" si="12">IF(D56-C56&gt;=0,D56-C56,0)</f>
        <v>0</v>
      </c>
      <c r="G56" s="5"/>
    </row>
    <row r="57" spans="1:7" x14ac:dyDescent="0.35">
      <c r="A57" s="93" t="s">
        <v>37</v>
      </c>
      <c r="B57" s="113" t="s">
        <v>783</v>
      </c>
      <c r="C57" s="5">
        <f>+IFERROR(VLOOKUP($A57,RAIZ!$A$3:$V$800,MATCH('Suc. La Nueva Canasta'!$F$1,RAIZ!$A$2:$V$2,0),FALSE),0)</f>
        <v>0</v>
      </c>
      <c r="D57" s="5"/>
      <c r="E57" s="5"/>
      <c r="F57" s="5">
        <f t="shared" si="12"/>
        <v>0</v>
      </c>
      <c r="G57" s="5"/>
    </row>
    <row r="58" spans="1:7" x14ac:dyDescent="0.35">
      <c r="A58" s="93" t="s">
        <v>38</v>
      </c>
      <c r="B58" s="113" t="s">
        <v>866</v>
      </c>
      <c r="C58" s="5">
        <f>+IFERROR(VLOOKUP($A58,RAIZ!$A$3:$V$800,MATCH('Suc. La Nueva Canasta'!$F$1,RAIZ!$A$2:$V$2,0),FALSE),0)</f>
        <v>0</v>
      </c>
      <c r="D58" s="5"/>
      <c r="E58" s="5"/>
      <c r="F58" s="5">
        <f t="shared" ref="F58" si="13">IF(D58-C58&gt;=0,D58-C58,0)</f>
        <v>0</v>
      </c>
      <c r="G58" s="5"/>
    </row>
    <row r="59" spans="1:7" x14ac:dyDescent="0.35">
      <c r="A59" s="93" t="s">
        <v>39</v>
      </c>
      <c r="B59" s="113" t="s">
        <v>784</v>
      </c>
      <c r="C59" s="5">
        <f>+IFERROR(VLOOKUP($A59,RAIZ!$A$3:$V$800,MATCH('Suc. La Nueva Canasta'!$F$1,RAIZ!$A$2:$V$2,0),FALSE),0)</f>
        <v>0</v>
      </c>
      <c r="D59" s="5"/>
      <c r="E59" s="5"/>
      <c r="F59" s="5">
        <f t="shared" si="12"/>
        <v>0</v>
      </c>
      <c r="G59" s="5"/>
    </row>
    <row r="60" spans="1:7" x14ac:dyDescent="0.35">
      <c r="A60" s="93" t="s">
        <v>40</v>
      </c>
      <c r="B60" s="113" t="s">
        <v>785</v>
      </c>
      <c r="C60" s="5">
        <f>+IFERROR(VLOOKUP($A60,RAIZ!$A$3:$V$800,MATCH('Suc. La Nueva Canasta'!$F$1,RAIZ!$A$2:$V$2,0),FALSE),0)</f>
        <v>0</v>
      </c>
      <c r="D60" s="5"/>
      <c r="E60" s="5"/>
      <c r="F60" s="5">
        <f t="shared" si="12"/>
        <v>0</v>
      </c>
      <c r="G60" s="5"/>
    </row>
    <row r="61" spans="1:7" x14ac:dyDescent="0.35">
      <c r="A61" s="93" t="s">
        <v>41</v>
      </c>
      <c r="B61" s="113" t="s">
        <v>786</v>
      </c>
      <c r="C61" s="5">
        <f>+IFERROR(VLOOKUP($A61,RAIZ!$A$3:$V$800,MATCH('Suc. La Nueva Canasta'!$F$1,RAIZ!$A$2:$V$2,0),FALSE),0)</f>
        <v>0</v>
      </c>
      <c r="D61" s="5"/>
      <c r="E61" s="5"/>
      <c r="F61" s="5">
        <f t="shared" si="12"/>
        <v>0</v>
      </c>
      <c r="G61" s="5"/>
    </row>
    <row r="62" spans="1:7" x14ac:dyDescent="0.35">
      <c r="A62" s="101" t="s">
        <v>42</v>
      </c>
      <c r="B62" s="113" t="s">
        <v>787</v>
      </c>
      <c r="C62" s="5">
        <f>+IFERROR(VLOOKUP($A62,RAIZ!$A$3:$V$800,MATCH('Suc. La Nueva Canasta'!$F$1,RAIZ!$A$2:$V$2,0),FALSE),0)</f>
        <v>0</v>
      </c>
      <c r="D62" s="5"/>
      <c r="E62" s="5"/>
      <c r="F62" s="5">
        <f t="shared" si="12"/>
        <v>0</v>
      </c>
      <c r="G62" s="5"/>
    </row>
    <row r="63" spans="1:7" x14ac:dyDescent="0.35">
      <c r="A63" s="102" t="s">
        <v>43</v>
      </c>
      <c r="B63" s="113" t="s">
        <v>788</v>
      </c>
      <c r="C63" s="5">
        <f>+IFERROR(VLOOKUP($A63,RAIZ!$A$3:$V$800,MATCH('Suc. La Nueva Canasta'!$F$1,RAIZ!$A$2:$V$2,0),FALSE),0)</f>
        <v>0</v>
      </c>
      <c r="D63" s="5"/>
      <c r="E63" s="5"/>
      <c r="F63" s="5">
        <f t="shared" si="12"/>
        <v>0</v>
      </c>
      <c r="G63" s="5"/>
    </row>
    <row r="64" spans="1:7" x14ac:dyDescent="0.35">
      <c r="A64" s="93" t="s">
        <v>44</v>
      </c>
      <c r="B64" s="113" t="s">
        <v>789</v>
      </c>
      <c r="C64" s="5">
        <f>+IFERROR(VLOOKUP($A64,RAIZ!$A$3:$V$800,MATCH('Suc. La Nueva Canasta'!$F$1,RAIZ!$A$2:$V$2,0),FALSE),0)</f>
        <v>0</v>
      </c>
      <c r="D64" s="5"/>
      <c r="E64" s="5"/>
      <c r="F64" s="5">
        <f t="shared" si="12"/>
        <v>0</v>
      </c>
      <c r="G64" s="5"/>
    </row>
    <row r="65" spans="1:7" x14ac:dyDescent="0.35">
      <c r="A65" s="93" t="s">
        <v>45</v>
      </c>
      <c r="B65" s="113" t="s">
        <v>790</v>
      </c>
      <c r="C65" s="5">
        <f>+IFERROR(VLOOKUP($A65,RAIZ!$A$3:$V$800,MATCH('Suc. La Nueva Canasta'!$F$1,RAIZ!$A$2:$V$2,0),FALSE),0)</f>
        <v>0</v>
      </c>
      <c r="D65" s="5"/>
      <c r="E65" s="5"/>
      <c r="F65" s="5">
        <f t="shared" si="12"/>
        <v>0</v>
      </c>
      <c r="G65" s="5"/>
    </row>
    <row r="66" spans="1:7" x14ac:dyDescent="0.35">
      <c r="A66" s="93" t="s">
        <v>46</v>
      </c>
      <c r="B66" s="113" t="s">
        <v>791</v>
      </c>
      <c r="C66" s="5">
        <f>+IFERROR(VLOOKUP($A66,RAIZ!$A$3:$V$800,MATCH('Suc. La Nueva Canasta'!$F$1,RAIZ!$A$2:$V$2,0),FALSE),0)</f>
        <v>0</v>
      </c>
      <c r="D66" s="5"/>
      <c r="E66" s="5"/>
      <c r="F66" s="5">
        <f t="shared" si="12"/>
        <v>0</v>
      </c>
      <c r="G66" s="5"/>
    </row>
    <row r="67" spans="1:7" x14ac:dyDescent="0.35">
      <c r="A67" s="93" t="s">
        <v>48</v>
      </c>
      <c r="B67" s="113" t="s">
        <v>792</v>
      </c>
      <c r="C67" s="5">
        <f>+IFERROR(VLOOKUP($A67,RAIZ!$A$3:$V$800,MATCH('Suc. La Nueva Canasta'!$F$1,RAIZ!$A$2:$V$2,0),FALSE),0)</f>
        <v>0</v>
      </c>
      <c r="D67" s="5"/>
      <c r="E67" s="5"/>
      <c r="F67" s="5">
        <f t="shared" si="12"/>
        <v>0</v>
      </c>
      <c r="G67" s="5"/>
    </row>
    <row r="68" spans="1:7" x14ac:dyDescent="0.35">
      <c r="A68" s="93" t="s">
        <v>49</v>
      </c>
      <c r="B68" s="113" t="s">
        <v>793</v>
      </c>
      <c r="C68" s="5">
        <f>+IFERROR(VLOOKUP($A68,RAIZ!$A$3:$V$800,MATCH('Suc. La Nueva Canasta'!$F$1,RAIZ!$A$2:$V$2,0),FALSE),0)</f>
        <v>0</v>
      </c>
      <c r="D68" s="5"/>
      <c r="E68" s="5"/>
      <c r="F68" s="5">
        <f t="shared" si="12"/>
        <v>0</v>
      </c>
      <c r="G68" s="5"/>
    </row>
    <row r="69" spans="1:7" x14ac:dyDescent="0.35">
      <c r="A69" s="93" t="s">
        <v>50</v>
      </c>
      <c r="B69" s="113" t="s">
        <v>794</v>
      </c>
      <c r="C69" s="5">
        <f>+IFERROR(VLOOKUP($A69,RAIZ!$A$3:$V$800,MATCH('Suc. La Nueva Canasta'!$F$1,RAIZ!$A$2:$V$2,0),FALSE),0)</f>
        <v>0</v>
      </c>
      <c r="D69" s="5"/>
      <c r="E69" s="5"/>
      <c r="F69" s="5">
        <f t="shared" si="12"/>
        <v>0</v>
      </c>
      <c r="G69" s="5"/>
    </row>
    <row r="70" spans="1:7" x14ac:dyDescent="0.35">
      <c r="A70" s="93" t="s">
        <v>51</v>
      </c>
      <c r="B70" s="113" t="s">
        <v>795</v>
      </c>
      <c r="C70" s="5">
        <f>+IFERROR(VLOOKUP($A70,RAIZ!$A$3:$V$800,MATCH('Suc. La Nueva Canasta'!$F$1,RAIZ!$A$2:$V$2,0),FALSE),0)</f>
        <v>0</v>
      </c>
      <c r="D70" s="5"/>
      <c r="E70" s="5"/>
      <c r="F70" s="5">
        <f t="shared" si="12"/>
        <v>0</v>
      </c>
      <c r="G70" s="5"/>
    </row>
    <row r="71" spans="1:7" x14ac:dyDescent="0.35">
      <c r="A71" s="93" t="s">
        <v>53</v>
      </c>
      <c r="B71" s="113" t="s">
        <v>796</v>
      </c>
      <c r="C71" s="5">
        <f>+IFERROR(VLOOKUP($A71,RAIZ!$A$3:$V$800,MATCH('Suc. La Nueva Canasta'!$F$1,RAIZ!$A$2:$V$2,0),FALSE),0)</f>
        <v>0</v>
      </c>
      <c r="D71" s="5"/>
      <c r="E71" s="5"/>
      <c r="F71" s="5">
        <f t="shared" ref="F71:F77" si="14">IF(D71-C71&gt;=0,D71-C71,0)</f>
        <v>0</v>
      </c>
      <c r="G71" s="5"/>
    </row>
    <row r="72" spans="1:7" x14ac:dyDescent="0.35">
      <c r="A72" s="93" t="s">
        <v>47</v>
      </c>
      <c r="B72" s="113" t="s">
        <v>873</v>
      </c>
      <c r="C72" s="5">
        <f>+IFERROR(VLOOKUP($A72,RAIZ!$A$3:$V$800,MATCH('Suc. Xalisco'!$F$1,RAIZ!$A$2:$V$2,0),FALSE),0)</f>
        <v>0</v>
      </c>
      <c r="D72" s="5"/>
      <c r="E72" s="5"/>
      <c r="F72" s="5">
        <f>IF(D72-C72&gt;=0,D72-C72,0)</f>
        <v>0</v>
      </c>
      <c r="G72" s="5"/>
    </row>
    <row r="73" spans="1:7" x14ac:dyDescent="0.35">
      <c r="A73" s="93" t="s">
        <v>879</v>
      </c>
      <c r="B73" s="113" t="s">
        <v>949</v>
      </c>
      <c r="C73" s="5">
        <f>+IFERROR(VLOOKUP($A73,RAIZ!$A$3:$V$800,MATCH('Suc. La Nueva Canasta'!$F$1,RAIZ!$A$2:$V$2,0),FALSE),0)</f>
        <v>0</v>
      </c>
      <c r="D73" s="5"/>
      <c r="E73" s="5"/>
      <c r="F73" s="5">
        <f t="shared" si="14"/>
        <v>0</v>
      </c>
      <c r="G73" s="5"/>
    </row>
    <row r="74" spans="1:7" x14ac:dyDescent="0.35">
      <c r="A74" s="93" t="s">
        <v>888</v>
      </c>
      <c r="B74" s="113" t="s">
        <v>950</v>
      </c>
      <c r="C74" s="5">
        <f>+IFERROR(VLOOKUP($A74,RAIZ!$A$3:$V$800,MATCH('Suc. La Nueva Canasta'!$F$1,RAIZ!$A$2:$V$2,0),FALSE),0)</f>
        <v>0</v>
      </c>
      <c r="D74" s="5"/>
      <c r="E74" s="5"/>
      <c r="F74" s="5">
        <f t="shared" si="14"/>
        <v>0</v>
      </c>
      <c r="G74" s="5"/>
    </row>
    <row r="75" spans="1:7" x14ac:dyDescent="0.35">
      <c r="A75" s="93"/>
      <c r="B75" s="113"/>
      <c r="C75" s="5">
        <f>+IFERROR(VLOOKUP($A75,RAIZ!$A$3:$V$800,MATCH('Suc. La Nueva Canasta'!$F$1,RAIZ!$A$2:$V$2,0),FALSE),0)</f>
        <v>0</v>
      </c>
      <c r="D75" s="5"/>
      <c r="E75" s="5"/>
      <c r="F75" s="5">
        <f t="shared" si="14"/>
        <v>0</v>
      </c>
      <c r="G75" s="5"/>
    </row>
    <row r="76" spans="1:7" x14ac:dyDescent="0.35">
      <c r="A76" s="93"/>
      <c r="B76" s="113"/>
      <c r="C76" s="5">
        <f>+IFERROR(VLOOKUP($A76,RAIZ!$A$3:$V$800,MATCH('Suc. La Nueva Canasta'!$F$1,RAIZ!$A$2:$V$2,0),FALSE),0)</f>
        <v>0</v>
      </c>
      <c r="D76" s="5"/>
      <c r="E76" s="5"/>
      <c r="F76" s="5">
        <f t="shared" si="14"/>
        <v>0</v>
      </c>
      <c r="G76" s="5"/>
    </row>
    <row r="77" spans="1:7" ht="18.600000000000001" thickBot="1" x14ac:dyDescent="0.4">
      <c r="A77" s="93"/>
      <c r="B77" s="113"/>
      <c r="C77" s="5">
        <f>+IFERROR(VLOOKUP($A77,RAIZ!$A$3:$V$800,MATCH('Suc. La Nueva Canasta'!$F$1,RAIZ!$A$2:$V$2,0),FALSE),0)</f>
        <v>0</v>
      </c>
      <c r="D77" s="5"/>
      <c r="E77" s="5"/>
      <c r="F77" s="5">
        <f t="shared" si="14"/>
        <v>0</v>
      </c>
      <c r="G77" s="5"/>
    </row>
    <row r="78" spans="1:7" ht="18.600000000000001" thickBot="1" x14ac:dyDescent="0.4">
      <c r="A78" s="99" t="s">
        <v>54</v>
      </c>
      <c r="B78" s="111"/>
      <c r="C78" s="77">
        <f>SUM(C56:C77)</f>
        <v>0</v>
      </c>
      <c r="D78" s="48">
        <f>SUM(D56:D77)</f>
        <v>0</v>
      </c>
      <c r="E78" s="48">
        <f>SUM(E56:E77)</f>
        <v>0</v>
      </c>
      <c r="F78" s="65">
        <f>SUM(F56:F77)</f>
        <v>0</v>
      </c>
      <c r="G78" s="48">
        <f>SUM(G56:G77)</f>
        <v>0</v>
      </c>
    </row>
    <row r="79" spans="1:7" ht="18.600000000000001" thickBot="1" x14ac:dyDescent="0.4">
      <c r="A79" s="103" t="s">
        <v>55</v>
      </c>
      <c r="B79" s="111"/>
      <c r="C79" s="79">
        <f>C18+C32+C49+C52+C55+C78</f>
        <v>0</v>
      </c>
      <c r="D79" s="52">
        <f>D18+D32+D49+D52+D55+D78</f>
        <v>0</v>
      </c>
      <c r="E79" s="52">
        <f>E18+E32+E49+E52+E55+E78</f>
        <v>0</v>
      </c>
      <c r="F79" s="67">
        <f>F18+F32+F49+F52+F55+F78</f>
        <v>0</v>
      </c>
      <c r="G79" s="52">
        <f>G18+G32+G49+G52+G55+G78</f>
        <v>0</v>
      </c>
    </row>
    <row r="80" spans="1:7" x14ac:dyDescent="0.35">
      <c r="A80" s="104" t="s">
        <v>56</v>
      </c>
      <c r="B80" s="111"/>
      <c r="C80" s="68"/>
      <c r="D80" s="27"/>
      <c r="E80" s="27"/>
      <c r="F80" s="27"/>
      <c r="G80" s="27"/>
    </row>
    <row r="81" spans="1:7" x14ac:dyDescent="0.35">
      <c r="A81" s="94" t="s">
        <v>57</v>
      </c>
      <c r="B81" s="113" t="s">
        <v>797</v>
      </c>
      <c r="C81" s="5">
        <f>+IFERROR(VLOOKUP($A81,RAIZ!$A$3:$V$800,MATCH('Suc. La Nueva Canasta'!$F$1,RAIZ!$A$2:$V$2,0),FALSE),0)</f>
        <v>0</v>
      </c>
      <c r="D81" s="5"/>
      <c r="E81" s="5"/>
      <c r="F81" s="5">
        <f t="shared" ref="F81:F85" si="15">IF(D81-C81&gt;=0,D81-C81,0)</f>
        <v>0</v>
      </c>
      <c r="G81" s="5"/>
    </row>
    <row r="82" spans="1:7" x14ac:dyDescent="0.35">
      <c r="A82" s="94" t="s">
        <v>58</v>
      </c>
      <c r="B82" s="113" t="s">
        <v>867</v>
      </c>
      <c r="C82" s="5">
        <f>+IFERROR(VLOOKUP($A82,RAIZ!$A$3:$V$800,MATCH('Suc. La Nueva Canasta'!$F$1,RAIZ!$A$2:$V$2,0),FALSE),0)</f>
        <v>0</v>
      </c>
      <c r="D82" s="5"/>
      <c r="E82" s="5"/>
      <c r="F82" s="5">
        <f t="shared" ref="F82" si="16">IF(D82-C82&gt;=0,D82-C82,0)</f>
        <v>0</v>
      </c>
      <c r="G82" s="5"/>
    </row>
    <row r="83" spans="1:7" x14ac:dyDescent="0.35">
      <c r="A83" s="94" t="s">
        <v>59</v>
      </c>
      <c r="B83" s="113" t="s">
        <v>798</v>
      </c>
      <c r="C83" s="5">
        <f>+IFERROR(VLOOKUP($A83,RAIZ!$A$3:$V$800,MATCH('Suc. La Nueva Canasta'!$F$1,RAIZ!$A$2:$V$2,0),FALSE),0)</f>
        <v>0</v>
      </c>
      <c r="D83" s="5"/>
      <c r="E83" s="5"/>
      <c r="F83" s="5">
        <f t="shared" si="15"/>
        <v>0</v>
      </c>
      <c r="G83" s="5"/>
    </row>
    <row r="84" spans="1:7" x14ac:dyDescent="0.35">
      <c r="A84" s="94" t="s">
        <v>60</v>
      </c>
      <c r="B84" s="113" t="s">
        <v>799</v>
      </c>
      <c r="C84" s="5">
        <f>+IFERROR(VLOOKUP($A84,RAIZ!$A$3:$V$800,MATCH('Suc. La Nueva Canasta'!$F$1,RAIZ!$A$2:$V$2,0),FALSE),0)</f>
        <v>0</v>
      </c>
      <c r="D84" s="5"/>
      <c r="E84" s="5"/>
      <c r="F84" s="5">
        <f t="shared" si="15"/>
        <v>0</v>
      </c>
      <c r="G84" s="5"/>
    </row>
    <row r="85" spans="1:7" x14ac:dyDescent="0.35">
      <c r="A85" s="94" t="s">
        <v>61</v>
      </c>
      <c r="B85" s="113" t="s">
        <v>800</v>
      </c>
      <c r="C85" s="5">
        <f>+IFERROR(VLOOKUP($A85,RAIZ!$A$3:$V$800,MATCH('Suc. La Nueva Canasta'!$F$1,RAIZ!$A$2:$V$2,0),FALSE),0)</f>
        <v>0</v>
      </c>
      <c r="D85" s="5"/>
      <c r="E85" s="5"/>
      <c r="F85" s="5">
        <f t="shared" si="15"/>
        <v>0</v>
      </c>
      <c r="G85" s="5"/>
    </row>
    <row r="86" spans="1:7" x14ac:dyDescent="0.35">
      <c r="A86" s="94" t="s">
        <v>63</v>
      </c>
      <c r="B86" s="113" t="s">
        <v>801</v>
      </c>
      <c r="C86" s="5">
        <f>+IFERROR(VLOOKUP($A86,RAIZ!$A$3:$V$800,MATCH('Suc. La Nueva Canasta'!$F$1,RAIZ!$A$2:$V$2,0),FALSE),0)</f>
        <v>0</v>
      </c>
      <c r="D86" s="5"/>
      <c r="E86" s="5"/>
      <c r="F86" s="5">
        <f t="shared" ref="F86:F90" si="17">IF(D86-C86&gt;=0,D86-C86,0)</f>
        <v>0</v>
      </c>
      <c r="G86" s="5"/>
    </row>
    <row r="87" spans="1:7" x14ac:dyDescent="0.35">
      <c r="A87" s="95" t="s">
        <v>894</v>
      </c>
      <c r="B87" s="113" t="s">
        <v>899</v>
      </c>
      <c r="C87" s="5">
        <f>+IFERROR(VLOOKUP($A87,RAIZ!$A$3:$V$800,MATCH('Suc. Vistas'!$F$1,RAIZ!$A$2:$V$2,0),FALSE),0)</f>
        <v>0</v>
      </c>
      <c r="D87" s="5"/>
      <c r="E87" s="5"/>
      <c r="F87" s="5">
        <f>IF(D87-C87&gt;=0,D87-C87,0)</f>
        <v>0</v>
      </c>
      <c r="G87" s="5"/>
    </row>
    <row r="88" spans="1:7" x14ac:dyDescent="0.35">
      <c r="A88" s="94"/>
      <c r="B88" s="113"/>
      <c r="C88" s="5">
        <f>+IFERROR(VLOOKUP($A88,RAIZ!$A$3:$V$800,MATCH('Suc. La Nueva Canasta'!$F$1,RAIZ!$A$2:$V$2,0),FALSE),0)</f>
        <v>0</v>
      </c>
      <c r="D88" s="5"/>
      <c r="E88" s="5"/>
      <c r="F88" s="5">
        <f t="shared" si="17"/>
        <v>0</v>
      </c>
      <c r="G88" s="5"/>
    </row>
    <row r="89" spans="1:7" x14ac:dyDescent="0.35">
      <c r="A89" s="94"/>
      <c r="B89" s="113"/>
      <c r="C89" s="5">
        <f>+IFERROR(VLOOKUP($A89,RAIZ!$A$3:$V$800,MATCH('Suc. La Nueva Canasta'!$F$1,RAIZ!$A$2:$V$2,0),FALSE),0)</f>
        <v>0</v>
      </c>
      <c r="D89" s="5"/>
      <c r="E89" s="5"/>
      <c r="F89" s="5">
        <f t="shared" si="17"/>
        <v>0</v>
      </c>
      <c r="G89" s="5"/>
    </row>
    <row r="90" spans="1:7" ht="18.600000000000001" thickBot="1" x14ac:dyDescent="0.4">
      <c r="A90" s="94"/>
      <c r="B90" s="113"/>
      <c r="C90" s="5">
        <f>+IFERROR(VLOOKUP($A90,RAIZ!$A$3:$V$800,MATCH('Suc. La Nueva Canasta'!$F$1,RAIZ!$A$2:$V$2,0),FALSE),0)</f>
        <v>0</v>
      </c>
      <c r="D90" s="5"/>
      <c r="E90" s="5"/>
      <c r="F90" s="5">
        <f t="shared" si="17"/>
        <v>0</v>
      </c>
      <c r="G90" s="5"/>
    </row>
    <row r="91" spans="1:7" ht="18.600000000000001" thickBot="1" x14ac:dyDescent="0.4">
      <c r="A91" s="105" t="s">
        <v>55</v>
      </c>
      <c r="B91" s="111"/>
      <c r="C91" s="80">
        <f>SUM(C81:C90)</f>
        <v>0</v>
      </c>
      <c r="D91" s="54">
        <f>SUM(D81:D90)</f>
        <v>0</v>
      </c>
      <c r="E91" s="54">
        <f>SUM(E81:E90)</f>
        <v>0</v>
      </c>
      <c r="F91" s="69">
        <f>SUM(F81:F90)</f>
        <v>0</v>
      </c>
      <c r="G91" s="54">
        <f>SUM(G81:G90)</f>
        <v>0</v>
      </c>
    </row>
    <row r="92" spans="1:7" x14ac:dyDescent="0.35">
      <c r="A92" s="106" t="s">
        <v>64</v>
      </c>
      <c r="B92" s="111"/>
      <c r="C92" s="70"/>
      <c r="D92" s="31"/>
      <c r="E92" s="31"/>
      <c r="F92" s="31"/>
      <c r="G92" s="31"/>
    </row>
    <row r="93" spans="1:7" x14ac:dyDescent="0.35">
      <c r="A93" s="94" t="s">
        <v>65</v>
      </c>
      <c r="B93" s="113" t="s">
        <v>802</v>
      </c>
      <c r="C93" s="5">
        <f>+IFERROR(VLOOKUP($A93,RAIZ!$A$3:$V$800,MATCH('Suc. La Nueva Canasta'!$F$1,RAIZ!$A$2:$V$2,0),FALSE),0)</f>
        <v>0</v>
      </c>
      <c r="D93" s="5"/>
      <c r="E93" s="5"/>
      <c r="F93" s="5">
        <f t="shared" ref="F93:F106" si="18">IF(D93-C93&gt;=0,D93-C93,0)</f>
        <v>0</v>
      </c>
      <c r="G93" s="5"/>
    </row>
    <row r="94" spans="1:7" x14ac:dyDescent="0.35">
      <c r="A94" s="94" t="s">
        <v>66</v>
      </c>
      <c r="B94" s="113" t="s">
        <v>803</v>
      </c>
      <c r="C94" s="5">
        <f>+IFERROR(VLOOKUP($A94,RAIZ!$A$3:$V$800,MATCH('Suc. La Nueva Canasta'!$F$1,RAIZ!$A$2:$V$2,0),FALSE),0)</f>
        <v>0</v>
      </c>
      <c r="D94" s="5"/>
      <c r="E94" s="5"/>
      <c r="F94" s="5">
        <f t="shared" si="18"/>
        <v>0</v>
      </c>
      <c r="G94" s="5"/>
    </row>
    <row r="95" spans="1:7" x14ac:dyDescent="0.35">
      <c r="A95" s="94" t="s">
        <v>67</v>
      </c>
      <c r="B95" s="113" t="s">
        <v>804</v>
      </c>
      <c r="C95" s="5">
        <f>+IFERROR(VLOOKUP($A95,RAIZ!$A$3:$V$800,MATCH('Suc. La Nueva Canasta'!$F$1,RAIZ!$A$2:$V$2,0),FALSE),0)</f>
        <v>0</v>
      </c>
      <c r="D95" s="5"/>
      <c r="E95" s="5"/>
      <c r="F95" s="5">
        <f t="shared" si="18"/>
        <v>0</v>
      </c>
      <c r="G95" s="5"/>
    </row>
    <row r="96" spans="1:7" x14ac:dyDescent="0.35">
      <c r="A96" s="94" t="s">
        <v>68</v>
      </c>
      <c r="B96" s="113" t="s">
        <v>805</v>
      </c>
      <c r="C96" s="5">
        <f>+IFERROR(VLOOKUP($A96,RAIZ!$A$3:$V$800,MATCH('Suc. La Nueva Canasta'!$F$1,RAIZ!$A$2:$V$2,0),FALSE),0)</f>
        <v>0</v>
      </c>
      <c r="D96" s="5"/>
      <c r="E96" s="5"/>
      <c r="F96" s="5">
        <f t="shared" si="18"/>
        <v>0</v>
      </c>
      <c r="G96" s="5"/>
    </row>
    <row r="97" spans="1:7" x14ac:dyDescent="0.35">
      <c r="A97" s="94" t="s">
        <v>69</v>
      </c>
      <c r="B97" s="113" t="s">
        <v>806</v>
      </c>
      <c r="C97" s="5">
        <f>+IFERROR(VLOOKUP($A97,RAIZ!$A$3:$V$800,MATCH('Suc. La Nueva Canasta'!$F$1,RAIZ!$A$2:$V$2,0),FALSE),0)</f>
        <v>0</v>
      </c>
      <c r="D97" s="5"/>
      <c r="E97" s="5"/>
      <c r="F97" s="5">
        <f t="shared" si="18"/>
        <v>0</v>
      </c>
      <c r="G97" s="5"/>
    </row>
    <row r="98" spans="1:7" x14ac:dyDescent="0.35">
      <c r="A98" s="94" t="s">
        <v>70</v>
      </c>
      <c r="B98" s="113" t="s">
        <v>807</v>
      </c>
      <c r="C98" s="5">
        <f>+IFERROR(VLOOKUP($A98,RAIZ!$A$3:$V$800,MATCH('Suc. La Nueva Canasta'!$F$1,RAIZ!$A$2:$V$2,0),FALSE),0)</f>
        <v>0</v>
      </c>
      <c r="D98" s="5"/>
      <c r="E98" s="5"/>
      <c r="F98" s="5">
        <f t="shared" si="18"/>
        <v>0</v>
      </c>
      <c r="G98" s="5"/>
    </row>
    <row r="99" spans="1:7" x14ac:dyDescent="0.35">
      <c r="A99" s="94" t="s">
        <v>857</v>
      </c>
      <c r="B99" s="113" t="s">
        <v>808</v>
      </c>
      <c r="C99" s="5">
        <f>+IFERROR(VLOOKUP($A99,RAIZ!$A$3:$V$800,MATCH('Suc. La Nueva Canasta'!$F$1,RAIZ!$A$2:$V$2,0),FALSE),0)</f>
        <v>0</v>
      </c>
      <c r="D99" s="5"/>
      <c r="E99" s="5"/>
      <c r="F99" s="5">
        <f t="shared" ref="F99:F103" si="19">IF(D99-C99&gt;=0,D99-C99,0)</f>
        <v>0</v>
      </c>
      <c r="G99" s="5"/>
    </row>
    <row r="100" spans="1:7" x14ac:dyDescent="0.35">
      <c r="A100" s="102" t="s">
        <v>835</v>
      </c>
      <c r="B100" s="113" t="s">
        <v>836</v>
      </c>
      <c r="C100" s="5">
        <f>+IFERROR(VLOOKUP($A100,RAIZ!$A$3:$V$800,MATCH('Suc. La Nueva Canasta'!$F$1,RAIZ!$A$2:$V$2,0),FALSE),0)</f>
        <v>0</v>
      </c>
      <c r="D100" s="5"/>
      <c r="E100" s="5"/>
      <c r="F100" s="5">
        <f t="shared" si="19"/>
        <v>0</v>
      </c>
      <c r="G100" s="5"/>
    </row>
    <row r="101" spans="1:7" x14ac:dyDescent="0.35">
      <c r="A101" s="95" t="s">
        <v>905</v>
      </c>
      <c r="B101" s="113" t="s">
        <v>906</v>
      </c>
      <c r="C101" s="5">
        <f>+IFERROR(VLOOKUP($A101,RAIZ!$A$3:$V$800,MATCH('Suc. La Nueva Canasta'!$F$1,RAIZ!$A$2:$V$2,0),FALSE),0)</f>
        <v>0</v>
      </c>
      <c r="D101" s="5"/>
      <c r="E101" s="5"/>
      <c r="F101" s="5">
        <f t="shared" si="19"/>
        <v>0</v>
      </c>
      <c r="G101" s="5"/>
    </row>
    <row r="102" spans="1:7" x14ac:dyDescent="0.35">
      <c r="A102" s="95" t="s">
        <v>377</v>
      </c>
      <c r="B102" s="113" t="s">
        <v>907</v>
      </c>
      <c r="C102" s="5">
        <f>+IFERROR(VLOOKUP($A102,RAIZ!$A$3:$V$800,MATCH('Suc. La Nueva Canasta'!$F$1,RAIZ!$A$2:$V$2,0),FALSE),0)</f>
        <v>0</v>
      </c>
      <c r="D102" s="5"/>
      <c r="E102" s="5"/>
      <c r="F102" s="5">
        <f t="shared" si="19"/>
        <v>0</v>
      </c>
      <c r="G102" s="5"/>
    </row>
    <row r="103" spans="1:7" x14ac:dyDescent="0.35">
      <c r="A103" s="102" t="s">
        <v>72</v>
      </c>
      <c r="B103" s="113" t="s">
        <v>834</v>
      </c>
      <c r="C103" s="5">
        <f>+IFERROR(VLOOKUP($A103,RAIZ!$A$3:$V$800,MATCH('Suc. La Nueva Canasta'!$F$1,RAIZ!$A$2:$V$2,0),FALSE),0)</f>
        <v>0</v>
      </c>
      <c r="D103" s="5"/>
      <c r="E103" s="5"/>
      <c r="F103" s="5">
        <f t="shared" si="19"/>
        <v>0</v>
      </c>
      <c r="G103" s="5"/>
    </row>
    <row r="104" spans="1:7" x14ac:dyDescent="0.35">
      <c r="A104" s="94" t="s">
        <v>73</v>
      </c>
      <c r="B104" s="113" t="s">
        <v>809</v>
      </c>
      <c r="C104" s="5">
        <f>+IFERROR(VLOOKUP($A104,RAIZ!$A$3:$V$800,MATCH('Suc. La Nueva Canasta'!$F$1,RAIZ!$A$2:$V$2,0),FALSE),0)</f>
        <v>0</v>
      </c>
      <c r="D104" s="5"/>
      <c r="E104" s="5"/>
      <c r="F104" s="5">
        <f t="shared" si="18"/>
        <v>0</v>
      </c>
      <c r="G104" s="5"/>
    </row>
    <row r="105" spans="1:7" x14ac:dyDescent="0.35">
      <c r="A105" s="94" t="s">
        <v>74</v>
      </c>
      <c r="B105" s="113" t="s">
        <v>810</v>
      </c>
      <c r="C105" s="5">
        <f>+IFERROR(VLOOKUP($A105,RAIZ!$A$3:$V$800,MATCH('Suc. La Nueva Canasta'!$F$1,RAIZ!$A$2:$V$2,0),FALSE),0)</f>
        <v>0</v>
      </c>
      <c r="D105" s="5"/>
      <c r="E105" s="5"/>
      <c r="F105" s="5">
        <f t="shared" si="18"/>
        <v>0</v>
      </c>
      <c r="G105" s="5"/>
    </row>
    <row r="106" spans="1:7" ht="18.600000000000001" thickBot="1" x14ac:dyDescent="0.4">
      <c r="A106" s="95" t="s">
        <v>75</v>
      </c>
      <c r="B106" s="113" t="s">
        <v>811</v>
      </c>
      <c r="C106" s="5">
        <f>+IFERROR(VLOOKUP($A106,RAIZ!$A$3:$V$800,MATCH('Suc. La Nueva Canasta'!$F$1,RAIZ!$A$2:$V$2,0),FALSE),0)</f>
        <v>0</v>
      </c>
      <c r="D106" s="5"/>
      <c r="E106" s="5"/>
      <c r="F106" s="5">
        <f t="shared" si="18"/>
        <v>0</v>
      </c>
      <c r="G106" s="5"/>
    </row>
    <row r="107" spans="1:7" ht="18.600000000000001" thickBot="1" x14ac:dyDescent="0.4">
      <c r="A107" s="107" t="s">
        <v>55</v>
      </c>
      <c r="B107" s="111"/>
      <c r="C107" s="81">
        <f>SUM(C93:C106)</f>
        <v>0</v>
      </c>
      <c r="D107" s="56">
        <f>SUM(D93:D106)</f>
        <v>0</v>
      </c>
      <c r="E107" s="56">
        <f>SUM(E93:E106)</f>
        <v>0</v>
      </c>
      <c r="F107" s="71">
        <f>SUM(F93:F106)</f>
        <v>0</v>
      </c>
      <c r="G107" s="56">
        <f>SUM(G93:G106)</f>
        <v>0</v>
      </c>
    </row>
    <row r="108" spans="1:7" x14ac:dyDescent="0.35">
      <c r="A108" s="108" t="s">
        <v>76</v>
      </c>
      <c r="B108" s="111"/>
      <c r="C108" s="72"/>
      <c r="D108" s="35"/>
      <c r="E108" s="35"/>
      <c r="F108" s="35"/>
      <c r="G108" s="35"/>
    </row>
    <row r="109" spans="1:7" x14ac:dyDescent="0.35">
      <c r="A109" s="94" t="s">
        <v>77</v>
      </c>
      <c r="B109" s="113" t="s">
        <v>812</v>
      </c>
      <c r="C109" s="5">
        <f>+IFERROR(VLOOKUP($A109,RAIZ!$A$3:$V$800,MATCH('Suc. La Nueva Canasta'!$F$1,RAIZ!$A$2:$V$2,0),FALSE),0)</f>
        <v>0</v>
      </c>
      <c r="D109" s="5"/>
      <c r="E109" s="5"/>
      <c r="F109" s="5">
        <f t="shared" ref="F109:F115" si="20">IF(D109-C109&gt;=0,D109-C109,0)</f>
        <v>0</v>
      </c>
      <c r="G109" s="5"/>
    </row>
    <row r="110" spans="1:7" x14ac:dyDescent="0.35">
      <c r="A110" s="94" t="s">
        <v>621</v>
      </c>
      <c r="B110" s="113" t="s">
        <v>813</v>
      </c>
      <c r="C110" s="5">
        <f>+IFERROR(VLOOKUP($A110,RAIZ!$A$3:$V$800,MATCH('Suc. La Nueva Canasta'!$F$1,RAIZ!$A$2:$V$2,0),FALSE),0)</f>
        <v>0</v>
      </c>
      <c r="D110" s="5"/>
      <c r="E110" s="5"/>
      <c r="F110" s="5">
        <f t="shared" si="20"/>
        <v>0</v>
      </c>
      <c r="G110" s="5"/>
    </row>
    <row r="111" spans="1:7" x14ac:dyDescent="0.35">
      <c r="A111" s="94" t="s">
        <v>79</v>
      </c>
      <c r="B111" s="113" t="s">
        <v>814</v>
      </c>
      <c r="C111" s="5">
        <f>+IFERROR(VLOOKUP($A111,RAIZ!$A$3:$V$800,MATCH('Suc. La Nueva Canasta'!$F$1,RAIZ!$A$2:$V$2,0),FALSE),0)</f>
        <v>0</v>
      </c>
      <c r="D111" s="5"/>
      <c r="E111" s="5"/>
      <c r="F111" s="5">
        <f t="shared" si="20"/>
        <v>0</v>
      </c>
      <c r="G111" s="5"/>
    </row>
    <row r="112" spans="1:7" x14ac:dyDescent="0.35">
      <c r="A112" s="94" t="s">
        <v>80</v>
      </c>
      <c r="B112" s="113" t="s">
        <v>815</v>
      </c>
      <c r="C112" s="5">
        <f>+IFERROR(VLOOKUP($A112,RAIZ!$A$3:$V$800,MATCH('Suc. La Nueva Canasta'!$F$1,RAIZ!$A$2:$V$2,0),FALSE),0)</f>
        <v>0</v>
      </c>
      <c r="D112" s="5"/>
      <c r="E112" s="5"/>
      <c r="F112" s="5">
        <f t="shared" si="20"/>
        <v>0</v>
      </c>
      <c r="G112" s="5"/>
    </row>
    <row r="113" spans="1:7" x14ac:dyDescent="0.35">
      <c r="A113" s="94" t="s">
        <v>81</v>
      </c>
      <c r="B113" s="113" t="s">
        <v>816</v>
      </c>
      <c r="C113" s="5">
        <f>+IFERROR(VLOOKUP($A113,RAIZ!$A$3:$V$800,MATCH('Suc. La Nueva Canasta'!$F$1,RAIZ!$A$2:$V$2,0),FALSE),0)</f>
        <v>0</v>
      </c>
      <c r="D113" s="5"/>
      <c r="E113" s="5"/>
      <c r="F113" s="5">
        <f t="shared" si="20"/>
        <v>0</v>
      </c>
      <c r="G113" s="5"/>
    </row>
    <row r="114" spans="1:7" x14ac:dyDescent="0.35">
      <c r="A114" s="94" t="s">
        <v>82</v>
      </c>
      <c r="B114" s="113" t="s">
        <v>817</v>
      </c>
      <c r="C114" s="5">
        <f>+IFERROR(VLOOKUP($A114,RAIZ!$A$3:$V$800,MATCH('Suc. La Nueva Canasta'!$F$1,RAIZ!$A$2:$V$2,0),FALSE),0)</f>
        <v>0</v>
      </c>
      <c r="D114" s="5"/>
      <c r="E114" s="5"/>
      <c r="F114" s="5">
        <f t="shared" si="20"/>
        <v>0</v>
      </c>
      <c r="G114" s="5"/>
    </row>
    <row r="115" spans="1:7" ht="18.600000000000001" thickBot="1" x14ac:dyDescent="0.4">
      <c r="A115" s="95" t="s">
        <v>83</v>
      </c>
      <c r="B115" s="113" t="s">
        <v>818</v>
      </c>
      <c r="C115" s="5">
        <f>+IFERROR(VLOOKUP($A115,RAIZ!$A$3:$V$800,MATCH('Suc. La Nueva Canasta'!$F$1,RAIZ!$A$2:$V$2,0),FALSE),0)</f>
        <v>0</v>
      </c>
      <c r="D115" s="5"/>
      <c r="E115" s="5"/>
      <c r="F115" s="5">
        <f t="shared" si="20"/>
        <v>0</v>
      </c>
      <c r="G115" s="5"/>
    </row>
    <row r="116" spans="1:7" ht="18.600000000000001" thickBot="1" x14ac:dyDescent="0.4">
      <c r="A116" s="109" t="s">
        <v>55</v>
      </c>
      <c r="B116" s="111"/>
      <c r="C116" s="82">
        <f>SUM(C109:C115,C117:C119)</f>
        <v>0</v>
      </c>
      <c r="D116" s="58">
        <f>SUM(D109:D115,D117:D119)</f>
        <v>0</v>
      </c>
      <c r="E116" s="58">
        <f>SUM(E109:E115,E117:E119)</f>
        <v>0</v>
      </c>
      <c r="F116" s="73">
        <f>SUM(F109:F115,F117:F119)</f>
        <v>0</v>
      </c>
      <c r="G116" s="58">
        <f>SUM(G109:G115,G117:G119)</f>
        <v>0</v>
      </c>
    </row>
    <row r="117" spans="1:7" x14ac:dyDescent="0.35">
      <c r="A117" s="93" t="s">
        <v>84</v>
      </c>
      <c r="B117" s="113" t="s">
        <v>819</v>
      </c>
      <c r="C117" s="5">
        <f>+IFERROR(VLOOKUP($A117,RAIZ!$A$3:$V$800,MATCH('Suc. La Nueva Canasta'!$F$1,RAIZ!$A$2:$V$2,0),FALSE),0)</f>
        <v>0</v>
      </c>
      <c r="D117" s="5"/>
      <c r="E117" s="5"/>
      <c r="F117" s="5">
        <f t="shared" ref="F117" si="21">IF(D117-C117&gt;=0,D117-C117,0)</f>
        <v>0</v>
      </c>
      <c r="G117" s="5"/>
    </row>
    <row r="118" spans="1:7" x14ac:dyDescent="0.35">
      <c r="A118" s="95" t="s">
        <v>85</v>
      </c>
      <c r="B118" s="113" t="s">
        <v>820</v>
      </c>
      <c r="C118" s="5">
        <f>+IFERROR(VLOOKUP($A118,RAIZ!$A$3:$V$800,MATCH('Suc. La Nueva Canasta'!$F$1,RAIZ!$A$2:$V$2,0),FALSE),0)</f>
        <v>0</v>
      </c>
      <c r="D118" s="5"/>
      <c r="E118" s="5"/>
      <c r="F118" s="5">
        <f t="shared" ref="F118:F168" si="22">IF(D118-C118&gt;=0,D118-C118,0)</f>
        <v>0</v>
      </c>
      <c r="G118" s="5"/>
    </row>
    <row r="119" spans="1:7" ht="18.600000000000001" thickBot="1" x14ac:dyDescent="0.4">
      <c r="A119" s="95" t="s">
        <v>881</v>
      </c>
      <c r="B119" s="113" t="s">
        <v>882</v>
      </c>
      <c r="C119" s="5">
        <f>+IFERROR(VLOOKUP($A119,RAIZ!$A$3:$V$800,MATCH('Suc. La Nueva Canasta'!$F$1,RAIZ!$A$2:$V$2,0),FALSE),0)</f>
        <v>0</v>
      </c>
      <c r="D119" s="5"/>
      <c r="E119" s="5"/>
      <c r="F119" s="5">
        <f t="shared" si="22"/>
        <v>0</v>
      </c>
      <c r="G119" s="5"/>
    </row>
    <row r="120" spans="1:7" ht="18.600000000000001" thickBot="1" x14ac:dyDescent="0.4">
      <c r="A120" s="110" t="s">
        <v>86</v>
      </c>
      <c r="B120" s="111"/>
      <c r="C120" s="83">
        <f>C79+C91+C107+C116</f>
        <v>0</v>
      </c>
      <c r="D120" s="60">
        <f>D79+D91+D107+D116</f>
        <v>0</v>
      </c>
      <c r="E120" s="60">
        <f>E79+E91+E107+E116</f>
        <v>0</v>
      </c>
      <c r="F120" s="74">
        <f>F79+F91+F107+F116</f>
        <v>0</v>
      </c>
      <c r="G120" s="60">
        <f>G79+G91+G107+G116</f>
        <v>0</v>
      </c>
    </row>
    <row r="121" spans="1:7" x14ac:dyDescent="0.35">
      <c r="A121" s="95" t="s">
        <v>322</v>
      </c>
      <c r="B121" s="113" t="s">
        <v>946</v>
      </c>
      <c r="C121" s="5">
        <f>+IFERROR(VLOOKUP($A121,RAIZ!$A$3:$V$800,MATCH('Suc. La Nueva Canasta'!$F$1,RAIZ!$A$2:$V$2,0),FALSE),0)</f>
        <v>0</v>
      </c>
      <c r="D121" s="5"/>
      <c r="E121" s="5"/>
      <c r="F121" s="5">
        <f>IF(D121-C121&gt;=0,D121-C121,0)</f>
        <v>0</v>
      </c>
      <c r="G121" s="5"/>
    </row>
    <row r="122" spans="1:7" x14ac:dyDescent="0.35">
      <c r="A122" s="95"/>
      <c r="B122" s="113"/>
      <c r="C122" s="5">
        <f>+IFERROR(VLOOKUP($A122,RAIZ!$A$3:$V$800,MATCH('Suc. La Nueva Canasta'!$F$1,RAIZ!$A$2:$V$2,0),FALSE),0)</f>
        <v>0</v>
      </c>
      <c r="D122" s="5"/>
      <c r="E122" s="5"/>
      <c r="F122" s="5">
        <f t="shared" si="22"/>
        <v>0</v>
      </c>
      <c r="G122" s="5"/>
    </row>
    <row r="123" spans="1:7" x14ac:dyDescent="0.35">
      <c r="A123" s="95"/>
      <c r="B123" s="113"/>
      <c r="C123" s="5">
        <f>+IFERROR(VLOOKUP($A123,RAIZ!$A$3:$V$800,MATCH('Suc. La Nueva Canasta'!$F$1,RAIZ!$A$2:$V$2,0),FALSE),0)</f>
        <v>0</v>
      </c>
      <c r="D123" s="5"/>
      <c r="E123" s="5"/>
      <c r="F123" s="5">
        <f t="shared" si="22"/>
        <v>0</v>
      </c>
      <c r="G123" s="5"/>
    </row>
    <row r="124" spans="1:7" x14ac:dyDescent="0.35">
      <c r="A124" s="95"/>
      <c r="B124" s="113"/>
      <c r="C124" s="5">
        <f>+IFERROR(VLOOKUP($A124,RAIZ!$A$3:$V$800,MATCH('Suc. La Nueva Canasta'!$F$1,RAIZ!$A$2:$V$2,0),FALSE),0)</f>
        <v>0</v>
      </c>
      <c r="D124" s="5"/>
      <c r="E124" s="5"/>
      <c r="F124" s="5">
        <f t="shared" si="22"/>
        <v>0</v>
      </c>
      <c r="G124" s="5"/>
    </row>
    <row r="125" spans="1:7" x14ac:dyDescent="0.35">
      <c r="A125" s="95"/>
      <c r="B125" s="113"/>
      <c r="C125" s="5">
        <f>+IFERROR(VLOOKUP($A125,RAIZ!$A$3:$V$800,MATCH('Suc. La Nueva Canasta'!$F$1,RAIZ!$A$2:$V$2,0),FALSE),0)</f>
        <v>0</v>
      </c>
      <c r="D125" s="5"/>
      <c r="E125" s="5"/>
      <c r="F125" s="5">
        <f t="shared" si="22"/>
        <v>0</v>
      </c>
      <c r="G125" s="5"/>
    </row>
    <row r="126" spans="1:7" x14ac:dyDescent="0.35">
      <c r="A126" s="95"/>
      <c r="B126" s="113"/>
      <c r="C126" s="5">
        <f>+IFERROR(VLOOKUP($A126,RAIZ!$A$3:$V$800,MATCH('Suc. La Nueva Canasta'!$F$1,RAIZ!$A$2:$V$2,0),FALSE),0)</f>
        <v>0</v>
      </c>
      <c r="D126" s="5"/>
      <c r="E126" s="5"/>
      <c r="F126" s="5">
        <f t="shared" si="22"/>
        <v>0</v>
      </c>
      <c r="G126" s="5"/>
    </row>
    <row r="127" spans="1:7" x14ac:dyDescent="0.35">
      <c r="A127" s="95"/>
      <c r="B127" s="113"/>
      <c r="C127" s="5">
        <f>+IFERROR(VLOOKUP($A127,RAIZ!$A$3:$V$800,MATCH('Suc. La Nueva Canasta'!$F$1,RAIZ!$A$2:$V$2,0),FALSE),0)</f>
        <v>0</v>
      </c>
      <c r="D127" s="5"/>
      <c r="E127" s="5"/>
      <c r="F127" s="5">
        <f t="shared" si="22"/>
        <v>0</v>
      </c>
      <c r="G127" s="5"/>
    </row>
    <row r="128" spans="1:7" x14ac:dyDescent="0.35">
      <c r="A128" s="95"/>
      <c r="B128" s="113"/>
      <c r="C128" s="5">
        <f>+IFERROR(VLOOKUP($A128,RAIZ!$A$3:$V$800,MATCH('Suc. La Nueva Canasta'!$F$1,RAIZ!$A$2:$V$2,0),FALSE),0)</f>
        <v>0</v>
      </c>
      <c r="D128" s="5"/>
      <c r="E128" s="5"/>
      <c r="F128" s="5">
        <f t="shared" si="22"/>
        <v>0</v>
      </c>
      <c r="G128" s="5"/>
    </row>
    <row r="129" spans="1:7" x14ac:dyDescent="0.35">
      <c r="A129" s="95"/>
      <c r="B129" s="113"/>
      <c r="C129" s="5">
        <f>+IFERROR(VLOOKUP($A129,RAIZ!$A$3:$V$800,MATCH('Suc. La Nueva Canasta'!$F$1,RAIZ!$A$2:$V$2,0),FALSE),0)</f>
        <v>0</v>
      </c>
      <c r="D129" s="5"/>
      <c r="E129" s="5"/>
      <c r="F129" s="5">
        <f t="shared" si="22"/>
        <v>0</v>
      </c>
      <c r="G129" s="5"/>
    </row>
    <row r="130" spans="1:7" x14ac:dyDescent="0.35">
      <c r="A130" s="95"/>
      <c r="B130" s="113"/>
      <c r="C130" s="5">
        <f>+IFERROR(VLOOKUP($A130,RAIZ!$A$3:$V$800,MATCH('Suc. La Nueva Canasta'!$F$1,RAIZ!$A$2:$V$2,0),FALSE),0)</f>
        <v>0</v>
      </c>
      <c r="D130" s="5"/>
      <c r="E130" s="5"/>
      <c r="F130" s="5">
        <f t="shared" si="22"/>
        <v>0</v>
      </c>
      <c r="G130" s="5"/>
    </row>
    <row r="131" spans="1:7" x14ac:dyDescent="0.35">
      <c r="A131" s="95"/>
      <c r="B131" s="113"/>
      <c r="C131" s="5">
        <f>+IFERROR(VLOOKUP($A131,RAIZ!$A$3:$V$800,MATCH('Suc. La Nueva Canasta'!$F$1,RAIZ!$A$2:$V$2,0),FALSE),0)</f>
        <v>0</v>
      </c>
      <c r="D131" s="5"/>
      <c r="E131" s="5"/>
      <c r="F131" s="5">
        <f t="shared" si="22"/>
        <v>0</v>
      </c>
      <c r="G131" s="5"/>
    </row>
    <row r="132" spans="1:7" x14ac:dyDescent="0.35">
      <c r="A132" s="95"/>
      <c r="B132" s="113"/>
      <c r="C132" s="5">
        <f>+IFERROR(VLOOKUP($A132,RAIZ!$A$3:$V$800,MATCH('Suc. La Nueva Canasta'!$F$1,RAIZ!$A$2:$V$2,0),FALSE),0)</f>
        <v>0</v>
      </c>
      <c r="D132" s="5"/>
      <c r="E132" s="5"/>
      <c r="F132" s="5">
        <f t="shared" si="22"/>
        <v>0</v>
      </c>
      <c r="G132" s="5"/>
    </row>
    <row r="133" spans="1:7" x14ac:dyDescent="0.35">
      <c r="A133" s="95"/>
      <c r="B133" s="113"/>
      <c r="C133" s="5">
        <f>+IFERROR(VLOOKUP($A133,RAIZ!$A$3:$V$800,MATCH('Suc. La Nueva Canasta'!$F$1,RAIZ!$A$2:$V$2,0),FALSE),0)</f>
        <v>0</v>
      </c>
      <c r="D133" s="5"/>
      <c r="E133" s="5"/>
      <c r="F133" s="5">
        <f t="shared" si="22"/>
        <v>0</v>
      </c>
      <c r="G133" s="5"/>
    </row>
    <row r="134" spans="1:7" x14ac:dyDescent="0.35">
      <c r="A134" s="95"/>
      <c r="B134" s="113"/>
      <c r="C134" s="5">
        <f>+IFERROR(VLOOKUP($A134,RAIZ!$A$3:$V$800,MATCH('Suc. La Nueva Canasta'!$F$1,RAIZ!$A$2:$V$2,0),FALSE),0)</f>
        <v>0</v>
      </c>
      <c r="D134" s="5"/>
      <c r="E134" s="5"/>
      <c r="F134" s="5">
        <f t="shared" si="22"/>
        <v>0</v>
      </c>
      <c r="G134" s="5"/>
    </row>
    <row r="135" spans="1:7" x14ac:dyDescent="0.35">
      <c r="A135" s="95"/>
      <c r="B135" s="113"/>
      <c r="C135" s="5">
        <f>+IFERROR(VLOOKUP($A135,RAIZ!$A$3:$V$800,MATCH('Suc. La Nueva Canasta'!$F$1,RAIZ!$A$2:$V$2,0),FALSE),0)</f>
        <v>0</v>
      </c>
      <c r="D135" s="5"/>
      <c r="E135" s="5"/>
      <c r="F135" s="5">
        <f t="shared" si="22"/>
        <v>0</v>
      </c>
      <c r="G135" s="5"/>
    </row>
    <row r="136" spans="1:7" x14ac:dyDescent="0.35">
      <c r="A136" s="95"/>
      <c r="B136" s="113"/>
      <c r="C136" s="5">
        <f>+IFERROR(VLOOKUP($A136,RAIZ!$A$3:$V$800,MATCH('Suc. La Nueva Canasta'!$F$1,RAIZ!$A$2:$V$2,0),FALSE),0)</f>
        <v>0</v>
      </c>
      <c r="D136" s="5"/>
      <c r="E136" s="5"/>
      <c r="F136" s="5">
        <f t="shared" si="22"/>
        <v>0</v>
      </c>
      <c r="G136" s="5"/>
    </row>
    <row r="137" spans="1:7" x14ac:dyDescent="0.35">
      <c r="A137" s="95"/>
      <c r="B137" s="113"/>
      <c r="C137" s="5">
        <f>+IFERROR(VLOOKUP($A137,RAIZ!$A$3:$V$800,MATCH('Suc. La Nueva Canasta'!$F$1,RAIZ!$A$2:$V$2,0),FALSE),0)</f>
        <v>0</v>
      </c>
      <c r="D137" s="5"/>
      <c r="E137" s="5"/>
      <c r="F137" s="5">
        <f t="shared" si="22"/>
        <v>0</v>
      </c>
      <c r="G137" s="5"/>
    </row>
    <row r="138" spans="1:7" x14ac:dyDescent="0.35">
      <c r="A138" s="95"/>
      <c r="B138" s="113"/>
      <c r="C138" s="5">
        <f>+IFERROR(VLOOKUP($A138,RAIZ!$A$3:$V$800,MATCH('Suc. La Nueva Canasta'!$F$1,RAIZ!$A$2:$V$2,0),FALSE),0)</f>
        <v>0</v>
      </c>
      <c r="D138" s="5"/>
      <c r="E138" s="5"/>
      <c r="F138" s="5">
        <f t="shared" si="22"/>
        <v>0</v>
      </c>
      <c r="G138" s="5"/>
    </row>
    <row r="139" spans="1:7" x14ac:dyDescent="0.35">
      <c r="A139" s="95"/>
      <c r="B139" s="113"/>
      <c r="C139" s="5">
        <f>+IFERROR(VLOOKUP($A139,RAIZ!$A$3:$V$800,MATCH('Suc. La Nueva Canasta'!$F$1,RAIZ!$A$2:$V$2,0),FALSE),0)</f>
        <v>0</v>
      </c>
      <c r="D139" s="5"/>
      <c r="E139" s="5"/>
      <c r="F139" s="5">
        <f t="shared" si="22"/>
        <v>0</v>
      </c>
      <c r="G139" s="5"/>
    </row>
    <row r="140" spans="1:7" x14ac:dyDescent="0.35">
      <c r="A140" s="95"/>
      <c r="B140" s="113"/>
      <c r="C140" s="5">
        <f>+IFERROR(VLOOKUP($A140,RAIZ!$A$3:$V$800,MATCH('Suc. La Nueva Canasta'!$F$1,RAIZ!$A$2:$V$2,0),FALSE),0)</f>
        <v>0</v>
      </c>
      <c r="D140" s="5"/>
      <c r="E140" s="5"/>
      <c r="F140" s="5">
        <f t="shared" si="22"/>
        <v>0</v>
      </c>
      <c r="G140" s="5"/>
    </row>
    <row r="141" spans="1:7" x14ac:dyDescent="0.35">
      <c r="A141" s="95"/>
      <c r="B141" s="113"/>
      <c r="C141" s="5">
        <f>+IFERROR(VLOOKUP($A141,RAIZ!$A$3:$V$800,MATCH('Suc. La Nueva Canasta'!$F$1,RAIZ!$A$2:$V$2,0),FALSE),0)</f>
        <v>0</v>
      </c>
      <c r="D141" s="5"/>
      <c r="E141" s="5"/>
      <c r="F141" s="5">
        <f t="shared" si="22"/>
        <v>0</v>
      </c>
      <c r="G141" s="5"/>
    </row>
    <row r="142" spans="1:7" x14ac:dyDescent="0.35">
      <c r="A142" s="95"/>
      <c r="B142" s="113"/>
      <c r="C142" s="5">
        <f>+IFERROR(VLOOKUP($A142,RAIZ!$A$3:$V$800,MATCH('Suc. La Nueva Canasta'!$F$1,RAIZ!$A$2:$V$2,0),FALSE),0)</f>
        <v>0</v>
      </c>
      <c r="D142" s="5"/>
      <c r="E142" s="5"/>
      <c r="F142" s="5">
        <f t="shared" si="22"/>
        <v>0</v>
      </c>
      <c r="G142" s="5"/>
    </row>
    <row r="143" spans="1:7" x14ac:dyDescent="0.35">
      <c r="A143" s="95"/>
      <c r="B143" s="113"/>
      <c r="C143" s="5">
        <f>+IFERROR(VLOOKUP($A143,RAIZ!$A$3:$V$800,MATCH('Suc. La Nueva Canasta'!$F$1,RAIZ!$A$2:$V$2,0),FALSE),0)</f>
        <v>0</v>
      </c>
      <c r="D143" s="5"/>
      <c r="E143" s="5"/>
      <c r="F143" s="5">
        <f t="shared" si="22"/>
        <v>0</v>
      </c>
      <c r="G143" s="5"/>
    </row>
    <row r="144" spans="1:7" x14ac:dyDescent="0.35">
      <c r="A144" s="95"/>
      <c r="B144" s="113"/>
      <c r="C144" s="5">
        <f>+IFERROR(VLOOKUP($A144,RAIZ!$A$3:$V$800,MATCH('Suc. La Nueva Canasta'!$F$1,RAIZ!$A$2:$V$2,0),FALSE),0)</f>
        <v>0</v>
      </c>
      <c r="D144" s="5"/>
      <c r="E144" s="5"/>
      <c r="F144" s="5">
        <f t="shared" si="22"/>
        <v>0</v>
      </c>
      <c r="G144" s="5"/>
    </row>
    <row r="145" spans="1:7" x14ac:dyDescent="0.35">
      <c r="A145" s="95"/>
      <c r="B145" s="113"/>
      <c r="C145" s="5">
        <f>+IFERROR(VLOOKUP($A145,RAIZ!$A$3:$V$800,MATCH('Suc. La Nueva Canasta'!$F$1,RAIZ!$A$2:$V$2,0),FALSE),0)</f>
        <v>0</v>
      </c>
      <c r="D145" s="5"/>
      <c r="E145" s="5"/>
      <c r="F145" s="5">
        <f t="shared" si="22"/>
        <v>0</v>
      </c>
      <c r="G145" s="5"/>
    </row>
    <row r="146" spans="1:7" x14ac:dyDescent="0.35">
      <c r="A146" s="95"/>
      <c r="B146" s="113"/>
      <c r="C146" s="5">
        <f>+IFERROR(VLOOKUP($A146,RAIZ!$A$3:$V$800,MATCH('Suc. La Nueva Canasta'!$F$1,RAIZ!$A$2:$V$2,0),FALSE),0)</f>
        <v>0</v>
      </c>
      <c r="D146" s="5"/>
      <c r="E146" s="5"/>
      <c r="F146" s="5">
        <f t="shared" si="22"/>
        <v>0</v>
      </c>
      <c r="G146" s="5"/>
    </row>
    <row r="147" spans="1:7" x14ac:dyDescent="0.35">
      <c r="A147" s="95"/>
      <c r="B147" s="113"/>
      <c r="C147" s="5">
        <f>+IFERROR(VLOOKUP($A147,RAIZ!$A$3:$V$800,MATCH('Suc. La Nueva Canasta'!$F$1,RAIZ!$A$2:$V$2,0),FALSE),0)</f>
        <v>0</v>
      </c>
      <c r="D147" s="5"/>
      <c r="E147" s="5"/>
      <c r="F147" s="5">
        <f t="shared" si="22"/>
        <v>0</v>
      </c>
      <c r="G147" s="5"/>
    </row>
    <row r="148" spans="1:7" x14ac:dyDescent="0.35">
      <c r="A148" s="95"/>
      <c r="B148" s="113"/>
      <c r="C148" s="5">
        <f>+IFERROR(VLOOKUP($A148,RAIZ!$A$3:$V$800,MATCH('Suc. La Nueva Canasta'!$F$1,RAIZ!$A$2:$V$2,0),FALSE),0)</f>
        <v>0</v>
      </c>
      <c r="D148" s="5"/>
      <c r="E148" s="5"/>
      <c r="F148" s="5">
        <f t="shared" si="22"/>
        <v>0</v>
      </c>
      <c r="G148" s="5"/>
    </row>
    <row r="149" spans="1:7" x14ac:dyDescent="0.35">
      <c r="A149" s="95"/>
      <c r="B149" s="113"/>
      <c r="C149" s="5">
        <f>+IFERROR(VLOOKUP($A149,RAIZ!$A$3:$V$800,MATCH('Suc. La Nueva Canasta'!$F$1,RAIZ!$A$2:$V$2,0),FALSE),0)</f>
        <v>0</v>
      </c>
      <c r="D149" s="5"/>
      <c r="E149" s="5"/>
      <c r="F149" s="5">
        <f t="shared" si="22"/>
        <v>0</v>
      </c>
      <c r="G149" s="5"/>
    </row>
    <row r="150" spans="1:7" x14ac:dyDescent="0.35">
      <c r="A150" s="95"/>
      <c r="B150" s="113"/>
      <c r="C150" s="5">
        <f>+IFERROR(VLOOKUP($A150,RAIZ!$A$3:$V$800,MATCH('Suc. La Nueva Canasta'!$F$1,RAIZ!$A$2:$V$2,0),FALSE),0)</f>
        <v>0</v>
      </c>
      <c r="D150" s="5"/>
      <c r="E150" s="5"/>
      <c r="F150" s="5">
        <f t="shared" si="22"/>
        <v>0</v>
      </c>
      <c r="G150" s="5"/>
    </row>
    <row r="151" spans="1:7" x14ac:dyDescent="0.35">
      <c r="A151" s="95"/>
      <c r="B151" s="113"/>
      <c r="C151" s="5">
        <f>+IFERROR(VLOOKUP($A151,RAIZ!$A$3:$V$800,MATCH('Suc. La Nueva Canasta'!$F$1,RAIZ!$A$2:$V$2,0),FALSE),0)</f>
        <v>0</v>
      </c>
      <c r="D151" s="5"/>
      <c r="E151" s="5"/>
      <c r="F151" s="5">
        <f t="shared" si="22"/>
        <v>0</v>
      </c>
      <c r="G151" s="5"/>
    </row>
    <row r="152" spans="1:7" x14ac:dyDescent="0.35">
      <c r="A152" s="95"/>
      <c r="B152" s="113"/>
      <c r="C152" s="5">
        <f>+IFERROR(VLOOKUP($A152,RAIZ!$A$3:$V$800,MATCH('Suc. La Nueva Canasta'!$F$1,RAIZ!$A$2:$V$2,0),FALSE),0)</f>
        <v>0</v>
      </c>
      <c r="D152" s="5"/>
      <c r="E152" s="5"/>
      <c r="F152" s="5">
        <f t="shared" si="22"/>
        <v>0</v>
      </c>
      <c r="G152" s="5"/>
    </row>
    <row r="153" spans="1:7" x14ac:dyDescent="0.35">
      <c r="A153" s="95"/>
      <c r="B153" s="113"/>
      <c r="C153" s="5">
        <f>+IFERROR(VLOOKUP($A153,RAIZ!$A$3:$V$800,MATCH('Suc. La Nueva Canasta'!$F$1,RAIZ!$A$2:$V$2,0),FALSE),0)</f>
        <v>0</v>
      </c>
      <c r="D153" s="5"/>
      <c r="E153" s="5"/>
      <c r="F153" s="5">
        <f t="shared" si="22"/>
        <v>0</v>
      </c>
      <c r="G153" s="5"/>
    </row>
    <row r="154" spans="1:7" x14ac:dyDescent="0.35">
      <c r="A154" s="95"/>
      <c r="B154" s="113"/>
      <c r="C154" s="5">
        <f>+IFERROR(VLOOKUP($A154,RAIZ!$A$3:$V$800,MATCH('Suc. La Nueva Canasta'!$F$1,RAIZ!$A$2:$V$2,0),FALSE),0)</f>
        <v>0</v>
      </c>
      <c r="D154" s="5"/>
      <c r="E154" s="5"/>
      <c r="F154" s="5">
        <f t="shared" si="22"/>
        <v>0</v>
      </c>
      <c r="G154" s="5"/>
    </row>
    <row r="155" spans="1:7" x14ac:dyDescent="0.35">
      <c r="A155" s="95"/>
      <c r="B155" s="113"/>
      <c r="C155" s="5">
        <f>+IFERROR(VLOOKUP($A155,RAIZ!$A$3:$V$800,MATCH('Suc. La Nueva Canasta'!$F$1,RAIZ!$A$2:$V$2,0),FALSE),0)</f>
        <v>0</v>
      </c>
      <c r="D155" s="5"/>
      <c r="E155" s="5"/>
      <c r="F155" s="5">
        <f t="shared" si="22"/>
        <v>0</v>
      </c>
      <c r="G155" s="5"/>
    </row>
    <row r="156" spans="1:7" x14ac:dyDescent="0.35">
      <c r="A156" s="95"/>
      <c r="B156" s="113"/>
      <c r="C156" s="5">
        <f>+IFERROR(VLOOKUP($A156,RAIZ!$A$3:$V$800,MATCH('Suc. La Nueva Canasta'!$F$1,RAIZ!$A$2:$V$2,0),FALSE),0)</f>
        <v>0</v>
      </c>
      <c r="D156" s="5"/>
      <c r="E156" s="5"/>
      <c r="F156" s="5">
        <f t="shared" si="22"/>
        <v>0</v>
      </c>
      <c r="G156" s="5"/>
    </row>
    <row r="157" spans="1:7" x14ac:dyDescent="0.35">
      <c r="A157" s="95"/>
      <c r="B157" s="113"/>
      <c r="C157" s="5">
        <f>+IFERROR(VLOOKUP($A157,RAIZ!$A$3:$V$800,MATCH('Suc. La Nueva Canasta'!$F$1,RAIZ!$A$2:$V$2,0),FALSE),0)</f>
        <v>0</v>
      </c>
      <c r="D157" s="5"/>
      <c r="E157" s="5"/>
      <c r="F157" s="5">
        <f t="shared" si="22"/>
        <v>0</v>
      </c>
      <c r="G157" s="5"/>
    </row>
    <row r="158" spans="1:7" x14ac:dyDescent="0.35">
      <c r="A158" s="95"/>
      <c r="B158" s="113"/>
      <c r="C158" s="5">
        <f>+IFERROR(VLOOKUP($A158,RAIZ!$A$3:$V$800,MATCH('Suc. La Nueva Canasta'!$F$1,RAIZ!$A$2:$V$2,0),FALSE),0)</f>
        <v>0</v>
      </c>
      <c r="D158" s="5"/>
      <c r="E158" s="5"/>
      <c r="F158" s="5">
        <f t="shared" si="22"/>
        <v>0</v>
      </c>
      <c r="G158" s="5"/>
    </row>
    <row r="159" spans="1:7" x14ac:dyDescent="0.35">
      <c r="A159" s="95"/>
      <c r="B159" s="113"/>
      <c r="C159" s="5">
        <f>+IFERROR(VLOOKUP($A159,RAIZ!$A$3:$V$800,MATCH('Suc. La Nueva Canasta'!$F$1,RAIZ!$A$2:$V$2,0),FALSE),0)</f>
        <v>0</v>
      </c>
      <c r="D159" s="5"/>
      <c r="E159" s="5"/>
      <c r="F159" s="5">
        <f t="shared" si="22"/>
        <v>0</v>
      </c>
      <c r="G159" s="5"/>
    </row>
    <row r="160" spans="1:7" x14ac:dyDescent="0.35">
      <c r="A160" s="95"/>
      <c r="B160" s="113"/>
      <c r="C160" s="5">
        <f>+IFERROR(VLOOKUP($A160,RAIZ!$A$3:$V$800,MATCH('Suc. La Nueva Canasta'!$F$1,RAIZ!$A$2:$V$2,0),FALSE),0)</f>
        <v>0</v>
      </c>
      <c r="D160" s="5"/>
      <c r="E160" s="5"/>
      <c r="F160" s="5">
        <f t="shared" si="22"/>
        <v>0</v>
      </c>
      <c r="G160" s="5"/>
    </row>
    <row r="161" spans="1:7" x14ac:dyDescent="0.35">
      <c r="A161" s="95"/>
      <c r="B161" s="113"/>
      <c r="C161" s="5">
        <f>+IFERROR(VLOOKUP($A161,RAIZ!$A$3:$V$800,MATCH('Suc. La Nueva Canasta'!$F$1,RAIZ!$A$2:$V$2,0),FALSE),0)</f>
        <v>0</v>
      </c>
      <c r="D161" s="5"/>
      <c r="E161" s="5"/>
      <c r="F161" s="5">
        <f t="shared" si="22"/>
        <v>0</v>
      </c>
      <c r="G161" s="5"/>
    </row>
    <row r="162" spans="1:7" x14ac:dyDescent="0.35">
      <c r="A162" s="95"/>
      <c r="B162" s="113"/>
      <c r="C162" s="5">
        <f>+IFERROR(VLOOKUP($A162,RAIZ!$A$3:$V$800,MATCH('Suc. La Nueva Canasta'!$F$1,RAIZ!$A$2:$V$2,0),FALSE),0)</f>
        <v>0</v>
      </c>
      <c r="D162" s="5"/>
      <c r="E162" s="5"/>
      <c r="F162" s="5">
        <f t="shared" si="22"/>
        <v>0</v>
      </c>
      <c r="G162" s="5"/>
    </row>
    <row r="163" spans="1:7" x14ac:dyDescent="0.35">
      <c r="A163" s="95"/>
      <c r="B163" s="113"/>
      <c r="C163" s="5">
        <f>+IFERROR(VLOOKUP($A163,RAIZ!$A$3:$V$800,MATCH('Suc. La Nueva Canasta'!$F$1,RAIZ!$A$2:$V$2,0),FALSE),0)</f>
        <v>0</v>
      </c>
      <c r="D163" s="5"/>
      <c r="E163" s="5"/>
      <c r="F163" s="5">
        <f t="shared" si="22"/>
        <v>0</v>
      </c>
      <c r="G163" s="5"/>
    </row>
    <row r="164" spans="1:7" x14ac:dyDescent="0.35">
      <c r="A164" s="95"/>
      <c r="B164" s="113"/>
      <c r="C164" s="5">
        <f>+IFERROR(VLOOKUP($A164,RAIZ!$A$3:$V$800,MATCH('Suc. La Nueva Canasta'!$F$1,RAIZ!$A$2:$V$2,0),FALSE),0)</f>
        <v>0</v>
      </c>
      <c r="D164" s="5"/>
      <c r="E164" s="5"/>
      <c r="F164" s="5">
        <f t="shared" si="22"/>
        <v>0</v>
      </c>
      <c r="G164" s="5"/>
    </row>
    <row r="165" spans="1:7" x14ac:dyDescent="0.35">
      <c r="A165" s="95"/>
      <c r="B165" s="113"/>
      <c r="C165" s="5">
        <f>+IFERROR(VLOOKUP($A165,RAIZ!$A$3:$V$800,MATCH('Suc. La Nueva Canasta'!$F$1,RAIZ!$A$2:$V$2,0),FALSE),0)</f>
        <v>0</v>
      </c>
      <c r="D165" s="5"/>
      <c r="E165" s="5"/>
      <c r="F165" s="5">
        <f t="shared" si="22"/>
        <v>0</v>
      </c>
      <c r="G165" s="5"/>
    </row>
    <row r="166" spans="1:7" x14ac:dyDescent="0.35">
      <c r="A166" s="95"/>
      <c r="B166" s="113"/>
      <c r="C166" s="5">
        <f>+IFERROR(VLOOKUP($A166,RAIZ!$A$3:$V$800,MATCH('Suc. Vistas'!$F$1,RAIZ!$A$2:$V$2,0),FALSE),0)</f>
        <v>0</v>
      </c>
      <c r="D166" s="5"/>
      <c r="E166" s="5"/>
      <c r="F166" s="5">
        <f t="shared" si="22"/>
        <v>0</v>
      </c>
      <c r="G166" s="5"/>
    </row>
    <row r="167" spans="1:7" x14ac:dyDescent="0.35">
      <c r="A167" s="95"/>
      <c r="B167" s="113"/>
      <c r="C167" s="5">
        <f>+IFERROR(VLOOKUP($A167,RAIZ!$A$3:$V$800,MATCH('Suc. La Nueva Canasta'!$F$1,RAIZ!$A$2:$V$2,0),FALSE),0)</f>
        <v>0</v>
      </c>
      <c r="D167" s="5"/>
      <c r="E167" s="5"/>
      <c r="F167" s="5">
        <f t="shared" si="22"/>
        <v>0</v>
      </c>
      <c r="G167" s="5"/>
    </row>
    <row r="168" spans="1:7" ht="18.600000000000001" thickBot="1" x14ac:dyDescent="0.4">
      <c r="A168" s="95"/>
      <c r="B168" s="113"/>
      <c r="C168" s="5">
        <f>+IFERROR(VLOOKUP($A168,RAIZ!$A$3:$V$800,MATCH('Suc. La Nueva Canasta'!$F$1,RAIZ!$A$2:$V$2,0),FALSE),0)</f>
        <v>0</v>
      </c>
      <c r="D168" s="5"/>
      <c r="E168" s="5"/>
      <c r="F168" s="5">
        <f t="shared" si="22"/>
        <v>0</v>
      </c>
      <c r="G168" s="5"/>
    </row>
    <row r="169" spans="1:7" thickBot="1" x14ac:dyDescent="0.4">
      <c r="A169" s="109"/>
      <c r="B169" s="109"/>
      <c r="C169" s="82">
        <f>SUM(C121:C168,)</f>
        <v>0</v>
      </c>
      <c r="D169" s="82">
        <f>SUM(D121:D168,)</f>
        <v>0</v>
      </c>
      <c r="E169" s="82">
        <f>SUM(E121:E168,)</f>
        <v>0</v>
      </c>
      <c r="F169" s="82">
        <f>SUM(F121:F168,)</f>
        <v>0</v>
      </c>
      <c r="G169" s="82">
        <f>SUM(G121:G168,)</f>
        <v>0</v>
      </c>
    </row>
    <row r="170" spans="1:7" ht="18.600000000000001" thickBot="1" x14ac:dyDescent="0.4">
      <c r="A170" s="110" t="s">
        <v>86</v>
      </c>
      <c r="B170" s="111"/>
      <c r="C170" s="83">
        <f>C169+C120</f>
        <v>0</v>
      </c>
      <c r="D170" s="83">
        <f t="shared" ref="D170:E170" si="23">D169+D120</f>
        <v>0</v>
      </c>
      <c r="E170" s="83">
        <f t="shared" si="23"/>
        <v>0</v>
      </c>
      <c r="F170" s="83">
        <f t="shared" ref="F170:G170" si="24">F169+F120</f>
        <v>0</v>
      </c>
      <c r="G170" s="83">
        <f t="shared" si="24"/>
        <v>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221B9AC-26B7-4FEE-B345-FCED56B27950}">
          <x14:formula1>
            <xm:f>Hoja1!$C$2:$C$9</xm:f>
          </x14:formula1>
          <xm:sqref>H2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1DED6-5A41-4B6B-9FAE-58577FBC46EA}">
  <sheetPr codeName="Hoja14">
    <tabColor rgb="FFFFFF00"/>
  </sheetPr>
  <dimension ref="A1:L150"/>
  <sheetViews>
    <sheetView zoomScale="80" zoomScaleNormal="80" workbookViewId="0">
      <pane xSplit="2" ySplit="2" topLeftCell="G50" activePane="bottomRight" state="frozen"/>
      <selection activeCell="I134" sqref="I134"/>
      <selection pane="topRight" activeCell="I134" sqref="I134"/>
      <selection pane="bottomLeft" activeCell="I134" sqref="I134"/>
      <selection pane="bottomRight" activeCell="G68" sqref="G68"/>
    </sheetView>
  </sheetViews>
  <sheetFormatPr baseColWidth="10" defaultRowHeight="18" x14ac:dyDescent="0.35"/>
  <cols>
    <col min="1" max="1" width="55.6640625" customWidth="1"/>
    <col min="2" max="2" width="7.6640625" style="91" bestFit="1" customWidth="1"/>
    <col min="3" max="3" width="14" bestFit="1" customWidth="1"/>
    <col min="4" max="5" width="15" style="84" customWidth="1"/>
    <col min="6" max="6" width="14.5546875" customWidth="1"/>
    <col min="10" max="10" width="11.33203125" style="84"/>
  </cols>
  <sheetData>
    <row r="1" spans="1:12" ht="18.600000000000001" thickBot="1" x14ac:dyDescent="0.4">
      <c r="A1" s="1">
        <f>RAIZ!B1</f>
        <v>46301</v>
      </c>
      <c r="C1" s="2"/>
      <c r="D1" s="2" t="s">
        <v>702</v>
      </c>
      <c r="E1" s="2"/>
      <c r="F1" s="2" t="s">
        <v>100</v>
      </c>
      <c r="H1" t="s">
        <v>748</v>
      </c>
    </row>
    <row r="2" spans="1:12" ht="31.8" thickBot="1" x14ac:dyDescent="0.35">
      <c r="A2" s="90" t="s">
        <v>0</v>
      </c>
      <c r="B2" s="92" t="s">
        <v>755</v>
      </c>
      <c r="C2" s="39" t="s">
        <v>703</v>
      </c>
      <c r="D2" s="40" t="s">
        <v>704</v>
      </c>
      <c r="E2" s="88" t="s">
        <v>726</v>
      </c>
      <c r="F2" s="41" t="s">
        <v>705</v>
      </c>
      <c r="G2" s="62" t="s">
        <v>725</v>
      </c>
      <c r="H2" s="87"/>
      <c r="I2" s="85"/>
      <c r="K2" s="85"/>
      <c r="L2" s="85"/>
    </row>
    <row r="3" spans="1:12" ht="18.75" customHeight="1" x14ac:dyDescent="0.35">
      <c r="A3" s="93" t="s">
        <v>1</v>
      </c>
      <c r="B3" s="112" t="s">
        <v>756</v>
      </c>
      <c r="C3" s="5">
        <f>+IFERROR(VLOOKUP($A3,RAIZ!$A$3:$X$1500,MATCH('LALO VARAS'!$F$1,RAIZ!$A$2:$X$2,0),FALSE),0)</f>
        <v>1</v>
      </c>
      <c r="D3" s="4">
        <v>1</v>
      </c>
      <c r="E3" s="5"/>
      <c r="F3" s="5">
        <f>IF(D3-C3&gt;=0,D3-C3,0)</f>
        <v>0</v>
      </c>
      <c r="G3" s="5"/>
      <c r="I3" s="86"/>
      <c r="K3" s="86"/>
      <c r="L3" s="85"/>
    </row>
    <row r="4" spans="1:12" ht="18.75" customHeight="1" x14ac:dyDescent="0.35">
      <c r="A4" s="93" t="s">
        <v>2</v>
      </c>
      <c r="B4" s="112" t="s">
        <v>865</v>
      </c>
      <c r="C4" s="5">
        <f>+IFERROR(VLOOKUP($A4,RAIZ!$A$3:$X$1500,MATCH('LALO VARAS'!$F$1,RAIZ!$A$2:$X$2,0),FALSE),0)</f>
        <v>3</v>
      </c>
      <c r="D4" s="4">
        <v>4</v>
      </c>
      <c r="E4" s="5"/>
      <c r="F4" s="5">
        <f>IF(D4-C4&gt;=0,D4-C4,0)</f>
        <v>1</v>
      </c>
      <c r="G4" s="5">
        <v>1</v>
      </c>
      <c r="I4" s="86"/>
      <c r="K4" s="86"/>
      <c r="L4" s="85"/>
    </row>
    <row r="5" spans="1:12" ht="18.75" customHeight="1" x14ac:dyDescent="0.35">
      <c r="A5" s="93" t="s">
        <v>3</v>
      </c>
      <c r="B5" s="112" t="s">
        <v>757</v>
      </c>
      <c r="C5" s="5">
        <f>+IFERROR(VLOOKUP($A5,RAIZ!$A$3:$X$1500,MATCH('LALO VARAS'!$F$1,RAIZ!$A$2:$X$2,0),FALSE),0)</f>
        <v>3</v>
      </c>
      <c r="D5" s="7">
        <v>4</v>
      </c>
      <c r="E5" s="5"/>
      <c r="F5" s="5">
        <f t="shared" ref="F5:F10" si="0">IF(D5-C5&gt;=0,D5-C5,0)</f>
        <v>1</v>
      </c>
      <c r="G5" s="5">
        <v>4</v>
      </c>
      <c r="I5" s="86"/>
      <c r="K5" s="86"/>
      <c r="L5" s="85"/>
    </row>
    <row r="6" spans="1:12" ht="18.75" customHeight="1" x14ac:dyDescent="0.35">
      <c r="A6" s="93" t="s">
        <v>4</v>
      </c>
      <c r="B6" s="112" t="s">
        <v>758</v>
      </c>
      <c r="C6" s="5">
        <f>+IFERROR(VLOOKUP($A6,RAIZ!$A$3:$X$1500,MATCH('LALO VARAS'!$F$1,RAIZ!$A$2:$X$2,0),FALSE),0)</f>
        <v>3</v>
      </c>
      <c r="D6" s="7">
        <v>4</v>
      </c>
      <c r="E6" s="5"/>
      <c r="F6" s="5">
        <f t="shared" si="0"/>
        <v>1</v>
      </c>
      <c r="G6" s="5">
        <v>2</v>
      </c>
      <c r="I6" s="86"/>
      <c r="K6" s="86"/>
      <c r="L6" s="85"/>
    </row>
    <row r="7" spans="1:12" ht="18.75" customHeight="1" x14ac:dyDescent="0.35">
      <c r="A7" s="93" t="s">
        <v>5</v>
      </c>
      <c r="B7" s="112" t="s">
        <v>759</v>
      </c>
      <c r="C7" s="5">
        <f>+IFERROR(VLOOKUP($A7,RAIZ!$A$3:$X$1500,MATCH('LALO VARAS'!$F$1,RAIZ!$A$2:$X$2,0),FALSE),0)</f>
        <v>2</v>
      </c>
      <c r="D7" s="7">
        <v>4</v>
      </c>
      <c r="E7" s="5"/>
      <c r="F7" s="5">
        <f t="shared" si="0"/>
        <v>2</v>
      </c>
      <c r="G7" s="5"/>
      <c r="I7" s="86"/>
      <c r="K7" s="86"/>
      <c r="L7" s="85"/>
    </row>
    <row r="8" spans="1:12" ht="18.75" customHeight="1" x14ac:dyDescent="0.35">
      <c r="A8" s="93" t="s">
        <v>6</v>
      </c>
      <c r="B8" s="112" t="s">
        <v>760</v>
      </c>
      <c r="C8" s="5">
        <f>+IFERROR(VLOOKUP($A8,RAIZ!$A$3:$X$1500,MATCH('LALO VARAS'!$F$1,RAIZ!$A$2:$X$2,0),FALSE),0)</f>
        <v>2</v>
      </c>
      <c r="D8" s="7">
        <v>5</v>
      </c>
      <c r="E8" s="5"/>
      <c r="F8" s="5">
        <f t="shared" si="0"/>
        <v>3</v>
      </c>
      <c r="G8" s="5">
        <v>4</v>
      </c>
      <c r="I8" s="86"/>
      <c r="K8" s="86"/>
      <c r="L8" s="85"/>
    </row>
    <row r="9" spans="1:12" ht="18.75" customHeight="1" x14ac:dyDescent="0.35">
      <c r="A9" s="93" t="s">
        <v>7</v>
      </c>
      <c r="B9" s="112" t="s">
        <v>761</v>
      </c>
      <c r="C9" s="5">
        <f>+IFERROR(VLOOKUP($A9,RAIZ!$A$3:$X$1500,MATCH('LALO VARAS'!$F$1,RAIZ!$A$2:$X$2,0),FALSE),0)</f>
        <v>2</v>
      </c>
      <c r="D9" s="7">
        <v>4</v>
      </c>
      <c r="E9" s="5"/>
      <c r="F9" s="5">
        <f t="shared" si="0"/>
        <v>2</v>
      </c>
      <c r="G9" s="5"/>
      <c r="I9" s="86"/>
      <c r="K9" s="86"/>
      <c r="L9" s="85"/>
    </row>
    <row r="10" spans="1:12" ht="18.75" customHeight="1" x14ac:dyDescent="0.35">
      <c r="A10" s="93" t="s">
        <v>8</v>
      </c>
      <c r="B10" s="112" t="s">
        <v>762</v>
      </c>
      <c r="C10" s="5">
        <f>+IFERROR(VLOOKUP($A10,RAIZ!$A$3:$X$1500,MATCH('LALO VARAS'!$F$1,RAIZ!$A$2:$X$2,0),FALSE),0)</f>
        <v>2</v>
      </c>
      <c r="D10" s="7">
        <v>4</v>
      </c>
      <c r="E10" s="5"/>
      <c r="F10" s="5">
        <f t="shared" si="0"/>
        <v>2</v>
      </c>
      <c r="G10" s="5">
        <v>4</v>
      </c>
      <c r="I10" s="86"/>
      <c r="K10" s="86"/>
      <c r="L10" s="85"/>
    </row>
    <row r="11" spans="1:12" ht="18.75" customHeight="1" x14ac:dyDescent="0.35">
      <c r="A11" s="93" t="s">
        <v>9</v>
      </c>
      <c r="B11" s="112" t="s">
        <v>763</v>
      </c>
      <c r="C11" s="5">
        <f>+IFERROR(VLOOKUP($A11,RAIZ!$A$3:$X$1500,MATCH('LALO VARAS'!$F$1,RAIZ!$A$2:$X$2,0),FALSE),0)</f>
        <v>3</v>
      </c>
      <c r="D11" s="9">
        <v>4</v>
      </c>
      <c r="E11" s="5"/>
      <c r="F11" s="5">
        <f t="shared" ref="F11:F12" si="1">IF(D11-C11&gt;=0,D11-C11,0)</f>
        <v>1</v>
      </c>
      <c r="G11" s="5"/>
      <c r="I11" s="86"/>
      <c r="K11" s="86"/>
      <c r="L11" s="85"/>
    </row>
    <row r="12" spans="1:12" ht="18.75" customHeight="1" x14ac:dyDescent="0.35">
      <c r="A12" s="93"/>
      <c r="B12" s="112"/>
      <c r="C12" s="5">
        <f>+IFERROR(VLOOKUP($A12,RAIZ!$A$3:$X$1500,MATCH('LALO VARAS'!$F$1,RAIZ!$A$2:$X$2,0),FALSE),0)</f>
        <v>0</v>
      </c>
      <c r="D12" s="20"/>
      <c r="E12" s="5"/>
      <c r="F12" s="5">
        <f t="shared" si="1"/>
        <v>0</v>
      </c>
      <c r="G12" s="5"/>
    </row>
    <row r="13" spans="1:12" ht="18.75" customHeight="1" x14ac:dyDescent="0.35">
      <c r="A13" s="93"/>
      <c r="B13" s="112"/>
      <c r="C13" s="5">
        <f>+IFERROR(VLOOKUP($A13,RAIZ!$A$3:$X$1500,MATCH('LALO VARAS'!$F$1,RAIZ!$A$2:$X$2,0),FALSE),0)</f>
        <v>0</v>
      </c>
      <c r="D13" s="20"/>
      <c r="E13" s="5"/>
      <c r="F13" s="5">
        <f t="shared" ref="F13:F17" si="2">IF(D13-C13&gt;=0,D13-C13,0)</f>
        <v>0</v>
      </c>
      <c r="G13" s="5"/>
    </row>
    <row r="14" spans="1:12" ht="18.75" customHeight="1" x14ac:dyDescent="0.35">
      <c r="A14" s="93"/>
      <c r="B14" s="112"/>
      <c r="C14" s="5">
        <f>+IFERROR(VLOOKUP($A14,RAIZ!$A$3:$X$1500,MATCH('LALO VARAS'!$F$1,RAIZ!$A$2:$X$2,0),FALSE),0)</f>
        <v>0</v>
      </c>
      <c r="D14" s="20"/>
      <c r="E14" s="5"/>
      <c r="F14" s="5">
        <f>IF(D14-C14&gt;=0,D14-C14,0)</f>
        <v>0</v>
      </c>
      <c r="G14" s="5"/>
    </row>
    <row r="15" spans="1:12" ht="18.75" customHeight="1" x14ac:dyDescent="0.35">
      <c r="A15" s="93"/>
      <c r="B15" s="112"/>
      <c r="C15" s="5">
        <f>+IFERROR(VLOOKUP($A15,RAIZ!$A$3:$X$1500,MATCH('LALO VARAS'!$F$1,RAIZ!$A$2:$X$2,0),FALSE),0)</f>
        <v>0</v>
      </c>
      <c r="D15" s="9"/>
      <c r="E15" s="5"/>
      <c r="F15" s="5">
        <f t="shared" si="2"/>
        <v>0</v>
      </c>
      <c r="G15" s="5"/>
      <c r="I15" s="86"/>
      <c r="K15" s="86"/>
      <c r="L15" s="85"/>
    </row>
    <row r="16" spans="1:12" ht="18.75" customHeight="1" x14ac:dyDescent="0.35">
      <c r="A16" s="93"/>
      <c r="B16" s="112"/>
      <c r="C16" s="5">
        <f>+IFERROR(VLOOKUP($A16,RAIZ!$A$3:$X$1500,MATCH('LALO VARAS'!$F$1,RAIZ!$A$2:$X$2,0),FALSE),0)</f>
        <v>0</v>
      </c>
      <c r="D16" s="9"/>
      <c r="E16" s="5"/>
      <c r="F16" s="5">
        <f t="shared" si="2"/>
        <v>0</v>
      </c>
      <c r="G16" s="5"/>
      <c r="I16" s="86"/>
      <c r="K16" s="86"/>
      <c r="L16" s="85"/>
    </row>
    <row r="17" spans="1:12" ht="18.75" customHeight="1" thickBot="1" x14ac:dyDescent="0.4">
      <c r="A17" s="93"/>
      <c r="B17" s="112"/>
      <c r="C17" s="5">
        <f>+IFERROR(VLOOKUP($A17,RAIZ!$A$3:$X$1500,MATCH('LALO VARAS'!$F$1,RAIZ!$A$2:$X$2,0),FALSE),0)</f>
        <v>0</v>
      </c>
      <c r="D17" s="9"/>
      <c r="E17" s="5"/>
      <c r="F17" s="5">
        <f t="shared" si="2"/>
        <v>0</v>
      </c>
      <c r="G17" s="5"/>
      <c r="I17" s="86"/>
      <c r="K17" s="86"/>
      <c r="L17" s="85"/>
    </row>
    <row r="18" spans="1:12" ht="18.75" customHeight="1" thickBot="1" x14ac:dyDescent="0.4">
      <c r="A18" s="96" t="s">
        <v>10</v>
      </c>
      <c r="B18" s="111"/>
      <c r="C18" s="75">
        <f>SUM(C3:C17)</f>
        <v>21</v>
      </c>
      <c r="D18" s="44">
        <f>SUM(D3:D17)</f>
        <v>34</v>
      </c>
      <c r="E18" s="44">
        <f>SUM(E3:E17)</f>
        <v>0</v>
      </c>
      <c r="F18" s="63">
        <f>SUM(F3:F17)</f>
        <v>13</v>
      </c>
      <c r="G18" s="44">
        <f>SUM(G3:G17)</f>
        <v>15</v>
      </c>
      <c r="I18" s="86"/>
      <c r="K18" s="86"/>
      <c r="L18" s="85"/>
    </row>
    <row r="19" spans="1:12" ht="18.75" customHeight="1" x14ac:dyDescent="0.35">
      <c r="A19" s="97" t="s">
        <v>676</v>
      </c>
      <c r="B19" s="112" t="s">
        <v>764</v>
      </c>
      <c r="C19" s="5">
        <f>+IFERROR(VLOOKUP($A19,RAIZ!$A$3:$X$1500,MATCH('LALO VARAS'!$F$1,RAIZ!$A$2:$X$2,0),FALSE),0)</f>
        <v>4</v>
      </c>
      <c r="D19" s="12">
        <v>6</v>
      </c>
      <c r="E19" s="5"/>
      <c r="F19" s="5">
        <f t="shared" ref="F19:F21" si="3">IF(D19-C19&gt;=0,D19-C19,0)</f>
        <v>2</v>
      </c>
      <c r="G19" s="5"/>
      <c r="I19" s="86"/>
      <c r="K19" s="86"/>
      <c r="L19" s="85"/>
    </row>
    <row r="20" spans="1:12" ht="18.75" customHeight="1" x14ac:dyDescent="0.35">
      <c r="A20" s="97" t="s">
        <v>11</v>
      </c>
      <c r="B20" s="112" t="s">
        <v>827</v>
      </c>
      <c r="C20" s="5">
        <f>+IFERROR(VLOOKUP($A20,RAIZ!$A$3:$X$1500,MATCH('LALO VARAS'!$F$1,RAIZ!$A$2:$X$2,0),FALSE),0)</f>
        <v>4</v>
      </c>
      <c r="D20" s="14">
        <v>6</v>
      </c>
      <c r="E20" s="5"/>
      <c r="F20" s="5">
        <f t="shared" si="3"/>
        <v>2</v>
      </c>
      <c r="G20" s="5">
        <v>2</v>
      </c>
      <c r="I20" s="86"/>
      <c r="K20" s="86"/>
      <c r="L20" s="85"/>
    </row>
    <row r="21" spans="1:12" ht="18.75" customHeight="1" x14ac:dyDescent="0.35">
      <c r="A21" s="97" t="s">
        <v>344</v>
      </c>
      <c r="B21" s="112" t="s">
        <v>765</v>
      </c>
      <c r="C21" s="5">
        <f>+IFERROR(VLOOKUP($A21,RAIZ!$A$3:$X$1500,MATCH('LALO VARAS'!$F$1,RAIZ!$A$2:$X$2,0),FALSE),0)</f>
        <v>1</v>
      </c>
      <c r="D21" s="14">
        <v>6</v>
      </c>
      <c r="E21" s="5"/>
      <c r="F21" s="5">
        <f t="shared" si="3"/>
        <v>5</v>
      </c>
      <c r="G21" s="5">
        <v>2</v>
      </c>
      <c r="I21" s="86"/>
      <c r="K21" s="86"/>
      <c r="L21" s="85"/>
    </row>
    <row r="22" spans="1:12" ht="18.75" customHeight="1" x14ac:dyDescent="0.35">
      <c r="A22" s="97" t="s">
        <v>832</v>
      </c>
      <c r="B22" s="112" t="s">
        <v>833</v>
      </c>
      <c r="C22" s="5">
        <f>+IFERROR(VLOOKUP($A22,RAIZ!$A$3:$X$1500,MATCH('LALO VARAS'!$F$1,RAIZ!$A$2:$X$2,0),FALSE),0)</f>
        <v>1</v>
      </c>
      <c r="D22" s="14">
        <v>4</v>
      </c>
      <c r="E22" s="5"/>
      <c r="F22" s="5">
        <f t="shared" ref="F22:F31" si="4">IF(D22-C22&gt;=0,D22-C22,0)</f>
        <v>3</v>
      </c>
      <c r="G22" s="5"/>
      <c r="I22" s="86"/>
      <c r="K22" s="86"/>
      <c r="L22" s="85"/>
    </row>
    <row r="23" spans="1:12" ht="18.75" customHeight="1" x14ac:dyDescent="0.35">
      <c r="A23" s="97" t="s">
        <v>12</v>
      </c>
      <c r="B23" s="112" t="s">
        <v>766</v>
      </c>
      <c r="C23" s="5">
        <f>+IFERROR(VLOOKUP($A23,RAIZ!$A$3:$X$1500,MATCH('LALO VARAS'!$F$1,RAIZ!$A$2:$X$2,0),FALSE),0)</f>
        <v>6</v>
      </c>
      <c r="D23" s="14">
        <v>6</v>
      </c>
      <c r="E23" s="5"/>
      <c r="F23" s="5">
        <f t="shared" si="4"/>
        <v>0</v>
      </c>
      <c r="G23" s="5">
        <v>2</v>
      </c>
      <c r="I23" s="86"/>
      <c r="K23" s="86"/>
      <c r="L23" s="85"/>
    </row>
    <row r="24" spans="1:12" ht="18.75" customHeight="1" x14ac:dyDescent="0.35">
      <c r="A24" s="97" t="s">
        <v>432</v>
      </c>
      <c r="B24" s="112" t="s">
        <v>767</v>
      </c>
      <c r="C24" s="5">
        <f>+IFERROR(VLOOKUP($A24,RAIZ!$A$3:$X$1500,MATCH('LALO VARAS'!$F$1,RAIZ!$A$2:$X$2,0),FALSE),0)</f>
        <v>1</v>
      </c>
      <c r="D24" s="14">
        <v>6</v>
      </c>
      <c r="E24" s="5"/>
      <c r="F24" s="5">
        <f t="shared" si="4"/>
        <v>5</v>
      </c>
      <c r="G24" s="5"/>
      <c r="I24" s="86"/>
      <c r="K24" s="86"/>
      <c r="L24" s="85"/>
    </row>
    <row r="25" spans="1:12" ht="18.75" customHeight="1" x14ac:dyDescent="0.35">
      <c r="A25" s="97" t="s">
        <v>468</v>
      </c>
      <c r="B25" s="112" t="s">
        <v>768</v>
      </c>
      <c r="C25" s="5">
        <f>+IFERROR(VLOOKUP($A25,RAIZ!$A$3:$X$1500,MATCH('LALO VARAS'!$F$1,RAIZ!$A$2:$X$2,0),FALSE),0)</f>
        <v>1</v>
      </c>
      <c r="D25" s="16">
        <v>6</v>
      </c>
      <c r="E25" s="5"/>
      <c r="F25" s="5">
        <f t="shared" si="4"/>
        <v>5</v>
      </c>
      <c r="G25" s="5">
        <v>2</v>
      </c>
      <c r="I25" s="86"/>
      <c r="K25" s="86"/>
      <c r="L25" s="85"/>
    </row>
    <row r="26" spans="1:12" ht="18.75" customHeight="1" x14ac:dyDescent="0.35">
      <c r="A26" s="97"/>
      <c r="B26" s="112"/>
      <c r="C26" s="5">
        <f>+IFERROR(VLOOKUP($A26,RAIZ!$A$3:$X$1500,MATCH('LALO VARAS'!$F$1,RAIZ!$A$2:$X$2,0),FALSE),0)</f>
        <v>0</v>
      </c>
      <c r="D26" s="20"/>
      <c r="E26" s="5"/>
      <c r="F26" s="5">
        <f t="shared" si="4"/>
        <v>0</v>
      </c>
      <c r="G26" s="5"/>
    </row>
    <row r="27" spans="1:12" ht="18.75" customHeight="1" x14ac:dyDescent="0.35">
      <c r="A27" s="97"/>
      <c r="B27" s="112"/>
      <c r="C27" s="5">
        <f>+IFERROR(VLOOKUP($A27,RAIZ!$A$3:$X$1500,MATCH('LALO VARAS'!$F$1,RAIZ!$A$2:$X$2,0),FALSE),0)</f>
        <v>0</v>
      </c>
      <c r="D27" s="16"/>
      <c r="E27" s="5"/>
      <c r="F27" s="5">
        <f>IF(D27-C27&gt;=0,D27-C27,0)</f>
        <v>0</v>
      </c>
      <c r="G27" s="5"/>
      <c r="I27" s="86"/>
      <c r="K27" s="86"/>
      <c r="L27" s="85"/>
    </row>
    <row r="28" spans="1:12" ht="18.75" customHeight="1" x14ac:dyDescent="0.35">
      <c r="A28" s="97"/>
      <c r="B28" s="112"/>
      <c r="C28" s="5">
        <f>+IFERROR(VLOOKUP($A28,RAIZ!$A$3:$X$1500,MATCH('LALO VARAS'!$F$1,RAIZ!$A$2:$X$2,0),FALSE),0)</f>
        <v>0</v>
      </c>
      <c r="D28" s="16"/>
      <c r="E28" s="5"/>
      <c r="F28" s="5">
        <f t="shared" si="4"/>
        <v>0</v>
      </c>
      <c r="G28" s="5"/>
      <c r="I28" s="86"/>
      <c r="K28" s="86"/>
      <c r="L28" s="85"/>
    </row>
    <row r="29" spans="1:12" ht="18.75" customHeight="1" x14ac:dyDescent="0.35">
      <c r="A29" s="97"/>
      <c r="B29" s="112"/>
      <c r="C29" s="5">
        <f>+IFERROR(VLOOKUP($A29,RAIZ!$A$3:$X$1500,MATCH('LALO VARAS'!$F$1,RAIZ!$A$2:$X$2,0),FALSE),0)</f>
        <v>0</v>
      </c>
      <c r="D29" s="16"/>
      <c r="E29" s="5"/>
      <c r="F29" s="5">
        <f t="shared" si="4"/>
        <v>0</v>
      </c>
      <c r="G29" s="5"/>
      <c r="I29" s="86"/>
      <c r="K29" s="86"/>
      <c r="L29" s="85"/>
    </row>
    <row r="30" spans="1:12" ht="18.75" customHeight="1" x14ac:dyDescent="0.35">
      <c r="A30" s="97"/>
      <c r="B30" s="112"/>
      <c r="C30" s="5">
        <f>+IFERROR(VLOOKUP($A30,RAIZ!$A$3:$X$1500,MATCH('LALO VARAS'!$F$1,RAIZ!$A$2:$X$2,0),FALSE),0)</f>
        <v>0</v>
      </c>
      <c r="D30" s="16"/>
      <c r="E30" s="5"/>
      <c r="F30" s="5">
        <f t="shared" si="4"/>
        <v>0</v>
      </c>
      <c r="G30" s="5"/>
      <c r="I30" s="86"/>
      <c r="K30" s="86"/>
      <c r="L30" s="85"/>
    </row>
    <row r="31" spans="1:12" ht="18.75" customHeight="1" thickBot="1" x14ac:dyDescent="0.4">
      <c r="A31" s="97"/>
      <c r="B31" s="112"/>
      <c r="C31" s="5">
        <f>+IFERROR(VLOOKUP($A31,RAIZ!$A$3:$X$1500,MATCH('LALO VARAS'!$F$1,RAIZ!$A$2:$X$2,0),FALSE),0)</f>
        <v>0</v>
      </c>
      <c r="D31" s="16"/>
      <c r="E31" s="5"/>
      <c r="F31" s="5">
        <f t="shared" si="4"/>
        <v>0</v>
      </c>
      <c r="G31" s="5"/>
      <c r="I31" s="86"/>
      <c r="K31" s="86"/>
      <c r="L31" s="85"/>
    </row>
    <row r="32" spans="1:12" ht="18.75" customHeight="1" thickBot="1" x14ac:dyDescent="0.4">
      <c r="A32" s="98" t="s">
        <v>13</v>
      </c>
      <c r="B32" s="111"/>
      <c r="C32" s="76">
        <f>SUM(C19:C31)</f>
        <v>18</v>
      </c>
      <c r="D32" s="46">
        <f>SUM(D19:D31)</f>
        <v>40</v>
      </c>
      <c r="E32" s="46">
        <f>SUM(E19:E31)</f>
        <v>0</v>
      </c>
      <c r="F32" s="64">
        <f>SUM(F19:F31)</f>
        <v>22</v>
      </c>
      <c r="G32" s="46">
        <f>SUM(G19:G31)</f>
        <v>8</v>
      </c>
      <c r="I32" s="86"/>
      <c r="K32" s="86"/>
      <c r="L32" s="85"/>
    </row>
    <row r="33" spans="1:12" ht="18.75" customHeight="1" x14ac:dyDescent="0.35">
      <c r="A33" s="97" t="s">
        <v>14</v>
      </c>
      <c r="B33" s="112" t="s">
        <v>769</v>
      </c>
      <c r="C33" s="5">
        <f>+IFERROR(VLOOKUP($A33,RAIZ!$A$3:$X$1500,MATCH('LALO VARAS'!$F$1,RAIZ!$A$2:$X$2,0),FALSE),0)</f>
        <v>1</v>
      </c>
      <c r="D33" s="4">
        <v>3</v>
      </c>
      <c r="E33" s="5"/>
      <c r="F33" s="5">
        <f t="shared" ref="F33:F48" si="5">IF(D33-C33&gt;=0,D33-C33,0)</f>
        <v>2</v>
      </c>
      <c r="G33" s="5">
        <v>1</v>
      </c>
      <c r="I33" s="86"/>
      <c r="K33" s="86"/>
      <c r="L33" s="85"/>
    </row>
    <row r="34" spans="1:12" ht="18.75" customHeight="1" x14ac:dyDescent="0.35">
      <c r="A34" s="97" t="s">
        <v>15</v>
      </c>
      <c r="B34" s="112" t="s">
        <v>770</v>
      </c>
      <c r="C34" s="5">
        <f>+IFERROR(VLOOKUP($A34,RAIZ!$A$3:$X$1500,MATCH('LALO VARAS'!$F$1,RAIZ!$A$2:$X$2,0),FALSE),0)</f>
        <v>2</v>
      </c>
      <c r="D34" s="7">
        <v>3</v>
      </c>
      <c r="E34" s="5"/>
      <c r="F34" s="5">
        <f t="shared" si="5"/>
        <v>1</v>
      </c>
      <c r="G34" s="5">
        <v>1</v>
      </c>
      <c r="I34" s="86"/>
      <c r="K34" s="86"/>
      <c r="L34" s="85"/>
    </row>
    <row r="35" spans="1:12" ht="18.75" customHeight="1" x14ac:dyDescent="0.35">
      <c r="A35" s="97" t="s">
        <v>16</v>
      </c>
      <c r="B35" s="112" t="s">
        <v>771</v>
      </c>
      <c r="C35" s="5">
        <f>+IFERROR(VLOOKUP($A35,RAIZ!$A$3:$X$1500,MATCH('LALO VARAS'!$F$1,RAIZ!$A$2:$X$2,0),FALSE),0)</f>
        <v>4</v>
      </c>
      <c r="D35" s="7">
        <v>3</v>
      </c>
      <c r="E35" s="5"/>
      <c r="F35" s="5">
        <f t="shared" si="5"/>
        <v>0</v>
      </c>
      <c r="G35" s="5">
        <v>1</v>
      </c>
      <c r="I35" s="86"/>
      <c r="K35" s="86"/>
      <c r="L35" s="85"/>
    </row>
    <row r="36" spans="1:12" ht="18.75" customHeight="1" x14ac:dyDescent="0.35">
      <c r="A36" s="97" t="s">
        <v>17</v>
      </c>
      <c r="B36" s="112" t="s">
        <v>772</v>
      </c>
      <c r="C36" s="5">
        <f>+IFERROR(VLOOKUP($A36,RAIZ!$A$3:$X$1500,MATCH('LALO VARAS'!$F$1,RAIZ!$A$2:$X$2,0),FALSE),0)</f>
        <v>4</v>
      </c>
      <c r="D36" s="7">
        <v>3</v>
      </c>
      <c r="E36" s="5"/>
      <c r="F36" s="5">
        <f t="shared" si="5"/>
        <v>0</v>
      </c>
      <c r="G36" s="5">
        <v>1</v>
      </c>
      <c r="I36" s="86"/>
      <c r="K36" s="86"/>
      <c r="L36" s="85"/>
    </row>
    <row r="37" spans="1:12" ht="18.75" customHeight="1" x14ac:dyDescent="0.35">
      <c r="A37" s="97" t="s">
        <v>18</v>
      </c>
      <c r="B37" s="112" t="s">
        <v>773</v>
      </c>
      <c r="C37" s="5">
        <f>+IFERROR(VLOOKUP($A37,RAIZ!$A$3:$X$1500,MATCH('LALO VARAS'!$F$1,RAIZ!$A$2:$X$2,0),FALSE),0)</f>
        <v>4</v>
      </c>
      <c r="D37" s="7">
        <v>3</v>
      </c>
      <c r="E37" s="5"/>
      <c r="F37" s="5">
        <f t="shared" si="5"/>
        <v>0</v>
      </c>
      <c r="G37" s="5">
        <v>1</v>
      </c>
      <c r="I37" s="86"/>
      <c r="K37" s="86"/>
      <c r="L37" s="85"/>
    </row>
    <row r="38" spans="1:12" ht="18.75" customHeight="1" x14ac:dyDescent="0.35">
      <c r="A38" s="97" t="s">
        <v>22</v>
      </c>
      <c r="B38" s="112" t="s">
        <v>774</v>
      </c>
      <c r="C38" s="5">
        <f>+IFERROR(VLOOKUP($A38,RAIZ!$A$3:$X$1500,MATCH('LALO VARAS'!$F$1,RAIZ!$A$2:$X$2,0),FALSE),0)</f>
        <v>4</v>
      </c>
      <c r="D38" s="18">
        <v>3</v>
      </c>
      <c r="E38" s="5"/>
      <c r="F38" s="5">
        <f t="shared" si="5"/>
        <v>0</v>
      </c>
      <c r="G38" s="5">
        <v>2</v>
      </c>
      <c r="I38" s="86"/>
      <c r="K38" s="86"/>
      <c r="L38" s="85"/>
    </row>
    <row r="39" spans="1:12" ht="18.75" customHeight="1" x14ac:dyDescent="0.35">
      <c r="A39" s="97" t="s">
        <v>23</v>
      </c>
      <c r="B39" s="112" t="s">
        <v>775</v>
      </c>
      <c r="C39" s="5">
        <f>+IFERROR(VLOOKUP($A39,RAIZ!$A$3:$X$1500,MATCH('LALO VARAS'!$F$1,RAIZ!$A$2:$X$2,0),FALSE),0)</f>
        <v>4</v>
      </c>
      <c r="D39" s="18">
        <v>3</v>
      </c>
      <c r="E39" s="5"/>
      <c r="F39" s="5">
        <f t="shared" si="5"/>
        <v>0</v>
      </c>
      <c r="G39" s="5"/>
      <c r="I39" s="86"/>
      <c r="K39" s="86"/>
      <c r="L39" s="85"/>
    </row>
    <row r="40" spans="1:12" ht="18.75" customHeight="1" x14ac:dyDescent="0.35">
      <c r="A40" s="97" t="s">
        <v>24</v>
      </c>
      <c r="B40" s="112" t="s">
        <v>776</v>
      </c>
      <c r="C40" s="5">
        <f>+IFERROR(VLOOKUP($A40,RAIZ!$A$3:$X$1500,MATCH('LALO VARAS'!$F$1,RAIZ!$A$2:$X$2,0),FALSE),0)</f>
        <v>3</v>
      </c>
      <c r="D40" s="7">
        <v>3</v>
      </c>
      <c r="E40" s="5"/>
      <c r="F40" s="5">
        <f t="shared" si="5"/>
        <v>0</v>
      </c>
      <c r="G40" s="5">
        <v>2</v>
      </c>
      <c r="I40" s="86"/>
      <c r="K40" s="86"/>
      <c r="L40" s="85"/>
    </row>
    <row r="41" spans="1:12" ht="18.75" customHeight="1" x14ac:dyDescent="0.35">
      <c r="A41" s="97" t="s">
        <v>25</v>
      </c>
      <c r="B41" s="112" t="s">
        <v>777</v>
      </c>
      <c r="C41" s="5">
        <f>+IFERROR(VLOOKUP($A41,RAIZ!$A$3:$X$1500,MATCH('LALO VARAS'!$F$1,RAIZ!$A$2:$X$2,0),FALSE),0)</f>
        <v>2</v>
      </c>
      <c r="D41" s="18">
        <v>3</v>
      </c>
      <c r="E41" s="5"/>
      <c r="F41" s="5">
        <f t="shared" si="5"/>
        <v>1</v>
      </c>
      <c r="G41" s="5"/>
      <c r="I41" s="86"/>
      <c r="K41" s="86"/>
      <c r="L41" s="85"/>
    </row>
    <row r="42" spans="1:12" ht="18.75" customHeight="1" x14ac:dyDescent="0.35">
      <c r="A42" s="97"/>
      <c r="B42" s="112"/>
      <c r="C42" s="5">
        <f>+IFERROR(VLOOKUP($A42,RAIZ!$A$3:$X$1500,MATCH('LALO VARAS'!$F$1,RAIZ!$A$2:$X$2,0),FALSE),0)</f>
        <v>0</v>
      </c>
      <c r="D42" s="20"/>
      <c r="E42" s="5"/>
      <c r="F42" s="5">
        <f t="shared" si="5"/>
        <v>0</v>
      </c>
      <c r="G42" s="5"/>
    </row>
    <row r="43" spans="1:12" ht="18.75" customHeight="1" x14ac:dyDescent="0.35">
      <c r="A43" s="97"/>
      <c r="B43" s="112"/>
      <c r="C43" s="5">
        <f>+IFERROR(VLOOKUP($A43,RAIZ!$A$3:$X$1500,MATCH('LALO VARAS'!$F$1,RAIZ!$A$2:$X$2,0),FALSE),0)</f>
        <v>0</v>
      </c>
      <c r="D43" s="18"/>
      <c r="E43" s="5"/>
      <c r="F43" s="5">
        <f t="shared" si="5"/>
        <v>0</v>
      </c>
      <c r="G43" s="5"/>
      <c r="I43" s="86"/>
      <c r="K43" s="86"/>
      <c r="L43" s="85"/>
    </row>
    <row r="44" spans="1:12" ht="18.75" customHeight="1" x14ac:dyDescent="0.35">
      <c r="A44" s="97"/>
      <c r="B44" s="112"/>
      <c r="C44" s="5">
        <f>+IFERROR(VLOOKUP($A44,RAIZ!$A$3:$X$1500,MATCH('LALO VARAS'!$F$1,RAIZ!$A$2:$X$2,0),FALSE),0)</f>
        <v>0</v>
      </c>
      <c r="D44" s="18"/>
      <c r="E44" s="5"/>
      <c r="F44" s="5">
        <f t="shared" si="5"/>
        <v>0</v>
      </c>
      <c r="G44" s="5"/>
      <c r="I44" s="86"/>
      <c r="K44" s="86"/>
      <c r="L44" s="85"/>
    </row>
    <row r="45" spans="1:12" ht="18.75" customHeight="1" x14ac:dyDescent="0.35">
      <c r="A45" s="97"/>
      <c r="B45" s="112"/>
      <c r="C45" s="5">
        <f>+IFERROR(VLOOKUP($A45,RAIZ!$A$3:$X$1500,MATCH('LALO VARAS'!$F$1,RAIZ!$A$2:$X$2,0),FALSE),0)</f>
        <v>0</v>
      </c>
      <c r="D45" s="18"/>
      <c r="E45" s="5"/>
      <c r="F45" s="5">
        <f t="shared" si="5"/>
        <v>0</v>
      </c>
      <c r="G45" s="5"/>
      <c r="I45" s="86"/>
      <c r="K45" s="86"/>
      <c r="L45" s="85"/>
    </row>
    <row r="46" spans="1:12" ht="18.75" customHeight="1" x14ac:dyDescent="0.35">
      <c r="A46" s="97"/>
      <c r="B46" s="112"/>
      <c r="C46" s="5">
        <f>+IFERROR(VLOOKUP($A46,RAIZ!$A$3:$X$1500,MATCH('LALO VARAS'!$F$1,RAIZ!$A$2:$X$2,0),FALSE),0)</f>
        <v>0</v>
      </c>
      <c r="D46" s="18"/>
      <c r="E46" s="5"/>
      <c r="F46" s="5">
        <f t="shared" si="5"/>
        <v>0</v>
      </c>
      <c r="G46" s="5"/>
      <c r="I46" s="86"/>
      <c r="K46" s="86"/>
      <c r="L46" s="85"/>
    </row>
    <row r="47" spans="1:12" ht="18.75" customHeight="1" x14ac:dyDescent="0.35">
      <c r="A47" s="97"/>
      <c r="B47" s="112"/>
      <c r="C47" s="5">
        <f>+IFERROR(VLOOKUP($A47,RAIZ!$A$3:$X$1500,MATCH('LALO VARAS'!$F$1,RAIZ!$A$2:$X$2,0),FALSE),0)</f>
        <v>0</v>
      </c>
      <c r="D47" s="18"/>
      <c r="E47" s="5"/>
      <c r="F47" s="5">
        <f t="shared" si="5"/>
        <v>0</v>
      </c>
      <c r="G47" s="5"/>
      <c r="I47" s="86"/>
      <c r="K47" s="86"/>
      <c r="L47" s="85"/>
    </row>
    <row r="48" spans="1:12" ht="18.75" customHeight="1" thickBot="1" x14ac:dyDescent="0.4">
      <c r="A48" s="97"/>
      <c r="B48" s="112"/>
      <c r="C48" s="5">
        <f>+IFERROR(VLOOKUP($A48,RAIZ!$A$3:$X$1500,MATCH('LALO VARAS'!$F$1,RAIZ!$A$2:$X$2,0),FALSE),0)</f>
        <v>0</v>
      </c>
      <c r="D48" s="18"/>
      <c r="E48" s="5"/>
      <c r="F48" s="5">
        <f t="shared" si="5"/>
        <v>0</v>
      </c>
      <c r="G48" s="5"/>
      <c r="I48" s="86"/>
      <c r="K48" s="86"/>
      <c r="L48" s="85"/>
    </row>
    <row r="49" spans="1:12" ht="18.75" customHeight="1" thickBot="1" x14ac:dyDescent="0.4">
      <c r="A49" s="99" t="s">
        <v>29</v>
      </c>
      <c r="B49" s="111"/>
      <c r="C49" s="77">
        <f>SUM(C33:C48)</f>
        <v>28</v>
      </c>
      <c r="D49" s="48">
        <f>SUM(D33:D48)</f>
        <v>27</v>
      </c>
      <c r="E49" s="48">
        <f>SUM(E33:E48)</f>
        <v>0</v>
      </c>
      <c r="F49" s="65">
        <f>SUM(F33:F48)</f>
        <v>4</v>
      </c>
      <c r="G49" s="48">
        <f>SUM(G33:G48)</f>
        <v>9</v>
      </c>
      <c r="I49" s="86"/>
      <c r="K49" s="86"/>
      <c r="L49" s="85"/>
    </row>
    <row r="50" spans="1:12" ht="18.75" customHeight="1" x14ac:dyDescent="0.35">
      <c r="A50" s="93" t="s">
        <v>30</v>
      </c>
      <c r="B50" s="112" t="s">
        <v>778</v>
      </c>
      <c r="C50" s="5">
        <f>+IFERROR(VLOOKUP($A50,RAIZ!$A$3:$X$1500,MATCH('LALO VARAS'!$F$1,RAIZ!$A$2:$X$2,0),FALSE),0)</f>
        <v>5</v>
      </c>
      <c r="D50" s="4">
        <v>15</v>
      </c>
      <c r="E50" s="5"/>
      <c r="F50" s="5">
        <f>IF(D50-C50&gt;=0,D50-C50,0)</f>
        <v>10</v>
      </c>
      <c r="G50" s="5"/>
      <c r="I50" s="86"/>
      <c r="K50" s="86"/>
      <c r="L50" s="85"/>
    </row>
    <row r="51" spans="1:12" ht="18.75" customHeight="1" thickBot="1" x14ac:dyDescent="0.4">
      <c r="A51" s="95" t="s">
        <v>31</v>
      </c>
      <c r="B51" s="112" t="s">
        <v>779</v>
      </c>
      <c r="C51" s="5">
        <f>+IFERROR(VLOOKUP($A51,RAIZ!$A$3:$X$1500,MATCH('LALO VARAS'!$F$1,RAIZ!$A$2:$X$2,0),FALSE),0)</f>
        <v>7</v>
      </c>
      <c r="D51" s="20">
        <v>15</v>
      </c>
      <c r="E51" s="5"/>
      <c r="F51" s="5">
        <f t="shared" ref="F51" si="6">IF(D51-C51&gt;=0,D51-C51,0)</f>
        <v>8</v>
      </c>
      <c r="G51" s="5"/>
      <c r="I51" s="86"/>
      <c r="K51" s="86"/>
      <c r="L51" s="85"/>
    </row>
    <row r="52" spans="1:12" ht="18.75" customHeight="1" thickBot="1" x14ac:dyDescent="0.4">
      <c r="A52" s="100" t="s">
        <v>32</v>
      </c>
      <c r="B52" s="111"/>
      <c r="C52" s="78">
        <f>SUM(C50:C51)</f>
        <v>12</v>
      </c>
      <c r="D52" s="50">
        <f t="shared" ref="D52:G52" si="7">SUM(D50:D51)</f>
        <v>30</v>
      </c>
      <c r="E52" s="50">
        <f t="shared" ref="E52" si="8">SUM(E50:E51)</f>
        <v>0</v>
      </c>
      <c r="F52" s="66">
        <f t="shared" si="7"/>
        <v>18</v>
      </c>
      <c r="G52" s="50">
        <f t="shared" si="7"/>
        <v>0</v>
      </c>
      <c r="I52" s="86"/>
      <c r="K52" s="86"/>
      <c r="L52" s="85"/>
    </row>
    <row r="53" spans="1:12" ht="18.75" customHeight="1" x14ac:dyDescent="0.35">
      <c r="A53" s="93" t="s">
        <v>33</v>
      </c>
      <c r="B53" s="112" t="s">
        <v>780</v>
      </c>
      <c r="C53" s="5">
        <f>+IFERROR(VLOOKUP($A53,RAIZ!$A$3:$X$1500,MATCH('LALO VARAS'!$F$1,RAIZ!$A$2:$X$2,0),FALSE),0)</f>
        <v>13</v>
      </c>
      <c r="D53" s="4">
        <v>8</v>
      </c>
      <c r="E53" s="5"/>
      <c r="F53" s="5">
        <f t="shared" ref="F53:F54" si="9">IF(D53-C53&gt;=0,D53-C53,0)</f>
        <v>0</v>
      </c>
      <c r="G53" s="5"/>
      <c r="I53" s="86"/>
      <c r="K53" s="86"/>
      <c r="L53" s="85"/>
    </row>
    <row r="54" spans="1:12" ht="18.75" customHeight="1" thickBot="1" x14ac:dyDescent="0.4">
      <c r="A54" s="95" t="s">
        <v>34</v>
      </c>
      <c r="B54" s="112" t="s">
        <v>781</v>
      </c>
      <c r="C54" s="5">
        <f>+IFERROR(VLOOKUP($A54,RAIZ!$A$3:$X$1500,MATCH('LALO VARAS'!$F$1,RAIZ!$A$2:$X$2,0),FALSE),0)</f>
        <v>10</v>
      </c>
      <c r="D54" s="20">
        <v>8</v>
      </c>
      <c r="E54" s="5"/>
      <c r="F54" s="5">
        <f t="shared" si="9"/>
        <v>0</v>
      </c>
      <c r="G54" s="5"/>
      <c r="I54" s="86"/>
      <c r="K54" s="86"/>
      <c r="L54" s="85"/>
    </row>
    <row r="55" spans="1:12" ht="18.75" customHeight="1" thickBot="1" x14ac:dyDescent="0.4">
      <c r="A55" s="99" t="s">
        <v>35</v>
      </c>
      <c r="B55" s="111"/>
      <c r="C55" s="77">
        <f>SUM(C53:C54)</f>
        <v>23</v>
      </c>
      <c r="D55" s="48">
        <f t="shared" ref="D55:G55" si="10">SUM(D53:D54)</f>
        <v>16</v>
      </c>
      <c r="E55" s="48">
        <f t="shared" ref="E55" si="11">SUM(E53:E54)</f>
        <v>0</v>
      </c>
      <c r="F55" s="65">
        <f t="shared" si="10"/>
        <v>0</v>
      </c>
      <c r="G55" s="48">
        <f t="shared" si="10"/>
        <v>0</v>
      </c>
      <c r="I55" s="86"/>
      <c r="K55" s="86"/>
      <c r="L55" s="85"/>
    </row>
    <row r="56" spans="1:12" ht="18.75" customHeight="1" x14ac:dyDescent="0.35">
      <c r="A56" s="93" t="s">
        <v>36</v>
      </c>
      <c r="B56" s="112" t="s">
        <v>782</v>
      </c>
      <c r="C56" s="5">
        <f>+IFERROR(VLOOKUP($A56,RAIZ!$A$3:$X$1500,MATCH('LALO VARAS'!$F$1,RAIZ!$A$2:$X$2,0),FALSE),0)</f>
        <v>1</v>
      </c>
      <c r="D56" s="4">
        <v>2</v>
      </c>
      <c r="E56" s="5"/>
      <c r="F56" s="5">
        <f t="shared" ref="F56:F70" si="12">IF(D56-C56&gt;=0,D56-C56,0)</f>
        <v>1</v>
      </c>
      <c r="G56" s="5">
        <v>1</v>
      </c>
      <c r="I56" s="86"/>
      <c r="K56" s="86"/>
      <c r="L56" s="85"/>
    </row>
    <row r="57" spans="1:12" ht="18.75" customHeight="1" x14ac:dyDescent="0.35">
      <c r="A57" s="93" t="s">
        <v>37</v>
      </c>
      <c r="B57" s="112" t="s">
        <v>783</v>
      </c>
      <c r="C57" s="5">
        <f>+IFERROR(VLOOKUP($A57,RAIZ!$A$3:$X$1500,MATCH('LALO VARAS'!$F$1,RAIZ!$A$2:$X$2,0),FALSE),0)</f>
        <v>1</v>
      </c>
      <c r="D57" s="7">
        <v>2</v>
      </c>
      <c r="E57" s="5"/>
      <c r="F57" s="5">
        <f t="shared" si="12"/>
        <v>1</v>
      </c>
      <c r="G57" s="5"/>
      <c r="I57" s="86"/>
      <c r="K57" s="86"/>
      <c r="L57" s="85"/>
    </row>
    <row r="58" spans="1:12" ht="18.75" customHeight="1" x14ac:dyDescent="0.35">
      <c r="A58" s="93" t="s">
        <v>39</v>
      </c>
      <c r="B58" s="112" t="s">
        <v>784</v>
      </c>
      <c r="C58" s="5">
        <f>+IFERROR(VLOOKUP($A58,RAIZ!$A$3:$X$1500,MATCH('LALO VARAS'!$F$1,RAIZ!$A$2:$X$2,0),FALSE),0)</f>
        <v>1</v>
      </c>
      <c r="D58" s="7">
        <v>1</v>
      </c>
      <c r="E58" s="5"/>
      <c r="F58" s="5">
        <f t="shared" ref="F58" si="13">IF(D58-C58&gt;=0,D58-C58,0)</f>
        <v>0</v>
      </c>
      <c r="G58" s="5">
        <v>1</v>
      </c>
      <c r="I58" s="86"/>
      <c r="K58" s="86"/>
      <c r="L58" s="85"/>
    </row>
    <row r="59" spans="1:12" ht="18.75" customHeight="1" x14ac:dyDescent="0.35">
      <c r="A59" s="93" t="s">
        <v>40</v>
      </c>
      <c r="B59" s="112" t="s">
        <v>785</v>
      </c>
      <c r="C59" s="5">
        <f>+IFERROR(VLOOKUP($A59,RAIZ!$A$3:$X$1500,MATCH('LALO VARAS'!$F$1,RAIZ!$A$2:$X$2,0),FALSE),0)</f>
        <v>1</v>
      </c>
      <c r="D59" s="7">
        <v>0</v>
      </c>
      <c r="E59" s="5"/>
      <c r="F59" s="5">
        <f t="shared" si="12"/>
        <v>0</v>
      </c>
      <c r="G59" s="5"/>
      <c r="I59" s="86"/>
      <c r="K59" s="86"/>
      <c r="L59" s="85"/>
    </row>
    <row r="60" spans="1:12" ht="18.75" customHeight="1" x14ac:dyDescent="0.35">
      <c r="A60" s="93" t="s">
        <v>41</v>
      </c>
      <c r="B60" s="112" t="s">
        <v>786</v>
      </c>
      <c r="C60" s="5">
        <f>+IFERROR(VLOOKUP($A60,RAIZ!$A$3:$X$1500,MATCH('LALO VARAS'!$F$1,RAIZ!$A$2:$X$2,0),FALSE),0)</f>
        <v>0</v>
      </c>
      <c r="D60" s="7">
        <v>2</v>
      </c>
      <c r="E60" s="5"/>
      <c r="F60" s="5">
        <f t="shared" si="12"/>
        <v>2</v>
      </c>
      <c r="G60" s="5"/>
      <c r="I60" s="86"/>
      <c r="K60" s="86"/>
      <c r="L60" s="85"/>
    </row>
    <row r="61" spans="1:12" ht="18.75" customHeight="1" x14ac:dyDescent="0.35">
      <c r="A61" s="101" t="s">
        <v>42</v>
      </c>
      <c r="B61" s="112" t="s">
        <v>787</v>
      </c>
      <c r="C61" s="5">
        <f>+IFERROR(VLOOKUP($A61,RAIZ!$A$3:$X$1500,MATCH('LALO VARAS'!$F$1,RAIZ!$A$2:$X$2,0),FALSE),0)</f>
        <v>1</v>
      </c>
      <c r="D61" s="4">
        <v>1</v>
      </c>
      <c r="E61" s="5"/>
      <c r="F61" s="5">
        <f t="shared" si="12"/>
        <v>0</v>
      </c>
      <c r="G61" s="5"/>
      <c r="I61" s="86"/>
      <c r="K61" s="86"/>
      <c r="L61" s="85"/>
    </row>
    <row r="62" spans="1:12" ht="18.75" customHeight="1" x14ac:dyDescent="0.35">
      <c r="A62" s="102" t="s">
        <v>43</v>
      </c>
      <c r="B62" s="112" t="s">
        <v>788</v>
      </c>
      <c r="C62" s="5">
        <f>+IFERROR(VLOOKUP($A62,RAIZ!$A$3:$X$1500,MATCH('LALO VARAS'!$F$1,RAIZ!$A$2:$X$2,0),FALSE),0)</f>
        <v>2</v>
      </c>
      <c r="D62" s="7">
        <v>2</v>
      </c>
      <c r="E62" s="5"/>
      <c r="F62" s="5">
        <f t="shared" si="12"/>
        <v>0</v>
      </c>
      <c r="G62" s="5"/>
      <c r="I62" s="86"/>
      <c r="K62" s="86"/>
      <c r="L62" s="85"/>
    </row>
    <row r="63" spans="1:12" ht="18.75" customHeight="1" x14ac:dyDescent="0.35">
      <c r="A63" s="93" t="s">
        <v>44</v>
      </c>
      <c r="B63" s="112" t="s">
        <v>789</v>
      </c>
      <c r="C63" s="5">
        <f>+IFERROR(VLOOKUP($A63,RAIZ!$A$3:$X$1500,MATCH('LALO VARAS'!$F$1,RAIZ!$A$2:$X$2,0),FALSE),0)</f>
        <v>0</v>
      </c>
      <c r="D63" s="7">
        <v>0</v>
      </c>
      <c r="E63" s="5"/>
      <c r="F63" s="5">
        <f t="shared" si="12"/>
        <v>0</v>
      </c>
      <c r="G63" s="5"/>
      <c r="I63" s="86"/>
      <c r="K63" s="86"/>
      <c r="L63" s="85"/>
    </row>
    <row r="64" spans="1:12" ht="18.75" customHeight="1" x14ac:dyDescent="0.35">
      <c r="A64" s="93" t="s">
        <v>45</v>
      </c>
      <c r="B64" s="112" t="s">
        <v>790</v>
      </c>
      <c r="C64" s="5">
        <f>+IFERROR(VLOOKUP($A64,RAIZ!$A$3:$X$1500,MATCH('LALO VARAS'!$F$1,RAIZ!$A$2:$X$2,0),FALSE),0)</f>
        <v>1</v>
      </c>
      <c r="D64" s="4">
        <v>2</v>
      </c>
      <c r="E64" s="5"/>
      <c r="F64" s="5">
        <f t="shared" si="12"/>
        <v>1</v>
      </c>
      <c r="G64" s="5"/>
      <c r="I64" s="86"/>
      <c r="K64" s="86"/>
      <c r="L64" s="85"/>
    </row>
    <row r="65" spans="1:12" ht="18.75" customHeight="1" x14ac:dyDescent="0.35">
      <c r="A65" s="93" t="s">
        <v>46</v>
      </c>
      <c r="B65" s="112" t="s">
        <v>791</v>
      </c>
      <c r="C65" s="5">
        <f>+IFERROR(VLOOKUP($A65,RAIZ!$A$3:$X$1500,MATCH('LALO VARAS'!$F$1,RAIZ!$A$2:$X$2,0),FALSE),0)</f>
        <v>2</v>
      </c>
      <c r="D65" s="7">
        <v>3</v>
      </c>
      <c r="E65" s="5"/>
      <c r="F65" s="5">
        <f t="shared" si="12"/>
        <v>1</v>
      </c>
      <c r="G65" s="5"/>
      <c r="I65" s="86"/>
      <c r="K65" s="86"/>
      <c r="L65" s="85"/>
    </row>
    <row r="66" spans="1:12" ht="18.75" customHeight="1" x14ac:dyDescent="0.35">
      <c r="A66" s="93" t="s">
        <v>48</v>
      </c>
      <c r="B66" s="112" t="s">
        <v>792</v>
      </c>
      <c r="C66" s="5">
        <f>+IFERROR(VLOOKUP($A66,RAIZ!$A$3:$X$1500,MATCH('LALO VARAS'!$F$1,RAIZ!$A$2:$X$2,0),FALSE),0)</f>
        <v>1</v>
      </c>
      <c r="D66" s="7">
        <v>0</v>
      </c>
      <c r="E66" s="5"/>
      <c r="F66" s="5">
        <f t="shared" si="12"/>
        <v>0</v>
      </c>
      <c r="G66" s="5">
        <v>1</v>
      </c>
      <c r="I66" s="86"/>
      <c r="K66" s="86"/>
      <c r="L66" s="85"/>
    </row>
    <row r="67" spans="1:12" ht="18.75" customHeight="1" x14ac:dyDescent="0.35">
      <c r="A67" s="93" t="s">
        <v>49</v>
      </c>
      <c r="B67" s="112" t="s">
        <v>793</v>
      </c>
      <c r="C67" s="5">
        <f>+IFERROR(VLOOKUP($A67,RAIZ!$A$3:$X$1500,MATCH('LALO VARAS'!$F$1,RAIZ!$A$2:$X$2,0),FALSE),0)</f>
        <v>1</v>
      </c>
      <c r="D67" s="7">
        <v>1</v>
      </c>
      <c r="E67" s="5"/>
      <c r="F67" s="5">
        <f t="shared" si="12"/>
        <v>0</v>
      </c>
      <c r="G67" s="5">
        <v>2</v>
      </c>
      <c r="I67" s="86"/>
      <c r="K67" s="86"/>
      <c r="L67" s="85"/>
    </row>
    <row r="68" spans="1:12" ht="18.75" customHeight="1" x14ac:dyDescent="0.35">
      <c r="A68" s="93" t="s">
        <v>50</v>
      </c>
      <c r="B68" s="112" t="s">
        <v>794</v>
      </c>
      <c r="C68" s="5">
        <f>+IFERROR(VLOOKUP($A68,RAIZ!$A$3:$X$1500,MATCH('LALO VARAS'!$F$1,RAIZ!$A$2:$X$2,0),FALSE),0)</f>
        <v>2</v>
      </c>
      <c r="D68" s="4">
        <v>3</v>
      </c>
      <c r="E68" s="5"/>
      <c r="F68" s="5">
        <f t="shared" si="12"/>
        <v>1</v>
      </c>
      <c r="G68" s="5"/>
      <c r="I68" s="86"/>
      <c r="K68" s="86"/>
      <c r="L68" s="85"/>
    </row>
    <row r="69" spans="1:12" ht="18.75" customHeight="1" x14ac:dyDescent="0.35">
      <c r="A69" s="93" t="s">
        <v>51</v>
      </c>
      <c r="B69" s="112" t="s">
        <v>795</v>
      </c>
      <c r="C69" s="5">
        <f>+IFERROR(VLOOKUP($A69,RAIZ!$A$3:$X$1500,MATCH('LALO VARAS'!$F$1,RAIZ!$A$2:$X$2,0),FALSE),0)</f>
        <v>0</v>
      </c>
      <c r="D69" s="169">
        <v>0</v>
      </c>
      <c r="E69" s="5"/>
      <c r="F69" s="5">
        <f t="shared" si="12"/>
        <v>0</v>
      </c>
      <c r="G69" s="5"/>
      <c r="I69" s="86"/>
      <c r="K69" s="86"/>
      <c r="L69" s="85"/>
    </row>
    <row r="70" spans="1:12" ht="18.75" customHeight="1" x14ac:dyDescent="0.35">
      <c r="A70" s="93" t="s">
        <v>53</v>
      </c>
      <c r="B70" s="112" t="s">
        <v>796</v>
      </c>
      <c r="C70" s="5">
        <f>+IFERROR(VLOOKUP($A70,RAIZ!$A$3:$X$1500,MATCH('LALO VARAS'!$F$1,RAIZ!$A$2:$X$2,0),FALSE),0)</f>
        <v>4</v>
      </c>
      <c r="D70" s="20">
        <v>3</v>
      </c>
      <c r="E70" s="5"/>
      <c r="F70" s="5">
        <f t="shared" si="12"/>
        <v>0</v>
      </c>
      <c r="G70" s="5"/>
      <c r="I70" s="86"/>
      <c r="K70" s="86"/>
      <c r="L70" s="85"/>
    </row>
    <row r="71" spans="1:12" ht="18.75" customHeight="1" x14ac:dyDescent="0.35">
      <c r="A71" s="93" t="s">
        <v>47</v>
      </c>
      <c r="B71" s="112" t="s">
        <v>873</v>
      </c>
      <c r="C71" s="5">
        <f>+IFERROR(VLOOKUP($A71,RAIZ!$A$3:$X$1500,MATCH('Suc. Xalisco'!$F$1,RAIZ!$A$2:$X$2,0),FALSE),0)</f>
        <v>0</v>
      </c>
      <c r="D71" s="20">
        <v>2</v>
      </c>
      <c r="E71" s="5"/>
      <c r="F71" s="5">
        <f t="shared" ref="F71:F77" si="14">IF(D71-C71&gt;=0,D71-C71,0)</f>
        <v>2</v>
      </c>
      <c r="G71" s="5"/>
      <c r="I71" s="86"/>
      <c r="K71" s="86"/>
      <c r="L71" s="85"/>
    </row>
    <row r="72" spans="1:12" ht="18.75" hidden="1" customHeight="1" x14ac:dyDescent="0.35">
      <c r="A72" s="86" t="s">
        <v>1089</v>
      </c>
      <c r="B72" s="112" t="s">
        <v>1090</v>
      </c>
      <c r="C72" s="5">
        <f>+IFERROR(VLOOKUP($A72,RAIZ!$A$3:$X$1500,MATCH('Suc. Xalisco'!$F$1,RAIZ!$A$2:$X$2,0),FALSE),0)</f>
        <v>0</v>
      </c>
      <c r="D72" s="20">
        <v>0</v>
      </c>
      <c r="E72" s="5"/>
      <c r="F72" s="5">
        <f>IF(D72-C72&gt;=0,D72-C72,0)</f>
        <v>0</v>
      </c>
      <c r="G72" s="5"/>
    </row>
    <row r="73" spans="1:12" ht="18.75" customHeight="1" x14ac:dyDescent="0.35">
      <c r="A73" s="93"/>
      <c r="B73" s="112"/>
      <c r="C73" s="5">
        <f>+IFERROR(VLOOKUP($A73,RAIZ!$A$3:$X$1500,MATCH('LALO VARAS'!$F$1,RAIZ!$A$2:$X$2,0),FALSE),0)</f>
        <v>0</v>
      </c>
      <c r="D73" s="20"/>
      <c r="E73" s="5"/>
      <c r="F73" s="5">
        <f t="shared" si="14"/>
        <v>0</v>
      </c>
      <c r="G73" s="5"/>
      <c r="I73" s="86"/>
      <c r="K73" s="86"/>
      <c r="L73" s="85"/>
    </row>
    <row r="74" spans="1:12" ht="18.75" customHeight="1" x14ac:dyDescent="0.35">
      <c r="A74" s="93"/>
      <c r="B74" s="112"/>
      <c r="C74" s="5">
        <f>+IFERROR(VLOOKUP($A74,RAIZ!$A$3:$X$1500,MATCH('LALO VARAS'!$F$1,RAIZ!$A$2:$X$2,0),FALSE),0)</f>
        <v>0</v>
      </c>
      <c r="D74" s="20"/>
      <c r="E74" s="5"/>
      <c r="F74" s="5">
        <f t="shared" si="14"/>
        <v>0</v>
      </c>
      <c r="G74" s="5"/>
      <c r="I74" s="86"/>
      <c r="K74" s="86"/>
      <c r="L74" s="85"/>
    </row>
    <row r="75" spans="1:12" ht="18.75" customHeight="1" x14ac:dyDescent="0.35">
      <c r="A75" s="93"/>
      <c r="B75" s="112"/>
      <c r="C75" s="5">
        <f>+IFERROR(VLOOKUP($A75,RAIZ!$A$3:$X$1500,MATCH('LALO VARAS'!$F$1,RAIZ!$A$2:$X$2,0),FALSE),0)</f>
        <v>0</v>
      </c>
      <c r="D75" s="20"/>
      <c r="E75" s="5"/>
      <c r="F75" s="5">
        <f t="shared" si="14"/>
        <v>0</v>
      </c>
      <c r="G75" s="5"/>
      <c r="I75" s="86"/>
      <c r="K75" s="86"/>
      <c r="L75" s="85"/>
    </row>
    <row r="76" spans="1:12" ht="18.75" customHeight="1" x14ac:dyDescent="0.35">
      <c r="A76" s="93"/>
      <c r="B76" s="112"/>
      <c r="C76" s="5">
        <f>+IFERROR(VLOOKUP($A76,RAIZ!$A$3:$X$1500,MATCH('LALO VARAS'!$F$1,RAIZ!$A$2:$X$2,0),FALSE),0)</f>
        <v>0</v>
      </c>
      <c r="D76" s="20"/>
      <c r="E76" s="5"/>
      <c r="F76" s="5">
        <f t="shared" si="14"/>
        <v>0</v>
      </c>
      <c r="G76" s="5"/>
      <c r="I76" s="86"/>
      <c r="K76" s="86"/>
      <c r="L76" s="85"/>
    </row>
    <row r="77" spans="1:12" ht="18.75" customHeight="1" thickBot="1" x14ac:dyDescent="0.4">
      <c r="A77" s="93"/>
      <c r="B77" s="112"/>
      <c r="C77" s="5">
        <f>+IFERROR(VLOOKUP($A77,RAIZ!$A$3:$X$1500,MATCH('LALO VARAS'!$F$1,RAIZ!$A$2:$X$2,0),FALSE),0)</f>
        <v>0</v>
      </c>
      <c r="D77" s="20"/>
      <c r="E77" s="5"/>
      <c r="F77" s="5">
        <f t="shared" si="14"/>
        <v>0</v>
      </c>
      <c r="G77" s="5"/>
      <c r="I77" s="86"/>
      <c r="K77" s="86"/>
      <c r="L77" s="85"/>
    </row>
    <row r="78" spans="1:12" ht="18.75" customHeight="1" thickBot="1" x14ac:dyDescent="0.4">
      <c r="A78" s="99" t="s">
        <v>54</v>
      </c>
      <c r="B78" s="111"/>
      <c r="C78" s="77">
        <f>SUM(C56:C77)</f>
        <v>18</v>
      </c>
      <c r="D78" s="48">
        <f>SUM(D56:D77)</f>
        <v>24</v>
      </c>
      <c r="E78" s="48">
        <f>SUM(E56:E77)</f>
        <v>0</v>
      </c>
      <c r="F78" s="65">
        <f>SUM(F56:F77)</f>
        <v>9</v>
      </c>
      <c r="G78" s="48">
        <f>SUM(G56:G77)</f>
        <v>5</v>
      </c>
      <c r="I78" s="86"/>
      <c r="K78" s="86"/>
      <c r="L78" s="85"/>
    </row>
    <row r="79" spans="1:12" ht="18.75" customHeight="1" thickBot="1" x14ac:dyDescent="0.4">
      <c r="A79" s="103" t="s">
        <v>55</v>
      </c>
      <c r="B79" s="111"/>
      <c r="C79" s="79">
        <f>C18+C32+C49+C52+C55+C78</f>
        <v>120</v>
      </c>
      <c r="D79" s="52">
        <f>D18+D32+D49+D52+D55+D78</f>
        <v>171</v>
      </c>
      <c r="E79" s="52">
        <f>E18+E32+E49+E52+E55+E78</f>
        <v>0</v>
      </c>
      <c r="F79" s="67">
        <f>F18+F32+F49+F52+F55+F78</f>
        <v>66</v>
      </c>
      <c r="G79" s="52">
        <f>G18+G32+G49+G52+G55+G78</f>
        <v>37</v>
      </c>
      <c r="I79" s="86"/>
      <c r="K79" s="86"/>
      <c r="L79" s="85"/>
    </row>
    <row r="80" spans="1:12" ht="18.75" customHeight="1" x14ac:dyDescent="0.35">
      <c r="A80" s="104" t="s">
        <v>56</v>
      </c>
      <c r="B80" s="111"/>
      <c r="C80" s="68"/>
      <c r="D80" s="26"/>
      <c r="E80" s="27"/>
      <c r="F80" s="27"/>
      <c r="G80" s="27"/>
      <c r="I80" s="86"/>
      <c r="K80" s="86"/>
      <c r="L80" s="85"/>
    </row>
    <row r="81" spans="1:12" ht="18.75" customHeight="1" x14ac:dyDescent="0.35">
      <c r="A81" s="94" t="s">
        <v>57</v>
      </c>
      <c r="B81" s="112" t="s">
        <v>797</v>
      </c>
      <c r="C81" s="5">
        <f>+IFERROR(VLOOKUP($A81,RAIZ!$A$3:$X$1500,MATCH('LALO VARAS'!$F$1,RAIZ!$A$2:$X$2,0),FALSE),0)</f>
        <v>0</v>
      </c>
      <c r="D81" s="4">
        <v>2</v>
      </c>
      <c r="E81" s="5"/>
      <c r="F81" s="5">
        <f t="shared" ref="F81:F85" si="15">IF(D81-C81&gt;=0,D81-C81,0)</f>
        <v>2</v>
      </c>
      <c r="G81" s="5"/>
      <c r="I81" s="86"/>
      <c r="K81" s="86"/>
      <c r="L81" s="85"/>
    </row>
    <row r="82" spans="1:12" ht="18.75" customHeight="1" x14ac:dyDescent="0.35">
      <c r="A82" s="94" t="s">
        <v>58</v>
      </c>
      <c r="B82" s="112" t="s">
        <v>867</v>
      </c>
      <c r="C82" s="5">
        <f>+IFERROR(VLOOKUP($A82,RAIZ!$A$3:$X$1500,MATCH('LALO VARAS'!$F$1,RAIZ!$A$2:$X$2,0),FALSE),0)</f>
        <v>1</v>
      </c>
      <c r="D82" s="4">
        <v>2</v>
      </c>
      <c r="E82" s="5"/>
      <c r="F82" s="5">
        <f t="shared" ref="F82" si="16">IF(D82-C82&gt;=0,D82-C82,0)</f>
        <v>1</v>
      </c>
      <c r="G82" s="5"/>
      <c r="I82" s="86"/>
      <c r="K82" s="86"/>
      <c r="L82" s="85"/>
    </row>
    <row r="83" spans="1:12" ht="18.75" customHeight="1" x14ac:dyDescent="0.35">
      <c r="A83" s="94" t="s">
        <v>59</v>
      </c>
      <c r="B83" s="112" t="s">
        <v>798</v>
      </c>
      <c r="C83" s="5">
        <f>+IFERROR(VLOOKUP($A83,RAIZ!$A$3:$X$1500,MATCH('LALO VARAS'!$F$1,RAIZ!$A$2:$X$2,0),FALSE),0)</f>
        <v>1</v>
      </c>
      <c r="D83" s="7">
        <v>1</v>
      </c>
      <c r="E83" s="5"/>
      <c r="F83" s="5">
        <f t="shared" si="15"/>
        <v>0</v>
      </c>
      <c r="G83" s="5"/>
      <c r="I83" s="86"/>
      <c r="K83" s="86"/>
      <c r="L83" s="85"/>
    </row>
    <row r="84" spans="1:12" ht="18.75" customHeight="1" x14ac:dyDescent="0.35">
      <c r="A84" s="94" t="s">
        <v>60</v>
      </c>
      <c r="B84" s="112" t="s">
        <v>799</v>
      </c>
      <c r="C84" s="5">
        <f>+IFERROR(VLOOKUP($A84,RAIZ!$A$3:$X$1500,MATCH('LALO VARAS'!$F$1,RAIZ!$A$2:$X$2,0),FALSE),0)</f>
        <v>1</v>
      </c>
      <c r="D84" s="7">
        <v>2</v>
      </c>
      <c r="E84" s="5"/>
      <c r="F84" s="5">
        <f t="shared" si="15"/>
        <v>1</v>
      </c>
      <c r="G84" s="5"/>
      <c r="I84" s="86"/>
      <c r="K84" s="86"/>
      <c r="L84" s="85"/>
    </row>
    <row r="85" spans="1:12" ht="18.75" customHeight="1" x14ac:dyDescent="0.35">
      <c r="A85" s="94" t="s">
        <v>61</v>
      </c>
      <c r="B85" s="112" t="s">
        <v>800</v>
      </c>
      <c r="C85" s="5">
        <f>+IFERROR(VLOOKUP($A85,RAIZ!$A$3:$X$1500,MATCH('LALO VARAS'!$F$1,RAIZ!$A$2:$X$2,0),FALSE),0)</f>
        <v>1</v>
      </c>
      <c r="D85" s="7">
        <v>4</v>
      </c>
      <c r="E85" s="5"/>
      <c r="F85" s="5">
        <f t="shared" si="15"/>
        <v>3</v>
      </c>
      <c r="G85" s="5"/>
      <c r="I85" s="86"/>
      <c r="K85" s="86"/>
      <c r="L85" s="85"/>
    </row>
    <row r="86" spans="1:12" ht="18.75" customHeight="1" x14ac:dyDescent="0.35">
      <c r="A86" s="94" t="s">
        <v>63</v>
      </c>
      <c r="B86" s="112" t="s">
        <v>801</v>
      </c>
      <c r="C86" s="5">
        <f>+IFERROR(VLOOKUP($A86,RAIZ!$A$3:$X$1500,MATCH('LALO VARAS'!$F$1,RAIZ!$A$2:$X$2,0),FALSE),0)</f>
        <v>3</v>
      </c>
      <c r="D86" s="7">
        <v>4</v>
      </c>
      <c r="E86" s="5"/>
      <c r="F86" s="5">
        <f t="shared" ref="F86:F90" si="17">IF(D86-C86&gt;=0,D86-C86,0)</f>
        <v>1</v>
      </c>
      <c r="G86" s="5"/>
    </row>
    <row r="87" spans="1:12" ht="18.75" customHeight="1" x14ac:dyDescent="0.35">
      <c r="A87" s="94"/>
      <c r="B87" s="112" t="s">
        <v>1091</v>
      </c>
      <c r="C87" s="5">
        <f>+IFERROR(VLOOKUP($A87,RAIZ!$A$3:$X$1500,MATCH('LALO VARAS'!$F$1,RAIZ!$A$2:$X$2,0),FALSE),0)</f>
        <v>0</v>
      </c>
      <c r="D87" s="20"/>
      <c r="E87" s="5"/>
      <c r="F87" s="5">
        <f>IF(D87-C87&gt;=0,D87-C87,0)</f>
        <v>0</v>
      </c>
      <c r="G87" s="5"/>
    </row>
    <row r="88" spans="1:12" ht="18.75" customHeight="1" x14ac:dyDescent="0.35">
      <c r="A88" s="94"/>
      <c r="B88" s="112" t="s">
        <v>1094</v>
      </c>
      <c r="C88" s="5">
        <f>+IFERROR(VLOOKUP($A88,RAIZ!$A$3:$X$1500,MATCH('LALO VARAS'!$F$1,RAIZ!$A$2:$X$2,0),FALSE),0)</f>
        <v>0</v>
      </c>
      <c r="D88" s="7"/>
      <c r="E88" s="5"/>
      <c r="F88" s="5">
        <f t="shared" si="17"/>
        <v>0</v>
      </c>
      <c r="G88" s="5"/>
      <c r="I88" s="86"/>
      <c r="K88" s="86"/>
      <c r="L88" s="85"/>
    </row>
    <row r="89" spans="1:12" ht="18.75" customHeight="1" x14ac:dyDescent="0.35">
      <c r="A89" s="94"/>
      <c r="B89" s="112" t="s">
        <v>1095</v>
      </c>
      <c r="C89" s="5">
        <f>+IFERROR(VLOOKUP($A89,RAIZ!$A$3:$X$1500,MATCH('LALO VARAS'!$F$1,RAIZ!$A$2:$X$2,0),FALSE),0)</f>
        <v>0</v>
      </c>
      <c r="D89" s="7"/>
      <c r="E89" s="5"/>
      <c r="F89" s="5">
        <f t="shared" si="17"/>
        <v>0</v>
      </c>
      <c r="G89" s="5"/>
      <c r="I89" s="86"/>
      <c r="K89" s="86"/>
      <c r="L89" s="85"/>
    </row>
    <row r="90" spans="1:12" ht="18.75" customHeight="1" thickBot="1" x14ac:dyDescent="0.4">
      <c r="A90" s="94"/>
      <c r="B90" s="112" t="s">
        <v>1093</v>
      </c>
      <c r="C90" s="5">
        <f>+IFERROR(VLOOKUP($A90,RAIZ!$A$3:$X$1500,MATCH('LALO VARAS'!$F$1,RAIZ!$A$2:$X$2,0),FALSE),0)</f>
        <v>0</v>
      </c>
      <c r="D90" s="7"/>
      <c r="E90" s="5"/>
      <c r="F90" s="5">
        <f t="shared" si="17"/>
        <v>0</v>
      </c>
      <c r="G90" s="5"/>
    </row>
    <row r="91" spans="1:12" ht="18.75" customHeight="1" thickBot="1" x14ac:dyDescent="0.4">
      <c r="A91" s="105" t="s">
        <v>55</v>
      </c>
      <c r="B91" s="111"/>
      <c r="C91" s="80">
        <f>SUM(C81:C90)</f>
        <v>7</v>
      </c>
      <c r="D91" s="54">
        <f>SUM(D81:D90)</f>
        <v>15</v>
      </c>
      <c r="E91" s="54">
        <f>SUM(E81:E90)</f>
        <v>0</v>
      </c>
      <c r="F91" s="69">
        <f>SUM(F81:F90)</f>
        <v>8</v>
      </c>
      <c r="G91" s="54">
        <f>SUM(G81:G90)</f>
        <v>0</v>
      </c>
    </row>
    <row r="92" spans="1:12" ht="18.75" customHeight="1" x14ac:dyDescent="0.35">
      <c r="A92" s="106" t="s">
        <v>64</v>
      </c>
      <c r="B92" s="111"/>
      <c r="C92" s="70"/>
      <c r="D92" s="30"/>
      <c r="E92" s="31"/>
      <c r="F92" s="31"/>
      <c r="G92" s="31"/>
    </row>
    <row r="93" spans="1:12" ht="18.75" customHeight="1" x14ac:dyDescent="0.35">
      <c r="A93" s="94" t="s">
        <v>65</v>
      </c>
      <c r="B93" s="112" t="s">
        <v>802</v>
      </c>
      <c r="C93" s="5">
        <f>+IFERROR(VLOOKUP($A93,RAIZ!$A$3:$X$1500,MATCH('LALO VARAS'!$F$1,RAIZ!$A$2:$X$2,0),FALSE),0)</f>
        <v>0</v>
      </c>
      <c r="D93" s="4">
        <v>1</v>
      </c>
      <c r="E93" s="5"/>
      <c r="F93" s="5">
        <f t="shared" ref="F93:F104" si="18">IF(D93-C93&gt;=0,D93-C93,0)</f>
        <v>1</v>
      </c>
      <c r="G93" s="5"/>
    </row>
    <row r="94" spans="1:12" ht="18.75" customHeight="1" x14ac:dyDescent="0.35">
      <c r="A94" s="94" t="s">
        <v>66</v>
      </c>
      <c r="B94" s="112" t="s">
        <v>803</v>
      </c>
      <c r="C94" s="5">
        <f>+IFERROR(VLOOKUP($A94,RAIZ!$A$3:$X$1500,MATCH('LALO VARAS'!$F$1,RAIZ!$A$2:$X$2,0),FALSE),0)</f>
        <v>0</v>
      </c>
      <c r="D94" s="7">
        <v>1</v>
      </c>
      <c r="E94" s="5"/>
      <c r="F94" s="5">
        <f t="shared" si="18"/>
        <v>1</v>
      </c>
      <c r="G94" s="5"/>
    </row>
    <row r="95" spans="1:12" ht="18.75" customHeight="1" x14ac:dyDescent="0.35">
      <c r="A95" s="94" t="s">
        <v>68</v>
      </c>
      <c r="B95" s="112" t="s">
        <v>805</v>
      </c>
      <c r="C95" s="5">
        <f>+IFERROR(VLOOKUP($A95,RAIZ!$A$3:$X$1500,MATCH('LALO VARAS'!$F$1,RAIZ!$A$2:$X$2,0),FALSE),0)</f>
        <v>2</v>
      </c>
      <c r="D95" s="7">
        <v>3</v>
      </c>
      <c r="E95" s="5"/>
      <c r="F95" s="5">
        <f t="shared" si="18"/>
        <v>1</v>
      </c>
      <c r="G95" s="5"/>
    </row>
    <row r="96" spans="1:12" ht="18.75" customHeight="1" x14ac:dyDescent="0.35">
      <c r="A96" s="94" t="s">
        <v>69</v>
      </c>
      <c r="B96" s="112" t="s">
        <v>806</v>
      </c>
      <c r="C96" s="5">
        <f>+IFERROR(VLOOKUP($A96,RAIZ!$A$3:$X$1500,MATCH('LALO VARAS'!$F$1,RAIZ!$A$2:$X$2,0),FALSE),0)</f>
        <v>6</v>
      </c>
      <c r="D96" s="7">
        <v>10</v>
      </c>
      <c r="E96" s="5"/>
      <c r="F96" s="5">
        <f t="shared" si="18"/>
        <v>4</v>
      </c>
      <c r="G96" s="5"/>
    </row>
    <row r="97" spans="1:7" ht="18.75" customHeight="1" x14ac:dyDescent="0.35">
      <c r="A97" s="94" t="s">
        <v>70</v>
      </c>
      <c r="B97" s="112" t="s">
        <v>807</v>
      </c>
      <c r="C97" s="5">
        <f>+IFERROR(VLOOKUP($A97,RAIZ!$A$3:$X$1500,MATCH('LALO VARAS'!$F$1,RAIZ!$A$2:$X$2,0),FALSE),0)</f>
        <v>0</v>
      </c>
      <c r="D97" s="7">
        <v>3</v>
      </c>
      <c r="E97" s="5"/>
      <c r="F97" s="5">
        <f t="shared" si="18"/>
        <v>3</v>
      </c>
      <c r="G97" s="5"/>
    </row>
    <row r="98" spans="1:7" ht="18.75" customHeight="1" x14ac:dyDescent="0.35">
      <c r="A98" s="94" t="s">
        <v>857</v>
      </c>
      <c r="B98" s="112" t="s">
        <v>808</v>
      </c>
      <c r="C98" s="5">
        <f>+IFERROR(VLOOKUP($A98,RAIZ!$A$3:$X$1500,MATCH('LALO VARAS'!$F$1,RAIZ!$A$2:$X$2,0),FALSE),0)</f>
        <v>5</v>
      </c>
      <c r="D98" s="7">
        <v>3</v>
      </c>
      <c r="E98" s="201">
        <v>15</v>
      </c>
      <c r="F98" s="5">
        <f t="shared" si="18"/>
        <v>0</v>
      </c>
      <c r="G98" s="5"/>
    </row>
    <row r="99" spans="1:7" ht="18.75" customHeight="1" x14ac:dyDescent="0.35">
      <c r="A99" s="94" t="s">
        <v>835</v>
      </c>
      <c r="B99" s="112" t="s">
        <v>836</v>
      </c>
      <c r="C99" s="5">
        <f>+IFERROR(VLOOKUP($A99,RAIZ!$A$3:$X$1500,MATCH('LALO VARAS'!$F$1,RAIZ!$A$2:$X$2,0),FALSE),0)</f>
        <v>3</v>
      </c>
      <c r="D99" s="7">
        <v>3</v>
      </c>
      <c r="E99" s="5"/>
      <c r="F99" s="5">
        <f t="shared" ref="F99:F103" si="19">IF(D99-C99&gt;=0,D99-C99,0)</f>
        <v>0</v>
      </c>
      <c r="G99" s="5"/>
    </row>
    <row r="100" spans="1:7" ht="18.75" customHeight="1" x14ac:dyDescent="0.35">
      <c r="A100" s="94" t="s">
        <v>72</v>
      </c>
      <c r="B100" s="112" t="s">
        <v>834</v>
      </c>
      <c r="C100" s="5">
        <f>+IFERROR(VLOOKUP($A100,RAIZ!$A$3:$X$1500,MATCH('LALO VARAS'!$F$1,RAIZ!$A$2:$X$2,0),FALSE),0)</f>
        <v>31</v>
      </c>
      <c r="D100" s="7">
        <v>30</v>
      </c>
      <c r="E100" s="5"/>
      <c r="F100" s="5">
        <f t="shared" si="19"/>
        <v>0</v>
      </c>
      <c r="G100" s="5"/>
    </row>
    <row r="101" spans="1:7" ht="18.75" customHeight="1" x14ac:dyDescent="0.35">
      <c r="A101" s="94" t="s">
        <v>73</v>
      </c>
      <c r="B101" s="112" t="s">
        <v>809</v>
      </c>
      <c r="C101" s="5">
        <f>+IFERROR(VLOOKUP($A101,RAIZ!$A$3:$X$1500,MATCH('LALO VARAS'!$F$1,RAIZ!$A$2:$X$2,0),FALSE),0)</f>
        <v>0</v>
      </c>
      <c r="D101" s="7">
        <v>0</v>
      </c>
      <c r="E101" s="5"/>
      <c r="F101" s="5">
        <f t="shared" si="19"/>
        <v>0</v>
      </c>
      <c r="G101" s="5"/>
    </row>
    <row r="102" spans="1:7" ht="18.75" customHeight="1" x14ac:dyDescent="0.35">
      <c r="A102" s="94" t="s">
        <v>74</v>
      </c>
      <c r="B102" s="112" t="s">
        <v>810</v>
      </c>
      <c r="C102" s="5">
        <f>+IFERROR(VLOOKUP($A102,RAIZ!$A$3:$X$1500,MATCH('LALO VARAS'!$F$1,RAIZ!$A$2:$X$2,0),FALSE),0)</f>
        <v>1</v>
      </c>
      <c r="D102" s="7">
        <v>3</v>
      </c>
      <c r="E102" s="5"/>
      <c r="F102" s="5">
        <f t="shared" si="19"/>
        <v>2</v>
      </c>
      <c r="G102" s="5"/>
    </row>
    <row r="103" spans="1:7" ht="18.75" customHeight="1" x14ac:dyDescent="0.35">
      <c r="A103" s="94" t="s">
        <v>75</v>
      </c>
      <c r="B103" s="112" t="s">
        <v>811</v>
      </c>
      <c r="C103" s="5">
        <f>+IFERROR(VLOOKUP($A103,RAIZ!$A$3:$X$1500,MATCH('LALO VARAS'!$F$1,RAIZ!$A$2:$X$2,0),FALSE),0)</f>
        <v>1</v>
      </c>
      <c r="D103" s="20">
        <v>2</v>
      </c>
      <c r="E103" s="5"/>
      <c r="F103" s="5">
        <f t="shared" si="19"/>
        <v>1</v>
      </c>
      <c r="G103" s="5"/>
    </row>
    <row r="104" spans="1:7" ht="18.75" customHeight="1" thickBot="1" x14ac:dyDescent="0.4">
      <c r="A104" s="94"/>
      <c r="B104" s="112" t="s">
        <v>1096</v>
      </c>
      <c r="C104" s="5">
        <f>+IFERROR(VLOOKUP($A104,RAIZ!$A$3:$X$1500,MATCH('LALO VARAS'!$F$1,RAIZ!$A$2:$X$2,0),FALSE),0)</f>
        <v>0</v>
      </c>
      <c r="D104" s="7"/>
      <c r="E104" s="5"/>
      <c r="F104" s="5">
        <f t="shared" si="18"/>
        <v>0</v>
      </c>
      <c r="G104" s="5"/>
    </row>
    <row r="105" spans="1:7" ht="18.75" customHeight="1" thickBot="1" x14ac:dyDescent="0.4">
      <c r="A105" s="107" t="s">
        <v>55</v>
      </c>
      <c r="B105" s="111"/>
      <c r="C105" s="81">
        <f>SUM(C93:C104)</f>
        <v>49</v>
      </c>
      <c r="D105" s="56">
        <f>SUM(D93:D104)</f>
        <v>59</v>
      </c>
      <c r="E105" s="56">
        <f>SUM(E93:E104)</f>
        <v>15</v>
      </c>
      <c r="F105" s="71">
        <f>SUM(F93:F104)</f>
        <v>13</v>
      </c>
      <c r="G105" s="56">
        <f>SUM(G93:G104)</f>
        <v>0</v>
      </c>
    </row>
    <row r="106" spans="1:7" ht="18.75" customHeight="1" x14ac:dyDescent="0.35">
      <c r="A106" s="108" t="s">
        <v>76</v>
      </c>
      <c r="B106" s="111"/>
      <c r="C106" s="72"/>
      <c r="D106" s="34"/>
      <c r="E106" s="35"/>
      <c r="F106" s="35"/>
      <c r="G106" s="35"/>
    </row>
    <row r="107" spans="1:7" ht="18.75" customHeight="1" x14ac:dyDescent="0.35">
      <c r="A107" s="94" t="s">
        <v>77</v>
      </c>
      <c r="B107" s="112" t="s">
        <v>812</v>
      </c>
      <c r="C107" s="5">
        <f>+IFERROR(VLOOKUP($A107,RAIZ!$A$3:$X$1500,MATCH('LALO VARAS'!$F$1,RAIZ!$A$2:$X$2,0),FALSE),0)</f>
        <v>2</v>
      </c>
      <c r="D107" s="7">
        <v>6</v>
      </c>
      <c r="E107" s="5"/>
      <c r="F107" s="5">
        <f t="shared" ref="F107:F112" si="20">IF(D107-C107&gt;=0,D107-C107,0)</f>
        <v>4</v>
      </c>
      <c r="G107" s="5"/>
    </row>
    <row r="108" spans="1:7" ht="18.75" customHeight="1" x14ac:dyDescent="0.35">
      <c r="A108" s="94" t="s">
        <v>621</v>
      </c>
      <c r="B108" s="112" t="s">
        <v>813</v>
      </c>
      <c r="C108" s="5">
        <f>+IFERROR(VLOOKUP($A108,RAIZ!$A$3:$X$1500,MATCH('LALO VARAS'!$F$1,RAIZ!$A$2:$X$2,0),FALSE),0)</f>
        <v>1</v>
      </c>
      <c r="D108" s="7">
        <v>0</v>
      </c>
      <c r="E108" s="5"/>
      <c r="F108" s="5">
        <f t="shared" si="20"/>
        <v>0</v>
      </c>
      <c r="G108" s="5"/>
    </row>
    <row r="109" spans="1:7" ht="18.75" customHeight="1" x14ac:dyDescent="0.35">
      <c r="A109" s="94" t="s">
        <v>80</v>
      </c>
      <c r="B109" s="112" t="s">
        <v>815</v>
      </c>
      <c r="C109" s="5">
        <f>+IFERROR(VLOOKUP($A109,RAIZ!$A$3:$X$1500,MATCH('LALO VARAS'!$F$1,RAIZ!$A$2:$X$2,0),FALSE),0)</f>
        <v>6</v>
      </c>
      <c r="D109" s="7">
        <v>10</v>
      </c>
      <c r="E109" s="5"/>
      <c r="F109" s="5">
        <f t="shared" si="20"/>
        <v>4</v>
      </c>
      <c r="G109" s="5"/>
    </row>
    <row r="110" spans="1:7" ht="18.75" customHeight="1" x14ac:dyDescent="0.35">
      <c r="A110" s="94" t="s">
        <v>81</v>
      </c>
      <c r="B110" s="112" t="s">
        <v>816</v>
      </c>
      <c r="C110" s="5">
        <f>+IFERROR(VLOOKUP($A110,RAIZ!$A$3:$X$1500,MATCH('LALO VARAS'!$F$1,RAIZ!$A$2:$X$2,0),FALSE),0)</f>
        <v>5</v>
      </c>
      <c r="D110" s="7">
        <v>10</v>
      </c>
      <c r="E110" s="5"/>
      <c r="F110" s="5">
        <f t="shared" si="20"/>
        <v>5</v>
      </c>
      <c r="G110" s="5"/>
    </row>
    <row r="111" spans="1:7" ht="18.75" customHeight="1" x14ac:dyDescent="0.35">
      <c r="A111" s="95" t="s">
        <v>83</v>
      </c>
      <c r="B111" s="112" t="s">
        <v>818</v>
      </c>
      <c r="C111" s="5">
        <f>+IFERROR(VLOOKUP($A111,RAIZ!$A$3:$X$1500,MATCH('LALO VARAS'!$F$1,RAIZ!$A$2:$X$2,0),FALSE),0)</f>
        <v>3</v>
      </c>
      <c r="D111" s="20">
        <v>3</v>
      </c>
      <c r="E111" s="5"/>
      <c r="F111" s="5">
        <f t="shared" si="20"/>
        <v>0</v>
      </c>
      <c r="G111" s="5"/>
    </row>
    <row r="112" spans="1:7" ht="18.75" customHeight="1" thickBot="1" x14ac:dyDescent="0.4">
      <c r="A112" s="95"/>
      <c r="B112" s="112"/>
      <c r="C112" s="5">
        <f>+IFERROR(VLOOKUP($A112,RAIZ!$A$3:$X$1500,MATCH('LALO VARAS'!$F$1,RAIZ!$A$2:$X$2,0),FALSE),0)</f>
        <v>0</v>
      </c>
      <c r="D112" s="20"/>
      <c r="E112" s="5"/>
      <c r="F112" s="5">
        <f t="shared" si="20"/>
        <v>0</v>
      </c>
      <c r="G112" s="5"/>
    </row>
    <row r="113" spans="1:7" ht="18.75" customHeight="1" thickBot="1" x14ac:dyDescent="0.4">
      <c r="A113" s="109" t="s">
        <v>55</v>
      </c>
      <c r="B113" s="111"/>
      <c r="C113" s="82">
        <f>SUM(C107:C112,C114:C116)</f>
        <v>24</v>
      </c>
      <c r="D113" s="58">
        <f>SUM(D107:D112,D114:D116)</f>
        <v>36</v>
      </c>
      <c r="E113" s="58">
        <f>SUM(E107:E112,E114:E116)</f>
        <v>0</v>
      </c>
      <c r="F113" s="73">
        <f>SUM(F107:F112,F114:F116)</f>
        <v>15</v>
      </c>
      <c r="G113" s="58">
        <f>SUM(G107:G112,G114:G116)</f>
        <v>0</v>
      </c>
    </row>
    <row r="114" spans="1:7" ht="18.75" customHeight="1" x14ac:dyDescent="0.35">
      <c r="A114" s="93" t="s">
        <v>84</v>
      </c>
      <c r="B114" s="112" t="s">
        <v>819</v>
      </c>
      <c r="C114" s="5">
        <f>+IFERROR(VLOOKUP($A114,RAIZ!$A$3:$X$1500,MATCH('LALO VARAS'!$F$1,RAIZ!$A$2:$X$2,0),FALSE),0)</f>
        <v>2</v>
      </c>
      <c r="D114" s="4">
        <v>3</v>
      </c>
      <c r="E114" s="5"/>
      <c r="F114" s="5">
        <f t="shared" ref="F114" si="21">IF(D114-C114&gt;=0,D114-C114,0)</f>
        <v>1</v>
      </c>
      <c r="G114" s="5"/>
    </row>
    <row r="115" spans="1:7" ht="18.75" customHeight="1" x14ac:dyDescent="0.35">
      <c r="A115" s="95" t="s">
        <v>85</v>
      </c>
      <c r="B115" s="112" t="s">
        <v>820</v>
      </c>
      <c r="C115" s="5">
        <f>+IFERROR(VLOOKUP($A115,RAIZ!$A$3:$X$1500,MATCH('LALO VARAS'!$F$1,RAIZ!$A$2:$X$2,0),FALSE),0)</f>
        <v>2</v>
      </c>
      <c r="D115" s="20">
        <v>3</v>
      </c>
      <c r="E115" s="5"/>
      <c r="F115" s="5">
        <f t="shared" ref="F115:F141" si="22">IF(D115-C115&gt;=0,D115-C115,0)</f>
        <v>1</v>
      </c>
      <c r="G115" s="5"/>
    </row>
    <row r="116" spans="1:7" ht="18.75" customHeight="1" thickBot="1" x14ac:dyDescent="0.4">
      <c r="A116" s="95" t="s">
        <v>881</v>
      </c>
      <c r="B116" s="112" t="s">
        <v>882</v>
      </c>
      <c r="C116" s="5">
        <f>+IFERROR(VLOOKUP($A116,RAIZ!$A$3:$X$1500,MATCH('LALO VARAS'!$F$1,RAIZ!$A$2:$X$2,0),FALSE),0)</f>
        <v>3</v>
      </c>
      <c r="D116" s="20">
        <v>1</v>
      </c>
      <c r="E116" s="5"/>
      <c r="F116" s="5">
        <f t="shared" si="22"/>
        <v>0</v>
      </c>
      <c r="G116" s="5"/>
    </row>
    <row r="117" spans="1:7" ht="18.75" customHeight="1" thickBot="1" x14ac:dyDescent="0.4">
      <c r="A117" s="110" t="s">
        <v>86</v>
      </c>
      <c r="B117" s="111"/>
      <c r="C117" s="83">
        <f>C79+C91+C105+C113</f>
        <v>200</v>
      </c>
      <c r="D117" s="60">
        <f>D79+D91+D105+D113</f>
        <v>281</v>
      </c>
      <c r="E117" s="60">
        <f>E79+E91+E105+E113</f>
        <v>15</v>
      </c>
      <c r="F117" s="74">
        <f>F79+F91+F105+F113</f>
        <v>102</v>
      </c>
      <c r="G117" s="60">
        <f>G79+G91+G105+G113</f>
        <v>37</v>
      </c>
    </row>
    <row r="118" spans="1:7" ht="18.75" customHeight="1" x14ac:dyDescent="0.35">
      <c r="A118" s="95" t="s">
        <v>975</v>
      </c>
      <c r="B118" s="112" t="s">
        <v>976</v>
      </c>
      <c r="C118" s="5">
        <f>+IFERROR(VLOOKUP($A118,RAIZ!$A$3:$X$1500,MATCH('LALO VARAS'!$F$1,RAIZ!$A$2:$X$2,0),FALSE),0)</f>
        <v>3</v>
      </c>
      <c r="D118" s="20">
        <v>3</v>
      </c>
      <c r="E118" s="5"/>
      <c r="F118" s="5">
        <f>IF(D118-C118&gt;=0,D118-C118,0)</f>
        <v>0</v>
      </c>
      <c r="G118" s="5"/>
    </row>
    <row r="119" spans="1:7" ht="18.75" customHeight="1" x14ac:dyDescent="0.35">
      <c r="A119" s="95" t="s">
        <v>974</v>
      </c>
      <c r="B119" s="112" t="s">
        <v>977</v>
      </c>
      <c r="C119" s="5">
        <f>+IFERROR(VLOOKUP($A119,RAIZ!$A$3:$X$1500,MATCH('LALO VARAS'!$F$1,RAIZ!$A$2:$X$2,0),FALSE),0)</f>
        <v>3</v>
      </c>
      <c r="D119" s="20">
        <v>3</v>
      </c>
      <c r="E119" s="5"/>
      <c r="F119" s="5">
        <f t="shared" si="22"/>
        <v>0</v>
      </c>
      <c r="G119" s="5"/>
    </row>
    <row r="120" spans="1:7" ht="18.75" customHeight="1" thickBot="1" x14ac:dyDescent="0.4">
      <c r="A120" s="95" t="s">
        <v>1077</v>
      </c>
      <c r="B120" s="112" t="s">
        <v>817</v>
      </c>
      <c r="C120" s="5">
        <f>+IFERROR(VLOOKUP($A120,RAIZ!$A$3:$X$1500,MATCH('LALO VARAS'!$F$1,RAIZ!$A$2:$X$2,0),FALSE),0)</f>
        <v>0</v>
      </c>
      <c r="D120" s="20"/>
      <c r="E120" s="5"/>
      <c r="F120" s="5">
        <f t="shared" si="22"/>
        <v>0</v>
      </c>
      <c r="G120" s="5"/>
    </row>
    <row r="121" spans="1:7" ht="18.75" customHeight="1" thickBot="1" x14ac:dyDescent="0.4">
      <c r="A121" s="95" t="s">
        <v>1076</v>
      </c>
      <c r="B121" s="194" t="s">
        <v>1121</v>
      </c>
      <c r="C121" s="5">
        <f>+IFERROR(VLOOKUP($A121,RAIZ!$A$3:$X$1500,MATCH('LALO VARAS'!$F$1,RAIZ!$A$2:$X$2,0),FALSE),0)</f>
        <v>0</v>
      </c>
      <c r="D121" s="20"/>
      <c r="E121" s="5"/>
      <c r="F121" s="5">
        <f t="shared" si="22"/>
        <v>0</v>
      </c>
      <c r="G121" s="5"/>
    </row>
    <row r="122" spans="1:7" ht="18.75" customHeight="1" thickBot="1" x14ac:dyDescent="0.4">
      <c r="A122" s="95" t="s">
        <v>1014</v>
      </c>
      <c r="B122" s="194" t="s">
        <v>1010</v>
      </c>
      <c r="C122" s="5">
        <f>+IFERROR(VLOOKUP($A122,RAIZ!$A$3:$X$1500,MATCH('LALO VARAS'!$F$1,RAIZ!$A$2:$X$2,0),FALSE),0)</f>
        <v>5</v>
      </c>
      <c r="D122" s="20">
        <v>10</v>
      </c>
      <c r="E122" s="5"/>
      <c r="F122" s="5">
        <f t="shared" si="22"/>
        <v>5</v>
      </c>
      <c r="G122" s="5"/>
    </row>
    <row r="123" spans="1:7" ht="18.75" customHeight="1" thickBot="1" x14ac:dyDescent="0.4">
      <c r="A123" s="95" t="s">
        <v>1015</v>
      </c>
      <c r="B123" s="194" t="s">
        <v>1011</v>
      </c>
      <c r="C123" s="147">
        <f>+IFERROR(VLOOKUP($A123,RAIZ!$A$3:$X$1500,MATCH('LALO VARAS'!$F$1,RAIZ!$A$2:$X$2,0),FALSE),0)</f>
        <v>5</v>
      </c>
      <c r="D123" s="20">
        <v>5</v>
      </c>
      <c r="E123" s="5"/>
      <c r="F123" s="5">
        <f t="shared" si="22"/>
        <v>0</v>
      </c>
      <c r="G123" s="5"/>
    </row>
    <row r="124" spans="1:7" ht="18.75" customHeight="1" thickBot="1" x14ac:dyDescent="0.4">
      <c r="A124" s="95" t="s">
        <v>1016</v>
      </c>
      <c r="B124" s="194" t="s">
        <v>1012</v>
      </c>
      <c r="C124" s="147">
        <f>+IFERROR(VLOOKUP($A124,RAIZ!$A$3:$X$1500,MATCH('LALO VARAS'!$F$1,RAIZ!$A$2:$X$2,0),FALSE),0)</f>
        <v>10</v>
      </c>
      <c r="D124" s="20">
        <v>5</v>
      </c>
      <c r="E124" s="5"/>
      <c r="F124" s="5">
        <f t="shared" si="22"/>
        <v>0</v>
      </c>
      <c r="G124" s="5"/>
    </row>
    <row r="125" spans="1:7" ht="18.75" customHeight="1" thickBot="1" x14ac:dyDescent="0.4">
      <c r="A125" s="95" t="s">
        <v>1017</v>
      </c>
      <c r="B125" s="194" t="s">
        <v>1013</v>
      </c>
      <c r="C125" s="147">
        <f>+IFERROR(VLOOKUP($A125,RAIZ!$A$3:$X$1500,MATCH('LALO VARAS'!$F$1,RAIZ!$A$2:$X$2,0),FALSE),0)</f>
        <v>6</v>
      </c>
      <c r="D125" s="18">
        <v>10</v>
      </c>
      <c r="E125" s="5"/>
      <c r="F125" s="5">
        <f t="shared" si="22"/>
        <v>4</v>
      </c>
      <c r="G125" s="5"/>
    </row>
    <row r="126" spans="1:7" ht="18.75" customHeight="1" thickBot="1" x14ac:dyDescent="0.4">
      <c r="A126" s="95" t="s">
        <v>1125</v>
      </c>
      <c r="B126" s="194" t="s">
        <v>1127</v>
      </c>
      <c r="C126" s="147">
        <f>+IFERROR(VLOOKUP($A126,RAIZ!$A$3:$X$1500,MATCH('LALO VARAS'!$F$1,RAIZ!$A$2:$X$2,0),FALSE),0)</f>
        <v>0</v>
      </c>
      <c r="D126" s="20"/>
      <c r="E126" s="5"/>
      <c r="F126" s="5">
        <f t="shared" si="22"/>
        <v>0</v>
      </c>
      <c r="G126" s="5"/>
    </row>
    <row r="127" spans="1:7" ht="18.75" customHeight="1" thickBot="1" x14ac:dyDescent="0.4">
      <c r="A127" s="95" t="s">
        <v>1126</v>
      </c>
      <c r="B127" s="194" t="s">
        <v>1128</v>
      </c>
      <c r="C127" s="147">
        <f>+IFERROR(VLOOKUP($A127,RAIZ!$A$3:$X$1500,MATCH('LALO VARAS'!$F$1,RAIZ!$A$2:$X$2,0),FALSE),0)</f>
        <v>0</v>
      </c>
      <c r="D127" s="18"/>
      <c r="E127" s="184"/>
      <c r="F127" s="184">
        <f t="shared" si="22"/>
        <v>0</v>
      </c>
      <c r="G127" s="181"/>
    </row>
    <row r="128" spans="1:7" ht="18.75" customHeight="1" thickBot="1" x14ac:dyDescent="0.4">
      <c r="A128" s="95" t="s">
        <v>568</v>
      </c>
      <c r="B128" s="194" t="s">
        <v>1131</v>
      </c>
      <c r="C128" s="186">
        <f>+IFERROR(VLOOKUP($A128,RAIZ!$A$3:$X$1500,MATCH('LALO VARAS'!$F$1,RAIZ!$A$2:$X$2,0),FALSE),0)</f>
        <v>3</v>
      </c>
      <c r="D128" s="18">
        <v>3</v>
      </c>
      <c r="E128" s="185"/>
      <c r="F128" s="185">
        <f t="shared" si="22"/>
        <v>0</v>
      </c>
      <c r="G128" s="185"/>
    </row>
    <row r="129" spans="1:7" ht="18.75" customHeight="1" thickBot="1" x14ac:dyDescent="0.4">
      <c r="A129" s="95" t="s">
        <v>565</v>
      </c>
      <c r="B129" s="194" t="s">
        <v>1142</v>
      </c>
      <c r="C129" s="187">
        <f>+IFERROR(VLOOKUP($A129,RAIZ!$A$3:$X$1500,MATCH('LALO VARAS'!$F$1,RAIZ!$A$2:$X$2,0),FALSE),0)</f>
        <v>2</v>
      </c>
      <c r="D129" s="18">
        <v>2</v>
      </c>
      <c r="E129" s="185"/>
      <c r="F129" s="185">
        <f t="shared" si="22"/>
        <v>0</v>
      </c>
      <c r="G129" s="185"/>
    </row>
    <row r="130" spans="1:7" ht="18.75" customHeight="1" thickBot="1" x14ac:dyDescent="0.4">
      <c r="A130" s="95" t="s">
        <v>912</v>
      </c>
      <c r="B130" s="194" t="s">
        <v>1136</v>
      </c>
      <c r="C130" s="187">
        <f>+IFERROR(VLOOKUP($A130,RAIZ!$A$3:$X$1500,MATCH('LALO VARAS'!$F$1,RAIZ!$A$2:$X$2,0),FALSE),0)</f>
        <v>1</v>
      </c>
      <c r="D130" s="18">
        <v>2</v>
      </c>
      <c r="E130" s="185"/>
      <c r="F130" s="185">
        <f t="shared" si="22"/>
        <v>1</v>
      </c>
      <c r="G130" s="185"/>
    </row>
    <row r="131" spans="1:7" ht="18.75" customHeight="1" thickBot="1" x14ac:dyDescent="0.4">
      <c r="A131" s="95" t="s">
        <v>557</v>
      </c>
      <c r="B131" s="194" t="s">
        <v>1137</v>
      </c>
      <c r="C131" s="187">
        <f>+IFERROR(VLOOKUP($A131,RAIZ!$A$3:$X$1500,MATCH('LALO VARAS'!$F$1,RAIZ!$A$2:$X$2,0),FALSE),0)</f>
        <v>0</v>
      </c>
      <c r="D131" s="18">
        <v>2</v>
      </c>
      <c r="E131" s="185"/>
      <c r="F131" s="185">
        <f t="shared" si="22"/>
        <v>2</v>
      </c>
      <c r="G131" s="185"/>
    </row>
    <row r="132" spans="1:7" ht="18.75" customHeight="1" thickBot="1" x14ac:dyDescent="0.4">
      <c r="A132" s="95" t="s">
        <v>573</v>
      </c>
      <c r="B132" s="194" t="s">
        <v>1138</v>
      </c>
      <c r="C132" s="187">
        <f>+IFERROR(VLOOKUP($A132,RAIZ!$A$3:$X$1500,MATCH('LALO VARAS'!$F$1,RAIZ!$A$2:$X$2,0),FALSE),0)</f>
        <v>1</v>
      </c>
      <c r="D132" s="18">
        <v>1</v>
      </c>
      <c r="E132" s="185"/>
      <c r="F132" s="185">
        <f t="shared" si="22"/>
        <v>0</v>
      </c>
      <c r="G132" s="185"/>
    </row>
    <row r="133" spans="1:7" ht="18.75" customHeight="1" thickBot="1" x14ac:dyDescent="0.4">
      <c r="A133" s="95" t="s">
        <v>421</v>
      </c>
      <c r="B133" s="194" t="s">
        <v>1140</v>
      </c>
      <c r="C133" s="187">
        <f>+IFERROR(VLOOKUP($A133,RAIZ!$A$3:$X$1500,MATCH('LALO VARAS'!$F$1,RAIZ!$A$2:$X$2,0),FALSE),0)</f>
        <v>2</v>
      </c>
      <c r="D133" s="18">
        <v>2</v>
      </c>
      <c r="E133" s="185"/>
      <c r="F133" s="185">
        <f t="shared" si="22"/>
        <v>0</v>
      </c>
      <c r="G133" s="185"/>
    </row>
    <row r="134" spans="1:7" ht="18.75" customHeight="1" thickBot="1" x14ac:dyDescent="0.4">
      <c r="A134" s="95" t="s">
        <v>249</v>
      </c>
      <c r="B134" s="194" t="s">
        <v>1134</v>
      </c>
      <c r="C134" s="187">
        <f>+IFERROR(VLOOKUP($A134,RAIZ!$A$3:$X$1500,MATCH('LALO VARAS'!$F$1,RAIZ!$A$2:$X$2,0),FALSE),0)</f>
        <v>0</v>
      </c>
      <c r="D134" s="18">
        <v>2</v>
      </c>
      <c r="E134" s="185"/>
      <c r="F134" s="185">
        <f t="shared" si="22"/>
        <v>2</v>
      </c>
      <c r="G134" s="185"/>
    </row>
    <row r="135" spans="1:7" ht="18.75" customHeight="1" thickBot="1" x14ac:dyDescent="0.4">
      <c r="A135" s="95" t="s">
        <v>1030</v>
      </c>
      <c r="B135" s="194" t="s">
        <v>1143</v>
      </c>
      <c r="C135" s="187">
        <f>+IFERROR(VLOOKUP($A135,RAIZ!$A$3:$X$1500,MATCH('LALO VARAS'!$F$1,RAIZ!$A$2:$X$2,0),FALSE),0)</f>
        <v>0</v>
      </c>
      <c r="D135" s="18">
        <v>6</v>
      </c>
      <c r="E135" s="185"/>
      <c r="F135" s="185">
        <f t="shared" si="22"/>
        <v>6</v>
      </c>
      <c r="G135" s="185"/>
    </row>
    <row r="136" spans="1:7" ht="18.75" customHeight="1" thickBot="1" x14ac:dyDescent="0.4">
      <c r="A136" s="95" t="s">
        <v>253</v>
      </c>
      <c r="B136" s="194" t="s">
        <v>1135</v>
      </c>
      <c r="C136" s="187">
        <f>+IFERROR(VLOOKUP($A136,RAIZ!$A$3:$X$1500,MATCH('LALO VARAS'!$F$1,RAIZ!$A$2:$X$2,0),FALSE),0)</f>
        <v>4</v>
      </c>
      <c r="D136" s="18">
        <v>2</v>
      </c>
      <c r="E136" s="185"/>
      <c r="F136" s="185">
        <f t="shared" si="22"/>
        <v>0</v>
      </c>
      <c r="G136" s="185"/>
    </row>
    <row r="137" spans="1:7" ht="18.75" customHeight="1" thickBot="1" x14ac:dyDescent="0.4">
      <c r="A137" s="95" t="s">
        <v>240</v>
      </c>
      <c r="B137" s="194" t="s">
        <v>1139</v>
      </c>
      <c r="C137" s="187">
        <f>+IFERROR(VLOOKUP($A137,RAIZ!$A$3:$X$1500,MATCH('LALO VARAS'!$F$1,RAIZ!$A$2:$X$2,0),FALSE),0)</f>
        <v>0</v>
      </c>
      <c r="D137" s="18">
        <v>0</v>
      </c>
      <c r="E137" s="185"/>
      <c r="F137" s="185">
        <f t="shared" si="22"/>
        <v>0</v>
      </c>
      <c r="G137" s="185"/>
    </row>
    <row r="138" spans="1:7" ht="18.75" customHeight="1" thickBot="1" x14ac:dyDescent="0.4">
      <c r="A138" s="95" t="s">
        <v>204</v>
      </c>
      <c r="B138" s="194" t="s">
        <v>1106</v>
      </c>
      <c r="C138" s="187">
        <f>+IFERROR(VLOOKUP($A138,RAIZ!$A$3:$X$1500,MATCH('LALO VARAS'!$F$1,RAIZ!$A$2:$X$2,0),FALSE),0)</f>
        <v>0</v>
      </c>
      <c r="D138" s="18">
        <v>0</v>
      </c>
      <c r="E138" s="185"/>
      <c r="F138" s="185">
        <f t="shared" si="22"/>
        <v>0</v>
      </c>
      <c r="G138" s="185"/>
    </row>
    <row r="139" spans="1:7" ht="18.75" customHeight="1" thickBot="1" x14ac:dyDescent="0.4">
      <c r="A139" s="95" t="s">
        <v>1132</v>
      </c>
      <c r="B139" s="194" t="s">
        <v>1141</v>
      </c>
      <c r="C139" s="187">
        <f>+IFERROR(VLOOKUP($A139,RAIZ!$A$3:$X$1500,MATCH('LALO VARAS'!$F$1,RAIZ!$A$2:$X$2,0),FALSE),0)</f>
        <v>0</v>
      </c>
      <c r="D139" s="18">
        <v>1</v>
      </c>
      <c r="E139" s="185"/>
      <c r="F139" s="185">
        <f t="shared" si="22"/>
        <v>1</v>
      </c>
      <c r="G139" s="185"/>
    </row>
    <row r="140" spans="1:7" ht="18.75" customHeight="1" thickBot="1" x14ac:dyDescent="0.4">
      <c r="A140" s="95" t="s">
        <v>914</v>
      </c>
      <c r="B140" s="194" t="s">
        <v>1133</v>
      </c>
      <c r="C140" s="187">
        <f>+IFERROR(VLOOKUP($A140,RAIZ!$A$3:$X$1500,MATCH('LALO VARAS'!$F$1,RAIZ!$A$2:$X$2,0),FALSE),0)</f>
        <v>0</v>
      </c>
      <c r="D140" s="18">
        <v>1</v>
      </c>
      <c r="E140" s="185"/>
      <c r="F140" s="185">
        <f t="shared" si="22"/>
        <v>1</v>
      </c>
      <c r="G140" s="185"/>
    </row>
    <row r="141" spans="1:7" ht="18.75" customHeight="1" thickBot="1" x14ac:dyDescent="0.4">
      <c r="A141" s="243" t="s">
        <v>1120</v>
      </c>
      <c r="B141" s="194" t="s">
        <v>1159</v>
      </c>
      <c r="C141" s="187">
        <f>+IFERROR(VLOOKUP($A141,RAIZ!$A$3:$X$1500,MATCH('LALO VARAS'!$F$1,RAIZ!$A$2:$X$2,0),FALSE),0)</f>
        <v>0</v>
      </c>
      <c r="D141" s="18"/>
      <c r="E141" s="185"/>
      <c r="F141" s="185">
        <f t="shared" si="22"/>
        <v>0</v>
      </c>
      <c r="G141" s="185"/>
    </row>
    <row r="142" spans="1:7" ht="18.75" customHeight="1" thickBot="1" x14ac:dyDescent="0.4">
      <c r="A142" s="95"/>
      <c r="B142" s="194"/>
      <c r="C142" s="187">
        <f>+IFERROR(VLOOKUP($A142,RAIZ!$A$3:$X$1500,MATCH('LALO VARAS'!$F$1,RAIZ!$A$2:$X$2,0),FALSE),0)</f>
        <v>0</v>
      </c>
      <c r="D142" s="18"/>
      <c r="E142" s="185"/>
      <c r="F142" s="185"/>
      <c r="G142" s="185"/>
    </row>
    <row r="143" spans="1:7" ht="18.75" customHeight="1" thickBot="1" x14ac:dyDescent="0.4">
      <c r="A143" s="95"/>
      <c r="B143" s="193"/>
      <c r="C143" s="187">
        <f>+IFERROR(VLOOKUP($A143,RAIZ!$A$3:$X$1500,MATCH('LALO VARAS'!$F$1,RAIZ!$A$2:$X$2,0),FALSE),0)</f>
        <v>0</v>
      </c>
      <c r="D143" s="18"/>
      <c r="E143" s="185"/>
      <c r="F143" s="185"/>
      <c r="G143" s="185"/>
    </row>
    <row r="144" spans="1:7" ht="18.75" customHeight="1" thickBot="1" x14ac:dyDescent="0.4">
      <c r="A144" s="95"/>
      <c r="B144" s="194"/>
      <c r="C144" s="187">
        <f>+IFERROR(VLOOKUP($A144,RAIZ!$A$3:$X$1500,MATCH('LALO VARAS'!$F$1,RAIZ!$A$2:$X$2,0),FALSE),0)</f>
        <v>0</v>
      </c>
      <c r="D144" s="18"/>
      <c r="E144" s="185"/>
      <c r="F144" s="185"/>
      <c r="G144" s="185"/>
    </row>
    <row r="145" spans="1:7" ht="18.75" customHeight="1" thickBot="1" x14ac:dyDescent="0.4">
      <c r="A145" s="95"/>
      <c r="B145" s="192"/>
      <c r="C145" s="187">
        <f>+IFERROR(VLOOKUP($A145,RAIZ!$A$3:$X$1500,MATCH('LALO VARAS'!$F$1,RAIZ!$A$2:$X$2,0),FALSE),0)</f>
        <v>0</v>
      </c>
      <c r="D145" s="18"/>
      <c r="E145" s="185"/>
      <c r="F145" s="185"/>
      <c r="G145" s="185"/>
    </row>
    <row r="146" spans="1:7" ht="18.75" customHeight="1" thickBot="1" x14ac:dyDescent="0.4">
      <c r="A146" s="95"/>
      <c r="B146" s="194"/>
      <c r="C146" s="187">
        <f>+IFERROR(VLOOKUP($A146,RAIZ!$A$3:$X$1500,MATCH('LALO VARAS'!$F$1,RAIZ!$A$2:$X$2,0),FALSE),0)</f>
        <v>0</v>
      </c>
      <c r="D146" s="18"/>
      <c r="E146" s="185"/>
      <c r="F146" s="185"/>
      <c r="G146" s="185"/>
    </row>
    <row r="147" spans="1:7" ht="18.75" customHeight="1" thickBot="1" x14ac:dyDescent="0.4">
      <c r="A147" s="95"/>
      <c r="B147" s="193"/>
      <c r="C147" s="187">
        <f>+IFERROR(VLOOKUP($A147,RAIZ!$A$3:$X$1500,MATCH('LALO VARAS'!$F$1,RAIZ!$A$2:$X$2,0),FALSE),0)</f>
        <v>0</v>
      </c>
      <c r="D147" s="14"/>
      <c r="E147" s="185"/>
      <c r="F147" s="185"/>
      <c r="G147" s="185"/>
    </row>
    <row r="148" spans="1:7" ht="18.75" customHeight="1" thickBot="1" x14ac:dyDescent="0.4">
      <c r="A148" s="95"/>
      <c r="B148" s="193"/>
      <c r="C148" s="188">
        <f>+IFERROR(VLOOKUP($A148,RAIZ!$A$3:$X$1500,MATCH('LALO VARAS'!$F$1,RAIZ!$A$2:$X$2,0),FALSE),0)</f>
        <v>0</v>
      </c>
      <c r="D148" s="14"/>
      <c r="E148" s="185"/>
      <c r="F148" s="185"/>
      <c r="G148" s="185"/>
    </row>
    <row r="149" spans="1:7" ht="18.75" customHeight="1" thickBot="1" x14ac:dyDescent="0.4">
      <c r="A149" s="173"/>
      <c r="B149" s="109"/>
      <c r="C149" s="182">
        <f>SUM(C118:C127,)</f>
        <v>32</v>
      </c>
      <c r="D149" s="182">
        <f>SUM(D118:D127,)</f>
        <v>36</v>
      </c>
      <c r="E149" s="182">
        <f>SUM(E118:E127,)</f>
        <v>0</v>
      </c>
      <c r="F149" s="182">
        <f>SUM(F118:F127,)</f>
        <v>9</v>
      </c>
      <c r="G149" s="182">
        <f>SUM(G118:G148,)</f>
        <v>0</v>
      </c>
    </row>
    <row r="150" spans="1:7" ht="18.75" customHeight="1" thickBot="1" x14ac:dyDescent="0.4">
      <c r="A150" s="110" t="s">
        <v>86</v>
      </c>
      <c r="B150" s="111"/>
      <c r="C150" s="83">
        <f>C149+C117</f>
        <v>232</v>
      </c>
      <c r="D150" s="83">
        <f>D149+D117</f>
        <v>317</v>
      </c>
      <c r="E150" s="83">
        <f>E149+E117</f>
        <v>15</v>
      </c>
      <c r="F150" s="83">
        <f>F149+F117</f>
        <v>111</v>
      </c>
      <c r="G150" s="83">
        <f>G149+G117</f>
        <v>37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BA63014-CE8F-4167-B2E2-C84D121DAF56}">
          <x14:formula1>
            <xm:f>Hoja1!$C$2:$C$9</xm:f>
          </x14:formula1>
          <xm:sqref>H2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4FE6-E6F2-4897-912A-0E8A545B9A4A}">
  <sheetPr codeName="Hoja15">
    <tabColor rgb="FF003300"/>
  </sheetPr>
  <dimension ref="A1:L150"/>
  <sheetViews>
    <sheetView zoomScale="80" zoomScaleNormal="80" workbookViewId="0">
      <pane xSplit="2" ySplit="2" topLeftCell="C122" activePane="bottomRight" state="frozen"/>
      <selection activeCell="I134" sqref="I134"/>
      <selection pane="topRight" activeCell="I134" sqref="I134"/>
      <selection pane="bottomLeft" activeCell="I134" sqref="I134"/>
      <selection pane="bottomRight" activeCell="G1" sqref="G1:G1048576"/>
    </sheetView>
  </sheetViews>
  <sheetFormatPr baseColWidth="10" defaultRowHeight="18" x14ac:dyDescent="0.35"/>
  <cols>
    <col min="1" max="1" width="55.6640625" customWidth="1"/>
    <col min="2" max="2" width="8.109375" style="91" bestFit="1" customWidth="1"/>
    <col min="3" max="3" width="14" bestFit="1" customWidth="1"/>
    <col min="4" max="5" width="15" style="84" customWidth="1"/>
    <col min="6" max="6" width="16.33203125" bestFit="1" customWidth="1"/>
  </cols>
  <sheetData>
    <row r="1" spans="1:12" ht="18.600000000000001" thickBot="1" x14ac:dyDescent="0.4">
      <c r="A1" s="1">
        <f>RAIZ!B1</f>
        <v>46301</v>
      </c>
      <c r="C1" s="2"/>
      <c r="D1" s="2" t="s">
        <v>702</v>
      </c>
      <c r="E1" s="2"/>
      <c r="F1" s="2" t="s">
        <v>101</v>
      </c>
      <c r="H1" t="s">
        <v>749</v>
      </c>
    </row>
    <row r="2" spans="1:12" ht="31.8" thickBot="1" x14ac:dyDescent="0.35">
      <c r="A2" s="90" t="s">
        <v>0</v>
      </c>
      <c r="B2" s="92" t="s">
        <v>755</v>
      </c>
      <c r="C2" s="39" t="s">
        <v>703</v>
      </c>
      <c r="D2" s="40" t="s">
        <v>704</v>
      </c>
      <c r="E2" s="88" t="s">
        <v>726</v>
      </c>
      <c r="F2" s="41" t="s">
        <v>705</v>
      </c>
      <c r="G2" s="62" t="s">
        <v>725</v>
      </c>
      <c r="H2" s="87"/>
      <c r="K2" s="85"/>
      <c r="L2" s="85"/>
    </row>
    <row r="3" spans="1:12" ht="18.75" customHeight="1" x14ac:dyDescent="0.35">
      <c r="A3" s="93" t="s">
        <v>1</v>
      </c>
      <c r="B3" s="112" t="s">
        <v>756</v>
      </c>
      <c r="C3" s="5">
        <f>+IFERROR(VLOOKUP($A3,RAIZ!$A$3:$X$1500,MATCH('Suc. Santiago 2'!$F$1,RAIZ!$A$2:$X$2,0),FALSE),0)</f>
        <v>1</v>
      </c>
      <c r="D3" s="4">
        <v>1</v>
      </c>
      <c r="E3" s="5"/>
      <c r="F3" s="5">
        <f>IF(D3-C3&gt;=0,D3-C3,0)</f>
        <v>0</v>
      </c>
      <c r="G3" s="5"/>
      <c r="I3" s="84"/>
      <c r="K3" s="86"/>
      <c r="L3" s="85"/>
    </row>
    <row r="4" spans="1:12" ht="18.75" customHeight="1" x14ac:dyDescent="0.35">
      <c r="A4" s="93" t="s">
        <v>2</v>
      </c>
      <c r="B4" s="112" t="s">
        <v>865</v>
      </c>
      <c r="C4" s="5">
        <f>+IFERROR(VLOOKUP($A4,RAIZ!$A$3:$X$1500,MATCH('Suc. Santiago 2'!$F$1,RAIZ!$A$2:$X$2,0),FALSE),0)</f>
        <v>3</v>
      </c>
      <c r="D4" s="4">
        <v>3</v>
      </c>
      <c r="E4" s="5"/>
      <c r="F4" s="5">
        <f>IF(D4-C4&gt;=0,D4-C4,0)</f>
        <v>0</v>
      </c>
      <c r="G4" s="5"/>
      <c r="I4" s="84"/>
      <c r="K4" s="86"/>
      <c r="L4" s="85"/>
    </row>
    <row r="5" spans="1:12" ht="18.75" customHeight="1" x14ac:dyDescent="0.35">
      <c r="A5" s="93" t="s">
        <v>3</v>
      </c>
      <c r="B5" s="112" t="s">
        <v>757</v>
      </c>
      <c r="C5" s="5">
        <f>+IFERROR(VLOOKUP($A5,RAIZ!$A$3:$X$1500,MATCH('Suc. Santiago 2'!$F$1,RAIZ!$A$2:$X$2,0),FALSE),0)</f>
        <v>3</v>
      </c>
      <c r="D5" s="7">
        <v>4</v>
      </c>
      <c r="E5" s="5"/>
      <c r="F5" s="5">
        <f t="shared" ref="F5:F10" si="0">IF(D5-C5&gt;=0,D5-C5,0)</f>
        <v>1</v>
      </c>
      <c r="G5" s="5"/>
      <c r="I5" s="84"/>
      <c r="K5" s="86"/>
      <c r="L5" s="85"/>
    </row>
    <row r="6" spans="1:12" ht="18.75" customHeight="1" x14ac:dyDescent="0.35">
      <c r="A6" s="93" t="s">
        <v>4</v>
      </c>
      <c r="B6" s="112" t="s">
        <v>758</v>
      </c>
      <c r="C6" s="5">
        <f>+IFERROR(VLOOKUP($A6,RAIZ!$A$3:$X$1500,MATCH('Suc. Santiago 2'!$F$1,RAIZ!$A$2:$X$2,0),FALSE),0)</f>
        <v>3</v>
      </c>
      <c r="D6" s="7">
        <v>4</v>
      </c>
      <c r="E6" s="5"/>
      <c r="F6" s="5">
        <f t="shared" si="0"/>
        <v>1</v>
      </c>
      <c r="G6" s="5"/>
      <c r="I6" s="84"/>
      <c r="K6" s="86"/>
      <c r="L6" s="85"/>
    </row>
    <row r="7" spans="1:12" ht="18.75" customHeight="1" x14ac:dyDescent="0.35">
      <c r="A7" s="93" t="s">
        <v>5</v>
      </c>
      <c r="B7" s="112" t="s">
        <v>759</v>
      </c>
      <c r="C7" s="5">
        <f>+IFERROR(VLOOKUP($A7,RAIZ!$A$3:$X$1500,MATCH('Suc. Santiago 2'!$F$1,RAIZ!$A$2:$X$2,0),FALSE),0)</f>
        <v>3</v>
      </c>
      <c r="D7" s="7">
        <v>3</v>
      </c>
      <c r="E7" s="5"/>
      <c r="F7" s="5">
        <f t="shared" si="0"/>
        <v>0</v>
      </c>
      <c r="G7" s="5"/>
      <c r="I7" s="84"/>
      <c r="K7" s="86"/>
      <c r="L7" s="85"/>
    </row>
    <row r="8" spans="1:12" ht="18.75" customHeight="1" x14ac:dyDescent="0.35">
      <c r="A8" s="93" t="s">
        <v>6</v>
      </c>
      <c r="B8" s="112" t="s">
        <v>760</v>
      </c>
      <c r="C8" s="5">
        <f>+IFERROR(VLOOKUP($A8,RAIZ!$A$3:$X$1500,MATCH('Suc. Santiago 2'!$F$1,RAIZ!$A$2:$X$2,0),FALSE),0)</f>
        <v>3</v>
      </c>
      <c r="D8" s="7">
        <v>4</v>
      </c>
      <c r="E8" s="5"/>
      <c r="F8" s="5">
        <f t="shared" si="0"/>
        <v>1</v>
      </c>
      <c r="G8" s="5"/>
      <c r="I8" s="84"/>
      <c r="K8" s="86"/>
      <c r="L8" s="85"/>
    </row>
    <row r="9" spans="1:12" ht="18.75" customHeight="1" x14ac:dyDescent="0.35">
      <c r="A9" s="93" t="s">
        <v>7</v>
      </c>
      <c r="B9" s="112" t="s">
        <v>761</v>
      </c>
      <c r="C9" s="5">
        <f>+IFERROR(VLOOKUP($A9,RAIZ!$A$3:$X$1500,MATCH('Suc. Santiago 2'!$F$1,RAIZ!$A$2:$X$2,0),FALSE),0)</f>
        <v>0</v>
      </c>
      <c r="D9" s="7">
        <v>3</v>
      </c>
      <c r="E9" s="5"/>
      <c r="F9" s="5">
        <f t="shared" si="0"/>
        <v>3</v>
      </c>
      <c r="G9" s="5"/>
      <c r="I9" s="84"/>
      <c r="K9" s="86"/>
      <c r="L9" s="85"/>
    </row>
    <row r="10" spans="1:12" ht="18.75" customHeight="1" x14ac:dyDescent="0.35">
      <c r="A10" s="93" t="s">
        <v>8</v>
      </c>
      <c r="B10" s="112" t="s">
        <v>762</v>
      </c>
      <c r="C10" s="5">
        <f>+IFERROR(VLOOKUP($A10,RAIZ!$A$3:$X$1500,MATCH('Suc. Santiago 2'!$F$1,RAIZ!$A$2:$X$2,0),FALSE),0)</f>
        <v>5</v>
      </c>
      <c r="D10" s="7">
        <v>4</v>
      </c>
      <c r="E10" s="5"/>
      <c r="F10" s="5">
        <f t="shared" si="0"/>
        <v>0</v>
      </c>
      <c r="G10" s="5"/>
      <c r="I10" s="84"/>
      <c r="K10" s="86"/>
      <c r="L10" s="85"/>
    </row>
    <row r="11" spans="1:12" ht="18.75" customHeight="1" x14ac:dyDescent="0.35">
      <c r="A11" s="93" t="s">
        <v>9</v>
      </c>
      <c r="B11" s="112" t="s">
        <v>763</v>
      </c>
      <c r="C11" s="5">
        <f>+IFERROR(VLOOKUP($A11,RAIZ!$A$3:$X$1500,MATCH('Suc. Santiago 2'!$F$1,RAIZ!$A$2:$X$2,0),FALSE),0)</f>
        <v>3</v>
      </c>
      <c r="D11" s="9">
        <v>4</v>
      </c>
      <c r="E11" s="5"/>
      <c r="F11" s="5">
        <f t="shared" ref="F11:F12" si="1">IF(D11-C11&gt;=0,D11-C11,0)</f>
        <v>1</v>
      </c>
      <c r="G11" s="5"/>
      <c r="I11" s="84"/>
      <c r="K11" s="86"/>
      <c r="L11" s="85"/>
    </row>
    <row r="12" spans="1:12" ht="18.75" customHeight="1" x14ac:dyDescent="0.35">
      <c r="A12" s="93"/>
      <c r="B12" s="112"/>
      <c r="C12" s="5">
        <f>+IFERROR(VLOOKUP($A12,RAIZ!$A$3:$X$1500,MATCH('Suc. Santiago 2'!$F$1,RAIZ!$A$2:$X$2,0),FALSE),0)</f>
        <v>0</v>
      </c>
      <c r="D12" s="20"/>
      <c r="E12" s="5"/>
      <c r="F12" s="5">
        <f t="shared" si="1"/>
        <v>0</v>
      </c>
      <c r="G12" s="5"/>
    </row>
    <row r="13" spans="1:12" ht="18.75" customHeight="1" x14ac:dyDescent="0.35">
      <c r="A13" s="93"/>
      <c r="B13" s="112"/>
      <c r="C13" s="5">
        <f>+IFERROR(VLOOKUP($A13,RAIZ!$A$3:$X$1500,MATCH('Suc. Santiago 2'!$F$1,RAIZ!$A$2:$X$2,0),FALSE),0)</f>
        <v>0</v>
      </c>
      <c r="D13" s="20"/>
      <c r="E13" s="5"/>
      <c r="F13" s="5">
        <f t="shared" ref="F13:F17" si="2">IF(D13-C13&gt;=0,D13-C13,0)</f>
        <v>0</v>
      </c>
      <c r="G13" s="5"/>
    </row>
    <row r="14" spans="1:12" ht="18.75" customHeight="1" x14ac:dyDescent="0.35">
      <c r="A14" s="93"/>
      <c r="B14" s="112"/>
      <c r="C14" s="5">
        <f>+IFERROR(VLOOKUP($A14,RAIZ!$A$3:$X$1500,MATCH('Suc. Santiago 2'!$F$1,RAIZ!$A$2:$X$2,0),FALSE),0)</f>
        <v>0</v>
      </c>
      <c r="D14" s="20"/>
      <c r="E14" s="5"/>
      <c r="F14" s="5">
        <f>IF(D14-C14&gt;=0,D14-C14,0)</f>
        <v>0</v>
      </c>
      <c r="G14" s="5"/>
    </row>
    <row r="15" spans="1:12" ht="18.75" customHeight="1" x14ac:dyDescent="0.35">
      <c r="A15" s="93"/>
      <c r="B15" s="112"/>
      <c r="C15" s="5">
        <f>+IFERROR(VLOOKUP($A15,RAIZ!$A$3:$X$1500,MATCH('Suc. Santiago 2'!$F$1,RAIZ!$A$2:$X$2,0),FALSE),0)</f>
        <v>0</v>
      </c>
      <c r="D15" s="9"/>
      <c r="E15" s="5"/>
      <c r="F15" s="5">
        <f t="shared" si="2"/>
        <v>0</v>
      </c>
      <c r="G15" s="5"/>
      <c r="I15" s="84"/>
      <c r="K15" s="86"/>
      <c r="L15" s="85"/>
    </row>
    <row r="16" spans="1:12" ht="18.75" customHeight="1" x14ac:dyDescent="0.35">
      <c r="A16" s="93"/>
      <c r="B16" s="112"/>
      <c r="C16" s="5">
        <f>+IFERROR(VLOOKUP($A16,RAIZ!$A$3:$X$1500,MATCH('Suc. Santiago 2'!$F$1,RAIZ!$A$2:$X$2,0),FALSE),0)</f>
        <v>0</v>
      </c>
      <c r="D16" s="9"/>
      <c r="E16" s="5"/>
      <c r="F16" s="5">
        <f t="shared" si="2"/>
        <v>0</v>
      </c>
      <c r="G16" s="5"/>
      <c r="I16" s="84"/>
      <c r="K16" s="86"/>
      <c r="L16" s="85"/>
    </row>
    <row r="17" spans="1:12" ht="18.75" customHeight="1" thickBot="1" x14ac:dyDescent="0.4">
      <c r="A17" s="93"/>
      <c r="B17" s="112"/>
      <c r="C17" s="5">
        <f>+IFERROR(VLOOKUP($A17,RAIZ!$A$3:$X$1500,MATCH('Suc. Santiago 2'!$F$1,RAIZ!$A$2:$X$2,0),FALSE),0)</f>
        <v>0</v>
      </c>
      <c r="D17" s="9"/>
      <c r="E17" s="5"/>
      <c r="F17" s="5">
        <f t="shared" si="2"/>
        <v>0</v>
      </c>
      <c r="G17" s="5"/>
      <c r="I17" s="84"/>
      <c r="K17" s="86"/>
      <c r="L17" s="85"/>
    </row>
    <row r="18" spans="1:12" ht="18.75" customHeight="1" thickBot="1" x14ac:dyDescent="0.4">
      <c r="A18" s="96" t="s">
        <v>10</v>
      </c>
      <c r="B18" s="111"/>
      <c r="C18" s="75">
        <f>SUM(C3:C17)</f>
        <v>24</v>
      </c>
      <c r="D18" s="44">
        <f>SUM(D3:D17)</f>
        <v>30</v>
      </c>
      <c r="E18" s="44">
        <f>SUM(E3:E17)</f>
        <v>0</v>
      </c>
      <c r="F18" s="63">
        <f>SUM(F3:F17)</f>
        <v>7</v>
      </c>
      <c r="G18" s="44">
        <f>SUM(G3:G17)</f>
        <v>0</v>
      </c>
      <c r="I18" s="84"/>
      <c r="K18" s="86"/>
      <c r="L18" s="85"/>
    </row>
    <row r="19" spans="1:12" ht="18.75" customHeight="1" x14ac:dyDescent="0.35">
      <c r="A19" s="97" t="s">
        <v>676</v>
      </c>
      <c r="B19" s="112" t="s">
        <v>764</v>
      </c>
      <c r="C19" s="5">
        <f>+IFERROR(VLOOKUP($A19,RAIZ!$A$3:$X$1500,MATCH('Suc. Santiago 2'!$F$1,RAIZ!$A$2:$X$2,0),FALSE),0)</f>
        <v>4</v>
      </c>
      <c r="D19" s="12">
        <v>4</v>
      </c>
      <c r="E19" s="5"/>
      <c r="F19" s="5">
        <f t="shared" ref="F19:F21" si="3">IF(D19-C19&gt;=0,D19-C19,0)</f>
        <v>0</v>
      </c>
      <c r="G19" s="5"/>
      <c r="I19" s="84"/>
      <c r="K19" s="86"/>
      <c r="L19" s="85"/>
    </row>
    <row r="20" spans="1:12" ht="18.75" customHeight="1" x14ac:dyDescent="0.35">
      <c r="A20" s="97" t="s">
        <v>11</v>
      </c>
      <c r="B20" s="112" t="s">
        <v>827</v>
      </c>
      <c r="C20" s="5">
        <f>+IFERROR(VLOOKUP($A20,RAIZ!$A$3:$X$1500,MATCH('Suc. Santiago 2'!$F$1,RAIZ!$A$2:$X$2,0),FALSE),0)</f>
        <v>5</v>
      </c>
      <c r="D20" s="14">
        <v>4</v>
      </c>
      <c r="E20" s="5"/>
      <c r="F20" s="5">
        <f t="shared" si="3"/>
        <v>0</v>
      </c>
      <c r="G20" s="5"/>
      <c r="I20" s="84"/>
      <c r="K20" s="86"/>
      <c r="L20" s="85"/>
    </row>
    <row r="21" spans="1:12" ht="18.75" customHeight="1" x14ac:dyDescent="0.35">
      <c r="A21" s="97" t="s">
        <v>344</v>
      </c>
      <c r="B21" s="112" t="s">
        <v>765</v>
      </c>
      <c r="C21" s="5">
        <f>+IFERROR(VLOOKUP($A21,RAIZ!$A$3:$X$1500,MATCH('Suc. Santiago 2'!$F$1,RAIZ!$A$2:$X$2,0),FALSE),0)</f>
        <v>3</v>
      </c>
      <c r="D21" s="14">
        <v>4</v>
      </c>
      <c r="E21" s="5"/>
      <c r="F21" s="5">
        <f t="shared" si="3"/>
        <v>1</v>
      </c>
      <c r="G21" s="5"/>
      <c r="I21" s="84"/>
      <c r="K21" s="86"/>
      <c r="L21" s="85"/>
    </row>
    <row r="22" spans="1:12" ht="18.75" customHeight="1" x14ac:dyDescent="0.35">
      <c r="A22" s="97" t="s">
        <v>832</v>
      </c>
      <c r="B22" s="112" t="s">
        <v>833</v>
      </c>
      <c r="C22" s="5">
        <f>+IFERROR(VLOOKUP($A22,RAIZ!$A$3:$X$1500,MATCH('Suc. Santiago 2'!$F$1,RAIZ!$A$2:$X$2,0),FALSE),0)</f>
        <v>1</v>
      </c>
      <c r="D22" s="14">
        <v>2</v>
      </c>
      <c r="E22" s="5"/>
      <c r="F22" s="5">
        <f t="shared" ref="F22:F31" si="4">IF(D22-C22&gt;=0,D22-C22,0)</f>
        <v>1</v>
      </c>
      <c r="G22" s="5"/>
      <c r="I22" s="84"/>
      <c r="K22" s="86"/>
      <c r="L22" s="85"/>
    </row>
    <row r="23" spans="1:12" ht="18.75" customHeight="1" x14ac:dyDescent="0.35">
      <c r="A23" s="97" t="s">
        <v>12</v>
      </c>
      <c r="B23" s="112" t="s">
        <v>766</v>
      </c>
      <c r="C23" s="5">
        <f>+IFERROR(VLOOKUP($A23,RAIZ!$A$3:$X$1500,MATCH('Suc. Santiago 2'!$F$1,RAIZ!$A$2:$X$2,0),FALSE),0)</f>
        <v>3</v>
      </c>
      <c r="D23" s="14">
        <v>4</v>
      </c>
      <c r="E23" s="5"/>
      <c r="F23" s="5">
        <f t="shared" si="4"/>
        <v>1</v>
      </c>
      <c r="G23" s="5"/>
      <c r="I23" s="84"/>
      <c r="K23" s="86"/>
      <c r="L23" s="85"/>
    </row>
    <row r="24" spans="1:12" ht="18.75" customHeight="1" x14ac:dyDescent="0.35">
      <c r="A24" s="97" t="s">
        <v>432</v>
      </c>
      <c r="B24" s="112" t="s">
        <v>767</v>
      </c>
      <c r="C24" s="5">
        <f>+IFERROR(VLOOKUP($A24,RAIZ!$A$3:$X$1500,MATCH('Suc. Santiago 2'!$F$1,RAIZ!$A$2:$X$2,0),FALSE),0)</f>
        <v>3</v>
      </c>
      <c r="D24" s="14">
        <v>4</v>
      </c>
      <c r="E24" s="5"/>
      <c r="F24" s="5">
        <f t="shared" si="4"/>
        <v>1</v>
      </c>
      <c r="G24" s="5"/>
      <c r="I24" s="84"/>
      <c r="K24" s="86"/>
      <c r="L24" s="85"/>
    </row>
    <row r="25" spans="1:12" ht="18.75" customHeight="1" x14ac:dyDescent="0.35">
      <c r="A25" s="97" t="s">
        <v>468</v>
      </c>
      <c r="B25" s="112" t="s">
        <v>768</v>
      </c>
      <c r="C25" s="5">
        <f>+IFERROR(VLOOKUP($A25,RAIZ!$A$3:$X$1500,MATCH('Suc. Santiago 2'!$F$1,RAIZ!$A$2:$X$2,0),FALSE),0)</f>
        <v>4</v>
      </c>
      <c r="D25" s="16">
        <v>4</v>
      </c>
      <c r="E25" s="5"/>
      <c r="F25" s="5">
        <f t="shared" si="4"/>
        <v>0</v>
      </c>
      <c r="G25" s="5"/>
      <c r="I25" s="84"/>
      <c r="K25" s="86"/>
      <c r="L25" s="85"/>
    </row>
    <row r="26" spans="1:12" ht="18.75" customHeight="1" x14ac:dyDescent="0.35">
      <c r="A26" s="97"/>
      <c r="B26" s="112"/>
      <c r="C26" s="5">
        <f>+IFERROR(VLOOKUP($A26,RAIZ!$A$3:$X$1500,MATCH('Suc. Santiago 2'!$F$1,RAIZ!$A$2:$X$2,0),FALSE),0)</f>
        <v>0</v>
      </c>
      <c r="D26" s="20"/>
      <c r="E26" s="5"/>
      <c r="F26" s="5">
        <f t="shared" si="4"/>
        <v>0</v>
      </c>
      <c r="G26" s="5"/>
    </row>
    <row r="27" spans="1:12" ht="18.75" customHeight="1" x14ac:dyDescent="0.35">
      <c r="A27" s="97"/>
      <c r="B27" s="112"/>
      <c r="C27" s="5">
        <f>+IFERROR(VLOOKUP($A27,RAIZ!$A$3:$X$1500,MATCH('Suc. Santiago 2'!$F$1,RAIZ!$A$2:$X$2,0),FALSE),0)</f>
        <v>0</v>
      </c>
      <c r="D27" s="16"/>
      <c r="E27" s="5"/>
      <c r="F27" s="5">
        <f>IF(D27-C27&gt;=0,D27-C27,0)</f>
        <v>0</v>
      </c>
      <c r="G27" s="5"/>
      <c r="I27" s="84"/>
      <c r="K27" s="86"/>
      <c r="L27" s="85"/>
    </row>
    <row r="28" spans="1:12" ht="18.75" customHeight="1" x14ac:dyDescent="0.35">
      <c r="A28" s="97"/>
      <c r="B28" s="112"/>
      <c r="C28" s="5">
        <f>+IFERROR(VLOOKUP($A28,RAIZ!$A$3:$X$1500,MATCH('Suc. Santiago 2'!$F$1,RAIZ!$A$2:$X$2,0),FALSE),0)</f>
        <v>0</v>
      </c>
      <c r="D28" s="16"/>
      <c r="E28" s="5"/>
      <c r="F28" s="5">
        <f t="shared" si="4"/>
        <v>0</v>
      </c>
      <c r="G28" s="5"/>
      <c r="I28" s="84"/>
      <c r="K28" s="86"/>
      <c r="L28" s="85"/>
    </row>
    <row r="29" spans="1:12" ht="18.75" customHeight="1" x14ac:dyDescent="0.35">
      <c r="A29" s="97"/>
      <c r="B29" s="112"/>
      <c r="C29" s="5">
        <f>+IFERROR(VLOOKUP($A29,RAIZ!$A$3:$X$1500,MATCH('Suc. Santiago 2'!$F$1,RAIZ!$A$2:$X$2,0),FALSE),0)</f>
        <v>0</v>
      </c>
      <c r="D29" s="16"/>
      <c r="E29" s="5"/>
      <c r="F29" s="5">
        <f t="shared" si="4"/>
        <v>0</v>
      </c>
      <c r="G29" s="5"/>
      <c r="I29" s="84"/>
      <c r="K29" s="86"/>
      <c r="L29" s="85"/>
    </row>
    <row r="30" spans="1:12" ht="18.75" customHeight="1" x14ac:dyDescent="0.35">
      <c r="A30" s="97"/>
      <c r="B30" s="112"/>
      <c r="C30" s="5">
        <f>+IFERROR(VLOOKUP($A30,RAIZ!$A$3:$X$1500,MATCH('Suc. Santiago 2'!$F$1,RAIZ!$A$2:$X$2,0),FALSE),0)</f>
        <v>0</v>
      </c>
      <c r="D30" s="16"/>
      <c r="E30" s="5"/>
      <c r="F30" s="5">
        <f t="shared" si="4"/>
        <v>0</v>
      </c>
      <c r="G30" s="5"/>
      <c r="I30" s="84"/>
      <c r="K30" s="86"/>
      <c r="L30" s="85"/>
    </row>
    <row r="31" spans="1:12" ht="18.75" customHeight="1" thickBot="1" x14ac:dyDescent="0.4">
      <c r="A31" s="97"/>
      <c r="B31" s="112"/>
      <c r="C31" s="5">
        <f>+IFERROR(VLOOKUP($A31,RAIZ!$A$3:$X$1500,MATCH('Suc. Santiago 2'!$F$1,RAIZ!$A$2:$X$2,0),FALSE),0)</f>
        <v>0</v>
      </c>
      <c r="D31" s="16"/>
      <c r="E31" s="5"/>
      <c r="F31" s="5">
        <f t="shared" si="4"/>
        <v>0</v>
      </c>
      <c r="G31" s="5"/>
      <c r="I31" s="84"/>
      <c r="K31" s="86"/>
      <c r="L31" s="85"/>
    </row>
    <row r="32" spans="1:12" ht="18.75" customHeight="1" thickBot="1" x14ac:dyDescent="0.4">
      <c r="A32" s="98" t="s">
        <v>13</v>
      </c>
      <c r="B32" s="111"/>
      <c r="C32" s="76">
        <f>SUM(C19:C31)</f>
        <v>23</v>
      </c>
      <c r="D32" s="46">
        <f>SUM(D19:D31)</f>
        <v>26</v>
      </c>
      <c r="E32" s="46">
        <f>SUM(E19:E31)</f>
        <v>0</v>
      </c>
      <c r="F32" s="64">
        <f>SUM(F19:F31)</f>
        <v>4</v>
      </c>
      <c r="G32" s="46">
        <f>SUM(G19:G31)</f>
        <v>0</v>
      </c>
      <c r="I32" s="84"/>
      <c r="K32" s="86"/>
      <c r="L32" s="85"/>
    </row>
    <row r="33" spans="1:12" ht="18.75" customHeight="1" x14ac:dyDescent="0.35">
      <c r="A33" s="97" t="s">
        <v>14</v>
      </c>
      <c r="B33" s="112" t="s">
        <v>769</v>
      </c>
      <c r="C33" s="5">
        <f>+IFERROR(VLOOKUP($A33,RAIZ!$A$3:$X$1500,MATCH('Suc. Santiago 2'!$F$1,RAIZ!$A$2:$X$2,0),FALSE),0)</f>
        <v>1</v>
      </c>
      <c r="D33" s="4">
        <v>1</v>
      </c>
      <c r="E33" s="5"/>
      <c r="F33" s="5">
        <f t="shared" ref="F33:F48" si="5">IF(D33-C33&gt;=0,D33-C33,0)</f>
        <v>0</v>
      </c>
      <c r="G33" s="5"/>
      <c r="I33" s="84"/>
      <c r="K33" s="86"/>
      <c r="L33" s="85"/>
    </row>
    <row r="34" spans="1:12" ht="18.75" customHeight="1" x14ac:dyDescent="0.35">
      <c r="A34" s="97" t="s">
        <v>15</v>
      </c>
      <c r="B34" s="112" t="s">
        <v>770</v>
      </c>
      <c r="C34" s="5">
        <f>+IFERROR(VLOOKUP($A34,RAIZ!$A$3:$X$1500,MATCH('Suc. Santiago 2'!$F$1,RAIZ!$A$2:$X$2,0),FALSE),0)</f>
        <v>2</v>
      </c>
      <c r="D34" s="7">
        <v>2</v>
      </c>
      <c r="E34" s="5"/>
      <c r="F34" s="5">
        <f t="shared" si="5"/>
        <v>0</v>
      </c>
      <c r="G34" s="5"/>
      <c r="I34" s="84"/>
      <c r="K34" s="86"/>
      <c r="L34" s="85"/>
    </row>
    <row r="35" spans="1:12" ht="18.75" customHeight="1" x14ac:dyDescent="0.35">
      <c r="A35" s="97" t="s">
        <v>16</v>
      </c>
      <c r="B35" s="112" t="s">
        <v>771</v>
      </c>
      <c r="C35" s="5">
        <f>+IFERROR(VLOOKUP($A35,RAIZ!$A$3:$X$1500,MATCH('Suc. Santiago 2'!$F$1,RAIZ!$A$2:$X$2,0),FALSE),0)</f>
        <v>3</v>
      </c>
      <c r="D35" s="7">
        <v>2</v>
      </c>
      <c r="E35" s="5"/>
      <c r="F35" s="5">
        <f t="shared" si="5"/>
        <v>0</v>
      </c>
      <c r="G35" s="5"/>
      <c r="I35" s="84"/>
      <c r="K35" s="86"/>
      <c r="L35" s="85"/>
    </row>
    <row r="36" spans="1:12" ht="18.75" customHeight="1" x14ac:dyDescent="0.35">
      <c r="A36" s="97" t="s">
        <v>17</v>
      </c>
      <c r="B36" s="112" t="s">
        <v>772</v>
      </c>
      <c r="C36" s="5">
        <f>+IFERROR(VLOOKUP($A36,RAIZ!$A$3:$X$1500,MATCH('Suc. Santiago 2'!$F$1,RAIZ!$A$2:$X$2,0),FALSE),0)</f>
        <v>3</v>
      </c>
      <c r="D36" s="7">
        <v>3</v>
      </c>
      <c r="E36" s="5"/>
      <c r="F36" s="5">
        <f t="shared" si="5"/>
        <v>0</v>
      </c>
      <c r="G36" s="5"/>
      <c r="I36" s="84"/>
      <c r="K36" s="86"/>
      <c r="L36" s="85"/>
    </row>
    <row r="37" spans="1:12" ht="18.75" customHeight="1" x14ac:dyDescent="0.35">
      <c r="A37" s="97" t="s">
        <v>18</v>
      </c>
      <c r="B37" s="112" t="s">
        <v>773</v>
      </c>
      <c r="C37" s="5">
        <f>+IFERROR(VLOOKUP($A37,RAIZ!$A$3:$X$1500,MATCH('Suc. Santiago 2'!$F$1,RAIZ!$A$2:$X$2,0),FALSE),0)</f>
        <v>0</v>
      </c>
      <c r="D37" s="7">
        <v>3</v>
      </c>
      <c r="E37" s="5"/>
      <c r="F37" s="5">
        <f t="shared" si="5"/>
        <v>3</v>
      </c>
      <c r="G37" s="5"/>
      <c r="I37" s="84"/>
      <c r="K37" s="86"/>
      <c r="L37" s="85"/>
    </row>
    <row r="38" spans="1:12" ht="18.75" customHeight="1" x14ac:dyDescent="0.35">
      <c r="A38" s="97" t="s">
        <v>22</v>
      </c>
      <c r="B38" s="112" t="s">
        <v>774</v>
      </c>
      <c r="C38" s="5">
        <f>+IFERROR(VLOOKUP($A38,RAIZ!$A$3:$X$1500,MATCH('Suc. Santiago 2'!$F$1,RAIZ!$A$2:$X$2,0),FALSE),0)</f>
        <v>3</v>
      </c>
      <c r="D38" s="18">
        <v>3</v>
      </c>
      <c r="E38" s="5"/>
      <c r="F38" s="5">
        <f t="shared" si="5"/>
        <v>0</v>
      </c>
      <c r="G38" s="5"/>
      <c r="I38" s="84"/>
      <c r="K38" s="86"/>
      <c r="L38" s="85"/>
    </row>
    <row r="39" spans="1:12" ht="18.75" customHeight="1" x14ac:dyDescent="0.35">
      <c r="A39" s="97" t="s">
        <v>23</v>
      </c>
      <c r="B39" s="112" t="s">
        <v>775</v>
      </c>
      <c r="C39" s="5">
        <f>+IFERROR(VLOOKUP($A39,RAIZ!$A$3:$X$1500,MATCH('Suc. Santiago 2'!$F$1,RAIZ!$A$2:$X$2,0),FALSE),0)</f>
        <v>3</v>
      </c>
      <c r="D39" s="18">
        <v>3</v>
      </c>
      <c r="E39" s="5"/>
      <c r="F39" s="5">
        <f t="shared" si="5"/>
        <v>0</v>
      </c>
      <c r="G39" s="5"/>
      <c r="I39" s="84"/>
      <c r="K39" s="86"/>
      <c r="L39" s="85"/>
    </row>
    <row r="40" spans="1:12" ht="18.75" customHeight="1" x14ac:dyDescent="0.35">
      <c r="A40" s="97" t="s">
        <v>24</v>
      </c>
      <c r="B40" s="112" t="s">
        <v>776</v>
      </c>
      <c r="C40" s="5">
        <f>+IFERROR(VLOOKUP($A40,RAIZ!$A$3:$X$1500,MATCH('Suc. Santiago 2'!$F$1,RAIZ!$A$2:$X$2,0),FALSE),0)</f>
        <v>3</v>
      </c>
      <c r="D40" s="7">
        <v>3</v>
      </c>
      <c r="E40" s="5"/>
      <c r="F40" s="5">
        <f t="shared" si="5"/>
        <v>0</v>
      </c>
      <c r="G40" s="5"/>
      <c r="I40" s="84"/>
      <c r="K40" s="86"/>
      <c r="L40" s="85"/>
    </row>
    <row r="41" spans="1:12" ht="18.75" customHeight="1" x14ac:dyDescent="0.35">
      <c r="A41" s="97" t="s">
        <v>25</v>
      </c>
      <c r="B41" s="112" t="s">
        <v>777</v>
      </c>
      <c r="C41" s="5">
        <f>+IFERROR(VLOOKUP($A41,RAIZ!$A$3:$X$1500,MATCH('Suc. Santiago 2'!$F$1,RAIZ!$A$2:$X$2,0),FALSE),0)</f>
        <v>3</v>
      </c>
      <c r="D41" s="18">
        <v>3</v>
      </c>
      <c r="E41" s="5"/>
      <c r="F41" s="5">
        <f t="shared" si="5"/>
        <v>0</v>
      </c>
      <c r="G41" s="5"/>
      <c r="I41" s="84"/>
      <c r="K41" s="86"/>
      <c r="L41" s="85"/>
    </row>
    <row r="42" spans="1:12" ht="18.75" customHeight="1" x14ac:dyDescent="0.35">
      <c r="A42" s="97"/>
      <c r="B42" s="112"/>
      <c r="C42" s="5">
        <f>+IFERROR(VLOOKUP($A42,RAIZ!$A$3:$X$1500,MATCH('Suc. Santiago 2'!$F$1,RAIZ!$A$2:$X$2,0),FALSE),0)</f>
        <v>0</v>
      </c>
      <c r="D42" s="20"/>
      <c r="E42" s="5"/>
      <c r="F42" s="5">
        <f t="shared" si="5"/>
        <v>0</v>
      </c>
      <c r="G42" s="5"/>
    </row>
    <row r="43" spans="1:12" ht="18.75" customHeight="1" x14ac:dyDescent="0.35">
      <c r="A43" s="97"/>
      <c r="B43" s="112"/>
      <c r="C43" s="5">
        <f>+IFERROR(VLOOKUP($A43,RAIZ!$A$3:$X$1500,MATCH('Suc. Santiago 2'!$F$1,RAIZ!$A$2:$X$2,0),FALSE),0)</f>
        <v>0</v>
      </c>
      <c r="D43" s="18"/>
      <c r="E43" s="5"/>
      <c r="F43" s="5">
        <f t="shared" si="5"/>
        <v>0</v>
      </c>
      <c r="G43" s="5"/>
      <c r="I43" s="84"/>
      <c r="K43" s="86"/>
      <c r="L43" s="85"/>
    </row>
    <row r="44" spans="1:12" ht="18.75" customHeight="1" x14ac:dyDescent="0.35">
      <c r="A44" s="97"/>
      <c r="B44" s="112"/>
      <c r="C44" s="5">
        <f>+IFERROR(VLOOKUP($A44,RAIZ!$A$3:$X$1500,MATCH('Suc. Santiago 2'!$F$1,RAIZ!$A$2:$X$2,0),FALSE),0)</f>
        <v>0</v>
      </c>
      <c r="D44" s="18"/>
      <c r="E44" s="5"/>
      <c r="F44" s="5">
        <f t="shared" si="5"/>
        <v>0</v>
      </c>
      <c r="G44" s="5"/>
      <c r="I44" s="84"/>
      <c r="K44" s="86"/>
      <c r="L44" s="85"/>
    </row>
    <row r="45" spans="1:12" ht="18.75" customHeight="1" x14ac:dyDescent="0.35">
      <c r="A45" s="97"/>
      <c r="B45" s="112"/>
      <c r="C45" s="5">
        <f>+IFERROR(VLOOKUP($A45,RAIZ!$A$3:$X$1500,MATCH('Suc. Santiago 2'!$F$1,RAIZ!$A$2:$X$2,0),FALSE),0)</f>
        <v>0</v>
      </c>
      <c r="D45" s="18"/>
      <c r="E45" s="5"/>
      <c r="F45" s="5">
        <f t="shared" si="5"/>
        <v>0</v>
      </c>
      <c r="G45" s="5"/>
      <c r="I45" s="84"/>
      <c r="K45" s="86"/>
      <c r="L45" s="85"/>
    </row>
    <row r="46" spans="1:12" ht="18.75" customHeight="1" x14ac:dyDescent="0.35">
      <c r="A46" s="97"/>
      <c r="B46" s="112"/>
      <c r="C46" s="5">
        <f>+IFERROR(VLOOKUP($A46,RAIZ!$A$3:$X$1500,MATCH('Suc. Santiago 2'!$F$1,RAIZ!$A$2:$X$2,0),FALSE),0)</f>
        <v>0</v>
      </c>
      <c r="D46" s="18"/>
      <c r="E46" s="5"/>
      <c r="F46" s="5">
        <f t="shared" si="5"/>
        <v>0</v>
      </c>
      <c r="G46" s="5"/>
      <c r="I46" s="84"/>
      <c r="K46" s="86"/>
      <c r="L46" s="85"/>
    </row>
    <row r="47" spans="1:12" ht="18.75" customHeight="1" x14ac:dyDescent="0.35">
      <c r="A47" s="97"/>
      <c r="B47" s="112"/>
      <c r="C47" s="5">
        <f>+IFERROR(VLOOKUP($A47,RAIZ!$A$3:$X$1500,MATCH('Suc. Santiago 2'!$F$1,RAIZ!$A$2:$X$2,0),FALSE),0)</f>
        <v>0</v>
      </c>
      <c r="D47" s="18"/>
      <c r="E47" s="5"/>
      <c r="F47" s="5">
        <f t="shared" si="5"/>
        <v>0</v>
      </c>
      <c r="G47" s="5"/>
      <c r="I47" s="84"/>
      <c r="K47" s="86"/>
      <c r="L47" s="85"/>
    </row>
    <row r="48" spans="1:12" ht="18.75" customHeight="1" thickBot="1" x14ac:dyDescent="0.4">
      <c r="A48" s="97"/>
      <c r="B48" s="112"/>
      <c r="C48" s="5">
        <f>+IFERROR(VLOOKUP($A48,RAIZ!$A$3:$X$1500,MATCH('Suc. Santiago 2'!$F$1,RAIZ!$A$2:$X$2,0),FALSE),0)</f>
        <v>0</v>
      </c>
      <c r="D48" s="18"/>
      <c r="E48" s="5"/>
      <c r="F48" s="5">
        <f t="shared" si="5"/>
        <v>0</v>
      </c>
      <c r="G48" s="5"/>
      <c r="I48" s="84"/>
      <c r="K48" s="86"/>
      <c r="L48" s="85"/>
    </row>
    <row r="49" spans="1:12" ht="18.75" customHeight="1" thickBot="1" x14ac:dyDescent="0.4">
      <c r="A49" s="99" t="s">
        <v>29</v>
      </c>
      <c r="B49" s="111"/>
      <c r="C49" s="77">
        <f>SUM(C33:C48)</f>
        <v>21</v>
      </c>
      <c r="D49" s="48">
        <f>SUM(D33:D48)</f>
        <v>23</v>
      </c>
      <c r="E49" s="48">
        <f>SUM(E33:E48)</f>
        <v>0</v>
      </c>
      <c r="F49" s="65">
        <f>SUM(F33:F48)</f>
        <v>3</v>
      </c>
      <c r="G49" s="48">
        <f>SUM(G33:G48)</f>
        <v>0</v>
      </c>
      <c r="I49" s="84"/>
      <c r="K49" s="86"/>
      <c r="L49" s="85"/>
    </row>
    <row r="50" spans="1:12" ht="18.75" customHeight="1" x14ac:dyDescent="0.35">
      <c r="A50" s="93" t="s">
        <v>30</v>
      </c>
      <c r="B50" s="112" t="s">
        <v>778</v>
      </c>
      <c r="C50" s="5">
        <f>+IFERROR(VLOOKUP($A50,RAIZ!$A$3:$X$1500,MATCH('Suc. Santiago 2'!$F$1,RAIZ!$A$2:$X$2,0),FALSE),0)</f>
        <v>9</v>
      </c>
      <c r="D50" s="4">
        <v>9</v>
      </c>
      <c r="E50" s="5"/>
      <c r="F50" s="5">
        <f>IF(D50-C50&gt;=0,D50-C50,0)</f>
        <v>0</v>
      </c>
      <c r="G50" s="5"/>
      <c r="I50" s="84"/>
      <c r="K50" s="86"/>
      <c r="L50" s="85"/>
    </row>
    <row r="51" spans="1:12" ht="18.75" customHeight="1" thickBot="1" x14ac:dyDescent="0.4">
      <c r="A51" s="95" t="s">
        <v>31</v>
      </c>
      <c r="B51" s="112" t="s">
        <v>779</v>
      </c>
      <c r="C51" s="5">
        <f>+IFERROR(VLOOKUP($A51,RAIZ!$A$3:$X$1500,MATCH('Suc. Santiago 2'!$F$1,RAIZ!$A$2:$X$2,0),FALSE),0)</f>
        <v>9</v>
      </c>
      <c r="D51" s="20">
        <v>9</v>
      </c>
      <c r="E51" s="5"/>
      <c r="F51" s="5">
        <f t="shared" ref="F51" si="6">IF(D51-C51&gt;=0,D51-C51,0)</f>
        <v>0</v>
      </c>
      <c r="G51" s="5"/>
      <c r="I51" s="84"/>
      <c r="K51" s="86"/>
      <c r="L51" s="85"/>
    </row>
    <row r="52" spans="1:12" ht="18.75" customHeight="1" thickBot="1" x14ac:dyDescent="0.4">
      <c r="A52" s="100" t="s">
        <v>32</v>
      </c>
      <c r="B52" s="111"/>
      <c r="C52" s="78">
        <f>SUM(C50:C51)</f>
        <v>18</v>
      </c>
      <c r="D52" s="50">
        <f t="shared" ref="D52:E52" si="7">SUM(D50:D51)</f>
        <v>18</v>
      </c>
      <c r="E52" s="50">
        <f t="shared" si="7"/>
        <v>0</v>
      </c>
      <c r="F52" s="66">
        <f t="shared" ref="F52:G52" si="8">SUM(F50:F51)</f>
        <v>0</v>
      </c>
      <c r="G52" s="50">
        <f t="shared" si="8"/>
        <v>0</v>
      </c>
      <c r="I52" s="84"/>
      <c r="K52" s="86"/>
      <c r="L52" s="85"/>
    </row>
    <row r="53" spans="1:12" ht="18.75" customHeight="1" x14ac:dyDescent="0.35">
      <c r="A53" s="93" t="s">
        <v>33</v>
      </c>
      <c r="B53" s="112" t="s">
        <v>780</v>
      </c>
      <c r="C53" s="5">
        <f>+IFERROR(VLOOKUP($A53,RAIZ!$A$3:$X$1500,MATCH('Suc. Santiago 2'!$F$1,RAIZ!$A$2:$X$2,0),FALSE),0)</f>
        <v>9</v>
      </c>
      <c r="D53" s="4">
        <v>8</v>
      </c>
      <c r="E53" s="5"/>
      <c r="F53" s="5">
        <f t="shared" ref="F53:F54" si="9">IF(D53-C53&gt;=0,D53-C53,0)</f>
        <v>0</v>
      </c>
      <c r="G53" s="5"/>
      <c r="I53" s="84"/>
      <c r="K53" s="86"/>
      <c r="L53" s="85"/>
    </row>
    <row r="54" spans="1:12" ht="18.75" customHeight="1" thickBot="1" x14ac:dyDescent="0.4">
      <c r="A54" s="95" t="s">
        <v>34</v>
      </c>
      <c r="B54" s="112" t="s">
        <v>781</v>
      </c>
      <c r="C54" s="5">
        <f>+IFERROR(VLOOKUP($A54,RAIZ!$A$3:$X$1500,MATCH('Suc. Santiago 2'!$F$1,RAIZ!$A$2:$X$2,0),FALSE),0)</f>
        <v>9</v>
      </c>
      <c r="D54" s="20">
        <v>10</v>
      </c>
      <c r="E54" s="5"/>
      <c r="F54" s="5">
        <f t="shared" si="9"/>
        <v>1</v>
      </c>
      <c r="G54" s="5"/>
      <c r="I54" s="84"/>
      <c r="K54" s="86"/>
      <c r="L54" s="85"/>
    </row>
    <row r="55" spans="1:12" ht="18.75" customHeight="1" thickBot="1" x14ac:dyDescent="0.4">
      <c r="A55" s="99" t="s">
        <v>35</v>
      </c>
      <c r="B55" s="111"/>
      <c r="C55" s="77">
        <f>SUM(C53:C54)</f>
        <v>18</v>
      </c>
      <c r="D55" s="48">
        <f t="shared" ref="D55:E55" si="10">SUM(D53:D54)</f>
        <v>18</v>
      </c>
      <c r="E55" s="48">
        <f t="shared" si="10"/>
        <v>0</v>
      </c>
      <c r="F55" s="65">
        <f t="shared" ref="F55:G55" si="11">SUM(F53:F54)</f>
        <v>1</v>
      </c>
      <c r="G55" s="48">
        <f t="shared" si="11"/>
        <v>0</v>
      </c>
      <c r="I55" s="84"/>
      <c r="K55" s="86"/>
      <c r="L55" s="85"/>
    </row>
    <row r="56" spans="1:12" ht="18.75" customHeight="1" x14ac:dyDescent="0.35">
      <c r="A56" s="93" t="s">
        <v>36</v>
      </c>
      <c r="B56" s="112" t="s">
        <v>782</v>
      </c>
      <c r="C56" s="5">
        <f>+IFERROR(VLOOKUP($A56,RAIZ!$A$3:$X$1500,MATCH('Suc. Santiago 2'!$F$1,RAIZ!$A$2:$X$2,0),FALSE),0)</f>
        <v>2</v>
      </c>
      <c r="D56" s="4">
        <v>2</v>
      </c>
      <c r="E56" s="5"/>
      <c r="F56" s="5">
        <f t="shared" ref="F56:F70" si="12">IF(D56-C56&gt;=0,D56-C56,0)</f>
        <v>0</v>
      </c>
      <c r="G56" s="5"/>
      <c r="I56" s="84"/>
      <c r="K56" s="86"/>
      <c r="L56" s="85"/>
    </row>
    <row r="57" spans="1:12" ht="18.75" customHeight="1" x14ac:dyDescent="0.35">
      <c r="A57" s="93" t="s">
        <v>37</v>
      </c>
      <c r="B57" s="112" t="s">
        <v>783</v>
      </c>
      <c r="C57" s="5">
        <f>+IFERROR(VLOOKUP($A57,RAIZ!$A$3:$X$1500,MATCH('Suc. Santiago 2'!$F$1,RAIZ!$A$2:$X$2,0),FALSE),0)</f>
        <v>2</v>
      </c>
      <c r="D57" s="7">
        <v>2</v>
      </c>
      <c r="E57" s="5"/>
      <c r="F57" s="5">
        <f t="shared" si="12"/>
        <v>0</v>
      </c>
      <c r="G57" s="5"/>
      <c r="I57" s="84"/>
      <c r="K57" s="86"/>
      <c r="L57" s="85"/>
    </row>
    <row r="58" spans="1:12" ht="18.75" customHeight="1" x14ac:dyDescent="0.35">
      <c r="A58" s="93" t="s">
        <v>39</v>
      </c>
      <c r="B58" s="112" t="s">
        <v>784</v>
      </c>
      <c r="C58" s="5">
        <f>+IFERROR(VLOOKUP($A58,RAIZ!$A$3:$X$1500,MATCH('Suc. Santiago 2'!$F$1,RAIZ!$A$2:$X$2,0),FALSE),0)</f>
        <v>1</v>
      </c>
      <c r="D58" s="7">
        <v>1</v>
      </c>
      <c r="E58" s="5"/>
      <c r="F58" s="5">
        <f t="shared" ref="F58" si="13">IF(D58-C58&gt;=0,D58-C58,0)</f>
        <v>0</v>
      </c>
      <c r="G58" s="5"/>
      <c r="I58" s="84"/>
      <c r="K58" s="86"/>
      <c r="L58" s="85"/>
    </row>
    <row r="59" spans="1:12" ht="18.75" customHeight="1" x14ac:dyDescent="0.35">
      <c r="A59" s="93" t="s">
        <v>40</v>
      </c>
      <c r="B59" s="112" t="s">
        <v>785</v>
      </c>
      <c r="C59" s="5">
        <f>+IFERROR(VLOOKUP($A59,RAIZ!$A$3:$X$1500,MATCH('Suc. Santiago 2'!$F$1,RAIZ!$A$2:$X$2,0),FALSE),0)</f>
        <v>1</v>
      </c>
      <c r="D59" s="7">
        <v>1</v>
      </c>
      <c r="E59" s="5"/>
      <c r="F59" s="5">
        <f t="shared" si="12"/>
        <v>0</v>
      </c>
      <c r="G59" s="5"/>
      <c r="I59" s="84"/>
      <c r="K59" s="86"/>
      <c r="L59" s="85"/>
    </row>
    <row r="60" spans="1:12" ht="18.75" customHeight="1" x14ac:dyDescent="0.35">
      <c r="A60" s="93" t="s">
        <v>41</v>
      </c>
      <c r="B60" s="112" t="s">
        <v>786</v>
      </c>
      <c r="C60" s="5">
        <f>+IFERROR(VLOOKUP($A60,RAIZ!$A$3:$X$1500,MATCH('Suc. Santiago 2'!$F$1,RAIZ!$A$2:$X$2,0),FALSE),0)</f>
        <v>1</v>
      </c>
      <c r="D60" s="7">
        <v>1</v>
      </c>
      <c r="E60" s="5"/>
      <c r="F60" s="5">
        <f t="shared" si="12"/>
        <v>0</v>
      </c>
      <c r="G60" s="5"/>
      <c r="I60" s="84"/>
      <c r="K60" s="86"/>
      <c r="L60" s="85"/>
    </row>
    <row r="61" spans="1:12" ht="18.75" customHeight="1" x14ac:dyDescent="0.35">
      <c r="A61" s="101" t="s">
        <v>42</v>
      </c>
      <c r="B61" s="112" t="s">
        <v>787</v>
      </c>
      <c r="C61" s="5">
        <f>+IFERROR(VLOOKUP($A61,RAIZ!$A$3:$X$1500,MATCH('Suc. Santiago 2'!$F$1,RAIZ!$A$2:$X$2,0),FALSE),0)</f>
        <v>2</v>
      </c>
      <c r="D61" s="4">
        <v>1</v>
      </c>
      <c r="E61" s="5"/>
      <c r="F61" s="5">
        <f t="shared" si="12"/>
        <v>0</v>
      </c>
      <c r="G61" s="5"/>
      <c r="I61" s="84"/>
      <c r="K61" s="86"/>
      <c r="L61" s="85"/>
    </row>
    <row r="62" spans="1:12" ht="18.75" customHeight="1" x14ac:dyDescent="0.35">
      <c r="A62" s="102" t="s">
        <v>43</v>
      </c>
      <c r="B62" s="112" t="s">
        <v>788</v>
      </c>
      <c r="C62" s="5">
        <f>+IFERROR(VLOOKUP($A62,RAIZ!$A$3:$X$1500,MATCH('Suc. Santiago 2'!$F$1,RAIZ!$A$2:$X$2,0),FALSE),0)</f>
        <v>2</v>
      </c>
      <c r="D62" s="7">
        <v>2</v>
      </c>
      <c r="E62" s="5"/>
      <c r="F62" s="5">
        <f t="shared" si="12"/>
        <v>0</v>
      </c>
      <c r="G62" s="5"/>
      <c r="I62" s="84"/>
      <c r="K62" s="86"/>
      <c r="L62" s="85"/>
    </row>
    <row r="63" spans="1:12" ht="18.75" customHeight="1" x14ac:dyDescent="0.35">
      <c r="A63" s="93" t="s">
        <v>44</v>
      </c>
      <c r="B63" s="112" t="s">
        <v>789</v>
      </c>
      <c r="C63" s="5">
        <f>+IFERROR(VLOOKUP($A63,RAIZ!$A$3:$X$1500,MATCH('Suc. Santiago 2'!$F$1,RAIZ!$A$2:$X$2,0),FALSE),0)</f>
        <v>2</v>
      </c>
      <c r="D63" s="7">
        <v>1</v>
      </c>
      <c r="E63" s="5"/>
      <c r="F63" s="5">
        <f t="shared" si="12"/>
        <v>0</v>
      </c>
      <c r="G63" s="5"/>
      <c r="I63" s="84"/>
      <c r="K63" s="86"/>
      <c r="L63" s="85"/>
    </row>
    <row r="64" spans="1:12" ht="18.75" customHeight="1" x14ac:dyDescent="0.35">
      <c r="A64" s="93" t="s">
        <v>45</v>
      </c>
      <c r="B64" s="112" t="s">
        <v>790</v>
      </c>
      <c r="C64" s="5">
        <f>+IFERROR(VLOOKUP($A64,RAIZ!$A$3:$X$1500,MATCH('Suc. Santiago 2'!$F$1,RAIZ!$A$2:$X$2,0),FALSE),0)</f>
        <v>2</v>
      </c>
      <c r="D64" s="4">
        <v>2</v>
      </c>
      <c r="E64" s="5"/>
      <c r="F64" s="5">
        <f t="shared" si="12"/>
        <v>0</v>
      </c>
      <c r="G64" s="5"/>
      <c r="I64" s="84"/>
      <c r="K64" s="86"/>
      <c r="L64" s="85"/>
    </row>
    <row r="65" spans="1:12" ht="18.75" customHeight="1" x14ac:dyDescent="0.35">
      <c r="A65" s="93" t="s">
        <v>46</v>
      </c>
      <c r="B65" s="112" t="s">
        <v>791</v>
      </c>
      <c r="C65" s="5">
        <f>+IFERROR(VLOOKUP($A65,RAIZ!$A$3:$X$1500,MATCH('Suc. Santiago 2'!$F$1,RAIZ!$A$2:$X$2,0),FALSE),0)</f>
        <v>3</v>
      </c>
      <c r="D65" s="7">
        <v>3</v>
      </c>
      <c r="E65" s="5"/>
      <c r="F65" s="5">
        <f t="shared" si="12"/>
        <v>0</v>
      </c>
      <c r="G65" s="5"/>
      <c r="I65" s="84"/>
      <c r="K65" s="86"/>
      <c r="L65" s="85"/>
    </row>
    <row r="66" spans="1:12" ht="18.75" customHeight="1" x14ac:dyDescent="0.35">
      <c r="A66" s="93" t="s">
        <v>48</v>
      </c>
      <c r="B66" s="112" t="s">
        <v>792</v>
      </c>
      <c r="C66" s="5">
        <f>+IFERROR(VLOOKUP($A66,RAIZ!$A$3:$X$1500,MATCH('Suc. Santiago 2'!$F$1,RAIZ!$A$2:$X$2,0),FALSE),0)</f>
        <v>1</v>
      </c>
      <c r="D66" s="7">
        <v>2</v>
      </c>
      <c r="E66" s="5"/>
      <c r="F66" s="5">
        <f t="shared" si="12"/>
        <v>1</v>
      </c>
      <c r="G66" s="5"/>
      <c r="I66" s="84"/>
      <c r="K66" s="86"/>
      <c r="L66" s="85"/>
    </row>
    <row r="67" spans="1:12" ht="18.75" customHeight="1" x14ac:dyDescent="0.35">
      <c r="A67" s="93" t="s">
        <v>49</v>
      </c>
      <c r="B67" s="112" t="s">
        <v>793</v>
      </c>
      <c r="C67" s="5">
        <f>+IFERROR(VLOOKUP($A67,RAIZ!$A$3:$X$1500,MATCH('Suc. Santiago 2'!$F$1,RAIZ!$A$2:$X$2,0),FALSE),0)</f>
        <v>2</v>
      </c>
      <c r="D67" s="7">
        <v>3</v>
      </c>
      <c r="E67" s="5"/>
      <c r="F67" s="5">
        <f t="shared" si="12"/>
        <v>1</v>
      </c>
      <c r="G67" s="5"/>
      <c r="I67" s="84"/>
      <c r="K67" s="86"/>
      <c r="L67" s="85"/>
    </row>
    <row r="68" spans="1:12" ht="18.75" customHeight="1" x14ac:dyDescent="0.35">
      <c r="A68" s="93" t="s">
        <v>50</v>
      </c>
      <c r="B68" s="112" t="s">
        <v>794</v>
      </c>
      <c r="C68" s="5">
        <f>+IFERROR(VLOOKUP($A68,RAIZ!$A$3:$X$1500,MATCH('Suc. Santiago 2'!$F$1,RAIZ!$A$2:$X$2,0),FALSE),0)</f>
        <v>2</v>
      </c>
      <c r="D68" s="4">
        <v>2</v>
      </c>
      <c r="E68" s="5"/>
      <c r="F68" s="5">
        <f t="shared" si="12"/>
        <v>0</v>
      </c>
      <c r="G68" s="5"/>
      <c r="I68" s="84"/>
      <c r="K68" s="86"/>
      <c r="L68" s="85"/>
    </row>
    <row r="69" spans="1:12" ht="18.75" customHeight="1" x14ac:dyDescent="0.35">
      <c r="A69" s="93" t="s">
        <v>51</v>
      </c>
      <c r="B69" s="112" t="s">
        <v>795</v>
      </c>
      <c r="C69" s="5">
        <f>+IFERROR(VLOOKUP($A69,RAIZ!$A$3:$X$1500,MATCH('Suc. Santiago 2'!$F$1,RAIZ!$A$2:$X$2,0),FALSE),0)</f>
        <v>0</v>
      </c>
      <c r="D69" s="169">
        <v>0</v>
      </c>
      <c r="E69" s="5"/>
      <c r="F69" s="5">
        <f t="shared" si="12"/>
        <v>0</v>
      </c>
      <c r="G69" s="5"/>
      <c r="I69" s="84"/>
      <c r="K69" s="86"/>
      <c r="L69" s="85"/>
    </row>
    <row r="70" spans="1:12" ht="18.75" customHeight="1" x14ac:dyDescent="0.35">
      <c r="A70" s="93" t="s">
        <v>53</v>
      </c>
      <c r="B70" s="112" t="s">
        <v>796</v>
      </c>
      <c r="C70" s="5">
        <f>+IFERROR(VLOOKUP($A70,RAIZ!$A$3:$X$1500,MATCH('Suc. Santiago 2'!$F$1,RAIZ!$A$2:$X$2,0),FALSE),0)</f>
        <v>6</v>
      </c>
      <c r="D70" s="20">
        <v>2</v>
      </c>
      <c r="E70" s="5"/>
      <c r="F70" s="5">
        <f t="shared" si="12"/>
        <v>0</v>
      </c>
      <c r="G70" s="5"/>
      <c r="I70" s="84"/>
      <c r="K70" s="86"/>
      <c r="L70" s="85"/>
    </row>
    <row r="71" spans="1:12" ht="18.75" customHeight="1" x14ac:dyDescent="0.35">
      <c r="A71" s="93" t="s">
        <v>47</v>
      </c>
      <c r="B71" s="112" t="s">
        <v>873</v>
      </c>
      <c r="C71" s="5">
        <f>+IFERROR(VLOOKUP($A71,RAIZ!$A$3:$X$1500,MATCH('Suc. Santiago 2'!$F$1,RAIZ!$A$2:$X$2,0),FALSE),0)</f>
        <v>1</v>
      </c>
      <c r="D71" s="20">
        <v>1</v>
      </c>
      <c r="E71" s="5"/>
      <c r="F71" s="5">
        <f t="shared" ref="F71:F77" si="14">IF(D71-C71&gt;=0,D71-C71,0)</f>
        <v>0</v>
      </c>
      <c r="G71" s="5"/>
      <c r="I71" s="84"/>
      <c r="K71" s="86"/>
      <c r="L71" s="85"/>
    </row>
    <row r="72" spans="1:12" ht="18.75" hidden="1" customHeight="1" x14ac:dyDescent="0.35">
      <c r="A72" s="86" t="s">
        <v>1089</v>
      </c>
      <c r="B72" s="112" t="s">
        <v>1090</v>
      </c>
      <c r="C72" s="5">
        <f>+IFERROR(VLOOKUP($A72,RAIZ!$A$3:$X$1500,MATCH('Suc. Santiago 2'!$F$1,RAIZ!$A$2:$X$2,0),FALSE),0)</f>
        <v>0</v>
      </c>
      <c r="D72" s="20">
        <v>0</v>
      </c>
      <c r="E72" s="5"/>
      <c r="F72" s="5">
        <f>IF(D72-C72&gt;=0,D72-C72,0)</f>
        <v>0</v>
      </c>
      <c r="G72" s="5"/>
    </row>
    <row r="73" spans="1:12" ht="18.75" customHeight="1" x14ac:dyDescent="0.35">
      <c r="A73" s="93"/>
      <c r="B73" s="112"/>
      <c r="C73" s="5">
        <f>+IFERROR(VLOOKUP($A73,RAIZ!$A$3:$X$1500,MATCH('Suc. Santiago 2'!$F$1,RAIZ!$A$2:$X$2,0),FALSE),0)</f>
        <v>0</v>
      </c>
      <c r="D73" s="20"/>
      <c r="E73" s="5"/>
      <c r="F73" s="5">
        <f t="shared" si="14"/>
        <v>0</v>
      </c>
      <c r="G73" s="5"/>
      <c r="I73" s="84"/>
      <c r="K73" s="86"/>
      <c r="L73" s="85"/>
    </row>
    <row r="74" spans="1:12" ht="18.75" customHeight="1" x14ac:dyDescent="0.35">
      <c r="A74" s="93"/>
      <c r="B74" s="112"/>
      <c r="C74" s="5">
        <f>+IFERROR(VLOOKUP($A74,RAIZ!$A$3:$X$1500,MATCH('Suc. Santiago 2'!$F$1,RAIZ!$A$2:$X$2,0),FALSE),0)</f>
        <v>0</v>
      </c>
      <c r="D74" s="20"/>
      <c r="E74" s="5"/>
      <c r="F74" s="5">
        <f t="shared" si="14"/>
        <v>0</v>
      </c>
      <c r="G74" s="5"/>
      <c r="I74" s="84"/>
      <c r="K74" s="86"/>
      <c r="L74" s="85"/>
    </row>
    <row r="75" spans="1:12" ht="18.75" customHeight="1" x14ac:dyDescent="0.35">
      <c r="A75" s="93"/>
      <c r="B75" s="112"/>
      <c r="C75" s="5">
        <f>+IFERROR(VLOOKUP($A75,RAIZ!$A$3:$X$1500,MATCH('Suc. Santiago 2'!$F$1,RAIZ!$A$2:$X$2,0),FALSE),0)</f>
        <v>0</v>
      </c>
      <c r="D75" s="20"/>
      <c r="E75" s="5"/>
      <c r="F75" s="5">
        <f t="shared" si="14"/>
        <v>0</v>
      </c>
      <c r="G75" s="5"/>
      <c r="I75" s="84"/>
      <c r="K75" s="86"/>
      <c r="L75" s="85"/>
    </row>
    <row r="76" spans="1:12" ht="18.75" customHeight="1" x14ac:dyDescent="0.35">
      <c r="A76" s="93"/>
      <c r="B76" s="112"/>
      <c r="C76" s="5">
        <f>+IFERROR(VLOOKUP($A76,RAIZ!$A$3:$X$1500,MATCH('Suc. Santiago 2'!$F$1,RAIZ!$A$2:$X$2,0),FALSE),0)</f>
        <v>0</v>
      </c>
      <c r="D76" s="20"/>
      <c r="E76" s="5"/>
      <c r="F76" s="5">
        <f t="shared" si="14"/>
        <v>0</v>
      </c>
      <c r="G76" s="5"/>
      <c r="I76" s="84"/>
      <c r="K76" s="86"/>
      <c r="L76" s="85"/>
    </row>
    <row r="77" spans="1:12" ht="18.75" customHeight="1" thickBot="1" x14ac:dyDescent="0.4">
      <c r="A77" s="93"/>
      <c r="B77" s="112"/>
      <c r="C77" s="5">
        <f>+IFERROR(VLOOKUP($A77,RAIZ!$A$3:$X$1500,MATCH('Suc. Santiago 2'!$F$1,RAIZ!$A$2:$X$2,0),FALSE),0)</f>
        <v>0</v>
      </c>
      <c r="D77" s="20"/>
      <c r="E77" s="5"/>
      <c r="F77" s="5">
        <f t="shared" si="14"/>
        <v>0</v>
      </c>
      <c r="G77" s="5"/>
      <c r="I77" s="84"/>
      <c r="K77" s="86"/>
      <c r="L77" s="85"/>
    </row>
    <row r="78" spans="1:12" ht="18.75" customHeight="1" thickBot="1" x14ac:dyDescent="0.4">
      <c r="A78" s="99" t="s">
        <v>54</v>
      </c>
      <c r="B78" s="111"/>
      <c r="C78" s="77">
        <f>SUM(C56:C77)</f>
        <v>30</v>
      </c>
      <c r="D78" s="48">
        <f>SUM(D56:D77)</f>
        <v>26</v>
      </c>
      <c r="E78" s="48">
        <f>SUM(E56:E77)</f>
        <v>0</v>
      </c>
      <c r="F78" s="65">
        <f>SUM(F56:F77)</f>
        <v>2</v>
      </c>
      <c r="G78" s="48">
        <f>SUM(G56:G77)</f>
        <v>0</v>
      </c>
      <c r="I78" s="84"/>
      <c r="K78" s="86"/>
      <c r="L78" s="85"/>
    </row>
    <row r="79" spans="1:12" ht="18.75" customHeight="1" thickBot="1" x14ac:dyDescent="0.4">
      <c r="A79" s="103" t="s">
        <v>55</v>
      </c>
      <c r="B79" s="111"/>
      <c r="C79" s="79">
        <f>C18+C32+C49+C52+C55+C78</f>
        <v>134</v>
      </c>
      <c r="D79" s="52">
        <f>D18+D32+D49+D52+D55+D78</f>
        <v>141</v>
      </c>
      <c r="E79" s="52">
        <f>E18+E32+E49+E52+E55+E78</f>
        <v>0</v>
      </c>
      <c r="F79" s="67">
        <f>F18+F32+F49+F52+F55+F78</f>
        <v>17</v>
      </c>
      <c r="G79" s="52">
        <f>G18+G32+G49+G52+G55+G78</f>
        <v>0</v>
      </c>
      <c r="I79" s="84"/>
      <c r="K79" s="86"/>
      <c r="L79" s="85"/>
    </row>
    <row r="80" spans="1:12" ht="18.75" customHeight="1" x14ac:dyDescent="0.35">
      <c r="A80" s="104" t="s">
        <v>56</v>
      </c>
      <c r="B80" s="111"/>
      <c r="C80" s="68"/>
      <c r="D80" s="26"/>
      <c r="E80" s="27"/>
      <c r="F80" s="27"/>
      <c r="G80" s="27"/>
      <c r="I80" s="84"/>
      <c r="K80" s="86"/>
      <c r="L80" s="85"/>
    </row>
    <row r="81" spans="1:12" ht="18.75" customHeight="1" x14ac:dyDescent="0.35">
      <c r="A81" s="94" t="s">
        <v>57</v>
      </c>
      <c r="B81" s="112" t="s">
        <v>797</v>
      </c>
      <c r="C81" s="5">
        <f>+IFERROR(VLOOKUP($A81,RAIZ!$A$3:$X$1500,MATCH('Suc. Santiago 2'!$F$1,RAIZ!$A$2:$X$2,0),FALSE),0)</f>
        <v>0</v>
      </c>
      <c r="D81" s="4">
        <v>1</v>
      </c>
      <c r="E81" s="5"/>
      <c r="F81" s="5">
        <f t="shared" ref="F81:F85" si="15">IF(D81-C81&gt;=0,D81-C81,0)</f>
        <v>1</v>
      </c>
      <c r="G81" s="5"/>
      <c r="I81" s="84"/>
      <c r="K81" s="86"/>
      <c r="L81" s="85"/>
    </row>
    <row r="82" spans="1:12" ht="18.75" customHeight="1" x14ac:dyDescent="0.35">
      <c r="A82" s="94" t="s">
        <v>58</v>
      </c>
      <c r="B82" s="112" t="s">
        <v>867</v>
      </c>
      <c r="C82" s="5">
        <f>+IFERROR(VLOOKUP($A82,RAIZ!$A$3:$X$1500,MATCH('Suc. Santiago 2'!$F$1,RAIZ!$A$2:$X$2,0),FALSE),0)</f>
        <v>0</v>
      </c>
      <c r="D82" s="4">
        <v>1</v>
      </c>
      <c r="E82" s="5"/>
      <c r="F82" s="5">
        <f t="shared" ref="F82" si="16">IF(D82-C82&gt;=0,D82-C82,0)</f>
        <v>1</v>
      </c>
      <c r="G82" s="5"/>
      <c r="I82" s="84"/>
      <c r="K82" s="86"/>
      <c r="L82" s="85"/>
    </row>
    <row r="83" spans="1:12" ht="18.75" customHeight="1" x14ac:dyDescent="0.35">
      <c r="A83" s="94" t="s">
        <v>59</v>
      </c>
      <c r="B83" s="112" t="s">
        <v>798</v>
      </c>
      <c r="C83" s="5">
        <f>+IFERROR(VLOOKUP($A83,RAIZ!$A$3:$X$1500,MATCH('Suc. Santiago 2'!$F$1,RAIZ!$A$2:$X$2,0),FALSE),0)</f>
        <v>1</v>
      </c>
      <c r="D83" s="7">
        <v>1</v>
      </c>
      <c r="E83" s="5"/>
      <c r="F83" s="5">
        <f t="shared" si="15"/>
        <v>0</v>
      </c>
      <c r="G83" s="5"/>
      <c r="I83" s="84"/>
    </row>
    <row r="84" spans="1:12" ht="18.75" customHeight="1" x14ac:dyDescent="0.35">
      <c r="A84" s="94" t="s">
        <v>60</v>
      </c>
      <c r="B84" s="112" t="s">
        <v>799</v>
      </c>
      <c r="C84" s="5">
        <f>+IFERROR(VLOOKUP($A84,RAIZ!$A$3:$X$1500,MATCH('Suc. Santiago 2'!$F$1,RAIZ!$A$2:$X$2,0),FALSE),0)</f>
        <v>1</v>
      </c>
      <c r="D84" s="7">
        <v>2</v>
      </c>
      <c r="E84" s="5"/>
      <c r="F84" s="5">
        <f t="shared" si="15"/>
        <v>1</v>
      </c>
      <c r="G84" s="5"/>
      <c r="I84" s="84"/>
    </row>
    <row r="85" spans="1:12" ht="18.75" customHeight="1" x14ac:dyDescent="0.35">
      <c r="A85" s="94" t="s">
        <v>61</v>
      </c>
      <c r="B85" s="112" t="s">
        <v>800</v>
      </c>
      <c r="C85" s="5">
        <f>+IFERROR(VLOOKUP($A85,RAIZ!$A$3:$X$1500,MATCH('Suc. Santiago 2'!$F$1,RAIZ!$A$2:$X$2,0),FALSE),0)</f>
        <v>0</v>
      </c>
      <c r="D85" s="7">
        <v>3</v>
      </c>
      <c r="E85" s="5"/>
      <c r="F85" s="5">
        <f t="shared" si="15"/>
        <v>3</v>
      </c>
      <c r="G85" s="5"/>
      <c r="I85" s="84"/>
    </row>
    <row r="86" spans="1:12" ht="18.75" customHeight="1" x14ac:dyDescent="0.35">
      <c r="A86" s="94" t="s">
        <v>63</v>
      </c>
      <c r="B86" s="112" t="s">
        <v>801</v>
      </c>
      <c r="C86" s="5">
        <f>+IFERROR(VLOOKUP($A86,RAIZ!$A$3:$X$1500,MATCH('Suc. Santiago 2'!$F$1,RAIZ!$A$2:$X$2,0),FALSE),0)</f>
        <v>3</v>
      </c>
      <c r="D86" s="7">
        <v>3</v>
      </c>
      <c r="E86" s="5"/>
      <c r="F86" s="5">
        <f t="shared" ref="F86:F90" si="17">IF(D86-C86&gt;=0,D86-C86,0)</f>
        <v>0</v>
      </c>
      <c r="G86" s="5"/>
      <c r="I86" s="84"/>
    </row>
    <row r="87" spans="1:12" ht="18.75" customHeight="1" x14ac:dyDescent="0.35">
      <c r="A87" s="94"/>
      <c r="B87" s="112" t="s">
        <v>1091</v>
      </c>
      <c r="C87" s="5">
        <f>+IFERROR(VLOOKUP($A87,RAIZ!$A$3:$X$1500,MATCH('Suc. Santiago 2'!$F$1,RAIZ!$A$2:$X$2,0),FALSE),0)</f>
        <v>0</v>
      </c>
      <c r="D87" s="20"/>
      <c r="E87" s="5"/>
      <c r="F87" s="5">
        <f>IF(D87-C87&gt;=0,D87-C87,0)</f>
        <v>0</v>
      </c>
      <c r="G87" s="5"/>
    </row>
    <row r="88" spans="1:12" ht="18.75" customHeight="1" x14ac:dyDescent="0.35">
      <c r="A88" s="94"/>
      <c r="B88" s="112" t="s">
        <v>1094</v>
      </c>
      <c r="C88" s="5">
        <f>+IFERROR(VLOOKUP($A88,RAIZ!$A$3:$X$1500,MATCH('Suc. Santiago 2'!$F$1,RAIZ!$A$2:$X$2,0),FALSE),0)</f>
        <v>0</v>
      </c>
      <c r="D88" s="7"/>
      <c r="E88" s="5"/>
      <c r="F88" s="5">
        <f t="shared" si="17"/>
        <v>0</v>
      </c>
      <c r="G88" s="5"/>
      <c r="I88" s="84"/>
    </row>
    <row r="89" spans="1:12" ht="18.75" customHeight="1" x14ac:dyDescent="0.35">
      <c r="A89" s="94"/>
      <c r="B89" s="112" t="s">
        <v>1095</v>
      </c>
      <c r="C89" s="5">
        <f>+IFERROR(VLOOKUP($A89,RAIZ!$A$3:$X$1500,MATCH('Suc. Santiago 2'!$F$1,RAIZ!$A$2:$X$2,0),FALSE),0)</f>
        <v>0</v>
      </c>
      <c r="D89" s="7"/>
      <c r="E89" s="5"/>
      <c r="F89" s="5">
        <f t="shared" si="17"/>
        <v>0</v>
      </c>
      <c r="G89" s="5"/>
      <c r="I89" s="84"/>
    </row>
    <row r="90" spans="1:12" ht="18.75" customHeight="1" thickBot="1" x14ac:dyDescent="0.4">
      <c r="A90" s="94"/>
      <c r="B90" s="112" t="s">
        <v>1093</v>
      </c>
      <c r="C90" s="5">
        <f>+IFERROR(VLOOKUP($A90,RAIZ!$A$3:$X$1500,MATCH('Suc. Santiago 2'!$F$1,RAIZ!$A$2:$X$2,0),FALSE),0)</f>
        <v>0</v>
      </c>
      <c r="D90" s="7"/>
      <c r="E90" s="5"/>
      <c r="F90" s="5">
        <f t="shared" si="17"/>
        <v>0</v>
      </c>
      <c r="G90" s="5"/>
      <c r="I90" s="84"/>
    </row>
    <row r="91" spans="1:12" ht="18.75" customHeight="1" thickBot="1" x14ac:dyDescent="0.4">
      <c r="A91" s="105" t="s">
        <v>55</v>
      </c>
      <c r="B91" s="111"/>
      <c r="C91" s="80">
        <f>SUM(C81:C90)</f>
        <v>5</v>
      </c>
      <c r="D91" s="54">
        <f>SUM(D81:D90)</f>
        <v>11</v>
      </c>
      <c r="E91" s="54">
        <f>SUM(E81:E90)</f>
        <v>0</v>
      </c>
      <c r="F91" s="69">
        <f>SUM(F81:F90)</f>
        <v>6</v>
      </c>
      <c r="G91" s="54">
        <f>SUM(G81:G90)</f>
        <v>0</v>
      </c>
      <c r="I91" s="84"/>
    </row>
    <row r="92" spans="1:12" ht="18.75" customHeight="1" x14ac:dyDescent="0.35">
      <c r="A92" s="106" t="s">
        <v>64</v>
      </c>
      <c r="B92" s="111"/>
      <c r="C92" s="70"/>
      <c r="D92" s="30"/>
      <c r="E92" s="31"/>
      <c r="F92" s="31"/>
      <c r="G92" s="31"/>
      <c r="I92" s="84"/>
    </row>
    <row r="93" spans="1:12" ht="18.75" customHeight="1" x14ac:dyDescent="0.35">
      <c r="A93" s="94" t="s">
        <v>65</v>
      </c>
      <c r="B93" s="112" t="s">
        <v>802</v>
      </c>
      <c r="C93" s="5">
        <f>+IFERROR(VLOOKUP($A93,RAIZ!$A$3:$X$1500,MATCH('Suc. Santiago 2'!$F$1,RAIZ!$A$2:$X$2,0),FALSE),0)</f>
        <v>1</v>
      </c>
      <c r="D93" s="4">
        <v>1</v>
      </c>
      <c r="E93" s="5"/>
      <c r="F93" s="5">
        <f t="shared" ref="F93:F104" si="18">IF(D93-C93&gt;=0,D93-C93,0)</f>
        <v>0</v>
      </c>
      <c r="G93" s="5"/>
      <c r="I93" s="84"/>
    </row>
    <row r="94" spans="1:12" ht="18.75" customHeight="1" x14ac:dyDescent="0.35">
      <c r="A94" s="94" t="s">
        <v>66</v>
      </c>
      <c r="B94" s="112" t="s">
        <v>803</v>
      </c>
      <c r="C94" s="5">
        <f>+IFERROR(VLOOKUP($A94,RAIZ!$A$3:$X$1500,MATCH('Suc. Santiago 2'!$F$1,RAIZ!$A$2:$X$2,0),FALSE),0)</f>
        <v>1</v>
      </c>
      <c r="D94" s="7">
        <v>1</v>
      </c>
      <c r="E94" s="5"/>
      <c r="F94" s="5">
        <f t="shared" si="18"/>
        <v>0</v>
      </c>
      <c r="G94" s="5"/>
      <c r="I94" s="84"/>
    </row>
    <row r="95" spans="1:12" ht="18.75" customHeight="1" x14ac:dyDescent="0.35">
      <c r="A95" s="94" t="s">
        <v>68</v>
      </c>
      <c r="B95" s="112" t="s">
        <v>805</v>
      </c>
      <c r="C95" s="5">
        <f>+IFERROR(VLOOKUP($A95,RAIZ!$A$3:$X$1500,MATCH('Suc. Santiago 2'!$F$1,RAIZ!$A$2:$X$2,0),FALSE),0)</f>
        <v>1</v>
      </c>
      <c r="D95" s="7">
        <v>2</v>
      </c>
      <c r="E95" s="5"/>
      <c r="F95" s="5">
        <f t="shared" si="18"/>
        <v>1</v>
      </c>
      <c r="G95" s="5"/>
      <c r="I95" s="84"/>
    </row>
    <row r="96" spans="1:12" ht="18.75" customHeight="1" x14ac:dyDescent="0.35">
      <c r="A96" s="94" t="s">
        <v>69</v>
      </c>
      <c r="B96" s="112" t="s">
        <v>806</v>
      </c>
      <c r="C96" s="5">
        <f>+IFERROR(VLOOKUP($A96,RAIZ!$A$3:$X$1500,MATCH('Suc. Santiago 2'!$F$1,RAIZ!$A$2:$X$2,0),FALSE),0)</f>
        <v>10</v>
      </c>
      <c r="D96" s="7">
        <v>10</v>
      </c>
      <c r="E96" s="5"/>
      <c r="F96" s="5">
        <f t="shared" si="18"/>
        <v>0</v>
      </c>
      <c r="G96" s="5"/>
      <c r="I96" s="84"/>
    </row>
    <row r="97" spans="1:9" ht="18.75" customHeight="1" x14ac:dyDescent="0.35">
      <c r="A97" s="94" t="s">
        <v>70</v>
      </c>
      <c r="B97" s="112" t="s">
        <v>807</v>
      </c>
      <c r="C97" s="5">
        <f>+IFERROR(VLOOKUP($A97,RAIZ!$A$3:$X$1500,MATCH('Suc. Santiago 2'!$F$1,RAIZ!$A$2:$X$2,0),FALSE),0)</f>
        <v>7</v>
      </c>
      <c r="D97" s="7">
        <v>5</v>
      </c>
      <c r="E97" s="5"/>
      <c r="F97" s="5">
        <f t="shared" si="18"/>
        <v>0</v>
      </c>
      <c r="G97" s="5"/>
      <c r="I97" s="84"/>
    </row>
    <row r="98" spans="1:9" ht="18.75" customHeight="1" x14ac:dyDescent="0.35">
      <c r="A98" s="94" t="s">
        <v>857</v>
      </c>
      <c r="B98" s="112" t="s">
        <v>808</v>
      </c>
      <c r="C98" s="5">
        <f>+IFERROR(VLOOKUP($A98,RAIZ!$A$3:$X$1500,MATCH('Suc. Santiago 2'!$F$1,RAIZ!$A$2:$X$2,0),FALSE),0)</f>
        <v>10</v>
      </c>
      <c r="D98" s="7">
        <v>3</v>
      </c>
      <c r="E98" s="201">
        <v>15</v>
      </c>
      <c r="F98" s="5">
        <f t="shared" si="18"/>
        <v>0</v>
      </c>
      <c r="G98" s="5"/>
      <c r="I98" s="84"/>
    </row>
    <row r="99" spans="1:9" ht="18.75" customHeight="1" x14ac:dyDescent="0.35">
      <c r="A99" s="94" t="s">
        <v>835</v>
      </c>
      <c r="B99" s="112" t="s">
        <v>836</v>
      </c>
      <c r="C99" s="5">
        <f>+IFERROR(VLOOKUP($A99,RAIZ!$A$3:$X$1500,MATCH('Suc. Santiago 2'!$F$1,RAIZ!$A$2:$X$2,0),FALSE),0)</f>
        <v>2</v>
      </c>
      <c r="D99" s="7">
        <v>3</v>
      </c>
      <c r="E99" s="5"/>
      <c r="F99" s="5">
        <f t="shared" ref="F99:F103" si="19">IF(D99-C99&gt;=0,D99-C99,0)</f>
        <v>1</v>
      </c>
      <c r="G99" s="5"/>
      <c r="I99" s="84"/>
    </row>
    <row r="100" spans="1:9" ht="18.75" customHeight="1" x14ac:dyDescent="0.35">
      <c r="A100" s="94" t="s">
        <v>72</v>
      </c>
      <c r="B100" s="112" t="s">
        <v>834</v>
      </c>
      <c r="C100" s="5">
        <f>+IFERROR(VLOOKUP($A100,RAIZ!$A$3:$X$1500,MATCH('Suc. Santiago 2'!$F$1,RAIZ!$A$2:$X$2,0),FALSE),0)</f>
        <v>27</v>
      </c>
      <c r="D100" s="7">
        <v>30</v>
      </c>
      <c r="E100" s="5"/>
      <c r="F100" s="5">
        <f t="shared" si="19"/>
        <v>3</v>
      </c>
      <c r="G100" s="5"/>
      <c r="I100" s="84"/>
    </row>
    <row r="101" spans="1:9" ht="18.75" customHeight="1" x14ac:dyDescent="0.35">
      <c r="A101" s="94" t="s">
        <v>73</v>
      </c>
      <c r="B101" s="112" t="s">
        <v>809</v>
      </c>
      <c r="C101" s="5">
        <f>+IFERROR(VLOOKUP($A101,RAIZ!$A$3:$X$1500,MATCH('Suc. Santiago 2'!$F$1,RAIZ!$A$2:$X$2,0),FALSE),0)</f>
        <v>1</v>
      </c>
      <c r="D101" s="7">
        <v>1</v>
      </c>
      <c r="E101" s="5"/>
      <c r="F101" s="5">
        <f t="shared" si="19"/>
        <v>0</v>
      </c>
      <c r="G101" s="5"/>
    </row>
    <row r="102" spans="1:9" ht="18.75" customHeight="1" thickBot="1" x14ac:dyDescent="0.4">
      <c r="A102" s="94" t="s">
        <v>74</v>
      </c>
      <c r="B102" s="112" t="s">
        <v>810</v>
      </c>
      <c r="C102" s="5">
        <f>+IFERROR(VLOOKUP($A102,RAIZ!$A$3:$X$1500,MATCH('Suc. Santiago 2'!$F$1,RAIZ!$A$2:$X$2,0),FALSE),0)</f>
        <v>3</v>
      </c>
      <c r="D102" s="7">
        <v>4</v>
      </c>
      <c r="E102" s="5"/>
      <c r="F102" s="5">
        <f t="shared" si="19"/>
        <v>1</v>
      </c>
      <c r="G102" s="5"/>
    </row>
    <row r="103" spans="1:9" ht="18.75" customHeight="1" thickBot="1" x14ac:dyDescent="0.4">
      <c r="A103" s="94" t="s">
        <v>75</v>
      </c>
      <c r="B103" s="112" t="s">
        <v>811</v>
      </c>
      <c r="C103" s="5">
        <f>+IFERROR(VLOOKUP($A103,RAIZ!$A$3:$X$1500,MATCH('Suc. Santiago 2'!$F$1,RAIZ!$A$2:$X$2,0),FALSE),0)</f>
        <v>3</v>
      </c>
      <c r="D103" s="20">
        <v>4</v>
      </c>
      <c r="E103" s="154" t="s">
        <v>955</v>
      </c>
      <c r="F103" s="5">
        <f t="shared" si="19"/>
        <v>1</v>
      </c>
      <c r="G103" s="5"/>
      <c r="I103" s="84"/>
    </row>
    <row r="104" spans="1:9" ht="18.75" customHeight="1" thickBot="1" x14ac:dyDescent="0.4">
      <c r="A104" s="94"/>
      <c r="B104" s="112" t="s">
        <v>1096</v>
      </c>
      <c r="C104" s="5">
        <f>+IFERROR(VLOOKUP($A104,RAIZ!$A$3:$X$1500,MATCH('Suc. Santiago 2'!$F$1,RAIZ!$A$2:$X$2,0),FALSE),0)</f>
        <v>0</v>
      </c>
      <c r="D104" s="7"/>
      <c r="E104" s="5"/>
      <c r="F104" s="5">
        <f t="shared" si="18"/>
        <v>0</v>
      </c>
      <c r="G104" s="5"/>
      <c r="I104" s="84"/>
    </row>
    <row r="105" spans="1:9" ht="18.75" customHeight="1" thickBot="1" x14ac:dyDescent="0.4">
      <c r="A105" s="107" t="s">
        <v>55</v>
      </c>
      <c r="B105" s="111"/>
      <c r="C105" s="81">
        <f>SUM(C93:C104)</f>
        <v>66</v>
      </c>
      <c r="D105" s="56">
        <f>SUM(D93:D104)</f>
        <v>64</v>
      </c>
      <c r="E105" s="56">
        <f>SUM(E93:E104)</f>
        <v>15</v>
      </c>
      <c r="F105" s="71">
        <f>SUM(F93:F104)</f>
        <v>7</v>
      </c>
      <c r="G105" s="56">
        <f>SUM(G93:G104)</f>
        <v>0</v>
      </c>
      <c r="I105" s="84"/>
    </row>
    <row r="106" spans="1:9" ht="18.75" customHeight="1" x14ac:dyDescent="0.35">
      <c r="A106" s="108" t="s">
        <v>76</v>
      </c>
      <c r="B106" s="111"/>
      <c r="C106" s="72"/>
      <c r="D106" s="34"/>
      <c r="E106" s="35"/>
      <c r="F106" s="35"/>
      <c r="G106" s="35"/>
      <c r="I106" s="84"/>
    </row>
    <row r="107" spans="1:9" ht="18.75" customHeight="1" x14ac:dyDescent="0.35">
      <c r="A107" s="94" t="s">
        <v>77</v>
      </c>
      <c r="B107" s="112" t="s">
        <v>812</v>
      </c>
      <c r="C107" s="5">
        <f>+IFERROR(VLOOKUP($A107,RAIZ!$A$3:$X$1500,MATCH('Suc. Santiago 2'!$F$1,RAIZ!$A$2:$X$2,0),FALSE),0)</f>
        <v>2</v>
      </c>
      <c r="D107" s="7">
        <v>4</v>
      </c>
      <c r="E107" s="5"/>
      <c r="F107" s="5">
        <f t="shared" ref="F107:F112" si="20">IF(D107-C107&gt;=0,D107-C107,0)</f>
        <v>2</v>
      </c>
      <c r="G107" s="5"/>
      <c r="I107" s="84"/>
    </row>
    <row r="108" spans="1:9" ht="18.75" customHeight="1" x14ac:dyDescent="0.35">
      <c r="A108" s="94" t="s">
        <v>621</v>
      </c>
      <c r="B108" s="112" t="s">
        <v>813</v>
      </c>
      <c r="C108" s="5">
        <f>+IFERROR(VLOOKUP($A108,RAIZ!$A$3:$X$1500,MATCH('Suc. Santiago 2'!$F$1,RAIZ!$A$2:$X$2,0),FALSE),0)</f>
        <v>0</v>
      </c>
      <c r="D108" s="7">
        <v>0</v>
      </c>
      <c r="E108" s="5"/>
      <c r="F108" s="5">
        <f t="shared" si="20"/>
        <v>0</v>
      </c>
      <c r="G108" s="5"/>
      <c r="I108" s="84"/>
    </row>
    <row r="109" spans="1:9" ht="18.75" customHeight="1" x14ac:dyDescent="0.35">
      <c r="A109" s="94" t="s">
        <v>80</v>
      </c>
      <c r="B109" s="112" t="s">
        <v>815</v>
      </c>
      <c r="C109" s="5">
        <f>+IFERROR(VLOOKUP($A109,RAIZ!$A$3:$X$1500,MATCH('Suc. Santiago 2'!$F$1,RAIZ!$A$2:$X$2,0),FALSE),0)</f>
        <v>4</v>
      </c>
      <c r="D109" s="7">
        <v>15</v>
      </c>
      <c r="E109" s="5"/>
      <c r="F109" s="5">
        <f t="shared" si="20"/>
        <v>11</v>
      </c>
      <c r="G109" s="5"/>
      <c r="I109" s="84"/>
    </row>
    <row r="110" spans="1:9" ht="18.75" customHeight="1" x14ac:dyDescent="0.35">
      <c r="A110" s="94" t="s">
        <v>81</v>
      </c>
      <c r="B110" s="112" t="s">
        <v>816</v>
      </c>
      <c r="C110" s="5">
        <f>+IFERROR(VLOOKUP($A110,RAIZ!$A$3:$X$1500,MATCH('Suc. Santiago 2'!$F$1,RAIZ!$A$2:$X$2,0),FALSE),0)</f>
        <v>3</v>
      </c>
      <c r="D110" s="7">
        <v>10</v>
      </c>
      <c r="E110" s="5"/>
      <c r="F110" s="5">
        <f t="shared" si="20"/>
        <v>7</v>
      </c>
      <c r="G110" s="5"/>
      <c r="I110" s="84"/>
    </row>
    <row r="111" spans="1:9" ht="18.75" customHeight="1" x14ac:dyDescent="0.35">
      <c r="A111" s="95" t="s">
        <v>83</v>
      </c>
      <c r="B111" s="112" t="s">
        <v>818</v>
      </c>
      <c r="C111" s="5">
        <f>+IFERROR(VLOOKUP($A111,RAIZ!$A$3:$X$1500,MATCH('Suc. Santiago 2'!$F$1,RAIZ!$A$2:$X$2,0),FALSE),0)</f>
        <v>2</v>
      </c>
      <c r="D111" s="20">
        <v>2</v>
      </c>
      <c r="E111" s="5"/>
      <c r="F111" s="5">
        <f t="shared" si="20"/>
        <v>0</v>
      </c>
      <c r="G111" s="5"/>
      <c r="I111" s="84"/>
    </row>
    <row r="112" spans="1:9" ht="18.75" customHeight="1" thickBot="1" x14ac:dyDescent="0.4">
      <c r="A112" s="95"/>
      <c r="B112" s="112"/>
      <c r="C112" s="5">
        <f>+IFERROR(VLOOKUP($A112,RAIZ!$A$3:$X$1500,MATCH('Suc. Santiago 2'!$F$1,RAIZ!$A$2:$X$2,0),FALSE),0)</f>
        <v>0</v>
      </c>
      <c r="D112" s="20"/>
      <c r="E112" s="5"/>
      <c r="F112" s="5">
        <f t="shared" si="20"/>
        <v>0</v>
      </c>
      <c r="G112" s="5"/>
      <c r="I112" s="84"/>
    </row>
    <row r="113" spans="1:9" ht="18.75" customHeight="1" thickBot="1" x14ac:dyDescent="0.4">
      <c r="A113" s="109" t="s">
        <v>55</v>
      </c>
      <c r="B113" s="111"/>
      <c r="C113" s="82">
        <f>SUM(C107:C112,C114:C116)</f>
        <v>29</v>
      </c>
      <c r="D113" s="58">
        <f>SUM(D107:D112,D114:D116)</f>
        <v>39</v>
      </c>
      <c r="E113" s="58">
        <f>SUM(E107:E112,E114:E116)</f>
        <v>0</v>
      </c>
      <c r="F113" s="73">
        <f>SUM(F107:F112,F114:F116)</f>
        <v>20</v>
      </c>
      <c r="G113" s="58">
        <f>SUM(G107:G112,G114:G116)</f>
        <v>0</v>
      </c>
      <c r="I113" s="84"/>
    </row>
    <row r="114" spans="1:9" ht="18.75" customHeight="1" x14ac:dyDescent="0.35">
      <c r="A114" s="93" t="s">
        <v>84</v>
      </c>
      <c r="B114" s="112" t="s">
        <v>819</v>
      </c>
      <c r="C114" s="5">
        <f>+IFERROR(VLOOKUP($A114,RAIZ!$A$3:$X$1500,MATCH('Suc. Santiago 2'!$F$1,RAIZ!$A$2:$X$2,0),FALSE),0)</f>
        <v>5</v>
      </c>
      <c r="D114" s="4">
        <v>3</v>
      </c>
      <c r="E114" s="5"/>
      <c r="F114" s="5">
        <f t="shared" ref="F114" si="21">IF(D114-C114&gt;=0,D114-C114,0)</f>
        <v>0</v>
      </c>
      <c r="G114" s="5"/>
      <c r="I114" s="84"/>
    </row>
    <row r="115" spans="1:9" ht="18.75" customHeight="1" x14ac:dyDescent="0.35">
      <c r="A115" s="95" t="s">
        <v>85</v>
      </c>
      <c r="B115" s="112" t="s">
        <v>820</v>
      </c>
      <c r="C115" s="5">
        <f>+IFERROR(VLOOKUP($A115,RAIZ!$A$3:$X$1500,MATCH('Suc. Santiago 2'!$F$1,RAIZ!$A$2:$X$2,0),FALSE),0)</f>
        <v>5</v>
      </c>
      <c r="D115" s="20">
        <v>3</v>
      </c>
      <c r="E115" s="5"/>
      <c r="F115" s="5">
        <f t="shared" ref="F115:F141" si="22">IF(D115-C115&gt;=0,D115-C115,0)</f>
        <v>0</v>
      </c>
      <c r="G115" s="5"/>
      <c r="I115" s="84"/>
    </row>
    <row r="116" spans="1:9" ht="18.75" customHeight="1" thickBot="1" x14ac:dyDescent="0.4">
      <c r="A116" s="95" t="s">
        <v>881</v>
      </c>
      <c r="B116" s="112" t="s">
        <v>882</v>
      </c>
      <c r="C116" s="5">
        <f>+IFERROR(VLOOKUP($A116,RAIZ!$A$3:$X$1500,MATCH('Suc. Santiago 2'!$F$1,RAIZ!$A$2:$X$2,0),FALSE),0)</f>
        <v>8</v>
      </c>
      <c r="D116" s="20">
        <v>2</v>
      </c>
      <c r="E116" s="5"/>
      <c r="F116" s="5">
        <f t="shared" si="22"/>
        <v>0</v>
      </c>
      <c r="G116" s="5"/>
    </row>
    <row r="117" spans="1:9" ht="18.75" customHeight="1" thickBot="1" x14ac:dyDescent="0.4">
      <c r="A117" s="110" t="s">
        <v>86</v>
      </c>
      <c r="B117" s="111"/>
      <c r="C117" s="83">
        <f>C79+C91+C105+C113</f>
        <v>234</v>
      </c>
      <c r="D117" s="60">
        <f>D79+D91+D105+D113</f>
        <v>255</v>
      </c>
      <c r="E117" s="60">
        <f>E79+E91+E105+E113</f>
        <v>15</v>
      </c>
      <c r="F117" s="74">
        <f>F79+F91+F105+F113</f>
        <v>50</v>
      </c>
      <c r="G117" s="60">
        <f>G79+G91+G105+G113</f>
        <v>0</v>
      </c>
      <c r="I117" s="84"/>
    </row>
    <row r="118" spans="1:9" ht="18.75" customHeight="1" x14ac:dyDescent="0.35">
      <c r="A118" s="95" t="s">
        <v>975</v>
      </c>
      <c r="B118" s="112" t="s">
        <v>976</v>
      </c>
      <c r="C118" s="5">
        <f>+IFERROR(VLOOKUP($A118,RAIZ!$A$3:$X$1500,MATCH('Suc. Santiago 2'!$F$1,RAIZ!$A$2:$X$2,0),FALSE),0)</f>
        <v>5</v>
      </c>
      <c r="D118" s="20">
        <v>3</v>
      </c>
      <c r="E118" s="5"/>
      <c r="F118" s="5">
        <f>IF(D118-C118&gt;=0,D118-C118,0)</f>
        <v>0</v>
      </c>
      <c r="G118" s="5"/>
    </row>
    <row r="119" spans="1:9" ht="18.75" customHeight="1" x14ac:dyDescent="0.35">
      <c r="A119" s="95" t="s">
        <v>974</v>
      </c>
      <c r="B119" s="112" t="s">
        <v>977</v>
      </c>
      <c r="C119" s="5">
        <f>+IFERROR(VLOOKUP($A119,RAIZ!$A$3:$X$1500,MATCH('Suc. Santiago 2'!$F$1,RAIZ!$A$2:$X$2,0),FALSE),0)</f>
        <v>3</v>
      </c>
      <c r="D119" s="20">
        <v>3</v>
      </c>
      <c r="E119" s="5"/>
      <c r="F119" s="5">
        <f t="shared" si="22"/>
        <v>0</v>
      </c>
      <c r="G119" s="5"/>
    </row>
    <row r="120" spans="1:9" ht="18.75" customHeight="1" thickBot="1" x14ac:dyDescent="0.4">
      <c r="A120" s="95" t="s">
        <v>1077</v>
      </c>
      <c r="B120" s="112" t="s">
        <v>817</v>
      </c>
      <c r="C120" s="5">
        <f>+IFERROR(VLOOKUP($A120,RAIZ!$A$3:$X$1500,MATCH('Suc. Santiago 2'!$F$1,RAIZ!$A$2:$X$2,0),FALSE),0)</f>
        <v>0</v>
      </c>
      <c r="D120" s="20"/>
      <c r="E120" s="5"/>
      <c r="F120" s="5">
        <f t="shared" si="22"/>
        <v>0</v>
      </c>
      <c r="G120" s="5"/>
    </row>
    <row r="121" spans="1:9" ht="18.75" customHeight="1" thickBot="1" x14ac:dyDescent="0.4">
      <c r="A121" s="95" t="s">
        <v>1076</v>
      </c>
      <c r="B121" s="194" t="s">
        <v>1121</v>
      </c>
      <c r="C121" s="5">
        <f>+IFERROR(VLOOKUP($A121,RAIZ!$A$3:$X$1500,MATCH('Suc. Santiago 2'!$F$1,RAIZ!$A$2:$X$2,0),FALSE),0)</f>
        <v>0</v>
      </c>
      <c r="D121" s="20"/>
      <c r="E121" s="5"/>
      <c r="F121" s="5">
        <f t="shared" si="22"/>
        <v>0</v>
      </c>
      <c r="G121" s="5"/>
    </row>
    <row r="122" spans="1:9" ht="18.75" customHeight="1" thickBot="1" x14ac:dyDescent="0.4">
      <c r="A122" s="95" t="s">
        <v>1014</v>
      </c>
      <c r="B122" s="194" t="s">
        <v>1010</v>
      </c>
      <c r="C122" s="5">
        <f>+IFERROR(VLOOKUP($A122,RAIZ!$A$3:$X$1500,MATCH('Suc. Santiago 2'!$F$1,RAIZ!$A$2:$X$2,0),FALSE),0)</f>
        <v>10</v>
      </c>
      <c r="D122" s="20">
        <v>10</v>
      </c>
      <c r="E122" s="5"/>
      <c r="F122" s="5">
        <f t="shared" si="22"/>
        <v>0</v>
      </c>
      <c r="G122" s="5"/>
    </row>
    <row r="123" spans="1:9" ht="18.75" customHeight="1" thickBot="1" x14ac:dyDescent="0.4">
      <c r="A123" s="95" t="s">
        <v>1015</v>
      </c>
      <c r="B123" s="194" t="s">
        <v>1011</v>
      </c>
      <c r="C123" s="147">
        <f>+IFERROR(VLOOKUP($A123,RAIZ!$A$3:$X$1500,MATCH('Suc. Santiago 2'!$F$1,RAIZ!$A$2:$X$2,0),FALSE),0)</f>
        <v>1</v>
      </c>
      <c r="D123" s="20">
        <v>0</v>
      </c>
      <c r="E123" s="5"/>
      <c r="F123" s="5">
        <f t="shared" si="22"/>
        <v>0</v>
      </c>
      <c r="G123" s="5"/>
    </row>
    <row r="124" spans="1:9" ht="18.75" customHeight="1" thickBot="1" x14ac:dyDescent="0.4">
      <c r="A124" s="95" t="s">
        <v>1016</v>
      </c>
      <c r="B124" s="194" t="s">
        <v>1012</v>
      </c>
      <c r="C124" s="147">
        <f>+IFERROR(VLOOKUP($A124,RAIZ!$A$3:$X$1500,MATCH('Suc. Santiago 2'!$F$1,RAIZ!$A$2:$X$2,0),FALSE),0)</f>
        <v>12</v>
      </c>
      <c r="D124" s="20">
        <v>5</v>
      </c>
      <c r="E124" s="5"/>
      <c r="F124" s="5">
        <f t="shared" si="22"/>
        <v>0</v>
      </c>
      <c r="G124" s="5"/>
    </row>
    <row r="125" spans="1:9" ht="18.75" customHeight="1" thickBot="1" x14ac:dyDescent="0.4">
      <c r="A125" s="95" t="s">
        <v>1017</v>
      </c>
      <c r="B125" s="194" t="s">
        <v>1013</v>
      </c>
      <c r="C125" s="147">
        <f>+IFERROR(VLOOKUP($A125,RAIZ!$A$3:$X$1500,MATCH('Suc. Santiago 2'!$F$1,RAIZ!$A$2:$X$2,0),FALSE),0)</f>
        <v>10</v>
      </c>
      <c r="D125" s="18">
        <v>10</v>
      </c>
      <c r="E125" s="5"/>
      <c r="F125" s="5">
        <f t="shared" si="22"/>
        <v>0</v>
      </c>
      <c r="G125" s="5"/>
    </row>
    <row r="126" spans="1:9" ht="18.75" customHeight="1" thickBot="1" x14ac:dyDescent="0.4">
      <c r="A126" s="95" t="s">
        <v>1125</v>
      </c>
      <c r="B126" s="194" t="s">
        <v>1127</v>
      </c>
      <c r="C126" s="147">
        <f>+IFERROR(VLOOKUP($A126,RAIZ!$A$3:$X$1500,MATCH('Suc. Santiago 2'!$F$1,RAIZ!$A$2:$X$2,0),FALSE),0)</f>
        <v>0</v>
      </c>
      <c r="D126" s="20"/>
      <c r="E126" s="5"/>
      <c r="F126" s="5">
        <f t="shared" si="22"/>
        <v>0</v>
      </c>
      <c r="G126" s="5"/>
    </row>
    <row r="127" spans="1:9" ht="18.75" customHeight="1" thickBot="1" x14ac:dyDescent="0.4">
      <c r="A127" s="95" t="s">
        <v>1126</v>
      </c>
      <c r="B127" s="194" t="s">
        <v>1128</v>
      </c>
      <c r="C127" s="147">
        <f>+IFERROR(VLOOKUP($A127,RAIZ!$A$3:$X$1500,MATCH('Suc. Santiago 2'!$F$1,RAIZ!$A$2:$X$2,0),FALSE),0)</f>
        <v>0</v>
      </c>
      <c r="D127" s="18"/>
      <c r="E127" s="184"/>
      <c r="F127" s="184">
        <f t="shared" si="22"/>
        <v>0</v>
      </c>
      <c r="G127" s="181"/>
    </row>
    <row r="128" spans="1:9" ht="18.75" customHeight="1" thickBot="1" x14ac:dyDescent="0.4">
      <c r="A128" s="95" t="s">
        <v>568</v>
      </c>
      <c r="B128" s="194" t="s">
        <v>1131</v>
      </c>
      <c r="C128" s="186">
        <f>+IFERROR(VLOOKUP($A128,RAIZ!$A$3:$X$1500,MATCH('Suc. Santiago 2'!$F$1,RAIZ!$A$2:$X$2,0),FALSE),0)</f>
        <v>3</v>
      </c>
      <c r="D128" s="18">
        <v>3</v>
      </c>
      <c r="E128" s="185"/>
      <c r="F128" s="185">
        <f t="shared" si="22"/>
        <v>0</v>
      </c>
      <c r="G128" s="185"/>
    </row>
    <row r="129" spans="1:7" ht="18.75" customHeight="1" thickBot="1" x14ac:dyDescent="0.4">
      <c r="A129" s="95" t="s">
        <v>565</v>
      </c>
      <c r="B129" s="194" t="s">
        <v>1142</v>
      </c>
      <c r="C129" s="187">
        <f>+IFERROR(VLOOKUP($A129,RAIZ!$A$3:$X$1500,MATCH('Suc. Santiago 2'!$F$1,RAIZ!$A$2:$X$2,0),FALSE),0)</f>
        <v>1</v>
      </c>
      <c r="D129" s="18">
        <v>2</v>
      </c>
      <c r="E129" s="185"/>
      <c r="F129" s="185">
        <f t="shared" si="22"/>
        <v>1</v>
      </c>
      <c r="G129" s="185"/>
    </row>
    <row r="130" spans="1:7" ht="18.75" customHeight="1" thickBot="1" x14ac:dyDescent="0.4">
      <c r="A130" s="95" t="s">
        <v>912</v>
      </c>
      <c r="B130" s="194" t="s">
        <v>1136</v>
      </c>
      <c r="C130" s="187">
        <f>+IFERROR(VLOOKUP($A130,RAIZ!$A$3:$X$1500,MATCH('Suc. Santiago 2'!$F$1,RAIZ!$A$2:$X$2,0),FALSE),0)</f>
        <v>2</v>
      </c>
      <c r="D130" s="18">
        <v>2</v>
      </c>
      <c r="E130" s="185"/>
      <c r="F130" s="185">
        <f t="shared" si="22"/>
        <v>0</v>
      </c>
      <c r="G130" s="185"/>
    </row>
    <row r="131" spans="1:7" ht="18.75" customHeight="1" thickBot="1" x14ac:dyDescent="0.4">
      <c r="A131" s="95" t="s">
        <v>557</v>
      </c>
      <c r="B131" s="194" t="s">
        <v>1137</v>
      </c>
      <c r="C131" s="187">
        <f>+IFERROR(VLOOKUP($A131,RAIZ!$A$3:$X$1500,MATCH('Suc. Santiago 2'!$F$1,RAIZ!$A$2:$X$2,0),FALSE),0)</f>
        <v>0</v>
      </c>
      <c r="D131" s="18">
        <v>2</v>
      </c>
      <c r="E131" s="185"/>
      <c r="F131" s="185">
        <f t="shared" si="22"/>
        <v>2</v>
      </c>
      <c r="G131" s="185"/>
    </row>
    <row r="132" spans="1:7" ht="18.75" customHeight="1" thickBot="1" x14ac:dyDescent="0.4">
      <c r="A132" s="95" t="s">
        <v>573</v>
      </c>
      <c r="B132" s="194" t="s">
        <v>1138</v>
      </c>
      <c r="C132" s="187">
        <f>+IFERROR(VLOOKUP($A132,RAIZ!$A$3:$X$1500,MATCH('Suc. Santiago 2'!$F$1,RAIZ!$A$2:$X$2,0),FALSE),0)</f>
        <v>1</v>
      </c>
      <c r="D132" s="18">
        <v>1</v>
      </c>
      <c r="E132" s="185"/>
      <c r="F132" s="185">
        <f t="shared" si="22"/>
        <v>0</v>
      </c>
      <c r="G132" s="185"/>
    </row>
    <row r="133" spans="1:7" ht="18.75" customHeight="1" thickBot="1" x14ac:dyDescent="0.4">
      <c r="A133" s="95" t="s">
        <v>421</v>
      </c>
      <c r="B133" s="194" t="s">
        <v>1140</v>
      </c>
      <c r="C133" s="187">
        <f>+IFERROR(VLOOKUP($A133,RAIZ!$A$3:$X$1500,MATCH('Suc. Santiago 2'!$F$1,RAIZ!$A$2:$X$2,0),FALSE),0)</f>
        <v>2</v>
      </c>
      <c r="D133" s="18">
        <v>2</v>
      </c>
      <c r="E133" s="185"/>
      <c r="F133" s="185">
        <f t="shared" si="22"/>
        <v>0</v>
      </c>
      <c r="G133" s="185"/>
    </row>
    <row r="134" spans="1:7" ht="18.75" customHeight="1" thickBot="1" x14ac:dyDescent="0.4">
      <c r="A134" s="95" t="s">
        <v>249</v>
      </c>
      <c r="B134" s="194" t="s">
        <v>1134</v>
      </c>
      <c r="C134" s="187">
        <f>+IFERROR(VLOOKUP($A134,RAIZ!$A$3:$X$1500,MATCH('Suc. Santiago 2'!$F$1,RAIZ!$A$2:$X$2,0),FALSE),0)</f>
        <v>0</v>
      </c>
      <c r="D134" s="18">
        <v>2</v>
      </c>
      <c r="E134" s="185"/>
      <c r="F134" s="185">
        <f t="shared" si="22"/>
        <v>2</v>
      </c>
      <c r="G134" s="185"/>
    </row>
    <row r="135" spans="1:7" ht="18.75" customHeight="1" thickBot="1" x14ac:dyDescent="0.4">
      <c r="A135" s="95" t="s">
        <v>1030</v>
      </c>
      <c r="B135" s="194" t="s">
        <v>1143</v>
      </c>
      <c r="C135" s="187">
        <f>+IFERROR(VLOOKUP($A135,RAIZ!$A$3:$X$1500,MATCH('Suc. Santiago 2'!$F$1,RAIZ!$A$2:$X$2,0),FALSE),0)</f>
        <v>0</v>
      </c>
      <c r="D135" s="18">
        <v>6</v>
      </c>
      <c r="E135" s="185"/>
      <c r="F135" s="185">
        <f t="shared" si="22"/>
        <v>6</v>
      </c>
      <c r="G135" s="185"/>
    </row>
    <row r="136" spans="1:7" ht="18.75" customHeight="1" thickBot="1" x14ac:dyDescent="0.4">
      <c r="A136" s="95" t="s">
        <v>253</v>
      </c>
      <c r="B136" s="194" t="s">
        <v>1135</v>
      </c>
      <c r="C136" s="187">
        <f>+IFERROR(VLOOKUP($A136,RAIZ!$A$3:$X$1500,MATCH('Suc. Santiago 2'!$F$1,RAIZ!$A$2:$X$2,0),FALSE),0)</f>
        <v>4</v>
      </c>
      <c r="D136" s="18">
        <v>2</v>
      </c>
      <c r="E136" s="185"/>
      <c r="F136" s="185">
        <f t="shared" si="22"/>
        <v>0</v>
      </c>
      <c r="G136" s="185"/>
    </row>
    <row r="137" spans="1:7" ht="18.75" customHeight="1" thickBot="1" x14ac:dyDescent="0.4">
      <c r="A137" s="95" t="s">
        <v>240</v>
      </c>
      <c r="B137" s="194" t="s">
        <v>1139</v>
      </c>
      <c r="C137" s="187">
        <f>+IFERROR(VLOOKUP($A137,RAIZ!$A$3:$X$1500,MATCH('Suc. Santiago 2'!$F$1,RAIZ!$A$2:$X$2,0),FALSE),0)</f>
        <v>0</v>
      </c>
      <c r="D137" s="18">
        <v>0</v>
      </c>
      <c r="E137" s="185"/>
      <c r="F137" s="185">
        <f t="shared" si="22"/>
        <v>0</v>
      </c>
      <c r="G137" s="185"/>
    </row>
    <row r="138" spans="1:7" ht="18.75" customHeight="1" thickBot="1" x14ac:dyDescent="0.4">
      <c r="A138" s="95" t="s">
        <v>204</v>
      </c>
      <c r="B138" s="194" t="s">
        <v>1106</v>
      </c>
      <c r="C138" s="187">
        <f>+IFERROR(VLOOKUP($A138,RAIZ!$A$3:$X$1500,MATCH('Suc. Santiago 2'!$F$1,RAIZ!$A$2:$X$2,0),FALSE),0)</f>
        <v>0</v>
      </c>
      <c r="D138" s="18">
        <v>0</v>
      </c>
      <c r="E138" s="185"/>
      <c r="F138" s="185">
        <f t="shared" si="22"/>
        <v>0</v>
      </c>
      <c r="G138" s="185"/>
    </row>
    <row r="139" spans="1:7" ht="18.75" customHeight="1" thickBot="1" x14ac:dyDescent="0.4">
      <c r="A139" s="95" t="s">
        <v>1132</v>
      </c>
      <c r="B139" s="194" t="s">
        <v>1141</v>
      </c>
      <c r="C139" s="187">
        <f>+IFERROR(VLOOKUP($A139,RAIZ!$A$3:$X$1500,MATCH('Suc. Santiago 2'!$F$1,RAIZ!$A$2:$X$2,0),FALSE),0)</f>
        <v>0</v>
      </c>
      <c r="D139" s="18">
        <v>1</v>
      </c>
      <c r="E139" s="185"/>
      <c r="F139" s="185">
        <f t="shared" si="22"/>
        <v>1</v>
      </c>
      <c r="G139" s="185"/>
    </row>
    <row r="140" spans="1:7" ht="18.75" customHeight="1" thickBot="1" x14ac:dyDescent="0.4">
      <c r="A140" s="95" t="s">
        <v>914</v>
      </c>
      <c r="B140" s="194" t="s">
        <v>1133</v>
      </c>
      <c r="C140" s="187">
        <f>+IFERROR(VLOOKUP($A140,RAIZ!$A$3:$X$1500,MATCH('Suc. Santiago 2'!$F$1,RAIZ!$A$2:$X$2,0),FALSE),0)</f>
        <v>0</v>
      </c>
      <c r="D140" s="18">
        <v>1</v>
      </c>
      <c r="E140" s="185"/>
      <c r="F140" s="185">
        <f t="shared" si="22"/>
        <v>1</v>
      </c>
      <c r="G140" s="185"/>
    </row>
    <row r="141" spans="1:7" ht="18.75" customHeight="1" thickBot="1" x14ac:dyDescent="0.4">
      <c r="A141" s="243" t="s">
        <v>1120</v>
      </c>
      <c r="B141" s="194" t="s">
        <v>1159</v>
      </c>
      <c r="C141" s="187">
        <f>+IFERROR(VLOOKUP($A141,RAIZ!$A$3:$X$1500,MATCH('Suc. Santiago 2'!$F$1,RAIZ!$A$2:$X$2,0),FALSE),0)</f>
        <v>0</v>
      </c>
      <c r="D141" s="18"/>
      <c r="E141" s="185"/>
      <c r="F141" s="185">
        <f t="shared" si="22"/>
        <v>0</v>
      </c>
      <c r="G141" s="185"/>
    </row>
    <row r="142" spans="1:7" ht="18.75" customHeight="1" thickBot="1" x14ac:dyDescent="0.4">
      <c r="A142" s="95"/>
      <c r="B142" s="194"/>
      <c r="C142" s="187">
        <f>+IFERROR(VLOOKUP($A142,RAIZ!$A$3:$X$1500,MATCH('Suc. Santiago 2'!$F$1,RAIZ!$A$2:$X$2,0),FALSE),0)</f>
        <v>0</v>
      </c>
      <c r="D142" s="18"/>
      <c r="E142" s="185"/>
      <c r="F142" s="185"/>
      <c r="G142" s="185"/>
    </row>
    <row r="143" spans="1:7" ht="18.75" customHeight="1" thickBot="1" x14ac:dyDescent="0.4">
      <c r="A143" s="95"/>
      <c r="B143" s="193"/>
      <c r="C143" s="187">
        <f>+IFERROR(VLOOKUP($A143,RAIZ!$A$3:$X$1500,MATCH('Suc. Santiago 2'!$F$1,RAIZ!$A$2:$X$2,0),FALSE),0)</f>
        <v>0</v>
      </c>
      <c r="D143" s="18"/>
      <c r="E143" s="185"/>
      <c r="F143" s="185"/>
      <c r="G143" s="185"/>
    </row>
    <row r="144" spans="1:7" ht="18.75" customHeight="1" thickBot="1" x14ac:dyDescent="0.4">
      <c r="A144" s="95"/>
      <c r="B144" s="194"/>
      <c r="C144" s="187">
        <f>+IFERROR(VLOOKUP($A144,RAIZ!$A$3:$X$1500,MATCH('Suc. Santiago 2'!$F$1,RAIZ!$A$2:$X$2,0),FALSE),0)</f>
        <v>0</v>
      </c>
      <c r="D144" s="18"/>
      <c r="E144" s="185"/>
      <c r="F144" s="185"/>
      <c r="G144" s="185"/>
    </row>
    <row r="145" spans="1:7" ht="18.75" customHeight="1" thickBot="1" x14ac:dyDescent="0.4">
      <c r="A145" s="95"/>
      <c r="B145" s="192"/>
      <c r="C145" s="187">
        <f>+IFERROR(VLOOKUP($A145,RAIZ!$A$3:$X$1500,MATCH('Suc. Santiago 2'!$F$1,RAIZ!$A$2:$X$2,0),FALSE),0)</f>
        <v>0</v>
      </c>
      <c r="D145" s="18"/>
      <c r="E145" s="185"/>
      <c r="F145" s="185"/>
      <c r="G145" s="185"/>
    </row>
    <row r="146" spans="1:7" ht="18.75" customHeight="1" thickBot="1" x14ac:dyDescent="0.4">
      <c r="A146" s="95"/>
      <c r="B146" s="194"/>
      <c r="C146" s="187">
        <f>+IFERROR(VLOOKUP($A146,RAIZ!$A$3:$X$1500,MATCH('Suc. Santiago 2'!$F$1,RAIZ!$A$2:$X$2,0),FALSE),0)</f>
        <v>0</v>
      </c>
      <c r="D146" s="18"/>
      <c r="E146" s="185"/>
      <c r="F146" s="185"/>
      <c r="G146" s="185"/>
    </row>
    <row r="147" spans="1:7" ht="18.75" customHeight="1" thickBot="1" x14ac:dyDescent="0.4">
      <c r="A147" s="95"/>
      <c r="B147" s="193"/>
      <c r="C147" s="187">
        <f>+IFERROR(VLOOKUP($A147,RAIZ!$A$3:$X$1500,MATCH('Suc. Santiago 2'!$F$1,RAIZ!$A$2:$X$2,0),FALSE),0)</f>
        <v>0</v>
      </c>
      <c r="D147" s="14"/>
      <c r="E147" s="185"/>
      <c r="F147" s="185"/>
      <c r="G147" s="185"/>
    </row>
    <row r="148" spans="1:7" ht="18.75" customHeight="1" thickBot="1" x14ac:dyDescent="0.4">
      <c r="A148" s="95"/>
      <c r="B148" s="193"/>
      <c r="C148" s="188">
        <f>+IFERROR(VLOOKUP($A148,RAIZ!$A$3:$X$1500,MATCH('Suc. Santiago 2'!$F$1,RAIZ!$A$2:$X$2,0),FALSE),0)</f>
        <v>0</v>
      </c>
      <c r="D148" s="14"/>
      <c r="E148" s="185"/>
      <c r="F148" s="185"/>
      <c r="G148" s="185"/>
    </row>
    <row r="149" spans="1:7" ht="18.75" customHeight="1" thickBot="1" x14ac:dyDescent="0.4">
      <c r="A149" s="173"/>
      <c r="B149" s="109"/>
      <c r="C149" s="182">
        <f>SUM(C118:C127,)</f>
        <v>41</v>
      </c>
      <c r="D149" s="182">
        <f>SUM(D118:D127,)</f>
        <v>31</v>
      </c>
      <c r="E149" s="182">
        <f>SUM(E118:E127,)</f>
        <v>0</v>
      </c>
      <c r="F149" s="182">
        <f>SUM(F118:F127,)</f>
        <v>0</v>
      </c>
      <c r="G149" s="182">
        <f>SUM(G118:G148,)</f>
        <v>0</v>
      </c>
    </row>
    <row r="150" spans="1:7" ht="18.75" customHeight="1" thickBot="1" x14ac:dyDescent="0.4">
      <c r="A150" s="110" t="s">
        <v>86</v>
      </c>
      <c r="B150" s="111"/>
      <c r="C150" s="83">
        <f>C149+C117</f>
        <v>275</v>
      </c>
      <c r="D150" s="83">
        <f>D149+D117</f>
        <v>286</v>
      </c>
      <c r="E150" s="83">
        <f>E149+E117</f>
        <v>15</v>
      </c>
      <c r="F150" s="83">
        <f>F149+F117</f>
        <v>50</v>
      </c>
      <c r="G150" s="83">
        <f>G149+G117</f>
        <v>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E821FA0-FCAB-4B7B-96E3-B18CE01D1AFC}">
          <x14:formula1>
            <xm:f>Hoja1!$C$2:$C$9</xm:f>
          </x14:formula1>
          <xm:sqref>H2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B742C-D01D-4981-90AB-B843F0F5CD08}">
  <sheetPr codeName="Hoja12">
    <tabColor rgb="FF003300"/>
  </sheetPr>
  <dimension ref="A1:M150"/>
  <sheetViews>
    <sheetView zoomScale="80" zoomScaleNormal="80" workbookViewId="0">
      <pane xSplit="2" ySplit="2" topLeftCell="C124" activePane="bottomRight" state="frozen"/>
      <selection activeCell="I134" sqref="I134"/>
      <selection pane="topRight" activeCell="I134" sqref="I134"/>
      <selection pane="bottomLeft" activeCell="I134" sqref="I134"/>
      <selection pane="bottomRight" activeCell="I134" sqref="I134"/>
    </sheetView>
  </sheetViews>
  <sheetFormatPr baseColWidth="10" defaultRowHeight="18" x14ac:dyDescent="0.35"/>
  <cols>
    <col min="1" max="1" width="55.6640625" customWidth="1"/>
    <col min="2" max="2" width="7.88671875" style="91" bestFit="1" customWidth="1"/>
    <col min="3" max="3" width="14" bestFit="1" customWidth="1"/>
    <col min="4" max="5" width="15" style="84" customWidth="1"/>
    <col min="6" max="6" width="14.5546875" customWidth="1"/>
  </cols>
  <sheetData>
    <row r="1" spans="1:13" ht="18.600000000000001" thickBot="1" x14ac:dyDescent="0.4">
      <c r="A1" s="1">
        <f>RAIZ!B1</f>
        <v>46301</v>
      </c>
      <c r="C1" s="2"/>
      <c r="D1" s="2" t="s">
        <v>702</v>
      </c>
      <c r="E1" s="2"/>
      <c r="F1" s="2" t="s">
        <v>98</v>
      </c>
      <c r="H1" t="s">
        <v>746</v>
      </c>
    </row>
    <row r="2" spans="1:13" ht="31.8" thickBot="1" x14ac:dyDescent="0.35">
      <c r="A2" s="90" t="s">
        <v>0</v>
      </c>
      <c r="B2" s="92" t="s">
        <v>755</v>
      </c>
      <c r="C2" s="39" t="s">
        <v>703</v>
      </c>
      <c r="D2" s="40" t="s">
        <v>704</v>
      </c>
      <c r="E2" s="88" t="s">
        <v>726</v>
      </c>
      <c r="F2" s="41" t="s">
        <v>705</v>
      </c>
      <c r="G2" s="62" t="s">
        <v>725</v>
      </c>
      <c r="H2" s="87" t="s">
        <v>733</v>
      </c>
    </row>
    <row r="3" spans="1:13" ht="18.75" customHeight="1" x14ac:dyDescent="0.35">
      <c r="A3" s="93" t="s">
        <v>1</v>
      </c>
      <c r="B3" s="112" t="s">
        <v>756</v>
      </c>
      <c r="C3" s="5">
        <f>+IFERROR(VLOOKUP($A3,RAIZ!$A$3:$X$1500,MATCH('Suc. Ruiz'!$F$1,RAIZ!$A$2:$X$2,0),FALSE),0)</f>
        <v>1</v>
      </c>
      <c r="D3" s="4">
        <v>2</v>
      </c>
      <c r="E3" s="5"/>
      <c r="F3" s="5">
        <f>IF(D3-C3&gt;=0,D3-C3,0)</f>
        <v>1</v>
      </c>
      <c r="G3" s="5"/>
      <c r="I3" s="84"/>
      <c r="J3" s="85"/>
      <c r="K3" s="85"/>
      <c r="L3" s="85"/>
      <c r="M3" s="85"/>
    </row>
    <row r="4" spans="1:13" ht="18.75" customHeight="1" x14ac:dyDescent="0.35">
      <c r="A4" s="93" t="s">
        <v>2</v>
      </c>
      <c r="B4" s="112" t="s">
        <v>865</v>
      </c>
      <c r="C4" s="5">
        <f>+IFERROR(VLOOKUP($A4,RAIZ!$A$3:$X$1500,MATCH('Suc. Ruiz'!$F$1,RAIZ!$A$2:$X$2,0),FALSE),0)</f>
        <v>0</v>
      </c>
      <c r="D4" s="4">
        <v>3</v>
      </c>
      <c r="E4" s="5"/>
      <c r="F4" s="5">
        <f>IF(D4-C4&gt;=0,D4-C4,0)</f>
        <v>3</v>
      </c>
      <c r="G4" s="5"/>
      <c r="I4" s="84"/>
      <c r="J4" s="85"/>
      <c r="K4" s="85"/>
      <c r="L4" s="85"/>
      <c r="M4" s="85"/>
    </row>
    <row r="5" spans="1:13" ht="18.75" customHeight="1" x14ac:dyDescent="0.35">
      <c r="A5" s="93" t="s">
        <v>3</v>
      </c>
      <c r="B5" s="112" t="s">
        <v>757</v>
      </c>
      <c r="C5" s="5">
        <f>+IFERROR(VLOOKUP($A5,RAIZ!$A$3:$X$1500,MATCH('Suc. Ruiz'!$F$1,RAIZ!$A$2:$X$2,0),FALSE),0)</f>
        <v>0</v>
      </c>
      <c r="D5" s="7">
        <v>3</v>
      </c>
      <c r="E5" s="5"/>
      <c r="F5" s="5">
        <f t="shared" ref="F5:F10" si="0">IF(D5-C5&gt;=0,D5-C5,0)</f>
        <v>3</v>
      </c>
      <c r="G5" s="5"/>
      <c r="I5" s="84"/>
      <c r="J5" s="86"/>
      <c r="K5" s="85"/>
      <c r="L5" s="86"/>
      <c r="M5" s="85"/>
    </row>
    <row r="6" spans="1:13" ht="18.75" customHeight="1" x14ac:dyDescent="0.35">
      <c r="A6" s="93" t="s">
        <v>4</v>
      </c>
      <c r="B6" s="112" t="s">
        <v>758</v>
      </c>
      <c r="C6" s="5">
        <f>+IFERROR(VLOOKUP($A6,RAIZ!$A$3:$X$1500,MATCH('Suc. Ruiz'!$F$1,RAIZ!$A$2:$X$2,0),FALSE),0)</f>
        <v>2</v>
      </c>
      <c r="D6" s="7">
        <v>4</v>
      </c>
      <c r="E6" s="5"/>
      <c r="F6" s="5">
        <f t="shared" si="0"/>
        <v>2</v>
      </c>
      <c r="G6" s="5"/>
      <c r="I6" s="84"/>
      <c r="J6" s="86"/>
      <c r="K6" s="85"/>
      <c r="L6" s="86"/>
      <c r="M6" s="85"/>
    </row>
    <row r="7" spans="1:13" ht="18.75" customHeight="1" x14ac:dyDescent="0.35">
      <c r="A7" s="93" t="s">
        <v>5</v>
      </c>
      <c r="B7" s="112" t="s">
        <v>759</v>
      </c>
      <c r="C7" s="5">
        <f>+IFERROR(VLOOKUP($A7,RAIZ!$A$3:$X$1500,MATCH('Suc. Ruiz'!$F$1,RAIZ!$A$2:$X$2,0),FALSE),0)</f>
        <v>1</v>
      </c>
      <c r="D7" s="7">
        <v>4</v>
      </c>
      <c r="E7" s="5"/>
      <c r="F7" s="5">
        <f t="shared" si="0"/>
        <v>3</v>
      </c>
      <c r="G7" s="5"/>
      <c r="I7" s="84"/>
      <c r="J7" s="86"/>
      <c r="K7" s="85"/>
      <c r="L7" s="86"/>
      <c r="M7" s="85"/>
    </row>
    <row r="8" spans="1:13" ht="18.75" customHeight="1" x14ac:dyDescent="0.35">
      <c r="A8" s="93" t="s">
        <v>6</v>
      </c>
      <c r="B8" s="112" t="s">
        <v>760</v>
      </c>
      <c r="C8" s="5">
        <f>+IFERROR(VLOOKUP($A8,RAIZ!$A$3:$X$1500,MATCH('Suc. Ruiz'!$F$1,RAIZ!$A$2:$X$2,0),FALSE),0)</f>
        <v>0</v>
      </c>
      <c r="D8" s="7">
        <v>4</v>
      </c>
      <c r="E8" s="5"/>
      <c r="F8" s="5">
        <f t="shared" si="0"/>
        <v>4</v>
      </c>
      <c r="G8" s="5"/>
      <c r="I8" s="84"/>
      <c r="J8" s="86"/>
      <c r="K8" s="85"/>
      <c r="L8" s="86"/>
      <c r="M8" s="85"/>
    </row>
    <row r="9" spans="1:13" ht="18.75" customHeight="1" x14ac:dyDescent="0.35">
      <c r="A9" s="93" t="s">
        <v>7</v>
      </c>
      <c r="B9" s="112" t="s">
        <v>761</v>
      </c>
      <c r="C9" s="5">
        <f>+IFERROR(VLOOKUP($A9,RAIZ!$A$3:$X$1500,MATCH('Suc. Ruiz'!$F$1,RAIZ!$A$2:$X$2,0),FALSE),0)</f>
        <v>0</v>
      </c>
      <c r="D9" s="7">
        <v>3</v>
      </c>
      <c r="E9" s="5"/>
      <c r="F9" s="5">
        <f t="shared" si="0"/>
        <v>3</v>
      </c>
      <c r="G9" s="5"/>
      <c r="I9" s="84"/>
      <c r="J9" s="86"/>
      <c r="K9" s="85"/>
      <c r="L9" s="86"/>
      <c r="M9" s="85"/>
    </row>
    <row r="10" spans="1:13" ht="18.75" customHeight="1" x14ac:dyDescent="0.35">
      <c r="A10" s="93" t="s">
        <v>8</v>
      </c>
      <c r="B10" s="112" t="s">
        <v>762</v>
      </c>
      <c r="C10" s="5">
        <f>+IFERROR(VLOOKUP($A10,RAIZ!$A$3:$X$1500,MATCH('Suc. Ruiz'!$F$1,RAIZ!$A$2:$X$2,0),FALSE),0)</f>
        <v>1</v>
      </c>
      <c r="D10" s="7">
        <v>3</v>
      </c>
      <c r="E10" s="5"/>
      <c r="F10" s="5">
        <f t="shared" si="0"/>
        <v>2</v>
      </c>
      <c r="G10" s="5"/>
      <c r="I10" s="84"/>
      <c r="J10" s="86"/>
      <c r="K10" s="85"/>
      <c r="L10" s="86"/>
      <c r="M10" s="85"/>
    </row>
    <row r="11" spans="1:13" ht="18.75" customHeight="1" x14ac:dyDescent="0.35">
      <c r="A11" s="93" t="s">
        <v>9</v>
      </c>
      <c r="B11" s="112" t="s">
        <v>763</v>
      </c>
      <c r="C11" s="5">
        <f>+IFERROR(VLOOKUP($A11,RAIZ!$A$3:$X$1500,MATCH('Suc. Ruiz'!$F$1,RAIZ!$A$2:$X$2,0),FALSE),0)</f>
        <v>1</v>
      </c>
      <c r="D11" s="9">
        <v>2</v>
      </c>
      <c r="E11" s="5"/>
      <c r="F11" s="5">
        <f t="shared" ref="F11:F12" si="1">IF(D11-C11&gt;=0,D11-C11,0)</f>
        <v>1</v>
      </c>
      <c r="G11" s="5"/>
      <c r="I11" s="84"/>
      <c r="J11" s="86"/>
      <c r="K11" s="85"/>
      <c r="L11" s="86"/>
      <c r="M11" s="85"/>
    </row>
    <row r="12" spans="1:13" ht="18.75" customHeight="1" x14ac:dyDescent="0.35">
      <c r="A12" s="93"/>
      <c r="B12" s="112"/>
      <c r="C12" s="5">
        <f>+IFERROR(VLOOKUP($A12,RAIZ!$A$3:$X$1500,MATCH('Suc. Ruiz'!$F$1,RAIZ!$A$2:$X$2,0),FALSE),0)</f>
        <v>0</v>
      </c>
      <c r="D12" s="20"/>
      <c r="E12" s="5"/>
      <c r="F12" s="5">
        <f t="shared" si="1"/>
        <v>0</v>
      </c>
      <c r="G12" s="5"/>
    </row>
    <row r="13" spans="1:13" ht="18.75" customHeight="1" x14ac:dyDescent="0.35">
      <c r="A13" s="93"/>
      <c r="B13" s="112"/>
      <c r="C13" s="5">
        <f>+IFERROR(VLOOKUP($A13,RAIZ!$A$3:$X$1500,MATCH('Suc. Ruiz'!$F$1,RAIZ!$A$2:$X$2,0),FALSE),0)</f>
        <v>0</v>
      </c>
      <c r="D13" s="20"/>
      <c r="E13" s="5"/>
      <c r="F13" s="5">
        <f t="shared" ref="F13:F17" si="2">IF(D13-C13&gt;=0,D13-C13,0)</f>
        <v>0</v>
      </c>
      <c r="G13" s="5"/>
    </row>
    <row r="14" spans="1:13" ht="18.75" customHeight="1" x14ac:dyDescent="0.35">
      <c r="A14" s="93"/>
      <c r="B14" s="112"/>
      <c r="C14" s="5">
        <f>+IFERROR(VLOOKUP($A14,RAIZ!$A$3:$X$1500,MATCH('Suc. Ruiz'!$F$1,RAIZ!$A$2:$X$2,0),FALSE),0)</f>
        <v>0</v>
      </c>
      <c r="D14" s="20"/>
      <c r="E14" s="5"/>
      <c r="F14" s="5">
        <f>IF(D14-C14&gt;=0,D14-C14,0)</f>
        <v>0</v>
      </c>
      <c r="G14" s="5"/>
    </row>
    <row r="15" spans="1:13" ht="18.75" customHeight="1" x14ac:dyDescent="0.35">
      <c r="A15" s="93"/>
      <c r="B15" s="112"/>
      <c r="C15" s="5">
        <f>+IFERROR(VLOOKUP($A15,RAIZ!$A$3:$X$1500,MATCH('Suc. Ruiz'!$F$1,RAIZ!$A$2:$X$2,0),FALSE),0)</f>
        <v>0</v>
      </c>
      <c r="D15" s="9"/>
      <c r="E15" s="5"/>
      <c r="F15" s="5">
        <f t="shared" si="2"/>
        <v>0</v>
      </c>
      <c r="G15" s="5"/>
      <c r="I15" s="84"/>
      <c r="J15" s="86"/>
      <c r="K15" s="85"/>
      <c r="L15" s="86"/>
      <c r="M15" s="85"/>
    </row>
    <row r="16" spans="1:13" ht="18.75" customHeight="1" x14ac:dyDescent="0.35">
      <c r="A16" s="93"/>
      <c r="B16" s="112"/>
      <c r="C16" s="5">
        <f>+IFERROR(VLOOKUP($A16,RAIZ!$A$3:$X$1500,MATCH('Suc. Ruiz'!$F$1,RAIZ!$A$2:$X$2,0),FALSE),0)</f>
        <v>0</v>
      </c>
      <c r="D16" s="9"/>
      <c r="E16" s="5"/>
      <c r="F16" s="5">
        <f t="shared" si="2"/>
        <v>0</v>
      </c>
      <c r="G16" s="5"/>
      <c r="I16" s="84"/>
      <c r="J16" s="86"/>
      <c r="K16" s="85"/>
      <c r="L16" s="86"/>
      <c r="M16" s="85"/>
    </row>
    <row r="17" spans="1:13" ht="18.75" customHeight="1" thickBot="1" x14ac:dyDescent="0.4">
      <c r="A17" s="93"/>
      <c r="B17" s="112"/>
      <c r="C17" s="5">
        <f>+IFERROR(VLOOKUP($A17,RAIZ!$A$3:$X$1500,MATCH('Suc. Ruiz'!$F$1,RAIZ!$A$2:$X$2,0),FALSE),0)</f>
        <v>0</v>
      </c>
      <c r="D17" s="9"/>
      <c r="E17" s="5"/>
      <c r="F17" s="5">
        <f t="shared" si="2"/>
        <v>0</v>
      </c>
      <c r="G17" s="5"/>
      <c r="I17" s="84"/>
      <c r="J17" s="86"/>
      <c r="K17" s="85"/>
      <c r="L17" s="86"/>
      <c r="M17" s="85"/>
    </row>
    <row r="18" spans="1:13" ht="18.75" customHeight="1" thickBot="1" x14ac:dyDescent="0.4">
      <c r="A18" s="96" t="s">
        <v>10</v>
      </c>
      <c r="B18" s="111"/>
      <c r="C18" s="75">
        <f>SUM(C3:C17)</f>
        <v>6</v>
      </c>
      <c r="D18" s="44">
        <f>SUM(D3:D17)</f>
        <v>28</v>
      </c>
      <c r="E18" s="44">
        <f>SUM(E3:E17)</f>
        <v>0</v>
      </c>
      <c r="F18" s="63">
        <f>SUM(F3:F17)</f>
        <v>22</v>
      </c>
      <c r="G18" s="44">
        <f>SUM(G3:G17)</f>
        <v>0</v>
      </c>
      <c r="I18" s="84"/>
      <c r="J18" s="86"/>
      <c r="K18" s="85"/>
      <c r="L18" s="86"/>
      <c r="M18" s="85"/>
    </row>
    <row r="19" spans="1:13" ht="18.75" customHeight="1" x14ac:dyDescent="0.35">
      <c r="A19" s="97" t="s">
        <v>676</v>
      </c>
      <c r="B19" s="112" t="s">
        <v>764</v>
      </c>
      <c r="C19" s="5">
        <f>+IFERROR(VLOOKUP($A19,RAIZ!$A$3:$X$1500,MATCH('Suc. Ruiz'!$F$1,RAIZ!$A$2:$X$2,0),FALSE),0)</f>
        <v>1</v>
      </c>
      <c r="D19" s="12">
        <v>2</v>
      </c>
      <c r="E19" s="5"/>
      <c r="F19" s="5">
        <f t="shared" ref="F19:F21" si="3">IF(D19-C19&gt;=0,D19-C19,0)</f>
        <v>1</v>
      </c>
      <c r="G19" s="5"/>
      <c r="I19" s="84"/>
      <c r="J19" s="86"/>
      <c r="K19" s="85"/>
      <c r="L19" s="86"/>
      <c r="M19" s="85"/>
    </row>
    <row r="20" spans="1:13" ht="18.75" customHeight="1" x14ac:dyDescent="0.35">
      <c r="A20" s="97" t="s">
        <v>11</v>
      </c>
      <c r="B20" s="112" t="s">
        <v>827</v>
      </c>
      <c r="C20" s="5">
        <f>+IFERROR(VLOOKUP($A20,RAIZ!$A$3:$X$1500,MATCH('Suc. Ruiz'!$F$1,RAIZ!$A$2:$X$2,0),FALSE),0)</f>
        <v>1</v>
      </c>
      <c r="D20" s="14">
        <v>4</v>
      </c>
      <c r="E20" s="5"/>
      <c r="F20" s="5">
        <f t="shared" si="3"/>
        <v>3</v>
      </c>
      <c r="G20" s="5"/>
      <c r="I20" s="84"/>
      <c r="J20" s="86"/>
      <c r="K20" s="85"/>
      <c r="L20" s="86"/>
      <c r="M20" s="85"/>
    </row>
    <row r="21" spans="1:13" ht="18.75" customHeight="1" x14ac:dyDescent="0.35">
      <c r="A21" s="97" t="s">
        <v>344</v>
      </c>
      <c r="B21" s="112" t="s">
        <v>765</v>
      </c>
      <c r="C21" s="5">
        <f>+IFERROR(VLOOKUP($A21,RAIZ!$A$3:$X$1500,MATCH('Suc. Ruiz'!$F$1,RAIZ!$A$2:$X$2,0),FALSE),0)</f>
        <v>3</v>
      </c>
      <c r="D21" s="14">
        <v>3</v>
      </c>
      <c r="E21" s="5"/>
      <c r="F21" s="5">
        <f t="shared" si="3"/>
        <v>0</v>
      </c>
      <c r="G21" s="5"/>
      <c r="I21" s="84"/>
      <c r="J21" s="86"/>
      <c r="K21" s="85"/>
      <c r="L21" s="86"/>
      <c r="M21" s="85"/>
    </row>
    <row r="22" spans="1:13" ht="18.75" customHeight="1" x14ac:dyDescent="0.35">
      <c r="A22" s="97" t="s">
        <v>832</v>
      </c>
      <c r="B22" s="112" t="s">
        <v>833</v>
      </c>
      <c r="C22" s="5">
        <f>+IFERROR(VLOOKUP($A22,RAIZ!$A$3:$X$1500,MATCH('Suc. Ruiz'!$F$1,RAIZ!$A$2:$X$2,0),FALSE),0)</f>
        <v>0</v>
      </c>
      <c r="D22" s="14">
        <v>2</v>
      </c>
      <c r="E22" s="5"/>
      <c r="F22" s="5">
        <f t="shared" ref="F22:F31" si="4">IF(D22-C22&gt;=0,D22-C22,0)</f>
        <v>2</v>
      </c>
      <c r="G22" s="5"/>
      <c r="I22" s="84"/>
      <c r="J22" s="86"/>
      <c r="K22" s="85"/>
      <c r="L22" s="86"/>
      <c r="M22" s="85"/>
    </row>
    <row r="23" spans="1:13" ht="18.75" customHeight="1" x14ac:dyDescent="0.35">
      <c r="A23" s="97" t="s">
        <v>12</v>
      </c>
      <c r="B23" s="112" t="s">
        <v>766</v>
      </c>
      <c r="C23" s="5">
        <f>+IFERROR(VLOOKUP($A23,RAIZ!$A$3:$X$1500,MATCH('Suc. Ruiz'!$F$1,RAIZ!$A$2:$X$2,0),FALSE),0)</f>
        <v>3</v>
      </c>
      <c r="D23" s="14">
        <v>2</v>
      </c>
      <c r="E23" s="5"/>
      <c r="F23" s="5">
        <f t="shared" si="4"/>
        <v>0</v>
      </c>
      <c r="G23" s="5"/>
      <c r="I23" s="84"/>
      <c r="J23" s="86"/>
      <c r="K23" s="85"/>
      <c r="L23" s="86"/>
      <c r="M23" s="85"/>
    </row>
    <row r="24" spans="1:13" ht="18.75" customHeight="1" x14ac:dyDescent="0.35">
      <c r="A24" s="97" t="s">
        <v>432</v>
      </c>
      <c r="B24" s="112" t="s">
        <v>767</v>
      </c>
      <c r="C24" s="5">
        <f>+IFERROR(VLOOKUP($A24,RAIZ!$A$3:$X$1500,MATCH('Suc. Ruiz'!$F$1,RAIZ!$A$2:$X$2,0),FALSE),0)</f>
        <v>0</v>
      </c>
      <c r="D24" s="14">
        <v>2</v>
      </c>
      <c r="E24" s="5"/>
      <c r="F24" s="5">
        <f t="shared" si="4"/>
        <v>2</v>
      </c>
      <c r="G24" s="5"/>
      <c r="I24" s="84"/>
      <c r="J24" s="86"/>
      <c r="K24" s="85"/>
      <c r="L24" s="86"/>
      <c r="M24" s="85"/>
    </row>
    <row r="25" spans="1:13" ht="18.75" customHeight="1" x14ac:dyDescent="0.35">
      <c r="A25" s="97" t="s">
        <v>468</v>
      </c>
      <c r="B25" s="112" t="s">
        <v>768</v>
      </c>
      <c r="C25" s="5">
        <f>+IFERROR(VLOOKUP($A25,RAIZ!$A$3:$X$1500,MATCH('Suc. Ruiz'!$F$1,RAIZ!$A$2:$X$2,0),FALSE),0)</f>
        <v>2</v>
      </c>
      <c r="D25" s="16">
        <v>4</v>
      </c>
      <c r="E25" s="5"/>
      <c r="F25" s="5">
        <f t="shared" si="4"/>
        <v>2</v>
      </c>
      <c r="G25" s="5"/>
      <c r="I25" s="84"/>
      <c r="J25" s="86"/>
      <c r="K25" s="85"/>
      <c r="L25" s="86"/>
      <c r="M25" s="85"/>
    </row>
    <row r="26" spans="1:13" ht="18.75" customHeight="1" x14ac:dyDescent="0.35">
      <c r="A26" s="97"/>
      <c r="B26" s="112"/>
      <c r="C26" s="5">
        <f>+IFERROR(VLOOKUP($A26,RAIZ!$A$3:$X$1500,MATCH('Suc. Ruiz'!$F$1,RAIZ!$A$2:$X$2,0),FALSE),0)</f>
        <v>0</v>
      </c>
      <c r="D26" s="20"/>
      <c r="E26" s="5"/>
      <c r="F26" s="5">
        <f t="shared" si="4"/>
        <v>0</v>
      </c>
      <c r="G26" s="5"/>
    </row>
    <row r="27" spans="1:13" ht="18.75" customHeight="1" x14ac:dyDescent="0.35">
      <c r="A27" s="97"/>
      <c r="B27" s="112"/>
      <c r="C27" s="5">
        <f>+IFERROR(VLOOKUP($A27,RAIZ!$A$3:$X$1500,MATCH('Suc. Ruiz'!$F$1,RAIZ!$A$2:$X$2,0),FALSE),0)</f>
        <v>0</v>
      </c>
      <c r="D27" s="16"/>
      <c r="E27" s="5"/>
      <c r="F27" s="5">
        <f>IF(D27-C27&gt;=0,D27-C27,0)</f>
        <v>0</v>
      </c>
      <c r="G27" s="5"/>
      <c r="I27" s="84"/>
      <c r="J27" s="86"/>
      <c r="K27" s="85"/>
      <c r="L27" s="86"/>
      <c r="M27" s="85"/>
    </row>
    <row r="28" spans="1:13" ht="18.75" customHeight="1" x14ac:dyDescent="0.35">
      <c r="A28" s="97"/>
      <c r="B28" s="112"/>
      <c r="C28" s="5">
        <f>+IFERROR(VLOOKUP($A28,RAIZ!$A$3:$X$1500,MATCH('Suc. Ruiz'!$F$1,RAIZ!$A$2:$X$2,0),FALSE),0)</f>
        <v>0</v>
      </c>
      <c r="D28" s="16"/>
      <c r="E28" s="5"/>
      <c r="F28" s="5">
        <f t="shared" si="4"/>
        <v>0</v>
      </c>
      <c r="G28" s="5"/>
      <c r="I28" s="84"/>
      <c r="J28" s="86"/>
      <c r="K28" s="85"/>
      <c r="L28" s="86"/>
      <c r="M28" s="85"/>
    </row>
    <row r="29" spans="1:13" ht="18.75" customHeight="1" x14ac:dyDescent="0.35">
      <c r="A29" s="97"/>
      <c r="B29" s="112"/>
      <c r="C29" s="5">
        <f>+IFERROR(VLOOKUP($A29,RAIZ!$A$3:$X$1500,MATCH('Suc. Ruiz'!$F$1,RAIZ!$A$2:$X$2,0),FALSE),0)</f>
        <v>0</v>
      </c>
      <c r="D29" s="16"/>
      <c r="E29" s="5"/>
      <c r="F29" s="5">
        <f t="shared" si="4"/>
        <v>0</v>
      </c>
      <c r="G29" s="5"/>
      <c r="I29" s="84"/>
      <c r="J29" s="86"/>
      <c r="K29" s="85"/>
      <c r="L29" s="86"/>
      <c r="M29" s="85"/>
    </row>
    <row r="30" spans="1:13" ht="18.75" customHeight="1" x14ac:dyDescent="0.35">
      <c r="A30" s="97"/>
      <c r="B30" s="112"/>
      <c r="C30" s="5">
        <f>+IFERROR(VLOOKUP($A30,RAIZ!$A$3:$X$1500,MATCH('Suc. Ruiz'!$F$1,RAIZ!$A$2:$X$2,0),FALSE),0)</f>
        <v>0</v>
      </c>
      <c r="D30" s="16"/>
      <c r="E30" s="5"/>
      <c r="F30" s="5">
        <f t="shared" si="4"/>
        <v>0</v>
      </c>
      <c r="G30" s="5"/>
      <c r="I30" s="84"/>
      <c r="J30" s="86"/>
      <c r="K30" s="85"/>
      <c r="L30" s="86"/>
      <c r="M30" s="85"/>
    </row>
    <row r="31" spans="1:13" ht="18.75" customHeight="1" thickBot="1" x14ac:dyDescent="0.4">
      <c r="A31" s="97"/>
      <c r="B31" s="112"/>
      <c r="C31" s="5">
        <f>+IFERROR(VLOOKUP($A31,RAIZ!$A$3:$X$1500,MATCH('Suc. Ruiz'!$F$1,RAIZ!$A$2:$X$2,0),FALSE),0)</f>
        <v>0</v>
      </c>
      <c r="D31" s="16"/>
      <c r="E31" s="5"/>
      <c r="F31" s="5">
        <f t="shared" si="4"/>
        <v>0</v>
      </c>
      <c r="G31" s="5"/>
      <c r="I31" s="84"/>
      <c r="J31" s="86"/>
      <c r="K31" s="85"/>
      <c r="L31" s="86"/>
      <c r="M31" s="85"/>
    </row>
    <row r="32" spans="1:13" ht="18.75" customHeight="1" thickBot="1" x14ac:dyDescent="0.4">
      <c r="A32" s="98" t="s">
        <v>13</v>
      </c>
      <c r="B32" s="111"/>
      <c r="C32" s="76">
        <f>SUM(C19:C31)</f>
        <v>10</v>
      </c>
      <c r="D32" s="46">
        <f>SUM(D19:D31)</f>
        <v>19</v>
      </c>
      <c r="E32" s="46">
        <f>SUM(E19:E31)</f>
        <v>0</v>
      </c>
      <c r="F32" s="64">
        <f>SUM(F19:F31)</f>
        <v>10</v>
      </c>
      <c r="G32" s="46">
        <f>SUM(G19:G31)</f>
        <v>0</v>
      </c>
      <c r="I32" s="84"/>
      <c r="J32" s="86"/>
      <c r="K32" s="85"/>
      <c r="L32" s="86"/>
      <c r="M32" s="85"/>
    </row>
    <row r="33" spans="1:13" ht="18.75" customHeight="1" x14ac:dyDescent="0.35">
      <c r="A33" s="97" t="s">
        <v>14</v>
      </c>
      <c r="B33" s="112" t="s">
        <v>769</v>
      </c>
      <c r="C33" s="5">
        <f>+IFERROR(VLOOKUP($A33,RAIZ!$A$3:$X$1500,MATCH('Suc. Ruiz'!$F$1,RAIZ!$A$2:$X$2,0),FALSE),0)</f>
        <v>0</v>
      </c>
      <c r="D33" s="4">
        <v>2</v>
      </c>
      <c r="E33" s="5"/>
      <c r="F33" s="5">
        <f t="shared" ref="F33:F48" si="5">IF(D33-C33&gt;=0,D33-C33,0)</f>
        <v>2</v>
      </c>
      <c r="G33" s="5"/>
      <c r="I33" s="84"/>
      <c r="J33" s="86"/>
      <c r="K33" s="85"/>
      <c r="L33" s="86"/>
      <c r="M33" s="85"/>
    </row>
    <row r="34" spans="1:13" ht="18.75" customHeight="1" x14ac:dyDescent="0.35">
      <c r="A34" s="97" t="s">
        <v>15</v>
      </c>
      <c r="B34" s="112" t="s">
        <v>770</v>
      </c>
      <c r="C34" s="5">
        <f>+IFERROR(VLOOKUP($A34,RAIZ!$A$3:$X$1500,MATCH('Suc. Ruiz'!$F$1,RAIZ!$A$2:$X$2,0),FALSE),0)</f>
        <v>0</v>
      </c>
      <c r="D34" s="7">
        <v>3</v>
      </c>
      <c r="E34" s="5"/>
      <c r="F34" s="5">
        <f t="shared" si="5"/>
        <v>3</v>
      </c>
      <c r="G34" s="5"/>
      <c r="I34" s="84"/>
      <c r="J34" s="86"/>
      <c r="K34" s="85"/>
      <c r="L34" s="86"/>
      <c r="M34" s="85"/>
    </row>
    <row r="35" spans="1:13" ht="18.75" customHeight="1" x14ac:dyDescent="0.35">
      <c r="A35" s="97" t="s">
        <v>16</v>
      </c>
      <c r="B35" s="112" t="s">
        <v>771</v>
      </c>
      <c r="C35" s="5">
        <f>+IFERROR(VLOOKUP($A35,RAIZ!$A$3:$X$1500,MATCH('Suc. Ruiz'!$F$1,RAIZ!$A$2:$X$2,0),FALSE),0)</f>
        <v>1</v>
      </c>
      <c r="D35" s="7">
        <v>3</v>
      </c>
      <c r="E35" s="5"/>
      <c r="F35" s="5">
        <f t="shared" si="5"/>
        <v>2</v>
      </c>
      <c r="G35" s="5"/>
      <c r="I35" s="84"/>
      <c r="J35" s="86"/>
      <c r="K35" s="85"/>
      <c r="L35" s="86"/>
      <c r="M35" s="85"/>
    </row>
    <row r="36" spans="1:13" ht="18.75" customHeight="1" x14ac:dyDescent="0.35">
      <c r="A36" s="97" t="s">
        <v>17</v>
      </c>
      <c r="B36" s="112" t="s">
        <v>772</v>
      </c>
      <c r="C36" s="5">
        <f>+IFERROR(VLOOKUP($A36,RAIZ!$A$3:$X$1500,MATCH('Suc. Ruiz'!$F$1,RAIZ!$A$2:$X$2,0),FALSE),0)</f>
        <v>4</v>
      </c>
      <c r="D36" s="7">
        <v>3</v>
      </c>
      <c r="E36" s="5"/>
      <c r="F36" s="5">
        <f t="shared" si="5"/>
        <v>0</v>
      </c>
      <c r="G36" s="5"/>
      <c r="I36" s="84"/>
      <c r="J36" s="86"/>
      <c r="K36" s="85"/>
      <c r="L36" s="86"/>
      <c r="M36" s="85"/>
    </row>
    <row r="37" spans="1:13" ht="18.75" customHeight="1" x14ac:dyDescent="0.35">
      <c r="A37" s="97" t="s">
        <v>18</v>
      </c>
      <c r="B37" s="112" t="s">
        <v>773</v>
      </c>
      <c r="C37" s="5">
        <f>+IFERROR(VLOOKUP($A37,RAIZ!$A$3:$X$1500,MATCH('Suc. Ruiz'!$F$1,RAIZ!$A$2:$X$2,0),FALSE),0)</f>
        <v>3</v>
      </c>
      <c r="D37" s="7">
        <v>4</v>
      </c>
      <c r="E37" s="5"/>
      <c r="F37" s="5">
        <f t="shared" si="5"/>
        <v>1</v>
      </c>
      <c r="G37" s="5"/>
      <c r="I37" s="84"/>
      <c r="J37" s="86"/>
      <c r="K37" s="85"/>
      <c r="L37" s="86"/>
      <c r="M37" s="85"/>
    </row>
    <row r="38" spans="1:13" ht="18.75" customHeight="1" x14ac:dyDescent="0.35">
      <c r="A38" s="97" t="s">
        <v>22</v>
      </c>
      <c r="B38" s="112" t="s">
        <v>774</v>
      </c>
      <c r="C38" s="5">
        <f>+IFERROR(VLOOKUP($A38,RAIZ!$A$3:$X$1500,MATCH('Suc. Ruiz'!$F$1,RAIZ!$A$2:$X$2,0),FALSE),0)</f>
        <v>3</v>
      </c>
      <c r="D38" s="18">
        <v>4</v>
      </c>
      <c r="E38" s="5"/>
      <c r="F38" s="5">
        <f t="shared" si="5"/>
        <v>1</v>
      </c>
      <c r="G38" s="5"/>
      <c r="I38" s="84"/>
      <c r="J38" s="86"/>
      <c r="K38" s="85"/>
      <c r="L38" s="86"/>
      <c r="M38" s="85"/>
    </row>
    <row r="39" spans="1:13" ht="18.75" customHeight="1" x14ac:dyDescent="0.35">
      <c r="A39" s="97" t="s">
        <v>23</v>
      </c>
      <c r="B39" s="112" t="s">
        <v>775</v>
      </c>
      <c r="C39" s="5">
        <f>+IFERROR(VLOOKUP($A39,RAIZ!$A$3:$X$1500,MATCH('Suc. Ruiz'!$F$1,RAIZ!$A$2:$X$2,0),FALSE),0)</f>
        <v>2</v>
      </c>
      <c r="D39" s="18">
        <v>3</v>
      </c>
      <c r="E39" s="5"/>
      <c r="F39" s="5">
        <f t="shared" si="5"/>
        <v>1</v>
      </c>
      <c r="G39" s="5"/>
      <c r="I39" s="84"/>
      <c r="J39" s="86"/>
      <c r="K39" s="85"/>
      <c r="L39" s="86"/>
      <c r="M39" s="85"/>
    </row>
    <row r="40" spans="1:13" ht="18.75" customHeight="1" x14ac:dyDescent="0.35">
      <c r="A40" s="97" t="s">
        <v>24</v>
      </c>
      <c r="B40" s="112" t="s">
        <v>776</v>
      </c>
      <c r="C40" s="5">
        <f>+IFERROR(VLOOKUP($A40,RAIZ!$A$3:$X$1500,MATCH('Suc. Ruiz'!$F$1,RAIZ!$A$2:$X$2,0),FALSE),0)</f>
        <v>2</v>
      </c>
      <c r="D40" s="7">
        <v>2</v>
      </c>
      <c r="E40" s="5"/>
      <c r="F40" s="5">
        <f t="shared" si="5"/>
        <v>0</v>
      </c>
      <c r="G40" s="5"/>
      <c r="I40" s="84"/>
      <c r="J40" s="86"/>
      <c r="K40" s="85"/>
      <c r="L40" s="86"/>
      <c r="M40" s="85"/>
    </row>
    <row r="41" spans="1:13" ht="18.75" customHeight="1" x14ac:dyDescent="0.35">
      <c r="A41" s="97" t="s">
        <v>25</v>
      </c>
      <c r="B41" s="112" t="s">
        <v>777</v>
      </c>
      <c r="C41" s="5">
        <f>+IFERROR(VLOOKUP($A41,RAIZ!$A$3:$X$1500,MATCH('Suc. Ruiz'!$F$1,RAIZ!$A$2:$X$2,0),FALSE),0)</f>
        <v>1</v>
      </c>
      <c r="D41" s="18">
        <v>2</v>
      </c>
      <c r="E41" s="5"/>
      <c r="F41" s="5">
        <f t="shared" si="5"/>
        <v>1</v>
      </c>
      <c r="G41" s="5"/>
      <c r="I41" s="84"/>
      <c r="J41" s="86"/>
      <c r="K41" s="85"/>
      <c r="L41" s="86"/>
      <c r="M41" s="85"/>
    </row>
    <row r="42" spans="1:13" ht="18.75" customHeight="1" x14ac:dyDescent="0.35">
      <c r="A42" s="97"/>
      <c r="B42" s="112"/>
      <c r="C42" s="5">
        <f>+IFERROR(VLOOKUP($A42,RAIZ!$A$3:$X$1500,MATCH('Suc. Ruiz'!$F$1,RAIZ!$A$2:$X$2,0),FALSE),0)</f>
        <v>0</v>
      </c>
      <c r="D42" s="20"/>
      <c r="E42" s="5"/>
      <c r="F42" s="5">
        <f t="shared" si="5"/>
        <v>0</v>
      </c>
      <c r="G42" s="5"/>
    </row>
    <row r="43" spans="1:13" ht="18.75" customHeight="1" x14ac:dyDescent="0.35">
      <c r="A43" s="97"/>
      <c r="B43" s="112"/>
      <c r="C43" s="5">
        <f>+IFERROR(VLOOKUP($A43,RAIZ!$A$3:$X$1500,MATCH('Suc. Ruiz'!$F$1,RAIZ!$A$2:$X$2,0),FALSE),0)</f>
        <v>0</v>
      </c>
      <c r="D43" s="18"/>
      <c r="E43" s="5"/>
      <c r="F43" s="5">
        <f t="shared" si="5"/>
        <v>0</v>
      </c>
      <c r="G43" s="5"/>
      <c r="I43" s="84"/>
      <c r="J43" s="86"/>
      <c r="K43" s="85"/>
      <c r="L43" s="86"/>
      <c r="M43" s="85"/>
    </row>
    <row r="44" spans="1:13" ht="18.75" customHeight="1" x14ac:dyDescent="0.35">
      <c r="A44" s="97"/>
      <c r="B44" s="112"/>
      <c r="C44" s="5">
        <f>+IFERROR(VLOOKUP($A44,RAIZ!$A$3:$X$1500,MATCH('Suc. Ruiz'!$F$1,RAIZ!$A$2:$X$2,0),FALSE),0)</f>
        <v>0</v>
      </c>
      <c r="D44" s="18"/>
      <c r="E44" s="5"/>
      <c r="F44" s="5">
        <f t="shared" si="5"/>
        <v>0</v>
      </c>
      <c r="G44" s="5"/>
      <c r="I44" s="84"/>
      <c r="J44" s="86"/>
      <c r="K44" s="85"/>
      <c r="L44" s="86"/>
      <c r="M44" s="85"/>
    </row>
    <row r="45" spans="1:13" ht="18.75" customHeight="1" x14ac:dyDescent="0.35">
      <c r="A45" s="97"/>
      <c r="B45" s="112"/>
      <c r="C45" s="5">
        <f>+IFERROR(VLOOKUP($A45,RAIZ!$A$3:$X$1500,MATCH('Suc. Ruiz'!$F$1,RAIZ!$A$2:$X$2,0),FALSE),0)</f>
        <v>0</v>
      </c>
      <c r="D45" s="18"/>
      <c r="E45" s="5"/>
      <c r="F45" s="5">
        <f t="shared" si="5"/>
        <v>0</v>
      </c>
      <c r="G45" s="5"/>
      <c r="I45" s="84"/>
      <c r="J45" s="86"/>
      <c r="K45" s="85"/>
      <c r="L45" s="86"/>
      <c r="M45" s="85"/>
    </row>
    <row r="46" spans="1:13" ht="18.75" customHeight="1" x14ac:dyDescent="0.35">
      <c r="A46" s="97"/>
      <c r="B46" s="112"/>
      <c r="C46" s="5">
        <f>+IFERROR(VLOOKUP($A46,RAIZ!$A$3:$X$1500,MATCH('Suc. Ruiz'!$F$1,RAIZ!$A$2:$X$2,0),FALSE),0)</f>
        <v>0</v>
      </c>
      <c r="D46" s="18"/>
      <c r="E46" s="5"/>
      <c r="F46" s="5">
        <f t="shared" si="5"/>
        <v>0</v>
      </c>
      <c r="G46" s="5"/>
      <c r="I46" s="84"/>
      <c r="J46" s="86"/>
      <c r="K46" s="85"/>
      <c r="L46" s="86"/>
      <c r="M46" s="85"/>
    </row>
    <row r="47" spans="1:13" ht="18.75" customHeight="1" x14ac:dyDescent="0.35">
      <c r="A47" s="97"/>
      <c r="B47" s="112"/>
      <c r="C47" s="5">
        <f>+IFERROR(VLOOKUP($A47,RAIZ!$A$3:$X$1500,MATCH('Suc. Ruiz'!$F$1,RAIZ!$A$2:$X$2,0),FALSE),0)</f>
        <v>0</v>
      </c>
      <c r="D47" s="18"/>
      <c r="E47" s="5"/>
      <c r="F47" s="5">
        <f t="shared" si="5"/>
        <v>0</v>
      </c>
      <c r="G47" s="5"/>
      <c r="I47" s="84"/>
      <c r="J47" s="86"/>
      <c r="K47" s="85"/>
      <c r="L47" s="86"/>
      <c r="M47" s="85"/>
    </row>
    <row r="48" spans="1:13" ht="18.75" customHeight="1" thickBot="1" x14ac:dyDescent="0.4">
      <c r="A48" s="97"/>
      <c r="B48" s="112"/>
      <c r="C48" s="5">
        <f>+IFERROR(VLOOKUP($A48,RAIZ!$A$3:$X$1500,MATCH('Suc. Ruiz'!$F$1,RAIZ!$A$2:$X$2,0),FALSE),0)</f>
        <v>0</v>
      </c>
      <c r="D48" s="18"/>
      <c r="E48" s="5"/>
      <c r="F48" s="5">
        <f t="shared" si="5"/>
        <v>0</v>
      </c>
      <c r="G48" s="5"/>
      <c r="I48" s="84"/>
      <c r="J48" s="86"/>
      <c r="K48" s="85"/>
      <c r="L48" s="86"/>
      <c r="M48" s="85"/>
    </row>
    <row r="49" spans="1:13" ht="18.75" customHeight="1" thickBot="1" x14ac:dyDescent="0.4">
      <c r="A49" s="99" t="s">
        <v>29</v>
      </c>
      <c r="B49" s="111"/>
      <c r="C49" s="77">
        <f>SUM(C33:C48)</f>
        <v>16</v>
      </c>
      <c r="D49" s="48">
        <f>SUM(D33:D48)</f>
        <v>26</v>
      </c>
      <c r="E49" s="48">
        <f>SUM(E33:E48)</f>
        <v>0</v>
      </c>
      <c r="F49" s="65">
        <f>SUM(F33:F48)</f>
        <v>11</v>
      </c>
      <c r="G49" s="48">
        <f>SUM(G33:G48)</f>
        <v>0</v>
      </c>
      <c r="I49" s="84"/>
      <c r="J49" s="86"/>
      <c r="K49" s="85"/>
      <c r="L49" s="86"/>
      <c r="M49" s="85"/>
    </row>
    <row r="50" spans="1:13" ht="18.75" customHeight="1" x14ac:dyDescent="0.35">
      <c r="A50" s="93" t="s">
        <v>30</v>
      </c>
      <c r="B50" s="112" t="s">
        <v>778</v>
      </c>
      <c r="C50" s="5">
        <f>+IFERROR(VLOOKUP($A50,RAIZ!$A$3:$X$1500,MATCH('Suc. Ruiz'!$F$1,RAIZ!$A$2:$X$2,0),FALSE),0)</f>
        <v>3</v>
      </c>
      <c r="D50" s="4">
        <v>8</v>
      </c>
      <c r="E50" s="5"/>
      <c r="F50" s="5">
        <f>IF(D50-C50&gt;=0,D50-C50,0)</f>
        <v>5</v>
      </c>
      <c r="G50" s="5"/>
      <c r="I50" s="84"/>
      <c r="J50" s="86"/>
      <c r="K50" s="85"/>
      <c r="L50" s="86"/>
      <c r="M50" s="85"/>
    </row>
    <row r="51" spans="1:13" ht="18.75" customHeight="1" thickBot="1" x14ac:dyDescent="0.4">
      <c r="A51" s="95" t="s">
        <v>31</v>
      </c>
      <c r="B51" s="112" t="s">
        <v>779</v>
      </c>
      <c r="C51" s="5">
        <f>+IFERROR(VLOOKUP($A51,RAIZ!$A$3:$X$1500,MATCH('Suc. Ruiz'!$F$1,RAIZ!$A$2:$X$2,0),FALSE),0)</f>
        <v>5</v>
      </c>
      <c r="D51" s="20">
        <v>8</v>
      </c>
      <c r="E51" s="5"/>
      <c r="F51" s="5">
        <f t="shared" ref="F51" si="6">IF(D51-C51&gt;=0,D51-C51,0)</f>
        <v>3</v>
      </c>
      <c r="G51" s="5"/>
      <c r="I51" s="84"/>
      <c r="J51" s="86"/>
      <c r="K51" s="85"/>
      <c r="L51" s="86"/>
      <c r="M51" s="85"/>
    </row>
    <row r="52" spans="1:13" ht="18.75" customHeight="1" thickBot="1" x14ac:dyDescent="0.4">
      <c r="A52" s="100" t="s">
        <v>32</v>
      </c>
      <c r="B52" s="111"/>
      <c r="C52" s="78">
        <f>SUM(C50:C51)</f>
        <v>8</v>
      </c>
      <c r="D52" s="50">
        <f t="shared" ref="D52" si="7">SUM(D50:D51)</f>
        <v>16</v>
      </c>
      <c r="E52" s="50">
        <f t="shared" ref="E52:G52" si="8">SUM(E50:E51)</f>
        <v>0</v>
      </c>
      <c r="F52" s="66">
        <f t="shared" si="8"/>
        <v>8</v>
      </c>
      <c r="G52" s="50">
        <f t="shared" si="8"/>
        <v>0</v>
      </c>
      <c r="I52" s="84"/>
      <c r="J52" s="86"/>
      <c r="K52" s="85"/>
      <c r="L52" s="86"/>
      <c r="M52" s="85"/>
    </row>
    <row r="53" spans="1:13" ht="18.75" customHeight="1" x14ac:dyDescent="0.35">
      <c r="A53" s="93" t="s">
        <v>33</v>
      </c>
      <c r="B53" s="112" t="s">
        <v>780</v>
      </c>
      <c r="C53" s="5">
        <f>+IFERROR(VLOOKUP($A53,RAIZ!$A$3:$X$1500,MATCH('Suc. Ruiz'!$F$1,RAIZ!$A$2:$X$2,0),FALSE),0)</f>
        <v>4</v>
      </c>
      <c r="D53" s="4">
        <v>8</v>
      </c>
      <c r="E53" s="5"/>
      <c r="F53" s="5">
        <f t="shared" ref="F53:F54" si="9">IF(D53-C53&gt;=0,D53-C53,0)</f>
        <v>4</v>
      </c>
      <c r="G53" s="5"/>
      <c r="I53" s="84"/>
      <c r="J53" s="86"/>
      <c r="K53" s="85"/>
      <c r="L53" s="86"/>
      <c r="M53" s="85"/>
    </row>
    <row r="54" spans="1:13" ht="18.75" customHeight="1" thickBot="1" x14ac:dyDescent="0.4">
      <c r="A54" s="95" t="s">
        <v>34</v>
      </c>
      <c r="B54" s="112" t="s">
        <v>781</v>
      </c>
      <c r="C54" s="5">
        <f>+IFERROR(VLOOKUP($A54,RAIZ!$A$3:$X$1500,MATCH('Suc. Ruiz'!$F$1,RAIZ!$A$2:$X$2,0),FALSE),0)</f>
        <v>4</v>
      </c>
      <c r="D54" s="20">
        <v>8</v>
      </c>
      <c r="E54" s="5"/>
      <c r="F54" s="5">
        <f t="shared" si="9"/>
        <v>4</v>
      </c>
      <c r="G54" s="5"/>
      <c r="I54" s="84"/>
      <c r="J54" s="86"/>
      <c r="K54" s="85"/>
      <c r="L54" s="86"/>
      <c r="M54" s="85"/>
    </row>
    <row r="55" spans="1:13" ht="18.75" customHeight="1" thickBot="1" x14ac:dyDescent="0.4">
      <c r="A55" s="99" t="s">
        <v>35</v>
      </c>
      <c r="B55" s="111"/>
      <c r="C55" s="77">
        <f>SUM(C53:C54)</f>
        <v>8</v>
      </c>
      <c r="D55" s="48">
        <f t="shared" ref="D55" si="10">SUM(D53:D54)</f>
        <v>16</v>
      </c>
      <c r="E55" s="48">
        <f t="shared" ref="E55:G55" si="11">SUM(E53:E54)</f>
        <v>0</v>
      </c>
      <c r="F55" s="65">
        <f t="shared" si="11"/>
        <v>8</v>
      </c>
      <c r="G55" s="48">
        <f t="shared" si="11"/>
        <v>0</v>
      </c>
      <c r="I55" s="84"/>
      <c r="J55" s="86"/>
      <c r="K55" s="85"/>
      <c r="L55" s="86"/>
      <c r="M55" s="85"/>
    </row>
    <row r="56" spans="1:13" ht="18.75" customHeight="1" x14ac:dyDescent="0.35">
      <c r="A56" s="93" t="s">
        <v>36</v>
      </c>
      <c r="B56" s="112" t="s">
        <v>782</v>
      </c>
      <c r="C56" s="5">
        <f>+IFERROR(VLOOKUP($A56,RAIZ!$A$3:$X$1500,MATCH('Suc. Ruiz'!$F$1,RAIZ!$A$2:$X$2,0),FALSE),0)</f>
        <v>0</v>
      </c>
      <c r="D56" s="4">
        <v>1</v>
      </c>
      <c r="E56" s="149"/>
      <c r="F56" s="5">
        <f t="shared" ref="F56:F70" si="12">IF(D56-C56&gt;=0,D56-C56,0)</f>
        <v>1</v>
      </c>
      <c r="G56" s="5"/>
      <c r="I56" s="84"/>
      <c r="J56" s="86"/>
      <c r="K56" s="85"/>
      <c r="L56" s="86"/>
      <c r="M56" s="85"/>
    </row>
    <row r="57" spans="1:13" ht="18.75" customHeight="1" x14ac:dyDescent="0.35">
      <c r="A57" s="93" t="s">
        <v>37</v>
      </c>
      <c r="B57" s="112" t="s">
        <v>783</v>
      </c>
      <c r="C57" s="5">
        <f>+IFERROR(VLOOKUP($A57,RAIZ!$A$3:$X$1500,MATCH('Suc. Ruiz'!$F$1,RAIZ!$A$2:$X$2,0),FALSE),0)</f>
        <v>0</v>
      </c>
      <c r="D57" s="7">
        <v>1</v>
      </c>
      <c r="E57" s="149"/>
      <c r="F57" s="5">
        <f t="shared" si="12"/>
        <v>1</v>
      </c>
      <c r="G57" s="5"/>
      <c r="I57" s="84"/>
      <c r="J57" s="86"/>
      <c r="K57" s="85"/>
      <c r="L57" s="86"/>
      <c r="M57" s="85"/>
    </row>
    <row r="58" spans="1:13" ht="18.75" customHeight="1" x14ac:dyDescent="0.35">
      <c r="A58" s="93" t="s">
        <v>39</v>
      </c>
      <c r="B58" s="112" t="s">
        <v>784</v>
      </c>
      <c r="C58" s="5">
        <f>+IFERROR(VLOOKUP($A58,RAIZ!$A$3:$X$1500,MATCH('Suc. Ruiz'!$F$1,RAIZ!$A$2:$X$2,0),FALSE),0)</f>
        <v>0</v>
      </c>
      <c r="D58" s="169">
        <v>0</v>
      </c>
      <c r="E58" s="149"/>
      <c r="F58" s="5">
        <f t="shared" ref="F58" si="13">IF(D58-C58&gt;=0,D58-C58,0)</f>
        <v>0</v>
      </c>
      <c r="G58" s="5"/>
      <c r="I58" s="84"/>
      <c r="J58" s="86"/>
      <c r="K58" s="85"/>
      <c r="L58" s="86"/>
      <c r="M58" s="85"/>
    </row>
    <row r="59" spans="1:13" ht="18.75" customHeight="1" x14ac:dyDescent="0.35">
      <c r="A59" s="93" t="s">
        <v>40</v>
      </c>
      <c r="B59" s="112" t="s">
        <v>785</v>
      </c>
      <c r="C59" s="5">
        <f>+IFERROR(VLOOKUP($A59,RAIZ!$A$3:$X$1500,MATCH('Suc. Ruiz'!$F$1,RAIZ!$A$2:$X$2,0),FALSE),0)</f>
        <v>0</v>
      </c>
      <c r="D59" s="169">
        <v>0</v>
      </c>
      <c r="E59" s="149"/>
      <c r="F59" s="5">
        <f t="shared" si="12"/>
        <v>0</v>
      </c>
      <c r="G59" s="5"/>
      <c r="I59" s="84"/>
      <c r="J59" s="86"/>
      <c r="K59" s="85"/>
      <c r="L59" s="86"/>
      <c r="M59" s="85"/>
    </row>
    <row r="60" spans="1:13" ht="18.75" customHeight="1" x14ac:dyDescent="0.35">
      <c r="A60" s="93" t="s">
        <v>41</v>
      </c>
      <c r="B60" s="112" t="s">
        <v>786</v>
      </c>
      <c r="C60" s="5">
        <f>+IFERROR(VLOOKUP($A60,RAIZ!$A$3:$X$1500,MATCH('Suc. Ruiz'!$F$1,RAIZ!$A$2:$X$2,0),FALSE),0)</f>
        <v>0</v>
      </c>
      <c r="D60" s="169">
        <v>0</v>
      </c>
      <c r="E60" s="149"/>
      <c r="F60" s="5">
        <f t="shared" si="12"/>
        <v>0</v>
      </c>
      <c r="G60" s="5"/>
      <c r="I60" s="84"/>
      <c r="J60" s="86"/>
      <c r="K60" s="85"/>
      <c r="L60" s="86"/>
      <c r="M60" s="85"/>
    </row>
    <row r="61" spans="1:13" ht="18.75" customHeight="1" x14ac:dyDescent="0.35">
      <c r="A61" s="101" t="s">
        <v>42</v>
      </c>
      <c r="B61" s="112" t="s">
        <v>787</v>
      </c>
      <c r="C61" s="5">
        <f>+IFERROR(VLOOKUP($A61,RAIZ!$A$3:$X$1500,MATCH('Suc. Ruiz'!$F$1,RAIZ!$A$2:$X$2,0),FALSE),0)</f>
        <v>0</v>
      </c>
      <c r="D61" s="168">
        <v>0</v>
      </c>
      <c r="E61" s="149"/>
      <c r="F61" s="5">
        <f t="shared" si="12"/>
        <v>0</v>
      </c>
      <c r="G61" s="5"/>
      <c r="I61" s="84"/>
      <c r="J61" s="86"/>
      <c r="K61" s="85"/>
      <c r="L61" s="86"/>
      <c r="M61" s="85"/>
    </row>
    <row r="62" spans="1:13" ht="18.75" customHeight="1" x14ac:dyDescent="0.35">
      <c r="A62" s="102" t="s">
        <v>43</v>
      </c>
      <c r="B62" s="112" t="s">
        <v>788</v>
      </c>
      <c r="C62" s="5">
        <f>+IFERROR(VLOOKUP($A62,RAIZ!$A$3:$X$1500,MATCH('Suc. Ruiz'!$F$1,RAIZ!$A$2:$X$2,0),FALSE),0)</f>
        <v>0</v>
      </c>
      <c r="D62" s="169">
        <v>0</v>
      </c>
      <c r="E62" s="149"/>
      <c r="F62" s="5">
        <f t="shared" si="12"/>
        <v>0</v>
      </c>
      <c r="G62" s="5"/>
      <c r="I62" s="84"/>
      <c r="J62" s="86"/>
      <c r="K62" s="85"/>
      <c r="L62" s="86"/>
      <c r="M62" s="85"/>
    </row>
    <row r="63" spans="1:13" ht="18.75" customHeight="1" x14ac:dyDescent="0.35">
      <c r="A63" s="93" t="s">
        <v>44</v>
      </c>
      <c r="B63" s="112" t="s">
        <v>789</v>
      </c>
      <c r="C63" s="5">
        <f>+IFERROR(VLOOKUP($A63,RAIZ!$A$3:$X$1500,MATCH('Suc. Ruiz'!$F$1,RAIZ!$A$2:$X$2,0),FALSE),0)</f>
        <v>1</v>
      </c>
      <c r="D63" s="169">
        <v>0</v>
      </c>
      <c r="E63" s="5"/>
      <c r="F63" s="5">
        <f t="shared" si="12"/>
        <v>0</v>
      </c>
      <c r="G63" s="5"/>
      <c r="I63" s="84"/>
      <c r="J63" s="86"/>
      <c r="K63" s="85"/>
      <c r="L63" s="86"/>
      <c r="M63" s="85"/>
    </row>
    <row r="64" spans="1:13" ht="18.75" customHeight="1" x14ac:dyDescent="0.35">
      <c r="A64" s="93" t="s">
        <v>45</v>
      </c>
      <c r="B64" s="112" t="s">
        <v>790</v>
      </c>
      <c r="C64" s="5">
        <f>+IFERROR(VLOOKUP($A64,RAIZ!$A$3:$X$1500,MATCH('Suc. Ruiz'!$F$1,RAIZ!$A$2:$X$2,0),FALSE),0)</f>
        <v>2</v>
      </c>
      <c r="D64" s="168">
        <v>0</v>
      </c>
      <c r="E64" s="5"/>
      <c r="F64" s="5">
        <f t="shared" si="12"/>
        <v>0</v>
      </c>
      <c r="G64" s="5"/>
      <c r="I64" s="84"/>
      <c r="J64" s="86"/>
      <c r="K64" s="85"/>
      <c r="L64" s="86"/>
      <c r="M64" s="85"/>
    </row>
    <row r="65" spans="1:13" ht="18.75" customHeight="1" x14ac:dyDescent="0.35">
      <c r="A65" s="93" t="s">
        <v>46</v>
      </c>
      <c r="B65" s="112" t="s">
        <v>791</v>
      </c>
      <c r="C65" s="5">
        <f>+IFERROR(VLOOKUP($A65,RAIZ!$A$3:$X$1500,MATCH('Suc. Ruiz'!$F$1,RAIZ!$A$2:$X$2,0),FALSE),0)</f>
        <v>2</v>
      </c>
      <c r="D65" s="169">
        <v>0</v>
      </c>
      <c r="E65" s="5"/>
      <c r="F65" s="5">
        <f t="shared" si="12"/>
        <v>0</v>
      </c>
      <c r="G65" s="5"/>
      <c r="I65" s="84"/>
      <c r="J65" s="86"/>
      <c r="K65" s="85"/>
      <c r="L65" s="86"/>
      <c r="M65" s="85"/>
    </row>
    <row r="66" spans="1:13" ht="18.75" customHeight="1" x14ac:dyDescent="0.35">
      <c r="A66" s="93" t="s">
        <v>48</v>
      </c>
      <c r="B66" s="112" t="s">
        <v>792</v>
      </c>
      <c r="C66" s="5">
        <f>+IFERROR(VLOOKUP($A66,RAIZ!$A$3:$X$1500,MATCH('Suc. Ruiz'!$F$1,RAIZ!$A$2:$X$2,0),FALSE),0)</f>
        <v>0</v>
      </c>
      <c r="D66" s="169">
        <v>0</v>
      </c>
      <c r="E66" s="5"/>
      <c r="F66" s="5">
        <f t="shared" si="12"/>
        <v>0</v>
      </c>
      <c r="G66" s="5"/>
      <c r="I66" s="84"/>
      <c r="J66" s="86"/>
      <c r="K66" s="85"/>
      <c r="L66" s="86"/>
      <c r="M66" s="85"/>
    </row>
    <row r="67" spans="1:13" ht="18.75" customHeight="1" x14ac:dyDescent="0.35">
      <c r="A67" s="93" t="s">
        <v>49</v>
      </c>
      <c r="B67" s="112" t="s">
        <v>793</v>
      </c>
      <c r="C67" s="5">
        <f>+IFERROR(VLOOKUP($A67,RAIZ!$A$3:$X$1500,MATCH('Suc. Ruiz'!$F$1,RAIZ!$A$2:$X$2,0),FALSE),0)</f>
        <v>1</v>
      </c>
      <c r="D67" s="169">
        <v>0</v>
      </c>
      <c r="E67" s="5"/>
      <c r="F67" s="5">
        <f t="shared" si="12"/>
        <v>0</v>
      </c>
      <c r="G67" s="5"/>
      <c r="I67" s="84"/>
      <c r="J67" s="86"/>
      <c r="K67" s="85"/>
      <c r="L67" s="86"/>
      <c r="M67" s="85"/>
    </row>
    <row r="68" spans="1:13" ht="18.75" customHeight="1" x14ac:dyDescent="0.35">
      <c r="A68" s="93" t="s">
        <v>50</v>
      </c>
      <c r="B68" s="112" t="s">
        <v>794</v>
      </c>
      <c r="C68" s="5">
        <f>+IFERROR(VLOOKUP($A68,RAIZ!$A$3:$X$1500,MATCH('Suc. Ruiz'!$F$1,RAIZ!$A$2:$X$2,0),FALSE),0)</f>
        <v>1</v>
      </c>
      <c r="D68" s="168">
        <v>0</v>
      </c>
      <c r="E68" s="5"/>
      <c r="F68" s="5">
        <f t="shared" si="12"/>
        <v>0</v>
      </c>
      <c r="G68" s="5"/>
      <c r="I68" s="84"/>
      <c r="J68" s="86"/>
      <c r="K68" s="85"/>
      <c r="L68" s="86"/>
      <c r="M68" s="85"/>
    </row>
    <row r="69" spans="1:13" ht="18.75" customHeight="1" x14ac:dyDescent="0.35">
      <c r="A69" s="93" t="s">
        <v>51</v>
      </c>
      <c r="B69" s="112" t="s">
        <v>795</v>
      </c>
      <c r="C69" s="5">
        <f>+IFERROR(VLOOKUP($A69,RAIZ!$A$3:$X$1500,MATCH('Suc. Ruiz'!$F$1,RAIZ!$A$2:$X$2,0),FALSE),0)</f>
        <v>1</v>
      </c>
      <c r="D69" s="169">
        <v>0</v>
      </c>
      <c r="E69" s="5"/>
      <c r="F69" s="5">
        <f t="shared" si="12"/>
        <v>0</v>
      </c>
      <c r="G69" s="5"/>
      <c r="I69" s="84"/>
      <c r="J69" s="86"/>
      <c r="K69" s="85"/>
      <c r="L69" s="86"/>
      <c r="M69" s="85"/>
    </row>
    <row r="70" spans="1:13" ht="18.75" customHeight="1" x14ac:dyDescent="0.35">
      <c r="A70" s="93" t="s">
        <v>53</v>
      </c>
      <c r="B70" s="112" t="s">
        <v>796</v>
      </c>
      <c r="C70" s="5">
        <f>+IFERROR(VLOOKUP($A70,RAIZ!$A$3:$X$1500,MATCH('Suc. Ruiz'!$F$1,RAIZ!$A$2:$X$2,0),FALSE),0)</f>
        <v>1</v>
      </c>
      <c r="D70" s="20">
        <v>6</v>
      </c>
      <c r="E70" s="149"/>
      <c r="F70" s="5">
        <f t="shared" si="12"/>
        <v>5</v>
      </c>
      <c r="G70" s="5"/>
      <c r="I70" s="84"/>
      <c r="J70" s="86"/>
      <c r="K70" s="85"/>
      <c r="L70" s="86"/>
      <c r="M70" s="85"/>
    </row>
    <row r="71" spans="1:13" ht="18.75" customHeight="1" x14ac:dyDescent="0.35">
      <c r="A71" s="93" t="s">
        <v>47</v>
      </c>
      <c r="B71" s="112" t="s">
        <v>873</v>
      </c>
      <c r="C71" s="5">
        <f>+IFERROR(VLOOKUP($A71,RAIZ!$A$3:$X$1500,MATCH('Suc. Ruiz'!$F$1,RAIZ!$A$2:$X$2,0),FALSE),0)</f>
        <v>1</v>
      </c>
      <c r="D71" s="20">
        <v>1</v>
      </c>
      <c r="E71" s="5"/>
      <c r="F71" s="5">
        <f t="shared" ref="F71:F77" si="14">IF(D71-C71&gt;=0,D71-C71,0)</f>
        <v>0</v>
      </c>
      <c r="G71" s="5"/>
      <c r="I71" s="84"/>
      <c r="J71" s="86"/>
      <c r="K71" s="85"/>
      <c r="L71" s="86"/>
      <c r="M71" s="85"/>
    </row>
    <row r="72" spans="1:13" ht="18.75" hidden="1" customHeight="1" x14ac:dyDescent="0.35">
      <c r="A72" s="86" t="s">
        <v>1089</v>
      </c>
      <c r="B72" s="112" t="s">
        <v>1090</v>
      </c>
      <c r="C72" s="5">
        <f>+IFERROR(VLOOKUP($A72,RAIZ!$A$3:$X$1500,MATCH('Suc. Ruiz'!$F$1,RAIZ!$A$2:$X$2,0),FALSE),0)</f>
        <v>0</v>
      </c>
      <c r="D72" s="20">
        <v>0</v>
      </c>
      <c r="E72" s="5"/>
      <c r="F72" s="5">
        <f>IF(D72-C72&gt;=0,D72-C72,0)</f>
        <v>0</v>
      </c>
      <c r="G72" s="5"/>
    </row>
    <row r="73" spans="1:13" ht="18.75" customHeight="1" x14ac:dyDescent="0.35">
      <c r="A73" s="93"/>
      <c r="B73" s="112"/>
      <c r="C73" s="5">
        <f>+IFERROR(VLOOKUP($A73,RAIZ!$A$3:$X$1500,MATCH('Suc. Ruiz'!$F$1,RAIZ!$A$2:$X$2,0),FALSE),0)</f>
        <v>0</v>
      </c>
      <c r="D73" s="20"/>
      <c r="E73" s="5"/>
      <c r="F73" s="5">
        <f t="shared" si="14"/>
        <v>0</v>
      </c>
      <c r="G73" s="5"/>
      <c r="I73" s="84"/>
      <c r="J73" s="86"/>
      <c r="K73" s="85"/>
      <c r="L73" s="86"/>
      <c r="M73" s="85"/>
    </row>
    <row r="74" spans="1:13" ht="18.75" customHeight="1" x14ac:dyDescent="0.35">
      <c r="A74" s="93"/>
      <c r="B74" s="112"/>
      <c r="C74" s="5">
        <f>+IFERROR(VLOOKUP($A74,RAIZ!$A$3:$X$1500,MATCH('Suc. Ruiz'!$F$1,RAIZ!$A$2:$X$2,0),FALSE),0)</f>
        <v>0</v>
      </c>
      <c r="D74" s="20"/>
      <c r="E74" s="5"/>
      <c r="F74" s="5">
        <f t="shared" si="14"/>
        <v>0</v>
      </c>
      <c r="G74" s="5"/>
      <c r="I74" s="84"/>
      <c r="J74" s="86"/>
      <c r="K74" s="85"/>
      <c r="L74" s="86"/>
      <c r="M74" s="85"/>
    </row>
    <row r="75" spans="1:13" ht="18.75" customHeight="1" x14ac:dyDescent="0.35">
      <c r="A75" s="93"/>
      <c r="B75" s="112"/>
      <c r="C75" s="5">
        <f>+IFERROR(VLOOKUP($A75,RAIZ!$A$3:$X$1500,MATCH('Suc. Ruiz'!$F$1,RAIZ!$A$2:$X$2,0),FALSE),0)</f>
        <v>0</v>
      </c>
      <c r="D75" s="20"/>
      <c r="E75" s="5"/>
      <c r="F75" s="5">
        <f t="shared" si="14"/>
        <v>0</v>
      </c>
      <c r="G75" s="5"/>
      <c r="I75" s="84"/>
      <c r="J75" s="86"/>
      <c r="K75" s="85"/>
      <c r="L75" s="86"/>
      <c r="M75" s="85"/>
    </row>
    <row r="76" spans="1:13" ht="18.75" customHeight="1" x14ac:dyDescent="0.35">
      <c r="A76" s="93"/>
      <c r="B76" s="112"/>
      <c r="C76" s="5">
        <f>+IFERROR(VLOOKUP($A76,RAIZ!$A$3:$X$1500,MATCH('Suc. Ruiz'!$F$1,RAIZ!$A$2:$X$2,0),FALSE),0)</f>
        <v>0</v>
      </c>
      <c r="D76" s="20"/>
      <c r="E76" s="5"/>
      <c r="F76" s="5">
        <f t="shared" si="14"/>
        <v>0</v>
      </c>
      <c r="G76" s="5"/>
      <c r="I76" s="84"/>
      <c r="J76" s="86"/>
      <c r="K76" s="85"/>
      <c r="L76" s="86"/>
      <c r="M76" s="85"/>
    </row>
    <row r="77" spans="1:13" ht="18.75" customHeight="1" thickBot="1" x14ac:dyDescent="0.4">
      <c r="A77" s="93"/>
      <c r="B77" s="112"/>
      <c r="C77" s="5">
        <f>+IFERROR(VLOOKUP($A77,RAIZ!$A$3:$X$1500,MATCH('Suc. Ruiz'!$F$1,RAIZ!$A$2:$X$2,0),FALSE),0)</f>
        <v>0</v>
      </c>
      <c r="D77" s="20"/>
      <c r="E77" s="5"/>
      <c r="F77" s="5">
        <f t="shared" si="14"/>
        <v>0</v>
      </c>
      <c r="G77" s="5"/>
      <c r="I77" s="84"/>
      <c r="J77" s="86"/>
      <c r="K77" s="85"/>
      <c r="L77" s="86"/>
      <c r="M77" s="85"/>
    </row>
    <row r="78" spans="1:13" ht="18.75" customHeight="1" thickBot="1" x14ac:dyDescent="0.4">
      <c r="A78" s="99" t="s">
        <v>54</v>
      </c>
      <c r="B78" s="111"/>
      <c r="C78" s="77">
        <f>SUM(C56:C77)</f>
        <v>10</v>
      </c>
      <c r="D78" s="48">
        <f>SUM(D56:D77)</f>
        <v>9</v>
      </c>
      <c r="E78" s="48">
        <f>SUM(E56:E77)</f>
        <v>0</v>
      </c>
      <c r="F78" s="65">
        <f>SUM(F56:F77)</f>
        <v>7</v>
      </c>
      <c r="G78" s="48">
        <f>SUM(G56:G77)</f>
        <v>0</v>
      </c>
      <c r="I78" s="84"/>
      <c r="J78" s="86"/>
      <c r="K78" s="85"/>
      <c r="L78" s="86"/>
      <c r="M78" s="85"/>
    </row>
    <row r="79" spans="1:13" ht="18.75" customHeight="1" thickBot="1" x14ac:dyDescent="0.4">
      <c r="A79" s="103" t="s">
        <v>55</v>
      </c>
      <c r="B79" s="111"/>
      <c r="C79" s="79">
        <f>C18+C32+C49+C52+C55+C78</f>
        <v>58</v>
      </c>
      <c r="D79" s="52">
        <f>D18+D32+D49+D52+D55+D78</f>
        <v>114</v>
      </c>
      <c r="E79" s="52">
        <f>E18+E32+E49+E52+E55+E78</f>
        <v>0</v>
      </c>
      <c r="F79" s="67">
        <f>F18+F32+F49+F52+F55+F78</f>
        <v>66</v>
      </c>
      <c r="G79" s="52">
        <f>G18+G32+G49+G52+G55+G78</f>
        <v>0</v>
      </c>
      <c r="I79" s="84"/>
      <c r="J79" s="86"/>
      <c r="K79" s="85"/>
      <c r="L79" s="86"/>
      <c r="M79" s="85"/>
    </row>
    <row r="80" spans="1:13" ht="18.75" customHeight="1" x14ac:dyDescent="0.35">
      <c r="A80" s="104" t="s">
        <v>56</v>
      </c>
      <c r="B80" s="111"/>
      <c r="C80" s="68"/>
      <c r="D80" s="26"/>
      <c r="E80" s="27"/>
      <c r="F80" s="27"/>
      <c r="G80" s="27"/>
      <c r="I80" s="84"/>
      <c r="L80" s="86"/>
      <c r="M80" s="85"/>
    </row>
    <row r="81" spans="1:9" ht="18.75" customHeight="1" x14ac:dyDescent="0.35">
      <c r="A81" s="94" t="s">
        <v>57</v>
      </c>
      <c r="B81" s="112" t="s">
        <v>797</v>
      </c>
      <c r="C81" s="5">
        <f>+IFERROR(VLOOKUP($A81,RAIZ!$A$3:$X$1500,MATCH('Suc. Ruiz'!$F$1,RAIZ!$A$2:$X$2,0),FALSE),0)</f>
        <v>0</v>
      </c>
      <c r="D81" s="4">
        <v>1</v>
      </c>
      <c r="E81" s="5"/>
      <c r="F81" s="5">
        <f t="shared" ref="F81:F85" si="15">IF(D81-C81&gt;=0,D81-C81,0)</f>
        <v>1</v>
      </c>
      <c r="G81" s="5"/>
      <c r="I81" s="84"/>
    </row>
    <row r="82" spans="1:9" ht="18.75" customHeight="1" x14ac:dyDescent="0.35">
      <c r="A82" s="94" t="s">
        <v>58</v>
      </c>
      <c r="B82" s="112" t="s">
        <v>867</v>
      </c>
      <c r="C82" s="5">
        <f>+IFERROR(VLOOKUP($A82,RAIZ!$A$3:$X$1500,MATCH('Suc. Ruiz'!$F$1,RAIZ!$A$2:$X$2,0),FALSE),0)</f>
        <v>1</v>
      </c>
      <c r="D82" s="4">
        <v>1</v>
      </c>
      <c r="E82" s="5"/>
      <c r="F82" s="5">
        <f t="shared" ref="F82" si="16">IF(D82-C82&gt;=0,D82-C82,0)</f>
        <v>0</v>
      </c>
      <c r="G82" s="5"/>
      <c r="I82" s="84"/>
    </row>
    <row r="83" spans="1:9" ht="18.75" customHeight="1" x14ac:dyDescent="0.35">
      <c r="A83" s="94" t="s">
        <v>59</v>
      </c>
      <c r="B83" s="112" t="s">
        <v>798</v>
      </c>
      <c r="C83" s="5">
        <f>+IFERROR(VLOOKUP($A83,RAIZ!$A$3:$X$1500,MATCH('Suc. Ruiz'!$F$1,RAIZ!$A$2:$X$2,0),FALSE),0)</f>
        <v>0</v>
      </c>
      <c r="D83" s="169">
        <v>0</v>
      </c>
      <c r="E83" s="5"/>
      <c r="F83" s="5">
        <f t="shared" si="15"/>
        <v>0</v>
      </c>
      <c r="G83" s="5"/>
      <c r="I83" s="84"/>
    </row>
    <row r="84" spans="1:9" ht="18.75" customHeight="1" x14ac:dyDescent="0.35">
      <c r="A84" s="94" t="s">
        <v>60</v>
      </c>
      <c r="B84" s="112" t="s">
        <v>799</v>
      </c>
      <c r="C84" s="5">
        <f>+IFERROR(VLOOKUP($A84,RAIZ!$A$3:$X$1500,MATCH('Suc. Ruiz'!$F$1,RAIZ!$A$2:$X$2,0),FALSE),0)</f>
        <v>0</v>
      </c>
      <c r="D84" s="7">
        <v>1</v>
      </c>
      <c r="E84" s="5"/>
      <c r="F84" s="5">
        <f t="shared" si="15"/>
        <v>1</v>
      </c>
      <c r="G84" s="5"/>
      <c r="I84" s="84"/>
    </row>
    <row r="85" spans="1:9" ht="18.75" customHeight="1" x14ac:dyDescent="0.35">
      <c r="A85" s="94" t="s">
        <v>61</v>
      </c>
      <c r="B85" s="112" t="s">
        <v>800</v>
      </c>
      <c r="C85" s="5">
        <f>+IFERROR(VLOOKUP($A85,RAIZ!$A$3:$X$1500,MATCH('Suc. Ruiz'!$F$1,RAIZ!$A$2:$X$2,0),FALSE),0)</f>
        <v>0</v>
      </c>
      <c r="D85" s="7">
        <v>1</v>
      </c>
      <c r="E85" s="5"/>
      <c r="F85" s="5">
        <f t="shared" si="15"/>
        <v>1</v>
      </c>
      <c r="G85" s="5"/>
      <c r="I85" s="84"/>
    </row>
    <row r="86" spans="1:9" ht="18.75" customHeight="1" x14ac:dyDescent="0.35">
      <c r="A86" s="94" t="s">
        <v>63</v>
      </c>
      <c r="B86" s="112" t="s">
        <v>801</v>
      </c>
      <c r="C86" s="5">
        <f>+IFERROR(VLOOKUP($A86,RAIZ!$A$3:$X$1500,MATCH('Suc. Ruiz'!$F$1,RAIZ!$A$2:$X$2,0),FALSE),0)</f>
        <v>0</v>
      </c>
      <c r="D86" s="7">
        <v>2</v>
      </c>
      <c r="E86" s="5"/>
      <c r="F86" s="5">
        <f t="shared" ref="F86:F90" si="17">IF(D86-C86&gt;=0,D86-C86,0)</f>
        <v>2</v>
      </c>
      <c r="G86" s="5"/>
      <c r="I86" s="84"/>
    </row>
    <row r="87" spans="1:9" ht="18.75" customHeight="1" x14ac:dyDescent="0.35">
      <c r="A87" s="94"/>
      <c r="B87" s="112" t="s">
        <v>1091</v>
      </c>
      <c r="C87" s="5">
        <f>+IFERROR(VLOOKUP($A87,RAIZ!$A$3:$X$1500,MATCH('Suc. Ruiz'!$F$1,RAIZ!$A$2:$X$2,0),FALSE),0)</f>
        <v>0</v>
      </c>
      <c r="D87" s="20"/>
      <c r="E87" s="5"/>
      <c r="F87" s="5">
        <f>IF(D87-C87&gt;=0,D87-C87,0)</f>
        <v>0</v>
      </c>
      <c r="G87" s="5"/>
    </row>
    <row r="88" spans="1:9" ht="18.75" customHeight="1" x14ac:dyDescent="0.35">
      <c r="A88" s="94"/>
      <c r="B88" s="112" t="s">
        <v>1094</v>
      </c>
      <c r="C88" s="5">
        <f>+IFERROR(VLOOKUP($A88,RAIZ!$A$3:$X$1500,MATCH('Suc. Ruiz'!$F$1,RAIZ!$A$2:$X$2,0),FALSE),0)</f>
        <v>0</v>
      </c>
      <c r="D88" s="7"/>
      <c r="E88" s="5"/>
      <c r="F88" s="5">
        <f t="shared" si="17"/>
        <v>0</v>
      </c>
      <c r="G88" s="5"/>
      <c r="I88" s="84"/>
    </row>
    <row r="89" spans="1:9" ht="18.75" customHeight="1" x14ac:dyDescent="0.35">
      <c r="A89" s="94"/>
      <c r="B89" s="112" t="s">
        <v>1095</v>
      </c>
      <c r="C89" s="5">
        <f>+IFERROR(VLOOKUP($A89,RAIZ!$A$3:$X$1500,MATCH('Suc. Ruiz'!$F$1,RAIZ!$A$2:$X$2,0),FALSE),0)</f>
        <v>0</v>
      </c>
      <c r="D89" s="7"/>
      <c r="E89" s="5"/>
      <c r="F89" s="5">
        <f t="shared" si="17"/>
        <v>0</v>
      </c>
      <c r="G89" s="5"/>
      <c r="I89" s="84"/>
    </row>
    <row r="90" spans="1:9" ht="18.75" customHeight="1" thickBot="1" x14ac:dyDescent="0.4">
      <c r="A90" s="94"/>
      <c r="B90" s="112" t="s">
        <v>1093</v>
      </c>
      <c r="C90" s="5">
        <f>+IFERROR(VLOOKUP($A90,RAIZ!$A$3:$X$1500,MATCH('Suc. Ruiz'!$F$1,RAIZ!$A$2:$X$2,0),FALSE),0)</f>
        <v>0</v>
      </c>
      <c r="D90" s="7"/>
      <c r="E90" s="5"/>
      <c r="F90" s="5">
        <f t="shared" si="17"/>
        <v>0</v>
      </c>
      <c r="G90" s="5"/>
      <c r="I90" s="84"/>
    </row>
    <row r="91" spans="1:9" ht="18.75" customHeight="1" thickBot="1" x14ac:dyDescent="0.4">
      <c r="A91" s="105" t="s">
        <v>55</v>
      </c>
      <c r="B91" s="111"/>
      <c r="C91" s="80">
        <f>SUM(C81:C90)</f>
        <v>1</v>
      </c>
      <c r="D91" s="54">
        <f>SUM(D81:D90)</f>
        <v>6</v>
      </c>
      <c r="E91" s="54">
        <f>SUM(E81:E90)</f>
        <v>0</v>
      </c>
      <c r="F91" s="69">
        <f>SUM(F81:F90)</f>
        <v>5</v>
      </c>
      <c r="G91" s="54">
        <f>SUM(G81:G90)</f>
        <v>0</v>
      </c>
      <c r="I91" s="84"/>
    </row>
    <row r="92" spans="1:9" ht="18.75" customHeight="1" x14ac:dyDescent="0.35">
      <c r="A92" s="106" t="s">
        <v>64</v>
      </c>
      <c r="B92" s="111"/>
      <c r="C92" s="70"/>
      <c r="D92" s="30"/>
      <c r="E92" s="31"/>
      <c r="F92" s="31"/>
      <c r="G92" s="31"/>
      <c r="I92" s="84"/>
    </row>
    <row r="93" spans="1:9" ht="18.75" customHeight="1" x14ac:dyDescent="0.35">
      <c r="A93" s="94" t="s">
        <v>65</v>
      </c>
      <c r="B93" s="112" t="s">
        <v>802</v>
      </c>
      <c r="C93" s="5">
        <f>+IFERROR(VLOOKUP($A93,RAIZ!$A$3:$X$1500,MATCH('Suc. Ruiz'!$F$1,RAIZ!$A$2:$X$2,0),FALSE),0)</f>
        <v>0</v>
      </c>
      <c r="D93" s="168">
        <v>0</v>
      </c>
      <c r="E93" s="5"/>
      <c r="F93" s="5">
        <f t="shared" ref="F93:F104" si="18">IF(D93-C93&gt;=0,D93-C93,0)</f>
        <v>0</v>
      </c>
      <c r="G93" s="5"/>
      <c r="I93" s="84"/>
    </row>
    <row r="94" spans="1:9" ht="18.75" customHeight="1" x14ac:dyDescent="0.35">
      <c r="A94" s="94" t="s">
        <v>66</v>
      </c>
      <c r="B94" s="112" t="s">
        <v>803</v>
      </c>
      <c r="C94" s="5">
        <f>+IFERROR(VLOOKUP($A94,RAIZ!$A$3:$X$1500,MATCH('Suc. Ruiz'!$F$1,RAIZ!$A$2:$X$2,0),FALSE),0)</f>
        <v>0</v>
      </c>
      <c r="D94" s="169">
        <v>0</v>
      </c>
      <c r="E94" s="5"/>
      <c r="F94" s="5">
        <f t="shared" si="18"/>
        <v>0</v>
      </c>
      <c r="G94" s="5"/>
      <c r="I94" s="84"/>
    </row>
    <row r="95" spans="1:9" ht="18.75" customHeight="1" x14ac:dyDescent="0.35">
      <c r="A95" s="94" t="s">
        <v>68</v>
      </c>
      <c r="B95" s="112" t="s">
        <v>805</v>
      </c>
      <c r="C95" s="5">
        <f>+IFERROR(VLOOKUP($A95,RAIZ!$A$3:$X$1500,MATCH('Suc. Ruiz'!$F$1,RAIZ!$A$2:$X$2,0),FALSE),0)</f>
        <v>0</v>
      </c>
      <c r="D95" s="169">
        <v>0</v>
      </c>
      <c r="E95" s="5"/>
      <c r="F95" s="5">
        <f t="shared" si="18"/>
        <v>0</v>
      </c>
      <c r="G95" s="5"/>
      <c r="I95" s="84"/>
    </row>
    <row r="96" spans="1:9" ht="18.75" customHeight="1" x14ac:dyDescent="0.35">
      <c r="A96" s="94" t="s">
        <v>69</v>
      </c>
      <c r="B96" s="112" t="s">
        <v>806</v>
      </c>
      <c r="C96" s="5">
        <f>+IFERROR(VLOOKUP($A96,RAIZ!$A$3:$X$1500,MATCH('Suc. Ruiz'!$F$1,RAIZ!$A$2:$X$2,0),FALSE),0)</f>
        <v>5</v>
      </c>
      <c r="D96" s="7">
        <v>5</v>
      </c>
      <c r="E96" s="5"/>
      <c r="F96" s="5">
        <f t="shared" si="18"/>
        <v>0</v>
      </c>
      <c r="G96" s="5"/>
      <c r="I96" s="84"/>
    </row>
    <row r="97" spans="1:9" ht="18.75" customHeight="1" x14ac:dyDescent="0.35">
      <c r="A97" s="94" t="s">
        <v>70</v>
      </c>
      <c r="B97" s="112" t="s">
        <v>807</v>
      </c>
      <c r="C97" s="5">
        <f>+IFERROR(VLOOKUP($A97,RAIZ!$A$3:$X$1500,MATCH('Suc. Ruiz'!$F$1,RAIZ!$A$2:$X$2,0),FALSE),0)</f>
        <v>5</v>
      </c>
      <c r="D97" s="7">
        <v>5</v>
      </c>
      <c r="E97" s="5"/>
      <c r="F97" s="5">
        <f t="shared" si="18"/>
        <v>0</v>
      </c>
      <c r="G97" s="5"/>
      <c r="I97" s="84"/>
    </row>
    <row r="98" spans="1:9" ht="18.75" customHeight="1" x14ac:dyDescent="0.35">
      <c r="A98" s="94" t="s">
        <v>857</v>
      </c>
      <c r="B98" s="112" t="s">
        <v>808</v>
      </c>
      <c r="C98" s="5">
        <f>+IFERROR(VLOOKUP($A98,RAIZ!$A$3:$X$1500,MATCH('Suc. Ruiz'!$F$1,RAIZ!$A$2:$X$2,0),FALSE),0)</f>
        <v>4</v>
      </c>
      <c r="D98" s="7">
        <v>2</v>
      </c>
      <c r="E98" s="201">
        <v>10</v>
      </c>
      <c r="F98" s="5">
        <f t="shared" si="18"/>
        <v>0</v>
      </c>
      <c r="G98" s="5"/>
      <c r="I98" s="84"/>
    </row>
    <row r="99" spans="1:9" ht="18.75" customHeight="1" x14ac:dyDescent="0.35">
      <c r="A99" s="94" t="s">
        <v>835</v>
      </c>
      <c r="B99" s="112" t="s">
        <v>836</v>
      </c>
      <c r="C99" s="5">
        <f>+IFERROR(VLOOKUP($A99,RAIZ!$A$3:$X$1500,MATCH('Suc. Ruiz'!$F$1,RAIZ!$A$2:$X$2,0),FALSE),0)</f>
        <v>2</v>
      </c>
      <c r="D99" s="7">
        <v>2</v>
      </c>
      <c r="E99" s="5"/>
      <c r="F99" s="5">
        <f t="shared" ref="F99:F103" si="19">IF(D99-C99&gt;=0,D99-C99,0)</f>
        <v>0</v>
      </c>
      <c r="G99" s="5"/>
      <c r="I99" s="84"/>
    </row>
    <row r="100" spans="1:9" ht="18.75" customHeight="1" x14ac:dyDescent="0.35">
      <c r="A100" s="94" t="s">
        <v>72</v>
      </c>
      <c r="B100" s="112" t="s">
        <v>834</v>
      </c>
      <c r="C100" s="5">
        <f>+IFERROR(VLOOKUP($A100,RAIZ!$A$3:$X$1500,MATCH('Suc. Ruiz'!$F$1,RAIZ!$A$2:$X$2,0),FALSE),0)</f>
        <v>21</v>
      </c>
      <c r="D100" s="7">
        <v>20</v>
      </c>
      <c r="E100" s="5"/>
      <c r="F100" s="5">
        <f t="shared" si="19"/>
        <v>0</v>
      </c>
      <c r="G100" s="5"/>
      <c r="I100" s="84"/>
    </row>
    <row r="101" spans="1:9" ht="18.75" customHeight="1" x14ac:dyDescent="0.35">
      <c r="A101" s="94" t="s">
        <v>73</v>
      </c>
      <c r="B101" s="112" t="s">
        <v>809</v>
      </c>
      <c r="C101" s="5">
        <f>+IFERROR(VLOOKUP($A101,RAIZ!$A$3:$X$1500,MATCH('Suc. Ruiz'!$F$1,RAIZ!$A$2:$X$2,0),FALSE),0)</f>
        <v>0</v>
      </c>
      <c r="D101" s="169">
        <v>0</v>
      </c>
      <c r="E101" s="5"/>
      <c r="F101" s="5">
        <f t="shared" si="19"/>
        <v>0</v>
      </c>
      <c r="G101" s="5"/>
    </row>
    <row r="102" spans="1:9" ht="18.75" customHeight="1" x14ac:dyDescent="0.35">
      <c r="A102" s="94" t="s">
        <v>74</v>
      </c>
      <c r="B102" s="112" t="s">
        <v>810</v>
      </c>
      <c r="C102" s="5">
        <f>+IFERROR(VLOOKUP($A102,RAIZ!$A$3:$X$1500,MATCH('Suc. Ruiz'!$F$1,RAIZ!$A$2:$X$2,0),FALSE),0)</f>
        <v>0</v>
      </c>
      <c r="D102" s="7">
        <v>1</v>
      </c>
      <c r="E102" s="5"/>
      <c r="F102" s="5">
        <f t="shared" si="19"/>
        <v>1</v>
      </c>
      <c r="G102" s="5"/>
    </row>
    <row r="103" spans="1:9" ht="18.75" customHeight="1" x14ac:dyDescent="0.35">
      <c r="A103" s="94" t="s">
        <v>75</v>
      </c>
      <c r="B103" s="112" t="s">
        <v>811</v>
      </c>
      <c r="C103" s="5">
        <f>+IFERROR(VLOOKUP($A103,RAIZ!$A$3:$X$1500,MATCH('Suc. Ruiz'!$F$1,RAIZ!$A$2:$X$2,0),FALSE),0)</f>
        <v>0</v>
      </c>
      <c r="D103" s="20">
        <v>1</v>
      </c>
      <c r="E103" s="5"/>
      <c r="F103" s="5">
        <f t="shared" si="19"/>
        <v>1</v>
      </c>
      <c r="G103" s="5"/>
      <c r="I103" s="84"/>
    </row>
    <row r="104" spans="1:9" ht="18.75" customHeight="1" thickBot="1" x14ac:dyDescent="0.4">
      <c r="A104" s="94"/>
      <c r="B104" s="112" t="s">
        <v>1096</v>
      </c>
      <c r="C104" s="5">
        <f>+IFERROR(VLOOKUP($A104,RAIZ!$A$3:$X$1500,MATCH('Suc. Ruiz'!$F$1,RAIZ!$A$2:$X$2,0),FALSE),0)</f>
        <v>0</v>
      </c>
      <c r="D104" s="7"/>
      <c r="E104" s="5"/>
      <c r="F104" s="5">
        <f t="shared" si="18"/>
        <v>0</v>
      </c>
      <c r="G104" s="5"/>
      <c r="I104" s="84"/>
    </row>
    <row r="105" spans="1:9" ht="18.75" customHeight="1" thickBot="1" x14ac:dyDescent="0.4">
      <c r="A105" s="107" t="s">
        <v>55</v>
      </c>
      <c r="B105" s="111"/>
      <c r="C105" s="81">
        <f>SUM(C93:C104)</f>
        <v>37</v>
      </c>
      <c r="D105" s="56">
        <f>SUM(D93:D104)</f>
        <v>36</v>
      </c>
      <c r="E105" s="56">
        <f>SUM(E93:E104)</f>
        <v>10</v>
      </c>
      <c r="F105" s="71">
        <f>SUM(F93:F104)</f>
        <v>2</v>
      </c>
      <c r="G105" s="56">
        <f>SUM(G93:G104)</f>
        <v>0</v>
      </c>
      <c r="I105" s="84"/>
    </row>
    <row r="106" spans="1:9" ht="18.75" customHeight="1" x14ac:dyDescent="0.35">
      <c r="A106" s="108" t="s">
        <v>76</v>
      </c>
      <c r="B106" s="111"/>
      <c r="C106" s="72"/>
      <c r="D106" s="34"/>
      <c r="E106" s="35"/>
      <c r="F106" s="35"/>
      <c r="G106" s="35"/>
      <c r="I106" s="84"/>
    </row>
    <row r="107" spans="1:9" ht="18.75" customHeight="1" x14ac:dyDescent="0.35">
      <c r="A107" s="94" t="s">
        <v>77</v>
      </c>
      <c r="B107" s="112" t="s">
        <v>812</v>
      </c>
      <c r="C107" s="5">
        <f>+IFERROR(VLOOKUP($A107,RAIZ!$A$3:$X$1500,MATCH('Suc. Ruiz'!$F$1,RAIZ!$A$2:$X$2,0),FALSE),0)</f>
        <v>0</v>
      </c>
      <c r="D107" s="7">
        <v>2</v>
      </c>
      <c r="E107" s="5"/>
      <c r="F107" s="5">
        <f t="shared" ref="F107:F112" si="20">IF(D107-C107&gt;=0,D107-C107,0)</f>
        <v>2</v>
      </c>
      <c r="G107" s="5"/>
      <c r="I107" s="84"/>
    </row>
    <row r="108" spans="1:9" ht="18.75" customHeight="1" x14ac:dyDescent="0.35">
      <c r="A108" s="94" t="s">
        <v>621</v>
      </c>
      <c r="B108" s="112" t="s">
        <v>813</v>
      </c>
      <c r="C108" s="5">
        <f>+IFERROR(VLOOKUP($A108,RAIZ!$A$3:$X$1500,MATCH('Suc. Ruiz'!$F$1,RAIZ!$A$2:$X$2,0),FALSE),0)</f>
        <v>0</v>
      </c>
      <c r="D108" s="169">
        <v>0</v>
      </c>
      <c r="E108" s="5"/>
      <c r="F108" s="5">
        <f t="shared" si="20"/>
        <v>0</v>
      </c>
      <c r="G108" s="5"/>
      <c r="I108" s="84"/>
    </row>
    <row r="109" spans="1:9" ht="18.75" customHeight="1" x14ac:dyDescent="0.35">
      <c r="A109" s="94" t="s">
        <v>80</v>
      </c>
      <c r="B109" s="112" t="s">
        <v>815</v>
      </c>
      <c r="C109" s="5">
        <f>+IFERROR(VLOOKUP($A109,RAIZ!$A$3:$X$1500,MATCH('Suc. Ruiz'!$F$1,RAIZ!$A$2:$X$2,0),FALSE),0)</f>
        <v>10</v>
      </c>
      <c r="D109" s="7">
        <v>10</v>
      </c>
      <c r="E109" s="5"/>
      <c r="F109" s="5">
        <f t="shared" si="20"/>
        <v>0</v>
      </c>
      <c r="G109" s="5"/>
      <c r="I109" s="84"/>
    </row>
    <row r="110" spans="1:9" ht="18.75" customHeight="1" x14ac:dyDescent="0.35">
      <c r="A110" s="94" t="s">
        <v>81</v>
      </c>
      <c r="B110" s="112" t="s">
        <v>816</v>
      </c>
      <c r="C110" s="5">
        <f>+IFERROR(VLOOKUP($A110,RAIZ!$A$3:$X$1500,MATCH('Suc. Ruiz'!$F$1,RAIZ!$A$2:$X$2,0),FALSE),0)</f>
        <v>9</v>
      </c>
      <c r="D110" s="7">
        <v>10</v>
      </c>
      <c r="E110" s="5"/>
      <c r="F110" s="5">
        <f t="shared" si="20"/>
        <v>1</v>
      </c>
      <c r="G110" s="5"/>
      <c r="I110" s="84"/>
    </row>
    <row r="111" spans="1:9" ht="18.75" customHeight="1" x14ac:dyDescent="0.35">
      <c r="A111" s="95" t="s">
        <v>83</v>
      </c>
      <c r="B111" s="112" t="s">
        <v>818</v>
      </c>
      <c r="C111" s="5">
        <f>+IFERROR(VLOOKUP($A111,RAIZ!$A$3:$X$1500,MATCH('Suc. Ruiz'!$F$1,RAIZ!$A$2:$X$2,0),FALSE),0)</f>
        <v>0</v>
      </c>
      <c r="D111" s="20">
        <v>1</v>
      </c>
      <c r="E111" s="5"/>
      <c r="F111" s="5">
        <f t="shared" si="20"/>
        <v>1</v>
      </c>
      <c r="G111" s="5"/>
      <c r="I111" s="84"/>
    </row>
    <row r="112" spans="1:9" ht="18.75" customHeight="1" thickBot="1" x14ac:dyDescent="0.4">
      <c r="A112" s="95"/>
      <c r="B112" s="112"/>
      <c r="C112" s="5">
        <f>+IFERROR(VLOOKUP($A112,RAIZ!$A$3:$X$1500,MATCH('Suc. Ruiz'!$F$1,RAIZ!$A$2:$X$2,0),FALSE),0)</f>
        <v>0</v>
      </c>
      <c r="D112" s="20"/>
      <c r="E112" s="5"/>
      <c r="F112" s="5">
        <f t="shared" si="20"/>
        <v>0</v>
      </c>
      <c r="G112" s="5"/>
      <c r="I112" s="84"/>
    </row>
    <row r="113" spans="1:9" ht="18.75" customHeight="1" thickBot="1" x14ac:dyDescent="0.4">
      <c r="A113" s="109" t="s">
        <v>55</v>
      </c>
      <c r="B113" s="111"/>
      <c r="C113" s="82">
        <f>SUM(C107:C112,C114:C116)</f>
        <v>21</v>
      </c>
      <c r="D113" s="58">
        <f>SUM(D107:D112,D114:D116)</f>
        <v>28</v>
      </c>
      <c r="E113" s="58">
        <f>SUM(E107:E112,E114:E116)</f>
        <v>0</v>
      </c>
      <c r="F113" s="73">
        <f>SUM(F107:F112,F114:F116)</f>
        <v>7</v>
      </c>
      <c r="G113" s="58">
        <f>SUM(G107:G112,G114:G116)</f>
        <v>0</v>
      </c>
      <c r="I113" s="84"/>
    </row>
    <row r="114" spans="1:9" ht="18.75" customHeight="1" x14ac:dyDescent="0.35">
      <c r="A114" s="93" t="s">
        <v>84</v>
      </c>
      <c r="B114" s="112" t="s">
        <v>819</v>
      </c>
      <c r="C114" s="5">
        <f>+IFERROR(VLOOKUP($A114,RAIZ!$A$3:$X$1500,MATCH('Suc. Ruiz'!$F$1,RAIZ!$A$2:$X$2,0),FALSE),0)</f>
        <v>1</v>
      </c>
      <c r="D114" s="4">
        <v>2</v>
      </c>
      <c r="E114" s="5"/>
      <c r="F114" s="5">
        <f t="shared" ref="F114" si="21">IF(D114-C114&gt;=0,D114-C114,0)</f>
        <v>1</v>
      </c>
      <c r="G114" s="5"/>
      <c r="I114" s="84"/>
    </row>
    <row r="115" spans="1:9" ht="18.75" customHeight="1" x14ac:dyDescent="0.35">
      <c r="A115" s="95" t="s">
        <v>85</v>
      </c>
      <c r="B115" s="112" t="s">
        <v>820</v>
      </c>
      <c r="C115" s="5">
        <f>+IFERROR(VLOOKUP($A115,RAIZ!$A$3:$X$1500,MATCH('Suc. Ruiz'!$F$1,RAIZ!$A$2:$X$2,0),FALSE),0)</f>
        <v>1</v>
      </c>
      <c r="D115" s="20">
        <v>2</v>
      </c>
      <c r="E115" s="5"/>
      <c r="F115" s="5">
        <f t="shared" ref="F115:F141" si="22">IF(D115-C115&gt;=0,D115-C115,0)</f>
        <v>1</v>
      </c>
      <c r="G115" s="5"/>
      <c r="I115" s="84"/>
    </row>
    <row r="116" spans="1:9" ht="18.75" customHeight="1" thickBot="1" x14ac:dyDescent="0.4">
      <c r="A116" s="95" t="s">
        <v>881</v>
      </c>
      <c r="B116" s="112" t="s">
        <v>882</v>
      </c>
      <c r="C116" s="5">
        <f>+IFERROR(VLOOKUP($A116,RAIZ!$A$3:$X$1500,MATCH('Suc. Ruiz'!$F$1,RAIZ!$A$2:$X$2,0),FALSE),0)</f>
        <v>0</v>
      </c>
      <c r="D116" s="20">
        <v>1</v>
      </c>
      <c r="E116" s="5"/>
      <c r="F116" s="5">
        <f t="shared" si="22"/>
        <v>1</v>
      </c>
      <c r="G116" s="5"/>
    </row>
    <row r="117" spans="1:9" ht="18.75" customHeight="1" thickBot="1" x14ac:dyDescent="0.4">
      <c r="A117" s="110" t="s">
        <v>86</v>
      </c>
      <c r="B117" s="111"/>
      <c r="C117" s="83">
        <f>C79+C91+C105+C113</f>
        <v>117</v>
      </c>
      <c r="D117" s="60">
        <f>D79+D91+D105+D113</f>
        <v>184</v>
      </c>
      <c r="E117" s="60">
        <f>E79+E91+E105+E113</f>
        <v>10</v>
      </c>
      <c r="F117" s="74">
        <f>F79+F91+F105+F113</f>
        <v>80</v>
      </c>
      <c r="G117" s="60">
        <f>G79+G91+G105+G113</f>
        <v>0</v>
      </c>
      <c r="I117" s="84"/>
    </row>
    <row r="118" spans="1:9" ht="18.75" customHeight="1" x14ac:dyDescent="0.35">
      <c r="A118" s="95" t="s">
        <v>975</v>
      </c>
      <c r="B118" s="112" t="s">
        <v>976</v>
      </c>
      <c r="C118" s="5">
        <f>+IFERROR(VLOOKUP($A118,RAIZ!$A$3:$X$1500,MATCH('Suc. Ruiz'!$F$1,RAIZ!$A$2:$X$2,0),FALSE),0)</f>
        <v>2</v>
      </c>
      <c r="D118" s="20">
        <v>3</v>
      </c>
      <c r="E118" s="5"/>
      <c r="F118" s="5">
        <f>IF(D118-C118&gt;=0,D118-C118,0)</f>
        <v>1</v>
      </c>
      <c r="G118" s="5"/>
    </row>
    <row r="119" spans="1:9" ht="18.75" customHeight="1" x14ac:dyDescent="0.35">
      <c r="A119" s="95" t="s">
        <v>974</v>
      </c>
      <c r="B119" s="112" t="s">
        <v>977</v>
      </c>
      <c r="C119" s="5">
        <f>+IFERROR(VLOOKUP($A119,RAIZ!$A$3:$X$1500,MATCH('Suc. Ruiz'!$F$1,RAIZ!$A$2:$X$2,0),FALSE),0)</f>
        <v>3</v>
      </c>
      <c r="D119" s="20">
        <v>3</v>
      </c>
      <c r="E119" s="5"/>
      <c r="F119" s="5">
        <f t="shared" si="22"/>
        <v>0</v>
      </c>
      <c r="G119" s="5"/>
    </row>
    <row r="120" spans="1:9" ht="18.75" customHeight="1" thickBot="1" x14ac:dyDescent="0.4">
      <c r="A120" s="95" t="s">
        <v>1077</v>
      </c>
      <c r="B120" s="112" t="s">
        <v>817</v>
      </c>
      <c r="C120" s="5">
        <f>+IFERROR(VLOOKUP($A120,RAIZ!$A$3:$X$1500,MATCH('Suc. Ruiz'!$F$1,RAIZ!$A$2:$X$2,0),FALSE),0)</f>
        <v>0</v>
      </c>
      <c r="D120" s="20">
        <v>0</v>
      </c>
      <c r="E120" s="5"/>
      <c r="F120" s="5">
        <f t="shared" si="22"/>
        <v>0</v>
      </c>
      <c r="G120" s="5"/>
    </row>
    <row r="121" spans="1:9" ht="18.75" customHeight="1" thickBot="1" x14ac:dyDescent="0.4">
      <c r="A121" s="95" t="s">
        <v>1076</v>
      </c>
      <c r="B121" s="194" t="s">
        <v>1121</v>
      </c>
      <c r="C121" s="5">
        <f>+IFERROR(VLOOKUP($A121,RAIZ!$A$3:$X$1500,MATCH('Suc. Ruiz'!$F$1,RAIZ!$A$2:$X$2,0),FALSE),0)</f>
        <v>0</v>
      </c>
      <c r="D121" s="20">
        <v>0</v>
      </c>
      <c r="E121" s="5"/>
      <c r="F121" s="5">
        <f t="shared" si="22"/>
        <v>0</v>
      </c>
      <c r="G121" s="5"/>
    </row>
    <row r="122" spans="1:9" ht="18.75" customHeight="1" thickBot="1" x14ac:dyDescent="0.4">
      <c r="A122" s="95" t="s">
        <v>1014</v>
      </c>
      <c r="B122" s="194" t="s">
        <v>1010</v>
      </c>
      <c r="C122" s="5">
        <f>+IFERROR(VLOOKUP($A122,RAIZ!$A$3:$X$1500,MATCH('Suc. Ruiz'!$F$1,RAIZ!$A$2:$X$2,0),FALSE),0)</f>
        <v>0</v>
      </c>
      <c r="D122" s="20">
        <v>5</v>
      </c>
      <c r="E122" s="5"/>
      <c r="F122" s="5">
        <f t="shared" si="22"/>
        <v>5</v>
      </c>
      <c r="G122" s="5"/>
    </row>
    <row r="123" spans="1:9" ht="18.75" customHeight="1" thickBot="1" x14ac:dyDescent="0.4">
      <c r="A123" s="95" t="s">
        <v>1015</v>
      </c>
      <c r="B123" s="194" t="s">
        <v>1011</v>
      </c>
      <c r="C123" s="147">
        <f>+IFERROR(VLOOKUP($A123,RAIZ!$A$3:$X$1500,MATCH('Suc. Ruiz'!$F$1,RAIZ!$A$2:$X$2,0),FALSE),0)</f>
        <v>4</v>
      </c>
      <c r="D123" s="20">
        <v>5</v>
      </c>
      <c r="E123" s="5"/>
      <c r="F123" s="5">
        <f t="shared" si="22"/>
        <v>1</v>
      </c>
      <c r="G123" s="5"/>
    </row>
    <row r="124" spans="1:9" ht="18.75" customHeight="1" thickBot="1" x14ac:dyDescent="0.4">
      <c r="A124" s="95" t="s">
        <v>1016</v>
      </c>
      <c r="B124" s="194" t="s">
        <v>1012</v>
      </c>
      <c r="C124" s="147">
        <f>+IFERROR(VLOOKUP($A124,RAIZ!$A$3:$X$1500,MATCH('Suc. Ruiz'!$F$1,RAIZ!$A$2:$X$2,0),FALSE),0)</f>
        <v>0</v>
      </c>
      <c r="D124" s="20">
        <v>5</v>
      </c>
      <c r="E124" s="5"/>
      <c r="F124" s="5">
        <f t="shared" si="22"/>
        <v>5</v>
      </c>
      <c r="G124" s="5"/>
    </row>
    <row r="125" spans="1:9" ht="18.75" customHeight="1" thickBot="1" x14ac:dyDescent="0.4">
      <c r="A125" s="95" t="s">
        <v>1017</v>
      </c>
      <c r="B125" s="194" t="s">
        <v>1013</v>
      </c>
      <c r="C125" s="147">
        <f>+IFERROR(VLOOKUP($A125,RAIZ!$A$3:$X$1500,MATCH('Suc. Ruiz'!$F$1,RAIZ!$A$2:$X$2,0),FALSE),0)</f>
        <v>4</v>
      </c>
      <c r="D125" s="18">
        <v>5</v>
      </c>
      <c r="E125" s="5"/>
      <c r="F125" s="5">
        <f t="shared" si="22"/>
        <v>1</v>
      </c>
      <c r="G125" s="5"/>
    </row>
    <row r="126" spans="1:9" ht="18.75" customHeight="1" thickBot="1" x14ac:dyDescent="0.4">
      <c r="A126" s="95" t="s">
        <v>1125</v>
      </c>
      <c r="B126" s="194" t="s">
        <v>1127</v>
      </c>
      <c r="C126" s="147">
        <f>+IFERROR(VLOOKUP($A126,RAIZ!$A$3:$X$1500,MATCH('Suc. Ruiz'!$F$1,RAIZ!$A$2:$X$2,0),FALSE),0)</f>
        <v>1</v>
      </c>
      <c r="D126" s="20"/>
      <c r="E126" s="5"/>
      <c r="F126" s="5">
        <f t="shared" si="22"/>
        <v>0</v>
      </c>
      <c r="G126" s="5"/>
    </row>
    <row r="127" spans="1:9" ht="18.75" customHeight="1" thickBot="1" x14ac:dyDescent="0.4">
      <c r="A127" s="95" t="s">
        <v>1126</v>
      </c>
      <c r="B127" s="194" t="s">
        <v>1128</v>
      </c>
      <c r="C127" s="147">
        <f>+IFERROR(VLOOKUP($A127,RAIZ!$A$3:$X$1500,MATCH('Suc. Ruiz'!$F$1,RAIZ!$A$2:$X$2,0),FALSE),0)</f>
        <v>1</v>
      </c>
      <c r="D127" s="18"/>
      <c r="E127" s="184"/>
      <c r="F127" s="184">
        <f t="shared" si="22"/>
        <v>0</v>
      </c>
      <c r="G127" s="181"/>
    </row>
    <row r="128" spans="1:9" ht="18.75" customHeight="1" thickBot="1" x14ac:dyDescent="0.4">
      <c r="A128" s="95" t="s">
        <v>568</v>
      </c>
      <c r="B128" s="194" t="s">
        <v>1131</v>
      </c>
      <c r="C128" s="186">
        <f>+IFERROR(VLOOKUP($A128,RAIZ!$A$3:$X$1500,MATCH('Suc. Ruiz'!$F$1,RAIZ!$A$2:$X$2,0),FALSE),0)</f>
        <v>2</v>
      </c>
      <c r="D128" s="18">
        <v>3</v>
      </c>
      <c r="E128" s="185"/>
      <c r="F128" s="185">
        <f t="shared" si="22"/>
        <v>1</v>
      </c>
      <c r="G128" s="185"/>
    </row>
    <row r="129" spans="1:7" ht="18.75" customHeight="1" thickBot="1" x14ac:dyDescent="0.4">
      <c r="A129" s="95" t="s">
        <v>565</v>
      </c>
      <c r="B129" s="194" t="s">
        <v>1142</v>
      </c>
      <c r="C129" s="187">
        <f>+IFERROR(VLOOKUP($A129,RAIZ!$A$3:$X$1500,MATCH('Suc. Ruiz'!$F$1,RAIZ!$A$2:$X$2,0),FALSE),0)</f>
        <v>0</v>
      </c>
      <c r="D129" s="18">
        <v>2</v>
      </c>
      <c r="E129" s="185"/>
      <c r="F129" s="185">
        <f t="shared" si="22"/>
        <v>2</v>
      </c>
      <c r="G129" s="185"/>
    </row>
    <row r="130" spans="1:7" ht="18.75" customHeight="1" thickBot="1" x14ac:dyDescent="0.4">
      <c r="A130" s="95" t="s">
        <v>912</v>
      </c>
      <c r="B130" s="194" t="s">
        <v>1136</v>
      </c>
      <c r="C130" s="187">
        <f>+IFERROR(VLOOKUP($A130,RAIZ!$A$3:$X$1500,MATCH('Suc. Ruiz'!$F$1,RAIZ!$A$2:$X$2,0),FALSE),0)</f>
        <v>1</v>
      </c>
      <c r="D130" s="18">
        <v>2</v>
      </c>
      <c r="E130" s="185"/>
      <c r="F130" s="185">
        <f t="shared" si="22"/>
        <v>1</v>
      </c>
      <c r="G130" s="185"/>
    </row>
    <row r="131" spans="1:7" ht="18.75" customHeight="1" thickBot="1" x14ac:dyDescent="0.4">
      <c r="A131" s="95" t="s">
        <v>557</v>
      </c>
      <c r="B131" s="194" t="s">
        <v>1137</v>
      </c>
      <c r="C131" s="187">
        <f>+IFERROR(VLOOKUP($A131,RAIZ!$A$3:$X$1500,MATCH('Suc. Ruiz'!$F$1,RAIZ!$A$2:$X$2,0),FALSE),0)</f>
        <v>0</v>
      </c>
      <c r="D131" s="18">
        <v>2</v>
      </c>
      <c r="E131" s="185"/>
      <c r="F131" s="185">
        <f t="shared" si="22"/>
        <v>2</v>
      </c>
      <c r="G131" s="185"/>
    </row>
    <row r="132" spans="1:7" ht="18.75" customHeight="1" thickBot="1" x14ac:dyDescent="0.4">
      <c r="A132" s="95" t="s">
        <v>573</v>
      </c>
      <c r="B132" s="194" t="s">
        <v>1138</v>
      </c>
      <c r="C132" s="187">
        <f>+IFERROR(VLOOKUP($A132,RAIZ!$A$3:$X$1500,MATCH('Suc. Ruiz'!$F$1,RAIZ!$A$2:$X$2,0),FALSE),0)</f>
        <v>0</v>
      </c>
      <c r="D132" s="18">
        <v>1</v>
      </c>
      <c r="E132" s="185"/>
      <c r="F132" s="185">
        <f t="shared" si="22"/>
        <v>1</v>
      </c>
      <c r="G132" s="185"/>
    </row>
    <row r="133" spans="1:7" ht="18.75" customHeight="1" thickBot="1" x14ac:dyDescent="0.4">
      <c r="A133" s="95" t="s">
        <v>421</v>
      </c>
      <c r="B133" s="194" t="s">
        <v>1140</v>
      </c>
      <c r="C133" s="187">
        <f>+IFERROR(VLOOKUP($A133,RAIZ!$A$3:$X$1500,MATCH('Suc. Ruiz'!$F$1,RAIZ!$A$2:$X$2,0),FALSE),0)</f>
        <v>2</v>
      </c>
      <c r="D133" s="18">
        <v>2</v>
      </c>
      <c r="E133" s="185"/>
      <c r="F133" s="185">
        <f t="shared" si="22"/>
        <v>0</v>
      </c>
      <c r="G133" s="185"/>
    </row>
    <row r="134" spans="1:7" ht="18.75" customHeight="1" thickBot="1" x14ac:dyDescent="0.4">
      <c r="A134" s="95" t="s">
        <v>249</v>
      </c>
      <c r="B134" s="194" t="s">
        <v>1134</v>
      </c>
      <c r="C134" s="187">
        <f>+IFERROR(VLOOKUP($A134,RAIZ!$A$3:$X$1500,MATCH('Suc. Ruiz'!$F$1,RAIZ!$A$2:$X$2,0),FALSE),0)</f>
        <v>0</v>
      </c>
      <c r="D134" s="18">
        <v>2</v>
      </c>
      <c r="E134" s="185"/>
      <c r="F134" s="185">
        <f t="shared" si="22"/>
        <v>2</v>
      </c>
      <c r="G134" s="185"/>
    </row>
    <row r="135" spans="1:7" ht="18.75" customHeight="1" thickBot="1" x14ac:dyDescent="0.4">
      <c r="A135" s="95" t="s">
        <v>1030</v>
      </c>
      <c r="B135" s="194" t="s">
        <v>1143</v>
      </c>
      <c r="C135" s="187">
        <f>+IFERROR(VLOOKUP($A135,RAIZ!$A$3:$X$1500,MATCH('Suc. Ruiz'!$F$1,RAIZ!$A$2:$X$2,0),FALSE),0)</f>
        <v>3</v>
      </c>
      <c r="D135" s="18">
        <v>6</v>
      </c>
      <c r="E135" s="185"/>
      <c r="F135" s="185">
        <f t="shared" si="22"/>
        <v>3</v>
      </c>
      <c r="G135" s="185"/>
    </row>
    <row r="136" spans="1:7" ht="18.75" customHeight="1" thickBot="1" x14ac:dyDescent="0.4">
      <c r="A136" s="95" t="s">
        <v>253</v>
      </c>
      <c r="B136" s="194" t="s">
        <v>1135</v>
      </c>
      <c r="C136" s="187">
        <f>+IFERROR(VLOOKUP($A136,RAIZ!$A$3:$X$1500,MATCH('Suc. Ruiz'!$F$1,RAIZ!$A$2:$X$2,0),FALSE),0)</f>
        <v>0</v>
      </c>
      <c r="D136" s="18">
        <v>2</v>
      </c>
      <c r="E136" s="185"/>
      <c r="F136" s="185">
        <f t="shared" si="22"/>
        <v>2</v>
      </c>
      <c r="G136" s="185"/>
    </row>
    <row r="137" spans="1:7" ht="18.75" customHeight="1" thickBot="1" x14ac:dyDescent="0.4">
      <c r="A137" s="95" t="s">
        <v>240</v>
      </c>
      <c r="B137" s="194" t="s">
        <v>1139</v>
      </c>
      <c r="C137" s="187">
        <f>+IFERROR(VLOOKUP($A137,RAIZ!$A$3:$X$1500,MATCH('Suc. Ruiz'!$F$1,RAIZ!$A$2:$X$2,0),FALSE),0)</f>
        <v>0</v>
      </c>
      <c r="D137" s="18">
        <v>0</v>
      </c>
      <c r="E137" s="185"/>
      <c r="F137" s="185">
        <f t="shared" si="22"/>
        <v>0</v>
      </c>
      <c r="G137" s="185"/>
    </row>
    <row r="138" spans="1:7" ht="18.75" customHeight="1" thickBot="1" x14ac:dyDescent="0.4">
      <c r="A138" s="95" t="s">
        <v>204</v>
      </c>
      <c r="B138" s="194" t="s">
        <v>1106</v>
      </c>
      <c r="C138" s="187">
        <f>+IFERROR(VLOOKUP($A138,RAIZ!$A$3:$X$1500,MATCH('Suc. Ruiz'!$F$1,RAIZ!$A$2:$X$2,0),FALSE),0)</f>
        <v>0</v>
      </c>
      <c r="D138" s="18">
        <v>0</v>
      </c>
      <c r="E138" s="185"/>
      <c r="F138" s="185">
        <f t="shared" si="22"/>
        <v>0</v>
      </c>
      <c r="G138" s="185"/>
    </row>
    <row r="139" spans="1:7" ht="18.75" customHeight="1" thickBot="1" x14ac:dyDescent="0.4">
      <c r="A139" s="95" t="s">
        <v>1132</v>
      </c>
      <c r="B139" s="194" t="s">
        <v>1141</v>
      </c>
      <c r="C139" s="187">
        <f>+IFERROR(VLOOKUP($A139,RAIZ!$A$3:$X$1500,MATCH('Suc. Ruiz'!$F$1,RAIZ!$A$2:$X$2,0),FALSE),0)</f>
        <v>1</v>
      </c>
      <c r="D139" s="18">
        <v>1</v>
      </c>
      <c r="E139" s="185"/>
      <c r="F139" s="185">
        <f t="shared" si="22"/>
        <v>0</v>
      </c>
      <c r="G139" s="185"/>
    </row>
    <row r="140" spans="1:7" ht="18.75" customHeight="1" thickBot="1" x14ac:dyDescent="0.4">
      <c r="A140" s="95" t="s">
        <v>914</v>
      </c>
      <c r="B140" s="194" t="s">
        <v>1133</v>
      </c>
      <c r="C140" s="187">
        <f>+IFERROR(VLOOKUP($A140,RAIZ!$A$3:$X$1500,MATCH('Suc. Ruiz'!$F$1,RAIZ!$A$2:$X$2,0),FALSE),0)</f>
        <v>1</v>
      </c>
      <c r="D140" s="18">
        <v>1</v>
      </c>
      <c r="E140" s="185"/>
      <c r="F140" s="185">
        <f t="shared" si="22"/>
        <v>0</v>
      </c>
      <c r="G140" s="185"/>
    </row>
    <row r="141" spans="1:7" ht="18.75" customHeight="1" thickBot="1" x14ac:dyDescent="0.4">
      <c r="A141" s="243" t="s">
        <v>1120</v>
      </c>
      <c r="B141" s="194" t="s">
        <v>1159</v>
      </c>
      <c r="C141" s="187">
        <f>+IFERROR(VLOOKUP($A141,RAIZ!$A$3:$X$1500,MATCH('Suc. Ruiz'!$F$1,RAIZ!$A$2:$X$2,0),FALSE),0)</f>
        <v>0</v>
      </c>
      <c r="D141" s="18"/>
      <c r="E141" s="185"/>
      <c r="F141" s="185">
        <f t="shared" si="22"/>
        <v>0</v>
      </c>
      <c r="G141" s="185"/>
    </row>
    <row r="142" spans="1:7" ht="18.75" customHeight="1" thickBot="1" x14ac:dyDescent="0.4">
      <c r="A142" s="95"/>
      <c r="B142" s="194"/>
      <c r="C142" s="187">
        <f>+IFERROR(VLOOKUP($A142,RAIZ!$A$3:$X$1500,MATCH('Suc. Ruiz'!$F$1,RAIZ!$A$2:$X$2,0),FALSE),0)</f>
        <v>0</v>
      </c>
      <c r="D142" s="18"/>
      <c r="E142" s="185"/>
      <c r="F142" s="185"/>
      <c r="G142" s="185"/>
    </row>
    <row r="143" spans="1:7" ht="18.75" customHeight="1" thickBot="1" x14ac:dyDescent="0.4">
      <c r="A143" s="95"/>
      <c r="B143" s="193"/>
      <c r="C143" s="187">
        <f>+IFERROR(VLOOKUP($A143,RAIZ!$A$3:$X$1500,MATCH('Suc. Ruiz'!$F$1,RAIZ!$A$2:$X$2,0),FALSE),0)</f>
        <v>0</v>
      </c>
      <c r="D143" s="18"/>
      <c r="E143" s="185"/>
      <c r="F143" s="185"/>
      <c r="G143" s="185"/>
    </row>
    <row r="144" spans="1:7" ht="18.75" customHeight="1" thickBot="1" x14ac:dyDescent="0.4">
      <c r="A144" s="95"/>
      <c r="B144" s="194"/>
      <c r="C144" s="187">
        <f>+IFERROR(VLOOKUP($A144,RAIZ!$A$3:$X$1500,MATCH('Suc. Ruiz'!$F$1,RAIZ!$A$2:$X$2,0),FALSE),0)</f>
        <v>0</v>
      </c>
      <c r="D144" s="18"/>
      <c r="E144" s="185"/>
      <c r="F144" s="185"/>
      <c r="G144" s="185"/>
    </row>
    <row r="145" spans="1:7" ht="18.75" customHeight="1" thickBot="1" x14ac:dyDescent="0.4">
      <c r="A145" s="95"/>
      <c r="B145" s="192"/>
      <c r="C145" s="187">
        <f>+IFERROR(VLOOKUP($A145,RAIZ!$A$3:$X$1500,MATCH('Suc. Ruiz'!$F$1,RAIZ!$A$2:$X$2,0),FALSE),0)</f>
        <v>0</v>
      </c>
      <c r="D145" s="18"/>
      <c r="E145" s="185"/>
      <c r="F145" s="185"/>
      <c r="G145" s="185"/>
    </row>
    <row r="146" spans="1:7" ht="18.75" customHeight="1" thickBot="1" x14ac:dyDescent="0.4">
      <c r="A146" s="95"/>
      <c r="B146" s="194"/>
      <c r="C146" s="187">
        <f>+IFERROR(VLOOKUP($A146,RAIZ!$A$3:$X$1500,MATCH('Suc. Ruiz'!$F$1,RAIZ!$A$2:$X$2,0),FALSE),0)</f>
        <v>0</v>
      </c>
      <c r="D146" s="18"/>
      <c r="E146" s="185"/>
      <c r="F146" s="185"/>
      <c r="G146" s="185"/>
    </row>
    <row r="147" spans="1:7" ht="18.75" customHeight="1" thickBot="1" x14ac:dyDescent="0.4">
      <c r="A147" s="95"/>
      <c r="B147" s="193"/>
      <c r="C147" s="187">
        <f>+IFERROR(VLOOKUP($A147,RAIZ!$A$3:$X$1500,MATCH('Suc. Ruiz'!$F$1,RAIZ!$A$2:$X$2,0),FALSE),0)</f>
        <v>0</v>
      </c>
      <c r="D147" s="14"/>
      <c r="E147" s="185"/>
      <c r="F147" s="185"/>
      <c r="G147" s="185"/>
    </row>
    <row r="148" spans="1:7" ht="18.75" customHeight="1" thickBot="1" x14ac:dyDescent="0.4">
      <c r="A148" s="95"/>
      <c r="B148" s="193"/>
      <c r="C148" s="188">
        <f>+IFERROR(VLOOKUP($A148,RAIZ!$A$3:$X$1500,MATCH('Suc. Ruiz'!$F$1,RAIZ!$A$2:$X$2,0),FALSE),0)</f>
        <v>0</v>
      </c>
      <c r="D148" s="14"/>
      <c r="E148" s="185"/>
      <c r="F148" s="185"/>
      <c r="G148" s="185"/>
    </row>
    <row r="149" spans="1:7" ht="18.75" customHeight="1" thickBot="1" x14ac:dyDescent="0.4">
      <c r="A149" s="173"/>
      <c r="B149" s="109"/>
      <c r="C149" s="182">
        <f>SUM(C118:C127,)</f>
        <v>15</v>
      </c>
      <c r="D149" s="182">
        <f>SUM(D118:D127,)</f>
        <v>26</v>
      </c>
      <c r="E149" s="182">
        <f>SUM(E118:E127,)</f>
        <v>0</v>
      </c>
      <c r="F149" s="182">
        <f>SUM(F118:F127,)</f>
        <v>13</v>
      </c>
      <c r="G149" s="182">
        <f>SUM(G118:G148,)</f>
        <v>0</v>
      </c>
    </row>
    <row r="150" spans="1:7" ht="18.75" customHeight="1" thickBot="1" x14ac:dyDescent="0.4">
      <c r="A150" s="110" t="s">
        <v>86</v>
      </c>
      <c r="B150" s="111"/>
      <c r="C150" s="83">
        <f>C149+C117</f>
        <v>132</v>
      </c>
      <c r="D150" s="83">
        <f>D149+D117</f>
        <v>210</v>
      </c>
      <c r="E150" s="83">
        <f>E149+E117</f>
        <v>10</v>
      </c>
      <c r="F150" s="83">
        <f>F149+F117</f>
        <v>93</v>
      </c>
      <c r="G150" s="83">
        <f>G149+G117</f>
        <v>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52042CF-8B5E-4E32-AF0D-E655C489CB62}">
          <x14:formula1>
            <xm:f>Hoja1!$C$2:$C$9</xm:f>
          </x14:formula1>
          <xm:sqref>H2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924EE-61B6-424A-9AF6-2973E53A47D1}">
  <sheetPr codeName="Hoja17" filterMode="1">
    <tabColor rgb="FF003300"/>
  </sheetPr>
  <dimension ref="A1:N150"/>
  <sheetViews>
    <sheetView tabSelected="1" zoomScale="80" zoomScaleNormal="80" workbookViewId="0">
      <pane xSplit="2" ySplit="2" topLeftCell="G39" activePane="bottomRight" state="frozen"/>
      <selection activeCell="I134" sqref="I134"/>
      <selection pane="topRight" activeCell="I134" sqref="I134"/>
      <selection pane="bottomLeft" activeCell="I134" sqref="I134"/>
      <selection pane="bottomRight" activeCell="A2" sqref="A2:XFD2"/>
    </sheetView>
  </sheetViews>
  <sheetFormatPr baseColWidth="10" defaultRowHeight="18" x14ac:dyDescent="0.35"/>
  <cols>
    <col min="1" max="1" width="55.6640625" customWidth="1"/>
    <col min="2" max="2" width="7.88671875" style="91" bestFit="1" customWidth="1"/>
    <col min="3" max="3" width="14" bestFit="1" customWidth="1"/>
    <col min="4" max="5" width="15" style="84" customWidth="1"/>
    <col min="6" max="6" width="14.5546875" customWidth="1"/>
    <col min="9" max="9" width="11.33203125" style="84"/>
  </cols>
  <sheetData>
    <row r="1" spans="1:14" ht="18.600000000000001" thickBot="1" x14ac:dyDescent="0.4">
      <c r="A1" s="1">
        <f>RAIZ!B1</f>
        <v>46301</v>
      </c>
      <c r="C1" s="2"/>
      <c r="D1" s="2" t="s">
        <v>702</v>
      </c>
      <c r="E1" s="2"/>
      <c r="F1" s="2" t="s">
        <v>103</v>
      </c>
      <c r="H1" t="s">
        <v>751</v>
      </c>
    </row>
    <row r="2" spans="1:14" ht="31.8" thickBot="1" x14ac:dyDescent="0.35">
      <c r="A2" s="90" t="s">
        <v>0</v>
      </c>
      <c r="B2" s="92" t="s">
        <v>755</v>
      </c>
      <c r="C2" s="39" t="s">
        <v>703</v>
      </c>
      <c r="D2" s="40" t="s">
        <v>704</v>
      </c>
      <c r="E2" s="88" t="s">
        <v>726</v>
      </c>
      <c r="F2" s="41" t="s">
        <v>705</v>
      </c>
      <c r="G2" s="62" t="s">
        <v>725</v>
      </c>
      <c r="H2" s="87"/>
    </row>
    <row r="3" spans="1:14" ht="18.75" customHeight="1" x14ac:dyDescent="0.35">
      <c r="A3" s="93" t="s">
        <v>1</v>
      </c>
      <c r="B3" s="112" t="s">
        <v>756</v>
      </c>
      <c r="C3" s="5">
        <f>+IFERROR(VLOOKUP($A3,RAIZ!$A$3:$X$1500,MATCH('Suc. Tuxpan'!$F$1,RAIZ!$A$2:$X$2,0),FALSE),0)</f>
        <v>0</v>
      </c>
      <c r="D3" s="4">
        <v>1</v>
      </c>
      <c r="E3" s="5"/>
      <c r="F3" s="5">
        <f>IF(D3-C3&gt;=0,D3-C3,0)</f>
        <v>1</v>
      </c>
      <c r="G3" s="5">
        <v>2</v>
      </c>
      <c r="M3" s="85"/>
      <c r="N3" s="85"/>
    </row>
    <row r="4" spans="1:14" ht="18.75" customHeight="1" x14ac:dyDescent="0.35">
      <c r="A4" s="93" t="s">
        <v>2</v>
      </c>
      <c r="B4" s="112" t="s">
        <v>865</v>
      </c>
      <c r="C4" s="5">
        <f>+IFERROR(VLOOKUP($A4,RAIZ!$A$3:$X$1500,MATCH('Suc. Tuxpan'!$F$1,RAIZ!$A$2:$X$2,0),FALSE),0)</f>
        <v>1</v>
      </c>
      <c r="D4" s="4">
        <v>4</v>
      </c>
      <c r="E4" s="5"/>
      <c r="F4" s="5">
        <f>IF(D4-C4&gt;=0,D4-C4,0)</f>
        <v>3</v>
      </c>
      <c r="G4" s="5">
        <v>2</v>
      </c>
      <c r="M4" s="85"/>
      <c r="N4" s="85"/>
    </row>
    <row r="5" spans="1:14" ht="18.75" customHeight="1" x14ac:dyDescent="0.35">
      <c r="A5" s="93" t="s">
        <v>3</v>
      </c>
      <c r="B5" s="112" t="s">
        <v>757</v>
      </c>
      <c r="C5" s="5">
        <f>+IFERROR(VLOOKUP($A5,RAIZ!$A$3:$X$1500,MATCH('Suc. Tuxpan'!$F$1,RAIZ!$A$2:$X$2,0),FALSE),0)</f>
        <v>0</v>
      </c>
      <c r="D5" s="7">
        <v>3</v>
      </c>
      <c r="E5" s="5"/>
      <c r="F5" s="5">
        <f t="shared" ref="F5:F10" si="0">IF(D5-C5&gt;=0,D5-C5,0)</f>
        <v>3</v>
      </c>
      <c r="G5" s="5">
        <v>2</v>
      </c>
      <c r="M5" s="86"/>
      <c r="N5" s="85"/>
    </row>
    <row r="6" spans="1:14" ht="18.75" customHeight="1" x14ac:dyDescent="0.35">
      <c r="A6" s="93" t="s">
        <v>4</v>
      </c>
      <c r="B6" s="112" t="s">
        <v>758</v>
      </c>
      <c r="C6" s="5">
        <f>+IFERROR(VLOOKUP($A6,RAIZ!$A$3:$X$1500,MATCH('Suc. Tuxpan'!$F$1,RAIZ!$A$2:$X$2,0),FALSE),0)</f>
        <v>0</v>
      </c>
      <c r="D6" s="7">
        <v>4</v>
      </c>
      <c r="E6" s="5"/>
      <c r="F6" s="5">
        <f t="shared" si="0"/>
        <v>4</v>
      </c>
      <c r="G6" s="5">
        <v>2</v>
      </c>
      <c r="M6" s="86"/>
      <c r="N6" s="85"/>
    </row>
    <row r="7" spans="1:14" ht="18.75" customHeight="1" x14ac:dyDescent="0.35">
      <c r="A7" s="93" t="s">
        <v>5</v>
      </c>
      <c r="B7" s="112" t="s">
        <v>759</v>
      </c>
      <c r="C7" s="5">
        <f>+IFERROR(VLOOKUP($A7,RAIZ!$A$3:$X$1500,MATCH('Suc. Tuxpan'!$F$1,RAIZ!$A$2:$X$2,0),FALSE),0)</f>
        <v>0</v>
      </c>
      <c r="D7" s="7">
        <v>3</v>
      </c>
      <c r="E7" s="5"/>
      <c r="F7" s="5">
        <f t="shared" si="0"/>
        <v>3</v>
      </c>
      <c r="G7" s="5">
        <v>2</v>
      </c>
      <c r="M7" s="86"/>
      <c r="N7" s="85"/>
    </row>
    <row r="8" spans="1:14" ht="18.75" customHeight="1" x14ac:dyDescent="0.35">
      <c r="A8" s="93" t="s">
        <v>6</v>
      </c>
      <c r="B8" s="112" t="s">
        <v>760</v>
      </c>
      <c r="C8" s="5">
        <f>+IFERROR(VLOOKUP($A8,RAIZ!$A$3:$X$1500,MATCH('Suc. Tuxpan'!$F$1,RAIZ!$A$2:$X$2,0),FALSE),0)</f>
        <v>0</v>
      </c>
      <c r="D8" s="7">
        <v>4</v>
      </c>
      <c r="E8" s="5"/>
      <c r="F8" s="5">
        <f t="shared" si="0"/>
        <v>4</v>
      </c>
      <c r="G8" s="5">
        <v>2</v>
      </c>
      <c r="M8" s="86"/>
      <c r="N8" s="85"/>
    </row>
    <row r="9" spans="1:14" ht="18.75" customHeight="1" x14ac:dyDescent="0.35">
      <c r="A9" s="93" t="s">
        <v>7</v>
      </c>
      <c r="B9" s="112" t="s">
        <v>761</v>
      </c>
      <c r="C9" s="5">
        <f>+IFERROR(VLOOKUP($A9,RAIZ!$A$3:$X$1500,MATCH('Suc. Tuxpan'!$F$1,RAIZ!$A$2:$X$2,0),FALSE),0)</f>
        <v>0</v>
      </c>
      <c r="D9" s="7">
        <v>3</v>
      </c>
      <c r="E9" s="5"/>
      <c r="F9" s="5">
        <f t="shared" si="0"/>
        <v>3</v>
      </c>
      <c r="G9" s="5">
        <v>2</v>
      </c>
      <c r="M9" s="86"/>
      <c r="N9" s="85"/>
    </row>
    <row r="10" spans="1:14" ht="18.75" customHeight="1" x14ac:dyDescent="0.35">
      <c r="A10" s="93" t="s">
        <v>8</v>
      </c>
      <c r="B10" s="112" t="s">
        <v>762</v>
      </c>
      <c r="C10" s="5">
        <f>+IFERROR(VLOOKUP($A10,RAIZ!$A$3:$X$1500,MATCH('Suc. Tuxpan'!$F$1,RAIZ!$A$2:$X$2,0),FALSE),0)</f>
        <v>0</v>
      </c>
      <c r="D10" s="7">
        <v>3</v>
      </c>
      <c r="E10" s="5"/>
      <c r="F10" s="5">
        <f t="shared" si="0"/>
        <v>3</v>
      </c>
      <c r="G10" s="5">
        <v>2</v>
      </c>
      <c r="M10" s="86"/>
      <c r="N10" s="85"/>
    </row>
    <row r="11" spans="1:14" ht="18.75" customHeight="1" thickBot="1" x14ac:dyDescent="0.4">
      <c r="A11" s="93" t="s">
        <v>9</v>
      </c>
      <c r="B11" s="112" t="s">
        <v>763</v>
      </c>
      <c r="C11" s="5">
        <f>+IFERROR(VLOOKUP($A11,RAIZ!$A$3:$X$1500,MATCH('Suc. Tuxpan'!$F$1,RAIZ!$A$2:$X$2,0),FALSE),0)</f>
        <v>1</v>
      </c>
      <c r="D11" s="9">
        <v>2</v>
      </c>
      <c r="E11" s="5"/>
      <c r="F11" s="5">
        <f t="shared" ref="F11:F12" si="1">IF(D11-C11&gt;=0,D11-C11,0)</f>
        <v>1</v>
      </c>
      <c r="G11" s="5">
        <v>2</v>
      </c>
      <c r="M11" s="86"/>
      <c r="N11" s="85"/>
    </row>
    <row r="12" spans="1:14" ht="18.75" hidden="1" customHeight="1" x14ac:dyDescent="0.4">
      <c r="A12" s="93"/>
      <c r="B12" s="112"/>
      <c r="C12" s="5">
        <f>+IFERROR(VLOOKUP($A12,RAIZ!$A$3:$X$1500,MATCH('Suc. Tuxpan'!$F$1,RAIZ!$A$2:$X$2,0),FALSE),0)</f>
        <v>0</v>
      </c>
      <c r="D12" s="20"/>
      <c r="E12" s="5"/>
      <c r="F12" s="5">
        <f t="shared" si="1"/>
        <v>0</v>
      </c>
      <c r="G12" s="5"/>
    </row>
    <row r="13" spans="1:14" ht="18.75" hidden="1" customHeight="1" x14ac:dyDescent="0.4">
      <c r="A13" s="93"/>
      <c r="B13" s="112"/>
      <c r="C13" s="5">
        <f>+IFERROR(VLOOKUP($A13,RAIZ!$A$3:$X$1500,MATCH('Suc. Tuxpan'!$F$1,RAIZ!$A$2:$X$2,0),FALSE),0)</f>
        <v>0</v>
      </c>
      <c r="D13" s="20"/>
      <c r="E13" s="5"/>
      <c r="F13" s="5">
        <f t="shared" ref="F13:F17" si="2">IF(D13-C13&gt;=0,D13-C13,0)</f>
        <v>0</v>
      </c>
      <c r="G13" s="5"/>
    </row>
    <row r="14" spans="1:14" ht="18.75" hidden="1" customHeight="1" x14ac:dyDescent="0.4">
      <c r="A14" s="93"/>
      <c r="B14" s="112"/>
      <c r="C14" s="5">
        <f>+IFERROR(VLOOKUP($A14,RAIZ!$A$3:$X$1500,MATCH('Suc. Tuxpan'!$F$1,RAIZ!$A$2:$X$2,0),FALSE),0)</f>
        <v>0</v>
      </c>
      <c r="D14" s="20"/>
      <c r="E14" s="5"/>
      <c r="F14" s="5">
        <f>IF(D14-C14&gt;=0,D14-C14,0)</f>
        <v>0</v>
      </c>
      <c r="G14" s="5"/>
    </row>
    <row r="15" spans="1:14" ht="18.75" hidden="1" customHeight="1" x14ac:dyDescent="0.4">
      <c r="A15" s="93"/>
      <c r="B15" s="112"/>
      <c r="C15" s="5">
        <f>+IFERROR(VLOOKUP($A15,RAIZ!$A$3:$X$1500,MATCH('Suc. Tuxpan'!$F$1,RAIZ!$A$2:$X$2,0),FALSE),0)</f>
        <v>0</v>
      </c>
      <c r="D15" s="9"/>
      <c r="E15" s="5"/>
      <c r="F15" s="5">
        <f t="shared" si="2"/>
        <v>0</v>
      </c>
      <c r="G15" s="5"/>
      <c r="M15" s="86"/>
      <c r="N15" s="85"/>
    </row>
    <row r="16" spans="1:14" ht="18.75" hidden="1" customHeight="1" x14ac:dyDescent="0.4">
      <c r="A16" s="93"/>
      <c r="B16" s="112"/>
      <c r="C16" s="5">
        <f>+IFERROR(VLOOKUP($A16,RAIZ!$A$3:$X$1500,MATCH('Suc. Tuxpan'!$F$1,RAIZ!$A$2:$X$2,0),FALSE),0)</f>
        <v>0</v>
      </c>
      <c r="D16" s="9"/>
      <c r="E16" s="5"/>
      <c r="F16" s="5">
        <f t="shared" si="2"/>
        <v>0</v>
      </c>
      <c r="G16" s="5"/>
      <c r="M16" s="86"/>
      <c r="N16" s="85"/>
    </row>
    <row r="17" spans="1:14" ht="18.75" hidden="1" customHeight="1" thickBot="1" x14ac:dyDescent="0.4">
      <c r="A17" s="93"/>
      <c r="B17" s="112"/>
      <c r="C17" s="5">
        <f>+IFERROR(VLOOKUP($A17,RAIZ!$A$3:$X$1500,MATCH('Suc. Tuxpan'!$F$1,RAIZ!$A$2:$X$2,0),FALSE),0)</f>
        <v>0</v>
      </c>
      <c r="D17" s="9"/>
      <c r="E17" s="5"/>
      <c r="F17" s="5">
        <f t="shared" si="2"/>
        <v>0</v>
      </c>
      <c r="G17" s="5"/>
      <c r="M17" s="86"/>
      <c r="N17" s="85"/>
    </row>
    <row r="18" spans="1:14" ht="18.75" customHeight="1" thickBot="1" x14ac:dyDescent="0.4">
      <c r="A18" s="96" t="s">
        <v>10</v>
      </c>
      <c r="B18" s="111"/>
      <c r="C18" s="75">
        <f>SUM(C3:C17)</f>
        <v>2</v>
      </c>
      <c r="D18" s="44">
        <f>SUM(D3:D17)</f>
        <v>27</v>
      </c>
      <c r="E18" s="44">
        <f>SUM(E3:E17)</f>
        <v>0</v>
      </c>
      <c r="F18" s="63">
        <f>SUM(F3:F17)</f>
        <v>25</v>
      </c>
      <c r="G18" s="44">
        <f>SUM(G3:G17)</f>
        <v>18</v>
      </c>
      <c r="M18" s="86"/>
      <c r="N18" s="85"/>
    </row>
    <row r="19" spans="1:14" ht="18.75" customHeight="1" x14ac:dyDescent="0.35">
      <c r="A19" s="97" t="s">
        <v>676</v>
      </c>
      <c r="B19" s="112" t="s">
        <v>764</v>
      </c>
      <c r="C19" s="5">
        <f>+IFERROR(VLOOKUP($A19,RAIZ!$A$3:$X$1500,MATCH('Suc. Tuxpan'!$F$1,RAIZ!$A$2:$X$2,0),FALSE),0)</f>
        <v>1</v>
      </c>
      <c r="D19" s="12">
        <v>3</v>
      </c>
      <c r="E19" s="5"/>
      <c r="F19" s="5">
        <f t="shared" ref="F19:F21" si="3">IF(D19-C19&gt;=0,D19-C19,0)</f>
        <v>2</v>
      </c>
      <c r="G19" s="5">
        <v>2</v>
      </c>
      <c r="M19" s="86"/>
      <c r="N19" s="85"/>
    </row>
    <row r="20" spans="1:14" ht="18.75" customHeight="1" x14ac:dyDescent="0.35">
      <c r="A20" s="97" t="s">
        <v>11</v>
      </c>
      <c r="B20" s="112" t="s">
        <v>827</v>
      </c>
      <c r="C20" s="5">
        <f>+IFERROR(VLOOKUP($A20,RAIZ!$A$3:$X$1500,MATCH('Suc. Tuxpan'!$F$1,RAIZ!$A$2:$X$2,0),FALSE),0)</f>
        <v>0</v>
      </c>
      <c r="D20" s="14">
        <v>4</v>
      </c>
      <c r="E20" s="5"/>
      <c r="F20" s="5">
        <f t="shared" si="3"/>
        <v>4</v>
      </c>
      <c r="G20" s="5">
        <v>2</v>
      </c>
      <c r="M20" s="86"/>
      <c r="N20" s="85"/>
    </row>
    <row r="21" spans="1:14" ht="18.75" customHeight="1" x14ac:dyDescent="0.35">
      <c r="A21" s="97" t="s">
        <v>344</v>
      </c>
      <c r="B21" s="112" t="s">
        <v>765</v>
      </c>
      <c r="C21" s="5">
        <f>+IFERROR(VLOOKUP($A21,RAIZ!$A$3:$X$1500,MATCH('Suc. Tuxpan'!$F$1,RAIZ!$A$2:$X$2,0),FALSE),0)</f>
        <v>2</v>
      </c>
      <c r="D21" s="14">
        <v>2</v>
      </c>
      <c r="E21" s="5"/>
      <c r="F21" s="5">
        <f t="shared" si="3"/>
        <v>0</v>
      </c>
      <c r="G21" s="5">
        <v>2</v>
      </c>
      <c r="M21" s="86"/>
      <c r="N21" s="85"/>
    </row>
    <row r="22" spans="1:14" ht="18.75" customHeight="1" x14ac:dyDescent="0.35">
      <c r="A22" s="97" t="s">
        <v>832</v>
      </c>
      <c r="B22" s="112" t="s">
        <v>833</v>
      </c>
      <c r="C22" s="5">
        <f>+IFERROR(VLOOKUP($A22,RAIZ!$A$3:$X$1500,MATCH('Suc. Tuxpan'!$F$1,RAIZ!$A$2:$X$2,0),FALSE),0)</f>
        <v>0</v>
      </c>
      <c r="D22" s="14">
        <v>3</v>
      </c>
      <c r="E22" s="5"/>
      <c r="F22" s="5">
        <f t="shared" ref="F22:F31" si="4">IF(D22-C22&gt;=0,D22-C22,0)</f>
        <v>3</v>
      </c>
      <c r="G22" s="5">
        <v>2</v>
      </c>
      <c r="M22" s="86"/>
      <c r="N22" s="85"/>
    </row>
    <row r="23" spans="1:14" ht="18.75" customHeight="1" x14ac:dyDescent="0.35">
      <c r="A23" s="97" t="s">
        <v>12</v>
      </c>
      <c r="B23" s="112" t="s">
        <v>766</v>
      </c>
      <c r="C23" s="5">
        <f>+IFERROR(VLOOKUP($A23,RAIZ!$A$3:$X$1500,MATCH('Suc. Tuxpan'!$F$1,RAIZ!$A$2:$X$2,0),FALSE),0)</f>
        <v>0</v>
      </c>
      <c r="D23" s="14">
        <v>3</v>
      </c>
      <c r="E23" s="5"/>
      <c r="F23" s="5">
        <f t="shared" si="4"/>
        <v>3</v>
      </c>
      <c r="G23" s="5">
        <v>2</v>
      </c>
      <c r="M23" s="86"/>
      <c r="N23" s="85"/>
    </row>
    <row r="24" spans="1:14" ht="18.75" hidden="1" customHeight="1" x14ac:dyDescent="0.35">
      <c r="A24" s="97" t="s">
        <v>432</v>
      </c>
      <c r="B24" s="112" t="s">
        <v>767</v>
      </c>
      <c r="C24" s="5">
        <f>+IFERROR(VLOOKUP($A24,RAIZ!$A$3:$X$1500,MATCH('Suc. Tuxpan'!$F$1,RAIZ!$A$2:$X$2,0),FALSE),0)</f>
        <v>0</v>
      </c>
      <c r="D24" s="14">
        <v>2</v>
      </c>
      <c r="E24" s="5"/>
      <c r="F24" s="5">
        <f t="shared" si="4"/>
        <v>2</v>
      </c>
      <c r="G24" s="5"/>
      <c r="M24" s="86"/>
      <c r="N24" s="85"/>
    </row>
    <row r="25" spans="1:14" ht="18.75" customHeight="1" thickBot="1" x14ac:dyDescent="0.4">
      <c r="A25" s="97" t="s">
        <v>468</v>
      </c>
      <c r="B25" s="112" t="s">
        <v>768</v>
      </c>
      <c r="C25" s="5">
        <f>+IFERROR(VLOOKUP($A25,RAIZ!$A$3:$X$1500,MATCH('Suc. Tuxpan'!$F$1,RAIZ!$A$2:$X$2,0),FALSE),0)</f>
        <v>0</v>
      </c>
      <c r="D25" s="16">
        <v>3</v>
      </c>
      <c r="E25" s="5"/>
      <c r="F25" s="5">
        <f t="shared" si="4"/>
        <v>3</v>
      </c>
      <c r="G25" s="5">
        <v>2</v>
      </c>
      <c r="M25" s="86"/>
      <c r="N25" s="85"/>
    </row>
    <row r="26" spans="1:14" ht="18.75" hidden="1" customHeight="1" x14ac:dyDescent="0.4">
      <c r="A26" s="97"/>
      <c r="B26" s="112"/>
      <c r="C26" s="5">
        <f>+IFERROR(VLOOKUP($A26,RAIZ!$A$3:$X$1500,MATCH('Suc. Tuxpan'!$F$1,RAIZ!$A$2:$X$2,0),FALSE),0)</f>
        <v>0</v>
      </c>
      <c r="D26" s="20"/>
      <c r="E26" s="5"/>
      <c r="F26" s="5">
        <f t="shared" si="4"/>
        <v>0</v>
      </c>
      <c r="G26" s="5"/>
    </row>
    <row r="27" spans="1:14" ht="18.75" hidden="1" customHeight="1" x14ac:dyDescent="0.4">
      <c r="A27" s="97"/>
      <c r="B27" s="112"/>
      <c r="C27" s="5">
        <f>+IFERROR(VLOOKUP($A27,RAIZ!$A$3:$X$1500,MATCH('Suc. Tuxpan'!$F$1,RAIZ!$A$2:$X$2,0),FALSE),0)</f>
        <v>0</v>
      </c>
      <c r="D27" s="16"/>
      <c r="E27" s="5"/>
      <c r="F27" s="5">
        <f>IF(D27-C27&gt;=0,D27-C27,0)</f>
        <v>0</v>
      </c>
      <c r="G27" s="5"/>
      <c r="M27" s="86"/>
      <c r="N27" s="85"/>
    </row>
    <row r="28" spans="1:14" ht="18.75" hidden="1" customHeight="1" x14ac:dyDescent="0.4">
      <c r="A28" s="97"/>
      <c r="B28" s="112"/>
      <c r="C28" s="5">
        <f>+IFERROR(VLOOKUP($A28,RAIZ!$A$3:$X$1500,MATCH('Suc. Tuxpan'!$F$1,RAIZ!$A$2:$X$2,0),FALSE),0)</f>
        <v>0</v>
      </c>
      <c r="D28" s="16"/>
      <c r="E28" s="5"/>
      <c r="F28" s="5">
        <f t="shared" si="4"/>
        <v>0</v>
      </c>
      <c r="G28" s="5"/>
      <c r="M28" s="86"/>
      <c r="N28" s="85"/>
    </row>
    <row r="29" spans="1:14" ht="18.75" hidden="1" customHeight="1" x14ac:dyDescent="0.4">
      <c r="A29" s="97"/>
      <c r="B29" s="112"/>
      <c r="C29" s="5">
        <f>+IFERROR(VLOOKUP($A29,RAIZ!$A$3:$X$1500,MATCH('Suc. Tuxpan'!$F$1,RAIZ!$A$2:$X$2,0),FALSE),0)</f>
        <v>0</v>
      </c>
      <c r="D29" s="16"/>
      <c r="E29" s="5"/>
      <c r="F29" s="5">
        <f t="shared" si="4"/>
        <v>0</v>
      </c>
      <c r="G29" s="5"/>
      <c r="M29" s="86"/>
      <c r="N29" s="85"/>
    </row>
    <row r="30" spans="1:14" ht="18.75" hidden="1" customHeight="1" x14ac:dyDescent="0.4">
      <c r="A30" s="97"/>
      <c r="B30" s="112"/>
      <c r="C30" s="5">
        <f>+IFERROR(VLOOKUP($A30,RAIZ!$A$3:$X$1500,MATCH('Suc. Tuxpan'!$F$1,RAIZ!$A$2:$X$2,0),FALSE),0)</f>
        <v>0</v>
      </c>
      <c r="D30" s="16"/>
      <c r="E30" s="5"/>
      <c r="F30" s="5">
        <f t="shared" si="4"/>
        <v>0</v>
      </c>
      <c r="G30" s="5"/>
      <c r="M30" s="86"/>
      <c r="N30" s="85"/>
    </row>
    <row r="31" spans="1:14" ht="18.75" hidden="1" customHeight="1" thickBot="1" x14ac:dyDescent="0.4">
      <c r="A31" s="97"/>
      <c r="B31" s="112"/>
      <c r="C31" s="5">
        <f>+IFERROR(VLOOKUP($A31,RAIZ!$A$3:$X$1500,MATCH('Suc. Tuxpan'!$F$1,RAIZ!$A$2:$X$2,0),FALSE),0)</f>
        <v>0</v>
      </c>
      <c r="D31" s="16"/>
      <c r="E31" s="5"/>
      <c r="F31" s="5">
        <f t="shared" si="4"/>
        <v>0</v>
      </c>
      <c r="G31" s="5"/>
      <c r="M31" s="86"/>
      <c r="N31" s="85"/>
    </row>
    <row r="32" spans="1:14" ht="18.75" customHeight="1" thickBot="1" x14ac:dyDescent="0.4">
      <c r="A32" s="98" t="s">
        <v>13</v>
      </c>
      <c r="B32" s="111"/>
      <c r="C32" s="76">
        <f>SUM(C19:C31)</f>
        <v>3</v>
      </c>
      <c r="D32" s="46">
        <f>SUM(D19:D31)</f>
        <v>20</v>
      </c>
      <c r="E32" s="46">
        <f>SUM(E19:E31)</f>
        <v>0</v>
      </c>
      <c r="F32" s="64">
        <f>SUM(F19:F31)</f>
        <v>17</v>
      </c>
      <c r="G32" s="46">
        <f>SUM(G19:G31)</f>
        <v>12</v>
      </c>
      <c r="M32" s="86"/>
      <c r="N32" s="85"/>
    </row>
    <row r="33" spans="1:14" ht="18.75" customHeight="1" x14ac:dyDescent="0.35">
      <c r="A33" s="97" t="s">
        <v>14</v>
      </c>
      <c r="B33" s="112" t="s">
        <v>769</v>
      </c>
      <c r="C33" s="5">
        <f>+IFERROR(VLOOKUP($A33,RAIZ!$A$3:$X$1500,MATCH('Suc. Tuxpan'!$F$1,RAIZ!$A$2:$X$2,0),FALSE),0)</f>
        <v>2</v>
      </c>
      <c r="D33" s="4">
        <v>3</v>
      </c>
      <c r="E33" s="5"/>
      <c r="F33" s="5">
        <f t="shared" ref="F33:F48" si="5">IF(D33-C33&gt;=0,D33-C33,0)</f>
        <v>1</v>
      </c>
      <c r="G33" s="5">
        <v>2</v>
      </c>
      <c r="M33" s="86"/>
      <c r="N33" s="85"/>
    </row>
    <row r="34" spans="1:14" ht="18.75" customHeight="1" x14ac:dyDescent="0.35">
      <c r="A34" s="97" t="s">
        <v>15</v>
      </c>
      <c r="B34" s="112" t="s">
        <v>770</v>
      </c>
      <c r="C34" s="5">
        <f>+IFERROR(VLOOKUP($A34,RAIZ!$A$3:$X$1500,MATCH('Suc. Tuxpan'!$F$1,RAIZ!$A$2:$X$2,0),FALSE),0)</f>
        <v>2</v>
      </c>
      <c r="D34" s="7">
        <v>4</v>
      </c>
      <c r="E34" s="5"/>
      <c r="F34" s="5">
        <f t="shared" si="5"/>
        <v>2</v>
      </c>
      <c r="G34" s="5">
        <v>2</v>
      </c>
      <c r="M34" s="86"/>
      <c r="N34" s="85"/>
    </row>
    <row r="35" spans="1:14" ht="18.75" customHeight="1" x14ac:dyDescent="0.35">
      <c r="A35" s="97" t="s">
        <v>16</v>
      </c>
      <c r="B35" s="112" t="s">
        <v>771</v>
      </c>
      <c r="C35" s="5">
        <f>+IFERROR(VLOOKUP($A35,RAIZ!$A$3:$X$1500,MATCH('Suc. Tuxpan'!$F$1,RAIZ!$A$2:$X$2,0),FALSE),0)</f>
        <v>2</v>
      </c>
      <c r="D35" s="7">
        <v>2</v>
      </c>
      <c r="E35" s="5"/>
      <c r="F35" s="5">
        <f t="shared" si="5"/>
        <v>0</v>
      </c>
      <c r="G35" s="5">
        <v>2</v>
      </c>
      <c r="M35" s="86"/>
      <c r="N35" s="85"/>
    </row>
    <row r="36" spans="1:14" ht="18.75" customHeight="1" x14ac:dyDescent="0.35">
      <c r="A36" s="97" t="s">
        <v>17</v>
      </c>
      <c r="B36" s="112" t="s">
        <v>772</v>
      </c>
      <c r="C36" s="5">
        <f>+IFERROR(VLOOKUP($A36,RAIZ!$A$3:$X$1500,MATCH('Suc. Tuxpan'!$F$1,RAIZ!$A$2:$X$2,0),FALSE),0)</f>
        <v>0</v>
      </c>
      <c r="D36" s="7">
        <v>3</v>
      </c>
      <c r="E36" s="5"/>
      <c r="F36" s="5">
        <f t="shared" si="5"/>
        <v>3</v>
      </c>
      <c r="G36" s="5">
        <v>2</v>
      </c>
      <c r="M36" s="86"/>
      <c r="N36" s="85"/>
    </row>
    <row r="37" spans="1:14" ht="18.75" customHeight="1" x14ac:dyDescent="0.35">
      <c r="A37" s="97" t="s">
        <v>18</v>
      </c>
      <c r="B37" s="112" t="s">
        <v>773</v>
      </c>
      <c r="C37" s="5">
        <f>+IFERROR(VLOOKUP($A37,RAIZ!$A$3:$X$1500,MATCH('Suc. Tuxpan'!$F$1,RAIZ!$A$2:$X$2,0),FALSE),0)</f>
        <v>2</v>
      </c>
      <c r="D37" s="7">
        <v>4</v>
      </c>
      <c r="E37" s="5"/>
      <c r="F37" s="5">
        <f t="shared" si="5"/>
        <v>2</v>
      </c>
      <c r="G37" s="5">
        <v>2</v>
      </c>
      <c r="M37" s="86"/>
      <c r="N37" s="85"/>
    </row>
    <row r="38" spans="1:14" ht="18.75" customHeight="1" x14ac:dyDescent="0.35">
      <c r="A38" s="97" t="s">
        <v>22</v>
      </c>
      <c r="B38" s="112" t="s">
        <v>774</v>
      </c>
      <c r="C38" s="5">
        <f>+IFERROR(VLOOKUP($A38,RAIZ!$A$3:$X$1500,MATCH('Suc. Tuxpan'!$F$1,RAIZ!$A$2:$X$2,0),FALSE),0)</f>
        <v>0</v>
      </c>
      <c r="D38" s="18">
        <v>4</v>
      </c>
      <c r="E38" s="5"/>
      <c r="F38" s="5">
        <f t="shared" si="5"/>
        <v>4</v>
      </c>
      <c r="G38" s="5">
        <v>2</v>
      </c>
      <c r="M38" s="86"/>
      <c r="N38" s="85"/>
    </row>
    <row r="39" spans="1:14" ht="18.75" customHeight="1" x14ac:dyDescent="0.35">
      <c r="A39" s="97" t="s">
        <v>23</v>
      </c>
      <c r="B39" s="112" t="s">
        <v>775</v>
      </c>
      <c r="C39" s="5">
        <f>+IFERROR(VLOOKUP($A39,RAIZ!$A$3:$X$1500,MATCH('Suc. Tuxpan'!$F$1,RAIZ!$A$2:$X$2,0),FALSE),0)</f>
        <v>0</v>
      </c>
      <c r="D39" s="18">
        <v>3</v>
      </c>
      <c r="E39" s="5"/>
      <c r="F39" s="5">
        <f t="shared" si="5"/>
        <v>3</v>
      </c>
      <c r="G39" s="5">
        <v>2</v>
      </c>
      <c r="M39" s="86"/>
      <c r="N39" s="85"/>
    </row>
    <row r="40" spans="1:14" ht="18.75" customHeight="1" x14ac:dyDescent="0.35">
      <c r="A40" s="97" t="s">
        <v>24</v>
      </c>
      <c r="B40" s="112" t="s">
        <v>776</v>
      </c>
      <c r="C40" s="5">
        <f>+IFERROR(VLOOKUP($A40,RAIZ!$A$3:$X$1500,MATCH('Suc. Tuxpan'!$F$1,RAIZ!$A$2:$X$2,0),FALSE),0)</f>
        <v>0</v>
      </c>
      <c r="D40" s="7">
        <v>3</v>
      </c>
      <c r="E40" s="5"/>
      <c r="F40" s="5">
        <f t="shared" si="5"/>
        <v>3</v>
      </c>
      <c r="G40" s="5">
        <v>2</v>
      </c>
      <c r="M40" s="86"/>
      <c r="N40" s="85"/>
    </row>
    <row r="41" spans="1:14" ht="18.75" customHeight="1" thickBot="1" x14ac:dyDescent="0.4">
      <c r="A41" s="97" t="s">
        <v>25</v>
      </c>
      <c r="B41" s="112" t="s">
        <v>777</v>
      </c>
      <c r="C41" s="5">
        <f>+IFERROR(VLOOKUP($A41,RAIZ!$A$3:$X$1500,MATCH('Suc. Tuxpan'!$F$1,RAIZ!$A$2:$X$2,0),FALSE),0)</f>
        <v>1</v>
      </c>
      <c r="D41" s="18">
        <v>2</v>
      </c>
      <c r="E41" s="5"/>
      <c r="F41" s="5">
        <f t="shared" si="5"/>
        <v>1</v>
      </c>
      <c r="G41" s="5">
        <v>2</v>
      </c>
      <c r="M41" s="86"/>
      <c r="N41" s="85"/>
    </row>
    <row r="42" spans="1:14" ht="18.75" hidden="1" customHeight="1" x14ac:dyDescent="0.4">
      <c r="A42" s="97"/>
      <c r="B42" s="112"/>
      <c r="C42" s="5">
        <f>+IFERROR(VLOOKUP($A42,RAIZ!$A$3:$X$1500,MATCH('Suc. Tuxpan'!$F$1,RAIZ!$A$2:$X$2,0),FALSE),0)</f>
        <v>0</v>
      </c>
      <c r="D42" s="20"/>
      <c r="E42" s="5"/>
      <c r="F42" s="5">
        <f t="shared" si="5"/>
        <v>0</v>
      </c>
      <c r="G42" s="5"/>
    </row>
    <row r="43" spans="1:14" ht="18.75" hidden="1" customHeight="1" x14ac:dyDescent="0.4">
      <c r="A43" s="97"/>
      <c r="B43" s="112"/>
      <c r="C43" s="5">
        <f>+IFERROR(VLOOKUP($A43,RAIZ!$A$3:$X$1500,MATCH('Suc. Tuxpan'!$F$1,RAIZ!$A$2:$X$2,0),FALSE),0)</f>
        <v>0</v>
      </c>
      <c r="D43" s="18"/>
      <c r="E43" s="5"/>
      <c r="F43" s="5">
        <f t="shared" si="5"/>
        <v>0</v>
      </c>
      <c r="G43" s="5"/>
      <c r="M43" s="86"/>
      <c r="N43" s="85"/>
    </row>
    <row r="44" spans="1:14" ht="18.75" hidden="1" customHeight="1" x14ac:dyDescent="0.4">
      <c r="A44" s="97"/>
      <c r="B44" s="112"/>
      <c r="C44" s="5">
        <f>+IFERROR(VLOOKUP($A44,RAIZ!$A$3:$X$1500,MATCH('Suc. Tuxpan'!$F$1,RAIZ!$A$2:$X$2,0),FALSE),0)</f>
        <v>0</v>
      </c>
      <c r="D44" s="18"/>
      <c r="E44" s="5"/>
      <c r="F44" s="5">
        <f t="shared" si="5"/>
        <v>0</v>
      </c>
      <c r="G44" s="5"/>
      <c r="M44" s="86"/>
      <c r="N44" s="85"/>
    </row>
    <row r="45" spans="1:14" ht="18.75" hidden="1" customHeight="1" x14ac:dyDescent="0.4">
      <c r="A45" s="97"/>
      <c r="B45" s="112"/>
      <c r="C45" s="5">
        <f>+IFERROR(VLOOKUP($A45,RAIZ!$A$3:$X$1500,MATCH('Suc. Tuxpan'!$F$1,RAIZ!$A$2:$X$2,0),FALSE),0)</f>
        <v>0</v>
      </c>
      <c r="D45" s="18"/>
      <c r="E45" s="5"/>
      <c r="F45" s="5">
        <f t="shared" si="5"/>
        <v>0</v>
      </c>
      <c r="G45" s="5"/>
      <c r="M45" s="86"/>
      <c r="N45" s="85"/>
    </row>
    <row r="46" spans="1:14" ht="18.75" hidden="1" customHeight="1" x14ac:dyDescent="0.4">
      <c r="A46" s="97"/>
      <c r="B46" s="112"/>
      <c r="C46" s="5">
        <f>+IFERROR(VLOOKUP($A46,RAIZ!$A$3:$X$1500,MATCH('Suc. Tuxpan'!$F$1,RAIZ!$A$2:$X$2,0),FALSE),0)</f>
        <v>0</v>
      </c>
      <c r="D46" s="18"/>
      <c r="E46" s="5"/>
      <c r="F46" s="5">
        <f t="shared" si="5"/>
        <v>0</v>
      </c>
      <c r="G46" s="5"/>
      <c r="M46" s="86"/>
      <c r="N46" s="85"/>
    </row>
    <row r="47" spans="1:14" ht="18.75" hidden="1" customHeight="1" x14ac:dyDescent="0.4">
      <c r="A47" s="97"/>
      <c r="B47" s="112"/>
      <c r="C47" s="5">
        <f>+IFERROR(VLOOKUP($A47,RAIZ!$A$3:$X$1500,MATCH('Suc. Tuxpan'!$F$1,RAIZ!$A$2:$X$2,0),FALSE),0)</f>
        <v>0</v>
      </c>
      <c r="D47" s="18"/>
      <c r="E47" s="5"/>
      <c r="F47" s="5">
        <f t="shared" si="5"/>
        <v>0</v>
      </c>
      <c r="G47" s="5"/>
      <c r="M47" s="86"/>
      <c r="N47" s="85"/>
    </row>
    <row r="48" spans="1:14" ht="18.75" hidden="1" customHeight="1" thickBot="1" x14ac:dyDescent="0.4">
      <c r="A48" s="97"/>
      <c r="B48" s="112"/>
      <c r="C48" s="5">
        <f>+IFERROR(VLOOKUP($A48,RAIZ!$A$3:$X$1500,MATCH('Suc. Tuxpan'!$F$1,RAIZ!$A$2:$X$2,0),FALSE),0)</f>
        <v>0</v>
      </c>
      <c r="D48" s="18"/>
      <c r="E48" s="5"/>
      <c r="F48" s="5">
        <f t="shared" si="5"/>
        <v>0</v>
      </c>
      <c r="G48" s="5"/>
      <c r="M48" s="86"/>
      <c r="N48" s="85"/>
    </row>
    <row r="49" spans="1:14" ht="18.75" customHeight="1" thickBot="1" x14ac:dyDescent="0.4">
      <c r="A49" s="99" t="s">
        <v>29</v>
      </c>
      <c r="B49" s="111"/>
      <c r="C49" s="77">
        <f>SUM(C33:C48)</f>
        <v>9</v>
      </c>
      <c r="D49" s="48">
        <f>SUM(D33:D48)</f>
        <v>28</v>
      </c>
      <c r="E49" s="48">
        <f>SUM(E33:E48)</f>
        <v>0</v>
      </c>
      <c r="F49" s="65">
        <f>SUM(F33:F48)</f>
        <v>19</v>
      </c>
      <c r="G49" s="48">
        <f>SUM(G33:G48)</f>
        <v>18</v>
      </c>
      <c r="M49" s="86"/>
      <c r="N49" s="85"/>
    </row>
    <row r="50" spans="1:14" ht="18.75" customHeight="1" x14ac:dyDescent="0.35">
      <c r="A50" s="93" t="s">
        <v>30</v>
      </c>
      <c r="B50" s="112" t="s">
        <v>778</v>
      </c>
      <c r="C50" s="5">
        <f>+IFERROR(VLOOKUP($A50,RAIZ!$A$3:$X$1500,MATCH('Suc. Tuxpan'!$F$1,RAIZ!$A$2:$X$2,0),FALSE),0)</f>
        <v>3</v>
      </c>
      <c r="D50" s="4">
        <v>10</v>
      </c>
      <c r="E50" s="5"/>
      <c r="F50" s="5">
        <f>IF(D50-C50&gt;=0,D50-C50,0)</f>
        <v>7</v>
      </c>
      <c r="G50" s="5">
        <v>5</v>
      </c>
      <c r="M50" s="86"/>
      <c r="N50" s="85"/>
    </row>
    <row r="51" spans="1:14" ht="18.75" customHeight="1" thickBot="1" x14ac:dyDescent="0.4">
      <c r="A51" s="95" t="s">
        <v>31</v>
      </c>
      <c r="B51" s="112" t="s">
        <v>779</v>
      </c>
      <c r="C51" s="5">
        <f>+IFERROR(VLOOKUP($A51,RAIZ!$A$3:$X$1500,MATCH('Suc. Tuxpan'!$F$1,RAIZ!$A$2:$X$2,0),FALSE),0)</f>
        <v>3</v>
      </c>
      <c r="D51" s="20">
        <v>10</v>
      </c>
      <c r="E51" s="5"/>
      <c r="F51" s="5">
        <f t="shared" ref="F51" si="6">IF(D51-C51&gt;=0,D51-C51,0)</f>
        <v>7</v>
      </c>
      <c r="G51" s="5">
        <v>5</v>
      </c>
      <c r="M51" s="86"/>
      <c r="N51" s="85"/>
    </row>
    <row r="52" spans="1:14" ht="18.75" customHeight="1" thickBot="1" x14ac:dyDescent="0.4">
      <c r="A52" s="100" t="s">
        <v>32</v>
      </c>
      <c r="B52" s="111"/>
      <c r="C52" s="78">
        <f>SUM(C50:C51)</f>
        <v>6</v>
      </c>
      <c r="D52" s="50">
        <f t="shared" ref="D52:E52" si="7">SUM(D50:D51)</f>
        <v>20</v>
      </c>
      <c r="E52" s="50">
        <f t="shared" si="7"/>
        <v>0</v>
      </c>
      <c r="F52" s="66">
        <f t="shared" ref="F52:G52" si="8">SUM(F50:F51)</f>
        <v>14</v>
      </c>
      <c r="G52" s="50">
        <f t="shared" si="8"/>
        <v>10</v>
      </c>
      <c r="M52" s="86"/>
      <c r="N52" s="85"/>
    </row>
    <row r="53" spans="1:14" ht="18.75" hidden="1" customHeight="1" x14ac:dyDescent="0.35">
      <c r="A53" s="93" t="s">
        <v>33</v>
      </c>
      <c r="B53" s="112" t="s">
        <v>780</v>
      </c>
      <c r="C53" s="5">
        <f>+IFERROR(VLOOKUP($A53,RAIZ!$A$3:$X$1500,MATCH('Suc. Tuxpan'!$F$1,RAIZ!$A$2:$X$2,0),FALSE),0)</f>
        <v>5</v>
      </c>
      <c r="D53" s="4">
        <v>8</v>
      </c>
      <c r="E53" s="5"/>
      <c r="F53" s="5">
        <f t="shared" ref="F53:F54" si="9">IF(D53-C53&gt;=0,D53-C53,0)</f>
        <v>3</v>
      </c>
      <c r="G53" s="5"/>
      <c r="M53" s="86"/>
      <c r="N53" s="85"/>
    </row>
    <row r="54" spans="1:14" ht="18.75" hidden="1" customHeight="1" thickBot="1" x14ac:dyDescent="0.35">
      <c r="A54" s="95" t="s">
        <v>34</v>
      </c>
      <c r="B54" s="112" t="s">
        <v>781</v>
      </c>
      <c r="C54" s="5">
        <f>+IFERROR(VLOOKUP($A54,RAIZ!$A$3:$X$1500,MATCH('Suc. Tuxpan'!$F$1,RAIZ!$A$2:$X$2,0),FALSE),0)</f>
        <v>3</v>
      </c>
      <c r="D54" s="20">
        <v>8</v>
      </c>
      <c r="E54" s="5"/>
      <c r="F54" s="5">
        <f t="shared" si="9"/>
        <v>5</v>
      </c>
      <c r="G54" s="5"/>
      <c r="M54" s="86"/>
      <c r="N54" s="85"/>
    </row>
    <row r="55" spans="1:14" ht="18.75" hidden="1" customHeight="1" thickBot="1" x14ac:dyDescent="0.4">
      <c r="A55" s="99" t="s">
        <v>35</v>
      </c>
      <c r="B55" s="111"/>
      <c r="C55" s="77">
        <f>SUM(C53:C54)</f>
        <v>8</v>
      </c>
      <c r="D55" s="48">
        <f t="shared" ref="D55:E55" si="10">SUM(D53:D54)</f>
        <v>16</v>
      </c>
      <c r="E55" s="48">
        <f t="shared" si="10"/>
        <v>0</v>
      </c>
      <c r="F55" s="65">
        <f t="shared" ref="F55:G55" si="11">SUM(F53:F54)</f>
        <v>8</v>
      </c>
      <c r="G55" s="48">
        <f t="shared" si="11"/>
        <v>0</v>
      </c>
      <c r="M55" s="86"/>
      <c r="N55" s="85"/>
    </row>
    <row r="56" spans="1:14" ht="18.75" customHeight="1" x14ac:dyDescent="0.35">
      <c r="A56" s="93" t="s">
        <v>36</v>
      </c>
      <c r="B56" s="112" t="s">
        <v>782</v>
      </c>
      <c r="C56" s="5">
        <f>+IFERROR(VLOOKUP($A56,RAIZ!$A$3:$X$1500,MATCH('Suc. Tuxpan'!$F$1,RAIZ!$A$2:$X$2,0),FALSE),0)</f>
        <v>0</v>
      </c>
      <c r="D56" s="4">
        <v>1</v>
      </c>
      <c r="E56" s="149"/>
      <c r="F56" s="5">
        <f t="shared" ref="F56:F70" si="12">IF(D56-C56&gt;=0,D56-C56,0)</f>
        <v>1</v>
      </c>
      <c r="G56" s="5">
        <v>1</v>
      </c>
      <c r="M56" s="86"/>
      <c r="N56" s="85"/>
    </row>
    <row r="57" spans="1:14" ht="18.75" hidden="1" customHeight="1" x14ac:dyDescent="0.35">
      <c r="A57" s="93" t="s">
        <v>37</v>
      </c>
      <c r="B57" s="112" t="s">
        <v>783</v>
      </c>
      <c r="C57" s="5">
        <f>+IFERROR(VLOOKUP($A57,RAIZ!$A$3:$X$1500,MATCH('Suc. Tuxpan'!$F$1,RAIZ!$A$2:$X$2,0),FALSE),0)</f>
        <v>0</v>
      </c>
      <c r="D57" s="7">
        <v>1</v>
      </c>
      <c r="E57" s="149"/>
      <c r="F57" s="5">
        <f t="shared" si="12"/>
        <v>1</v>
      </c>
      <c r="G57" s="5"/>
      <c r="M57" s="86"/>
      <c r="N57" s="85"/>
    </row>
    <row r="58" spans="1:14" ht="18.75" hidden="1" customHeight="1" x14ac:dyDescent="0.35">
      <c r="A58" s="93" t="s">
        <v>39</v>
      </c>
      <c r="B58" s="112" t="s">
        <v>784</v>
      </c>
      <c r="C58" s="5">
        <f>+IFERROR(VLOOKUP($A58,RAIZ!$A$3:$X$1500,MATCH('Suc. Tuxpan'!$F$1,RAIZ!$A$2:$X$2,0),FALSE),0)</f>
        <v>0</v>
      </c>
      <c r="D58" s="7">
        <v>0</v>
      </c>
      <c r="E58" s="149"/>
      <c r="F58" s="5">
        <f t="shared" ref="F58" si="13">IF(D58-C58&gt;=0,D58-C58,0)</f>
        <v>0</v>
      </c>
      <c r="G58" s="5"/>
      <c r="M58" s="86"/>
      <c r="N58" s="85"/>
    </row>
    <row r="59" spans="1:14" ht="18.75" hidden="1" customHeight="1" x14ac:dyDescent="0.35">
      <c r="A59" s="93" t="s">
        <v>40</v>
      </c>
      <c r="B59" s="112" t="s">
        <v>785</v>
      </c>
      <c r="C59" s="5">
        <f>+IFERROR(VLOOKUP($A59,RAIZ!$A$3:$X$1500,MATCH('Suc. Tuxpan'!$F$1,RAIZ!$A$2:$X$2,0),FALSE),0)</f>
        <v>1</v>
      </c>
      <c r="D59" s="7">
        <v>1</v>
      </c>
      <c r="E59" s="149"/>
      <c r="F59" s="5">
        <f t="shared" si="12"/>
        <v>0</v>
      </c>
      <c r="G59" s="5"/>
      <c r="M59" s="86"/>
      <c r="N59" s="85"/>
    </row>
    <row r="60" spans="1:14" ht="18.75" hidden="1" customHeight="1" x14ac:dyDescent="0.35">
      <c r="A60" s="93" t="s">
        <v>41</v>
      </c>
      <c r="B60" s="112" t="s">
        <v>786</v>
      </c>
      <c r="C60" s="5">
        <f>+IFERROR(VLOOKUP($A60,RAIZ!$A$3:$X$1500,MATCH('Suc. Tuxpan'!$F$1,RAIZ!$A$2:$X$2,0),FALSE),0)</f>
        <v>0</v>
      </c>
      <c r="D60" s="7">
        <v>1</v>
      </c>
      <c r="E60" s="149"/>
      <c r="F60" s="5">
        <f t="shared" si="12"/>
        <v>1</v>
      </c>
      <c r="G60" s="5"/>
      <c r="M60" s="86"/>
      <c r="N60" s="85"/>
    </row>
    <row r="61" spans="1:14" ht="18.75" hidden="1" customHeight="1" x14ac:dyDescent="0.35">
      <c r="A61" s="101" t="s">
        <v>42</v>
      </c>
      <c r="B61" s="112" t="s">
        <v>787</v>
      </c>
      <c r="C61" s="5">
        <f>+IFERROR(VLOOKUP($A61,RAIZ!$A$3:$X$1500,MATCH('Suc. Tuxpan'!$F$1,RAIZ!$A$2:$X$2,0),FALSE),0)</f>
        <v>2</v>
      </c>
      <c r="D61" s="4">
        <v>1</v>
      </c>
      <c r="E61" s="149"/>
      <c r="F61" s="5">
        <f t="shared" si="12"/>
        <v>0</v>
      </c>
      <c r="G61" s="5"/>
      <c r="M61" s="86"/>
      <c r="N61" s="85"/>
    </row>
    <row r="62" spans="1:14" ht="18.75" customHeight="1" x14ac:dyDescent="0.35">
      <c r="A62" s="102" t="s">
        <v>43</v>
      </c>
      <c r="B62" s="112" t="s">
        <v>788</v>
      </c>
      <c r="C62" s="5">
        <f>+IFERROR(VLOOKUP($A62,RAIZ!$A$3:$X$1500,MATCH('Suc. Tuxpan'!$F$1,RAIZ!$A$2:$X$2,0),FALSE),0)</f>
        <v>0</v>
      </c>
      <c r="D62" s="7">
        <v>1</v>
      </c>
      <c r="E62" s="149"/>
      <c r="F62" s="5">
        <f t="shared" si="12"/>
        <v>1</v>
      </c>
      <c r="G62" s="5">
        <v>1</v>
      </c>
      <c r="M62" s="86"/>
      <c r="N62" s="85"/>
    </row>
    <row r="63" spans="1:14" ht="18.75" hidden="1" customHeight="1" x14ac:dyDescent="0.35">
      <c r="A63" s="93" t="s">
        <v>44</v>
      </c>
      <c r="B63" s="112" t="s">
        <v>789</v>
      </c>
      <c r="C63" s="5">
        <f>+IFERROR(VLOOKUP($A63,RAIZ!$A$3:$X$1500,MATCH('Suc. Tuxpan'!$F$1,RAIZ!$A$2:$X$2,0),FALSE),0)</f>
        <v>0</v>
      </c>
      <c r="D63" s="7">
        <v>1</v>
      </c>
      <c r="E63" s="5"/>
      <c r="F63" s="5">
        <f t="shared" si="12"/>
        <v>1</v>
      </c>
      <c r="G63" s="5"/>
      <c r="M63" s="86"/>
      <c r="N63" s="85"/>
    </row>
    <row r="64" spans="1:14" ht="18.75" hidden="1" customHeight="1" x14ac:dyDescent="0.35">
      <c r="A64" s="93" t="s">
        <v>45</v>
      </c>
      <c r="B64" s="112" t="s">
        <v>790</v>
      </c>
      <c r="C64" s="5">
        <f>+IFERROR(VLOOKUP($A64,RAIZ!$A$3:$X$1500,MATCH('Suc. Tuxpan'!$F$1,RAIZ!$A$2:$X$2,0),FALSE),0)</f>
        <v>0</v>
      </c>
      <c r="D64" s="4">
        <v>1</v>
      </c>
      <c r="E64" s="5"/>
      <c r="F64" s="5">
        <f t="shared" si="12"/>
        <v>1</v>
      </c>
      <c r="G64" s="5"/>
      <c r="M64" s="86"/>
      <c r="N64" s="85"/>
    </row>
    <row r="65" spans="1:14" ht="18.75" hidden="1" customHeight="1" x14ac:dyDescent="0.35">
      <c r="A65" s="93" t="s">
        <v>46</v>
      </c>
      <c r="B65" s="112" t="s">
        <v>791</v>
      </c>
      <c r="C65" s="5">
        <f>+IFERROR(VLOOKUP($A65,RAIZ!$A$3:$X$1500,MATCH('Suc. Tuxpan'!$F$1,RAIZ!$A$2:$X$2,0),FALSE),0)</f>
        <v>3</v>
      </c>
      <c r="D65" s="7">
        <v>2</v>
      </c>
      <c r="E65" s="5"/>
      <c r="F65" s="5">
        <f t="shared" si="12"/>
        <v>0</v>
      </c>
      <c r="G65" s="5"/>
      <c r="M65" s="86"/>
      <c r="N65" s="85"/>
    </row>
    <row r="66" spans="1:14" ht="18.75" customHeight="1" x14ac:dyDescent="0.35">
      <c r="A66" s="93" t="s">
        <v>48</v>
      </c>
      <c r="B66" s="112" t="s">
        <v>792</v>
      </c>
      <c r="C66" s="5">
        <f>+IFERROR(VLOOKUP($A66,RAIZ!$A$3:$X$1500,MATCH('Suc. Tuxpan'!$F$1,RAIZ!$A$2:$X$2,0),FALSE),0)</f>
        <v>1</v>
      </c>
      <c r="D66" s="7">
        <v>1</v>
      </c>
      <c r="E66" s="5"/>
      <c r="F66" s="5">
        <f t="shared" si="12"/>
        <v>0</v>
      </c>
      <c r="G66" s="5">
        <v>1</v>
      </c>
      <c r="M66" s="86"/>
      <c r="N66" s="85"/>
    </row>
    <row r="67" spans="1:14" ht="18.75" hidden="1" customHeight="1" x14ac:dyDescent="0.35">
      <c r="A67" s="93" t="s">
        <v>49</v>
      </c>
      <c r="B67" s="112" t="s">
        <v>793</v>
      </c>
      <c r="C67" s="5">
        <f>+IFERROR(VLOOKUP($A67,RAIZ!$A$3:$X$1500,MATCH('Suc. Tuxpan'!$F$1,RAIZ!$A$2:$X$2,0),FALSE),0)</f>
        <v>0</v>
      </c>
      <c r="D67" s="7">
        <v>1</v>
      </c>
      <c r="E67" s="5"/>
      <c r="F67" s="5">
        <f t="shared" si="12"/>
        <v>1</v>
      </c>
      <c r="G67" s="5"/>
      <c r="M67" s="86"/>
      <c r="N67" s="85"/>
    </row>
    <row r="68" spans="1:14" ht="18.75" hidden="1" customHeight="1" x14ac:dyDescent="0.35">
      <c r="A68" s="93" t="s">
        <v>50</v>
      </c>
      <c r="B68" s="112" t="s">
        <v>794</v>
      </c>
      <c r="C68" s="5">
        <f>+IFERROR(VLOOKUP($A68,RAIZ!$A$3:$X$1500,MATCH('Suc. Tuxpan'!$F$1,RAIZ!$A$2:$X$2,0),FALSE),0)</f>
        <v>0</v>
      </c>
      <c r="D68" s="4">
        <v>2</v>
      </c>
      <c r="E68" s="5"/>
      <c r="F68" s="5">
        <f t="shared" si="12"/>
        <v>2</v>
      </c>
      <c r="G68" s="5"/>
      <c r="M68" s="86"/>
      <c r="N68" s="85"/>
    </row>
    <row r="69" spans="1:14" ht="18.75" hidden="1" customHeight="1" x14ac:dyDescent="0.35">
      <c r="A69" s="93" t="s">
        <v>51</v>
      </c>
      <c r="B69" s="112" t="s">
        <v>795</v>
      </c>
      <c r="C69" s="5">
        <f>+IFERROR(VLOOKUP($A69,RAIZ!$A$3:$X$1500,MATCH('Suc. Tuxpan'!$F$1,RAIZ!$A$2:$X$2,0),FALSE),0)</f>
        <v>1</v>
      </c>
      <c r="D69" s="169">
        <v>0</v>
      </c>
      <c r="E69" s="5"/>
      <c r="F69" s="5">
        <f t="shared" si="12"/>
        <v>0</v>
      </c>
      <c r="G69" s="5"/>
      <c r="M69" s="86"/>
      <c r="N69" s="85"/>
    </row>
    <row r="70" spans="1:14" ht="18.75" customHeight="1" thickBot="1" x14ac:dyDescent="0.4">
      <c r="A70" s="93" t="s">
        <v>53</v>
      </c>
      <c r="B70" s="112" t="s">
        <v>796</v>
      </c>
      <c r="C70" s="5">
        <f>+IFERROR(VLOOKUP($A70,RAIZ!$A$3:$X$1500,MATCH('Suc. Tuxpan'!$F$1,RAIZ!$A$2:$X$2,0),FALSE),0)</f>
        <v>0</v>
      </c>
      <c r="D70" s="20">
        <v>5</v>
      </c>
      <c r="E70" s="149"/>
      <c r="F70" s="5">
        <f t="shared" si="12"/>
        <v>5</v>
      </c>
      <c r="G70" s="5">
        <v>6</v>
      </c>
      <c r="M70" s="86"/>
      <c r="N70" s="85"/>
    </row>
    <row r="71" spans="1:14" ht="18.75" hidden="1" customHeight="1" x14ac:dyDescent="0.4">
      <c r="A71" s="93" t="s">
        <v>47</v>
      </c>
      <c r="B71" s="112" t="s">
        <v>873</v>
      </c>
      <c r="C71" s="5">
        <f>+IFERROR(VLOOKUP($A71,RAIZ!$A$3:$X$1500,MATCH('Suc. Tuxpan'!$F$1,RAIZ!$A$2:$X$2,0),FALSE),0)</f>
        <v>0</v>
      </c>
      <c r="D71" s="20">
        <v>1</v>
      </c>
      <c r="E71" s="5"/>
      <c r="F71" s="5">
        <f t="shared" ref="F71:F77" si="14">IF(D71-C71&gt;=0,D71-C71,0)</f>
        <v>1</v>
      </c>
      <c r="G71" s="5"/>
      <c r="M71" s="86"/>
      <c r="N71" s="85"/>
    </row>
    <row r="72" spans="1:14" ht="18.75" hidden="1" customHeight="1" x14ac:dyDescent="0.4">
      <c r="A72" s="86" t="s">
        <v>1089</v>
      </c>
      <c r="B72" s="112" t="s">
        <v>1090</v>
      </c>
      <c r="C72" s="5">
        <f>+IFERROR(VLOOKUP($A72,RAIZ!$A$3:$X$1500,MATCH('Suc. Tuxpan'!$F$1,RAIZ!$A$2:$X$2,0),FALSE),0)</f>
        <v>0</v>
      </c>
      <c r="D72" s="20">
        <v>0</v>
      </c>
      <c r="E72" s="5"/>
      <c r="F72" s="5">
        <f>IF(D72-C72&gt;=0,D72-C72,0)</f>
        <v>0</v>
      </c>
      <c r="G72" s="5"/>
    </row>
    <row r="73" spans="1:14" ht="18.75" hidden="1" customHeight="1" x14ac:dyDescent="0.4">
      <c r="A73" s="93"/>
      <c r="B73" s="112"/>
      <c r="C73" s="5">
        <f>+IFERROR(VLOOKUP($A73,RAIZ!$A$3:$X$1500,MATCH('Suc. Tuxpan'!$F$1,RAIZ!$A$2:$X$2,0),FALSE),0)</f>
        <v>0</v>
      </c>
      <c r="D73" s="20"/>
      <c r="E73" s="5"/>
      <c r="F73" s="5">
        <f t="shared" si="14"/>
        <v>0</v>
      </c>
      <c r="G73" s="5"/>
      <c r="M73" s="86"/>
      <c r="N73" s="85"/>
    </row>
    <row r="74" spans="1:14" ht="18.75" hidden="1" customHeight="1" x14ac:dyDescent="0.4">
      <c r="A74" s="93"/>
      <c r="B74" s="112"/>
      <c r="C74" s="5">
        <f>+IFERROR(VLOOKUP($A74,RAIZ!$A$3:$X$1500,MATCH('Suc. Tuxpan'!$F$1,RAIZ!$A$2:$X$2,0),FALSE),0)</f>
        <v>0</v>
      </c>
      <c r="D74" s="20"/>
      <c r="E74" s="5"/>
      <c r="F74" s="5">
        <f t="shared" si="14"/>
        <v>0</v>
      </c>
      <c r="G74" s="5"/>
      <c r="M74" s="86"/>
      <c r="N74" s="85"/>
    </row>
    <row r="75" spans="1:14" ht="18.75" hidden="1" customHeight="1" x14ac:dyDescent="0.4">
      <c r="A75" s="93"/>
      <c r="B75" s="112"/>
      <c r="C75" s="5">
        <f>+IFERROR(VLOOKUP($A75,RAIZ!$A$3:$X$1500,MATCH('Suc. Tuxpan'!$F$1,RAIZ!$A$2:$X$2,0),FALSE),0)</f>
        <v>0</v>
      </c>
      <c r="D75" s="20"/>
      <c r="E75" s="5"/>
      <c r="F75" s="5">
        <f t="shared" si="14"/>
        <v>0</v>
      </c>
      <c r="G75" s="5"/>
      <c r="M75" s="86"/>
      <c r="N75" s="85"/>
    </row>
    <row r="76" spans="1:14" ht="18.75" hidden="1" customHeight="1" x14ac:dyDescent="0.4">
      <c r="A76" s="93"/>
      <c r="B76" s="112"/>
      <c r="C76" s="5">
        <f>+IFERROR(VLOOKUP($A76,RAIZ!$A$3:$X$1500,MATCH('Suc. Tuxpan'!$F$1,RAIZ!$A$2:$X$2,0),FALSE),0)</f>
        <v>0</v>
      </c>
      <c r="D76" s="20"/>
      <c r="E76" s="5"/>
      <c r="F76" s="5">
        <f t="shared" si="14"/>
        <v>0</v>
      </c>
      <c r="G76" s="5"/>
      <c r="M76" s="86"/>
      <c r="N76" s="85"/>
    </row>
    <row r="77" spans="1:14" ht="18.75" hidden="1" customHeight="1" thickBot="1" x14ac:dyDescent="0.4">
      <c r="A77" s="93"/>
      <c r="B77" s="112"/>
      <c r="C77" s="5">
        <f>+IFERROR(VLOOKUP($A77,RAIZ!$A$3:$X$1500,MATCH('Suc. Tuxpan'!$F$1,RAIZ!$A$2:$X$2,0),FALSE),0)</f>
        <v>0</v>
      </c>
      <c r="D77" s="20"/>
      <c r="E77" s="5"/>
      <c r="F77" s="5">
        <f t="shared" si="14"/>
        <v>0</v>
      </c>
      <c r="G77" s="5"/>
      <c r="M77" s="86"/>
      <c r="N77" s="85"/>
    </row>
    <row r="78" spans="1:14" ht="18.75" customHeight="1" thickBot="1" x14ac:dyDescent="0.4">
      <c r="A78" s="99" t="s">
        <v>54</v>
      </c>
      <c r="B78" s="111"/>
      <c r="C78" s="77">
        <f>SUM(C56:C77)</f>
        <v>8</v>
      </c>
      <c r="D78" s="48">
        <f>SUM(D56:D77)</f>
        <v>20</v>
      </c>
      <c r="E78" s="48">
        <f>SUM(E56:E77)</f>
        <v>0</v>
      </c>
      <c r="F78" s="65">
        <f>SUM(F56:F77)</f>
        <v>15</v>
      </c>
      <c r="G78" s="48">
        <f>SUM(G56:G77)</f>
        <v>9</v>
      </c>
      <c r="M78" s="86"/>
      <c r="N78" s="85"/>
    </row>
    <row r="79" spans="1:14" ht="18.75" customHeight="1" thickBot="1" x14ac:dyDescent="0.4">
      <c r="A79" s="103" t="s">
        <v>55</v>
      </c>
      <c r="B79" s="111"/>
      <c r="C79" s="79">
        <f>C18+C32+C49+C52+C55+C78</f>
        <v>36</v>
      </c>
      <c r="D79" s="52">
        <f>D18+D32+D49+D52+D55+D78</f>
        <v>131</v>
      </c>
      <c r="E79" s="52">
        <f>E18+E32+E49+E52+E55+E78</f>
        <v>0</v>
      </c>
      <c r="F79" s="67">
        <f>F18+F32+F49+F52+F55+F78</f>
        <v>98</v>
      </c>
      <c r="G79" s="52">
        <f>G18+G32+G49+G52+G55+G78</f>
        <v>67</v>
      </c>
      <c r="M79" s="86"/>
      <c r="N79" s="85"/>
    </row>
    <row r="80" spans="1:14" ht="18.75" hidden="1" customHeight="1" thickBot="1" x14ac:dyDescent="0.4">
      <c r="A80" s="104" t="s">
        <v>56</v>
      </c>
      <c r="B80" s="111"/>
      <c r="C80" s="68"/>
      <c r="D80" s="26"/>
      <c r="E80" s="27"/>
      <c r="F80" s="27"/>
      <c r="G80" s="27"/>
      <c r="M80" s="86"/>
      <c r="N80" s="85"/>
    </row>
    <row r="81" spans="1:14" ht="18.75" customHeight="1" thickBot="1" x14ac:dyDescent="0.4">
      <c r="A81" s="94" t="s">
        <v>57</v>
      </c>
      <c r="B81" s="112" t="s">
        <v>797</v>
      </c>
      <c r="C81" s="5">
        <f>+IFERROR(VLOOKUP($A81,RAIZ!$A$3:$X$1500,MATCH('Suc. Tuxpan'!$F$1,RAIZ!$A$2:$X$2,0),FALSE),0)</f>
        <v>0</v>
      </c>
      <c r="D81" s="162">
        <v>1</v>
      </c>
      <c r="E81" s="254" t="s">
        <v>954</v>
      </c>
      <c r="F81" s="5">
        <f t="shared" ref="F81:F85" si="15">IF(D81-C81&gt;=0,D81-C81,0)</f>
        <v>1</v>
      </c>
      <c r="G81" s="5">
        <v>1</v>
      </c>
      <c r="M81" s="86"/>
      <c r="N81" s="85"/>
    </row>
    <row r="82" spans="1:14" ht="18.75" hidden="1" customHeight="1" x14ac:dyDescent="0.4">
      <c r="A82" s="94" t="s">
        <v>58</v>
      </c>
      <c r="B82" s="112" t="s">
        <v>867</v>
      </c>
      <c r="C82" s="5">
        <f>+IFERROR(VLOOKUP($A82,RAIZ!$A$3:$X$1500,MATCH('Suc. Tuxpan'!$F$1,RAIZ!$A$2:$X$2,0),FALSE),0)</f>
        <v>0</v>
      </c>
      <c r="D82" s="162">
        <v>0</v>
      </c>
      <c r="E82" s="256"/>
      <c r="F82" s="5">
        <f t="shared" ref="F82" si="16">IF(D82-C82&gt;=0,D82-C82,0)</f>
        <v>0</v>
      </c>
      <c r="G82" s="5"/>
      <c r="M82" s="86"/>
      <c r="N82" s="85"/>
    </row>
    <row r="83" spans="1:14" ht="18.75" hidden="1" customHeight="1" x14ac:dyDescent="0.4">
      <c r="A83" s="94" t="s">
        <v>59</v>
      </c>
      <c r="B83" s="112" t="s">
        <v>798</v>
      </c>
      <c r="C83" s="5">
        <f>+IFERROR(VLOOKUP($A83,RAIZ!$A$3:$X$1500,MATCH('Suc. Tuxpan'!$F$1,RAIZ!$A$2:$X$2,0),FALSE),0)</f>
        <v>0</v>
      </c>
      <c r="D83" s="163">
        <v>0</v>
      </c>
      <c r="E83" s="256"/>
      <c r="F83" s="5">
        <f t="shared" si="15"/>
        <v>0</v>
      </c>
      <c r="G83" s="5"/>
    </row>
    <row r="84" spans="1:14" ht="18.75" hidden="1" customHeight="1" x14ac:dyDescent="0.4">
      <c r="A84" s="94" t="s">
        <v>60</v>
      </c>
      <c r="B84" s="112" t="s">
        <v>799</v>
      </c>
      <c r="C84" s="5">
        <f>+IFERROR(VLOOKUP($A84,RAIZ!$A$3:$X$1500,MATCH('Suc. Tuxpan'!$F$1,RAIZ!$A$2:$X$2,0),FALSE),0)</f>
        <v>0</v>
      </c>
      <c r="D84" s="163">
        <v>1</v>
      </c>
      <c r="E84" s="256"/>
      <c r="F84" s="5">
        <f t="shared" si="15"/>
        <v>1</v>
      </c>
      <c r="G84" s="5"/>
    </row>
    <row r="85" spans="1:14" ht="18.75" hidden="1" customHeight="1" x14ac:dyDescent="0.4">
      <c r="A85" s="94" t="s">
        <v>61</v>
      </c>
      <c r="B85" s="112" t="s">
        <v>800</v>
      </c>
      <c r="C85" s="5">
        <f>+IFERROR(VLOOKUP($A85,RAIZ!$A$3:$X$1500,MATCH('Suc. Tuxpan'!$F$1,RAIZ!$A$2:$X$2,0),FALSE),0)</f>
        <v>0</v>
      </c>
      <c r="D85" s="163">
        <v>1</v>
      </c>
      <c r="E85" s="256"/>
      <c r="F85" s="5">
        <f t="shared" si="15"/>
        <v>1</v>
      </c>
      <c r="G85" s="5"/>
    </row>
    <row r="86" spans="1:14" ht="18.75" hidden="1" customHeight="1" thickBot="1" x14ac:dyDescent="0.4">
      <c r="A86" s="94" t="s">
        <v>63</v>
      </c>
      <c r="B86" s="112" t="s">
        <v>801</v>
      </c>
      <c r="C86" s="5">
        <f>+IFERROR(VLOOKUP($A86,RAIZ!$A$3:$X$1500,MATCH('Suc. Tuxpan'!$F$1,RAIZ!$A$2:$X$2,0),FALSE),0)</f>
        <v>0</v>
      </c>
      <c r="D86" s="163">
        <v>3</v>
      </c>
      <c r="E86" s="255"/>
      <c r="F86" s="5">
        <f t="shared" ref="F86:F90" si="17">IF(D86-C86&gt;=0,D86-C86,0)</f>
        <v>3</v>
      </c>
      <c r="G86" s="5"/>
    </row>
    <row r="87" spans="1:14" ht="18.75" hidden="1" customHeight="1" x14ac:dyDescent="0.4">
      <c r="A87" s="94"/>
      <c r="B87" s="112" t="s">
        <v>1091</v>
      </c>
      <c r="C87" s="5">
        <f>+IFERROR(VLOOKUP($A87,RAIZ!$A$3:$X$1500,MATCH('Suc. Tuxpan'!$F$1,RAIZ!$A$2:$X$2,0),FALSE),0)</f>
        <v>0</v>
      </c>
      <c r="D87" s="146"/>
      <c r="E87" s="5"/>
      <c r="F87" s="5">
        <f>IF(D87-C87&gt;=0,D87-C87,0)</f>
        <v>0</v>
      </c>
      <c r="G87" s="5"/>
    </row>
    <row r="88" spans="1:14" ht="18.75" hidden="1" customHeight="1" x14ac:dyDescent="0.4">
      <c r="A88" s="94"/>
      <c r="B88" s="112" t="s">
        <v>1094</v>
      </c>
      <c r="C88" s="5">
        <f>+IFERROR(VLOOKUP($A88,RAIZ!$A$3:$X$1500,MATCH('Suc. Tuxpan'!$F$1,RAIZ!$A$2:$X$2,0),FALSE),0)</f>
        <v>0</v>
      </c>
      <c r="D88" s="7"/>
      <c r="E88" s="5"/>
      <c r="F88" s="5">
        <f t="shared" si="17"/>
        <v>0</v>
      </c>
      <c r="G88" s="5"/>
    </row>
    <row r="89" spans="1:14" ht="18.75" hidden="1" customHeight="1" x14ac:dyDescent="0.4">
      <c r="A89" s="94"/>
      <c r="B89" s="112" t="s">
        <v>1095</v>
      </c>
      <c r="C89" s="5">
        <f>+IFERROR(VLOOKUP($A89,RAIZ!$A$3:$X$1500,MATCH('Suc. Tuxpan'!$F$1,RAIZ!$A$2:$X$2,0),FALSE),0)</f>
        <v>0</v>
      </c>
      <c r="D89" s="7"/>
      <c r="E89" s="5"/>
      <c r="F89" s="5">
        <f t="shared" si="17"/>
        <v>0</v>
      </c>
      <c r="G89" s="5"/>
    </row>
    <row r="90" spans="1:14" ht="18.75" hidden="1" customHeight="1" thickBot="1" x14ac:dyDescent="0.4">
      <c r="A90" s="94"/>
      <c r="B90" s="112" t="s">
        <v>1093</v>
      </c>
      <c r="C90" s="5">
        <f>+IFERROR(VLOOKUP($A90,RAIZ!$A$3:$X$1500,MATCH('Suc. Tuxpan'!$F$1,RAIZ!$A$2:$X$2,0),FALSE),0)</f>
        <v>0</v>
      </c>
      <c r="D90" s="7"/>
      <c r="E90" s="5"/>
      <c r="F90" s="5">
        <f t="shared" si="17"/>
        <v>0</v>
      </c>
      <c r="G90" s="5"/>
    </row>
    <row r="91" spans="1:14" ht="18.75" customHeight="1" thickBot="1" x14ac:dyDescent="0.4">
      <c r="A91" s="105" t="s">
        <v>55</v>
      </c>
      <c r="B91" s="111"/>
      <c r="C91" s="80">
        <f>SUM(C81:C90)</f>
        <v>0</v>
      </c>
      <c r="D91" s="54">
        <f>SUM(D81:D90)</f>
        <v>6</v>
      </c>
      <c r="E91" s="54">
        <f>SUM(E81:E90)</f>
        <v>0</v>
      </c>
      <c r="F91" s="69">
        <f>SUM(F81:F90)</f>
        <v>6</v>
      </c>
      <c r="G91" s="54">
        <f>SUM(G81:G90)</f>
        <v>1</v>
      </c>
    </row>
    <row r="92" spans="1:14" ht="18.75" hidden="1" customHeight="1" x14ac:dyDescent="0.35">
      <c r="A92" s="106" t="s">
        <v>64</v>
      </c>
      <c r="B92" s="111"/>
      <c r="C92" s="70"/>
      <c r="D92" s="30"/>
      <c r="E92" s="31"/>
      <c r="F92" s="31"/>
      <c r="G92" s="31"/>
    </row>
    <row r="93" spans="1:14" ht="18.75" hidden="1" customHeight="1" x14ac:dyDescent="0.35">
      <c r="A93" s="94" t="s">
        <v>65</v>
      </c>
      <c r="B93" s="112" t="s">
        <v>802</v>
      </c>
      <c r="C93" s="5">
        <f>+IFERROR(VLOOKUP($A93,RAIZ!$A$3:$X$1500,MATCH('Suc. Tuxpan'!$F$1,RAIZ!$A$2:$X$2,0),FALSE),0)</f>
        <v>0</v>
      </c>
      <c r="D93" s="168">
        <v>0</v>
      </c>
      <c r="E93" s="5"/>
      <c r="F93" s="5">
        <f t="shared" ref="F93:F104" si="18">IF(D93-C93&gt;=0,D93-C93,0)</f>
        <v>0</v>
      </c>
      <c r="G93" s="5"/>
    </row>
    <row r="94" spans="1:14" ht="18.75" hidden="1" customHeight="1" x14ac:dyDescent="0.35">
      <c r="A94" s="94" t="s">
        <v>66</v>
      </c>
      <c r="B94" s="112" t="s">
        <v>803</v>
      </c>
      <c r="C94" s="5">
        <f>+IFERROR(VLOOKUP($A94,RAIZ!$A$3:$X$1500,MATCH('Suc. Tuxpan'!$F$1,RAIZ!$A$2:$X$2,0),FALSE),0)</f>
        <v>0</v>
      </c>
      <c r="D94" s="169">
        <v>0</v>
      </c>
      <c r="E94" s="5"/>
      <c r="F94" s="5">
        <f t="shared" si="18"/>
        <v>0</v>
      </c>
      <c r="G94" s="5"/>
    </row>
    <row r="95" spans="1:14" ht="18.75" hidden="1" customHeight="1" x14ac:dyDescent="0.35">
      <c r="A95" s="94" t="s">
        <v>68</v>
      </c>
      <c r="B95" s="112" t="s">
        <v>805</v>
      </c>
      <c r="C95" s="5">
        <f>+IFERROR(VLOOKUP($A95,RAIZ!$A$3:$X$1500,MATCH('Suc. Tuxpan'!$F$1,RAIZ!$A$2:$X$2,0),FALSE),0)</f>
        <v>1</v>
      </c>
      <c r="D95" s="7">
        <v>1</v>
      </c>
      <c r="E95" s="5"/>
      <c r="F95" s="5">
        <f t="shared" si="18"/>
        <v>0</v>
      </c>
      <c r="G95" s="5"/>
    </row>
    <row r="96" spans="1:14" ht="18.75" hidden="1" customHeight="1" x14ac:dyDescent="0.35">
      <c r="A96" s="94" t="s">
        <v>69</v>
      </c>
      <c r="B96" s="112" t="s">
        <v>806</v>
      </c>
      <c r="C96" s="5">
        <f>+IFERROR(VLOOKUP($A96,RAIZ!$A$3:$X$1500,MATCH('Suc. Tuxpan'!$F$1,RAIZ!$A$2:$X$2,0),FALSE),0)</f>
        <v>5</v>
      </c>
      <c r="D96" s="7">
        <v>15</v>
      </c>
      <c r="E96" s="5"/>
      <c r="F96" s="5">
        <f t="shared" si="18"/>
        <v>10</v>
      </c>
      <c r="G96" s="5"/>
    </row>
    <row r="97" spans="1:7" ht="18.75" hidden="1" customHeight="1" x14ac:dyDescent="0.35">
      <c r="A97" s="94" t="s">
        <v>70</v>
      </c>
      <c r="B97" s="112" t="s">
        <v>807</v>
      </c>
      <c r="C97" s="5">
        <f>+IFERROR(VLOOKUP($A97,RAIZ!$A$3:$X$1500,MATCH('Suc. Tuxpan'!$F$1,RAIZ!$A$2:$X$2,0),FALSE),0)</f>
        <v>0</v>
      </c>
      <c r="D97" s="7">
        <v>10</v>
      </c>
      <c r="E97" s="5"/>
      <c r="F97" s="5">
        <f t="shared" si="18"/>
        <v>10</v>
      </c>
      <c r="G97" s="5"/>
    </row>
    <row r="98" spans="1:7" ht="18.75" customHeight="1" x14ac:dyDescent="0.35">
      <c r="A98" s="94" t="s">
        <v>857</v>
      </c>
      <c r="B98" s="112" t="s">
        <v>808</v>
      </c>
      <c r="C98" s="5">
        <f>+IFERROR(VLOOKUP($A98,RAIZ!$A$3:$X$1500,MATCH('Suc. Tuxpan'!$F$1,RAIZ!$A$2:$X$2,0),FALSE),0)</f>
        <v>0</v>
      </c>
      <c r="D98" s="7">
        <v>3</v>
      </c>
      <c r="E98" s="201">
        <v>15</v>
      </c>
      <c r="F98" s="5">
        <f t="shared" si="18"/>
        <v>3</v>
      </c>
      <c r="G98" s="5">
        <v>5</v>
      </c>
    </row>
    <row r="99" spans="1:7" ht="18.75" hidden="1" customHeight="1" x14ac:dyDescent="0.35">
      <c r="A99" s="94" t="s">
        <v>835</v>
      </c>
      <c r="B99" s="112" t="s">
        <v>836</v>
      </c>
      <c r="C99" s="5">
        <f>+IFERROR(VLOOKUP($A99,RAIZ!$A$3:$X$1500,MATCH('Suc. Tuxpan'!$F$1,RAIZ!$A$2:$X$2,0),FALSE),0)</f>
        <v>2</v>
      </c>
      <c r="D99" s="7">
        <v>1</v>
      </c>
      <c r="E99" s="5"/>
      <c r="F99" s="5">
        <f t="shared" ref="F99:F103" si="19">IF(D99-C99&gt;=0,D99-C99,0)</f>
        <v>0</v>
      </c>
      <c r="G99" s="5"/>
    </row>
    <row r="100" spans="1:7" ht="18.75" customHeight="1" thickBot="1" x14ac:dyDescent="0.4">
      <c r="A100" s="94" t="s">
        <v>72</v>
      </c>
      <c r="B100" s="112" t="s">
        <v>834</v>
      </c>
      <c r="C100" s="5">
        <f>+IFERROR(VLOOKUP($A100,RAIZ!$A$3:$X$1500,MATCH('Suc. Tuxpan'!$F$1,RAIZ!$A$2:$X$2,0),FALSE),0)</f>
        <v>11</v>
      </c>
      <c r="D100" s="7">
        <v>30</v>
      </c>
      <c r="E100" s="5"/>
      <c r="F100" s="5">
        <f t="shared" si="19"/>
        <v>19</v>
      </c>
      <c r="G100" s="5">
        <v>30</v>
      </c>
    </row>
    <row r="101" spans="1:7" ht="18.75" hidden="1" customHeight="1" x14ac:dyDescent="0.4">
      <c r="A101" s="94" t="s">
        <v>73</v>
      </c>
      <c r="B101" s="112" t="s">
        <v>809</v>
      </c>
      <c r="C101" s="5">
        <f>+IFERROR(VLOOKUP($A101,RAIZ!$A$3:$X$1500,MATCH('Suc. Tuxpan'!$F$1,RAIZ!$A$2:$X$2,0),FALSE),0)</f>
        <v>0</v>
      </c>
      <c r="D101" s="7">
        <v>1</v>
      </c>
      <c r="E101" s="5"/>
      <c r="F101" s="5">
        <f t="shared" si="19"/>
        <v>1</v>
      </c>
      <c r="G101" s="5"/>
    </row>
    <row r="102" spans="1:7" ht="18.75" hidden="1" customHeight="1" thickBot="1" x14ac:dyDescent="0.4">
      <c r="A102" s="94" t="s">
        <v>74</v>
      </c>
      <c r="B102" s="112" t="s">
        <v>810</v>
      </c>
      <c r="C102" s="5">
        <f>+IFERROR(VLOOKUP($A102,RAIZ!$A$3:$X$1500,MATCH('Suc. Tuxpan'!$F$1,RAIZ!$A$2:$X$2,0),FALSE),0)</f>
        <v>2</v>
      </c>
      <c r="D102" s="7">
        <v>1</v>
      </c>
      <c r="E102" s="5"/>
      <c r="F102" s="5">
        <f t="shared" si="19"/>
        <v>0</v>
      </c>
      <c r="G102" s="5"/>
    </row>
    <row r="103" spans="1:7" ht="18.75" hidden="1" customHeight="1" thickBot="1" x14ac:dyDescent="0.4">
      <c r="A103" s="94" t="s">
        <v>75</v>
      </c>
      <c r="B103" s="112" t="s">
        <v>811</v>
      </c>
      <c r="C103" s="5">
        <f>+IFERROR(VLOOKUP($A103,RAIZ!$A$3:$X$1500,MATCH('Suc. Tuxpan'!$F$1,RAIZ!$A$2:$X$2,0),FALSE),0)</f>
        <v>0</v>
      </c>
      <c r="D103" s="20">
        <v>3</v>
      </c>
      <c r="E103" s="154" t="s">
        <v>955</v>
      </c>
      <c r="F103" s="5">
        <f t="shared" si="19"/>
        <v>3</v>
      </c>
      <c r="G103" s="5"/>
    </row>
    <row r="104" spans="1:7" ht="18.75" hidden="1" customHeight="1" thickBot="1" x14ac:dyDescent="0.4">
      <c r="A104" s="94"/>
      <c r="B104" s="112" t="s">
        <v>1096</v>
      </c>
      <c r="C104" s="5">
        <f>+IFERROR(VLOOKUP($A104,RAIZ!$A$3:$X$1500,MATCH('Suc. Tuxpan'!$F$1,RAIZ!$A$2:$X$2,0),FALSE),0)</f>
        <v>0</v>
      </c>
      <c r="D104" s="7"/>
      <c r="E104" s="5"/>
      <c r="F104" s="5">
        <f t="shared" si="18"/>
        <v>0</v>
      </c>
      <c r="G104" s="5"/>
    </row>
    <row r="105" spans="1:7" ht="18.75" customHeight="1" thickBot="1" x14ac:dyDescent="0.4">
      <c r="A105" s="107" t="s">
        <v>55</v>
      </c>
      <c r="B105" s="111"/>
      <c r="C105" s="81">
        <f>SUM(C93:C104)</f>
        <v>21</v>
      </c>
      <c r="D105" s="56">
        <f>SUM(D93:D104)</f>
        <v>65</v>
      </c>
      <c r="E105" s="56">
        <f>SUM(E93:E104)</f>
        <v>15</v>
      </c>
      <c r="F105" s="71">
        <f>SUM(F93:F104)</f>
        <v>46</v>
      </c>
      <c r="G105" s="56">
        <f>SUM(G93:G104)</f>
        <v>35</v>
      </c>
    </row>
    <row r="106" spans="1:7" ht="18.75" hidden="1" customHeight="1" x14ac:dyDescent="0.4">
      <c r="A106" s="108" t="s">
        <v>76</v>
      </c>
      <c r="B106" s="111"/>
      <c r="C106" s="72"/>
      <c r="D106" s="34"/>
      <c r="E106" s="35"/>
      <c r="F106" s="35"/>
      <c r="G106" s="35"/>
    </row>
    <row r="107" spans="1:7" ht="18.75" hidden="1" customHeight="1" x14ac:dyDescent="0.4">
      <c r="A107" s="94" t="s">
        <v>77</v>
      </c>
      <c r="B107" s="112" t="s">
        <v>812</v>
      </c>
      <c r="C107" s="5">
        <f>+IFERROR(VLOOKUP($A107,RAIZ!$A$3:$X$1500,MATCH('Suc. Tuxpan'!$F$1,RAIZ!$A$2:$X$2,0),FALSE),0)</f>
        <v>1</v>
      </c>
      <c r="D107" s="7">
        <v>1</v>
      </c>
      <c r="E107" s="5"/>
      <c r="F107" s="5">
        <f t="shared" ref="F107:F112" si="20">IF(D107-C107&gt;=0,D107-C107,0)</f>
        <v>0</v>
      </c>
      <c r="G107" s="5"/>
    </row>
    <row r="108" spans="1:7" ht="18.75" hidden="1" customHeight="1" x14ac:dyDescent="0.4">
      <c r="A108" s="94" t="s">
        <v>621</v>
      </c>
      <c r="B108" s="112" t="s">
        <v>813</v>
      </c>
      <c r="C108" s="5">
        <f>+IFERROR(VLOOKUP($A108,RAIZ!$A$3:$X$1500,MATCH('Suc. Tuxpan'!$F$1,RAIZ!$A$2:$X$2,0),FALSE),0)</f>
        <v>0</v>
      </c>
      <c r="D108" s="7">
        <v>0</v>
      </c>
      <c r="E108" s="5"/>
      <c r="F108" s="5">
        <f t="shared" si="20"/>
        <v>0</v>
      </c>
      <c r="G108" s="5"/>
    </row>
    <row r="109" spans="1:7" ht="18.75" hidden="1" customHeight="1" x14ac:dyDescent="0.4">
      <c r="A109" s="94" t="s">
        <v>80</v>
      </c>
      <c r="B109" s="112" t="s">
        <v>815</v>
      </c>
      <c r="C109" s="5">
        <f>+IFERROR(VLOOKUP($A109,RAIZ!$A$3:$X$1500,MATCH('Suc. Tuxpan'!$F$1,RAIZ!$A$2:$X$2,0),FALSE),0)</f>
        <v>5</v>
      </c>
      <c r="D109" s="7">
        <v>10</v>
      </c>
      <c r="E109" s="5"/>
      <c r="F109" s="5">
        <f t="shared" si="20"/>
        <v>5</v>
      </c>
      <c r="G109" s="5"/>
    </row>
    <row r="110" spans="1:7" ht="18.75" hidden="1" customHeight="1" x14ac:dyDescent="0.4">
      <c r="A110" s="94" t="s">
        <v>81</v>
      </c>
      <c r="B110" s="112" t="s">
        <v>816</v>
      </c>
      <c r="C110" s="5">
        <f>+IFERROR(VLOOKUP($A110,RAIZ!$A$3:$X$1500,MATCH('Suc. Tuxpan'!$F$1,RAIZ!$A$2:$X$2,0),FALSE),0)</f>
        <v>5</v>
      </c>
      <c r="D110" s="7">
        <v>10</v>
      </c>
      <c r="E110" s="5"/>
      <c r="F110" s="5">
        <f t="shared" si="20"/>
        <v>5</v>
      </c>
      <c r="G110" s="5"/>
    </row>
    <row r="111" spans="1:7" ht="18.75" hidden="1" customHeight="1" x14ac:dyDescent="0.4">
      <c r="A111" s="95" t="s">
        <v>83</v>
      </c>
      <c r="B111" s="112" t="s">
        <v>818</v>
      </c>
      <c r="C111" s="5">
        <f>+IFERROR(VLOOKUP($A111,RAIZ!$A$3:$X$1500,MATCH('Suc. Tuxpan'!$F$1,RAIZ!$A$2:$X$2,0),FALSE),0)</f>
        <v>0</v>
      </c>
      <c r="D111" s="20">
        <v>2</v>
      </c>
      <c r="E111" s="5"/>
      <c r="F111" s="5">
        <f t="shared" si="20"/>
        <v>2</v>
      </c>
      <c r="G111" s="5"/>
    </row>
    <row r="112" spans="1:7" ht="18.75" hidden="1" customHeight="1" thickBot="1" x14ac:dyDescent="0.4">
      <c r="A112" s="95"/>
      <c r="B112" s="112"/>
      <c r="C112" s="5">
        <f>+IFERROR(VLOOKUP($A112,RAIZ!$A$3:$X$1500,MATCH('Suc. Tuxpan'!$F$1,RAIZ!$A$2:$X$2,0),FALSE),0)</f>
        <v>0</v>
      </c>
      <c r="D112" s="20"/>
      <c r="E112" s="5"/>
      <c r="F112" s="5">
        <f t="shared" si="20"/>
        <v>0</v>
      </c>
      <c r="G112" s="5"/>
    </row>
    <row r="113" spans="1:7" ht="18.75" hidden="1" customHeight="1" thickBot="1" x14ac:dyDescent="0.4">
      <c r="A113" s="109" t="s">
        <v>55</v>
      </c>
      <c r="B113" s="111"/>
      <c r="C113" s="82">
        <f>SUM(C107:C112,C114:C116)</f>
        <v>12</v>
      </c>
      <c r="D113" s="58">
        <f>SUM(D107:D112,D114:D116)</f>
        <v>33</v>
      </c>
      <c r="E113" s="58">
        <f>SUM(E107:E112,E114:E116)</f>
        <v>0</v>
      </c>
      <c r="F113" s="73">
        <f>SUM(F107:F112,F114:F116)</f>
        <v>21</v>
      </c>
      <c r="G113" s="58">
        <f>SUM(G107:G112,G114:G116)</f>
        <v>0</v>
      </c>
    </row>
    <row r="114" spans="1:7" ht="18.75" hidden="1" customHeight="1" x14ac:dyDescent="0.4">
      <c r="A114" s="93" t="s">
        <v>84</v>
      </c>
      <c r="B114" s="112" t="s">
        <v>819</v>
      </c>
      <c r="C114" s="5">
        <f>+IFERROR(VLOOKUP($A114,RAIZ!$A$3:$X$1500,MATCH('Suc. Tuxpan'!$F$1,RAIZ!$A$2:$X$2,0),FALSE),0)</f>
        <v>0</v>
      </c>
      <c r="D114" s="4">
        <v>2</v>
      </c>
      <c r="E114" s="5"/>
      <c r="F114" s="5">
        <f t="shared" ref="F114" si="21">IF(D114-C114&gt;=0,D114-C114,0)</f>
        <v>2</v>
      </c>
      <c r="G114" s="5"/>
    </row>
    <row r="115" spans="1:7" ht="18.75" hidden="1" customHeight="1" x14ac:dyDescent="0.4">
      <c r="A115" s="95" t="s">
        <v>85</v>
      </c>
      <c r="B115" s="112" t="s">
        <v>820</v>
      </c>
      <c r="C115" s="5">
        <f>+IFERROR(VLOOKUP($A115,RAIZ!$A$3:$X$1500,MATCH('Suc. Tuxpan'!$F$1,RAIZ!$A$2:$X$2,0),FALSE),0)</f>
        <v>0</v>
      </c>
      <c r="D115" s="20">
        <v>2</v>
      </c>
      <c r="E115" s="5"/>
      <c r="F115" s="5">
        <f t="shared" ref="F115:F141" si="22">IF(D115-C115&gt;=0,D115-C115,0)</f>
        <v>2</v>
      </c>
      <c r="G115" s="5"/>
    </row>
    <row r="116" spans="1:7" ht="18.75" hidden="1" customHeight="1" thickBot="1" x14ac:dyDescent="0.4">
      <c r="A116" s="95" t="s">
        <v>881</v>
      </c>
      <c r="B116" s="112" t="s">
        <v>882</v>
      </c>
      <c r="C116" s="5">
        <f>+IFERROR(VLOOKUP($A116,RAIZ!$A$3:$X$1500,MATCH('Suc. Tuxpan'!$F$1,RAIZ!$A$2:$X$2,0),FALSE),0)</f>
        <v>1</v>
      </c>
      <c r="D116" s="20">
        <v>6</v>
      </c>
      <c r="E116" s="5"/>
      <c r="F116" s="5">
        <f t="shared" si="22"/>
        <v>5</v>
      </c>
      <c r="G116" s="5"/>
    </row>
    <row r="117" spans="1:7" ht="18.75" customHeight="1" thickBot="1" x14ac:dyDescent="0.4">
      <c r="A117" s="110" t="s">
        <v>86</v>
      </c>
      <c r="B117" s="111"/>
      <c r="C117" s="83">
        <f>C79+C91+C105+C113</f>
        <v>69</v>
      </c>
      <c r="D117" s="60">
        <f>D79+D91+D105+D113</f>
        <v>235</v>
      </c>
      <c r="E117" s="60">
        <f>E79+E91+E105+E113</f>
        <v>15</v>
      </c>
      <c r="F117" s="74">
        <f>F79+F91+F105+F113</f>
        <v>171</v>
      </c>
      <c r="G117" s="60">
        <f>G79+G91+G105+G113</f>
        <v>103</v>
      </c>
    </row>
    <row r="118" spans="1:7" ht="18.75" hidden="1" customHeight="1" x14ac:dyDescent="0.4">
      <c r="A118" s="95" t="s">
        <v>975</v>
      </c>
      <c r="B118" s="112" t="s">
        <v>976</v>
      </c>
      <c r="C118" s="5">
        <f>+IFERROR(VLOOKUP($A118,RAIZ!$A$3:$X$1500,MATCH('Suc. Tuxpan'!$F$1,RAIZ!$A$2:$X$2,0),FALSE),0)</f>
        <v>0</v>
      </c>
      <c r="D118" s="20">
        <v>3</v>
      </c>
      <c r="E118" s="5"/>
      <c r="F118" s="5">
        <f>IF(D118-C118&gt;=0,D118-C118,0)</f>
        <v>3</v>
      </c>
      <c r="G118" s="5"/>
    </row>
    <row r="119" spans="1:7" ht="18.75" hidden="1" customHeight="1" x14ac:dyDescent="0.4">
      <c r="A119" s="95" t="s">
        <v>974</v>
      </c>
      <c r="B119" s="112" t="s">
        <v>977</v>
      </c>
      <c r="C119" s="5">
        <f>+IFERROR(VLOOKUP($A119,RAIZ!$A$3:$X$1500,MATCH('Suc. Tuxpan'!$F$1,RAIZ!$A$2:$X$2,0),FALSE),0)</f>
        <v>0</v>
      </c>
      <c r="D119" s="20">
        <v>3</v>
      </c>
      <c r="E119" s="5"/>
      <c r="F119" s="5">
        <f t="shared" si="22"/>
        <v>3</v>
      </c>
      <c r="G119" s="5"/>
    </row>
    <row r="120" spans="1:7" ht="18.75" hidden="1" customHeight="1" thickBot="1" x14ac:dyDescent="0.4">
      <c r="A120" s="95" t="s">
        <v>1077</v>
      </c>
      <c r="B120" s="112" t="s">
        <v>817</v>
      </c>
      <c r="C120" s="5">
        <f>+IFERROR(VLOOKUP($A120,RAIZ!$A$3:$X$1500,MATCH('Suc. Tuxpan'!$F$1,RAIZ!$A$2:$X$2,0),FALSE),0)</f>
        <v>0</v>
      </c>
      <c r="D120" s="20"/>
      <c r="E120" s="5"/>
      <c r="F120" s="5">
        <f t="shared" si="22"/>
        <v>0</v>
      </c>
      <c r="G120" s="5"/>
    </row>
    <row r="121" spans="1:7" ht="18.75" hidden="1" customHeight="1" thickBot="1" x14ac:dyDescent="0.4">
      <c r="A121" s="95" t="s">
        <v>1076</v>
      </c>
      <c r="B121" s="194" t="s">
        <v>1121</v>
      </c>
      <c r="C121" s="5">
        <f>+IFERROR(VLOOKUP($A121,RAIZ!$A$3:$X$1500,MATCH('Suc. Tuxpan'!$F$1,RAIZ!$A$2:$X$2,0),FALSE),0)</f>
        <v>0</v>
      </c>
      <c r="D121" s="20"/>
      <c r="E121" s="5"/>
      <c r="F121" s="5">
        <f t="shared" si="22"/>
        <v>0</v>
      </c>
      <c r="G121" s="5"/>
    </row>
    <row r="122" spans="1:7" ht="18.75" hidden="1" customHeight="1" thickBot="1" x14ac:dyDescent="0.4">
      <c r="A122" s="95" t="s">
        <v>1014</v>
      </c>
      <c r="B122" s="194" t="s">
        <v>1010</v>
      </c>
      <c r="C122" s="5">
        <f>+IFERROR(VLOOKUP($A122,RAIZ!$A$3:$X$1500,MATCH('Suc. Tuxpan'!$F$1,RAIZ!$A$2:$X$2,0),FALSE),0)</f>
        <v>0</v>
      </c>
      <c r="D122" s="20">
        <v>8</v>
      </c>
      <c r="E122" s="5"/>
      <c r="F122" s="5">
        <f t="shared" si="22"/>
        <v>8</v>
      </c>
      <c r="G122" s="5"/>
    </row>
    <row r="123" spans="1:7" ht="18.75" hidden="1" customHeight="1" thickBot="1" x14ac:dyDescent="0.4">
      <c r="A123" s="95" t="s">
        <v>1015</v>
      </c>
      <c r="B123" s="194" t="s">
        <v>1011</v>
      </c>
      <c r="C123" s="147">
        <f>+IFERROR(VLOOKUP($A123,RAIZ!$A$3:$X$1500,MATCH('Suc. Tuxpan'!$F$1,RAIZ!$A$2:$X$2,0),FALSE),0)</f>
        <v>3</v>
      </c>
      <c r="D123" s="20">
        <v>5</v>
      </c>
      <c r="E123" s="5"/>
      <c r="F123" s="5">
        <f t="shared" si="22"/>
        <v>2</v>
      </c>
      <c r="G123" s="5"/>
    </row>
    <row r="124" spans="1:7" ht="18.75" hidden="1" customHeight="1" thickBot="1" x14ac:dyDescent="0.4">
      <c r="A124" s="95" t="s">
        <v>1016</v>
      </c>
      <c r="B124" s="194" t="s">
        <v>1012</v>
      </c>
      <c r="C124" s="147">
        <f>+IFERROR(VLOOKUP($A124,RAIZ!$A$3:$X$1500,MATCH('Suc. Tuxpan'!$F$1,RAIZ!$A$2:$X$2,0),FALSE),0)</f>
        <v>0</v>
      </c>
      <c r="D124" s="20">
        <v>5</v>
      </c>
      <c r="E124" s="5"/>
      <c r="F124" s="5">
        <f t="shared" si="22"/>
        <v>5</v>
      </c>
      <c r="G124" s="5"/>
    </row>
    <row r="125" spans="1:7" ht="18.75" hidden="1" customHeight="1" thickBot="1" x14ac:dyDescent="0.4">
      <c r="A125" s="95" t="s">
        <v>1017</v>
      </c>
      <c r="B125" s="194" t="s">
        <v>1013</v>
      </c>
      <c r="C125" s="147">
        <f>+IFERROR(VLOOKUP($A125,RAIZ!$A$3:$X$1500,MATCH('Suc. Tuxpan'!$F$1,RAIZ!$A$2:$X$2,0),FALSE),0)</f>
        <v>1</v>
      </c>
      <c r="D125" s="18">
        <v>8</v>
      </c>
      <c r="E125" s="5"/>
      <c r="F125" s="5">
        <f t="shared" si="22"/>
        <v>7</v>
      </c>
      <c r="G125" s="5"/>
    </row>
    <row r="126" spans="1:7" ht="18.75" hidden="1" customHeight="1" thickBot="1" x14ac:dyDescent="0.4">
      <c r="A126" s="95" t="s">
        <v>1125</v>
      </c>
      <c r="B126" s="194" t="s">
        <v>1127</v>
      </c>
      <c r="C126" s="147">
        <f>+IFERROR(VLOOKUP($A126,RAIZ!$A$3:$X$1500,MATCH('Suc. Tuxpan'!$F$1,RAIZ!$A$2:$X$2,0),FALSE),0)</f>
        <v>0</v>
      </c>
      <c r="D126" s="20"/>
      <c r="E126" s="5"/>
      <c r="F126" s="5">
        <f t="shared" si="22"/>
        <v>0</v>
      </c>
      <c r="G126" s="5"/>
    </row>
    <row r="127" spans="1:7" ht="18.75" hidden="1" customHeight="1" thickBot="1" x14ac:dyDescent="0.4">
      <c r="A127" s="95" t="s">
        <v>1126</v>
      </c>
      <c r="B127" s="194" t="s">
        <v>1128</v>
      </c>
      <c r="C127" s="147">
        <f>+IFERROR(VLOOKUP($A127,RAIZ!$A$3:$X$1500,MATCH('Suc. Tuxpan'!$F$1,RAIZ!$A$2:$X$2,0),FALSE),0)</f>
        <v>1</v>
      </c>
      <c r="D127" s="18"/>
      <c r="E127" s="184"/>
      <c r="F127" s="184">
        <f t="shared" si="22"/>
        <v>0</v>
      </c>
      <c r="G127" s="181"/>
    </row>
    <row r="128" spans="1:7" ht="18.75" hidden="1" customHeight="1" thickBot="1" x14ac:dyDescent="0.4">
      <c r="A128" s="95" t="s">
        <v>568</v>
      </c>
      <c r="B128" s="194" t="s">
        <v>1131</v>
      </c>
      <c r="C128" s="186">
        <f>+IFERROR(VLOOKUP($A128,RAIZ!$A$3:$X$1500,MATCH('Suc. Tuxpan'!$F$1,RAIZ!$A$2:$X$2,0),FALSE),0)</f>
        <v>0</v>
      </c>
      <c r="D128" s="18">
        <v>3</v>
      </c>
      <c r="E128" s="185"/>
      <c r="F128" s="185">
        <f t="shared" si="22"/>
        <v>3</v>
      </c>
      <c r="G128" s="185"/>
    </row>
    <row r="129" spans="1:7" ht="18.75" hidden="1" customHeight="1" thickBot="1" x14ac:dyDescent="0.4">
      <c r="A129" s="95" t="s">
        <v>565</v>
      </c>
      <c r="B129" s="194" t="s">
        <v>1142</v>
      </c>
      <c r="C129" s="187">
        <f>+IFERROR(VLOOKUP($A129,RAIZ!$A$3:$X$1500,MATCH('Suc. Tuxpan'!$F$1,RAIZ!$A$2:$X$2,0),FALSE),0)</f>
        <v>0</v>
      </c>
      <c r="D129" s="18">
        <v>2</v>
      </c>
      <c r="E129" s="185"/>
      <c r="F129" s="185">
        <f t="shared" si="22"/>
        <v>2</v>
      </c>
      <c r="G129" s="185"/>
    </row>
    <row r="130" spans="1:7" ht="18.75" customHeight="1" thickBot="1" x14ac:dyDescent="0.4">
      <c r="A130" s="95" t="s">
        <v>912</v>
      </c>
      <c r="B130" s="194" t="s">
        <v>1136</v>
      </c>
      <c r="C130" s="187">
        <f>+IFERROR(VLOOKUP($A130,RAIZ!$A$3:$X$1500,MATCH('Suc. Tuxpan'!$F$1,RAIZ!$A$2:$X$2,0),FALSE),0)</f>
        <v>0</v>
      </c>
      <c r="D130" s="18">
        <v>2</v>
      </c>
      <c r="E130" s="185"/>
      <c r="F130" s="185">
        <f t="shared" si="22"/>
        <v>2</v>
      </c>
      <c r="G130" s="185">
        <v>2</v>
      </c>
    </row>
    <row r="131" spans="1:7" ht="18.75" customHeight="1" thickBot="1" x14ac:dyDescent="0.4">
      <c r="A131" s="95" t="s">
        <v>557</v>
      </c>
      <c r="B131" s="194" t="s">
        <v>1137</v>
      </c>
      <c r="C131" s="187">
        <f>+IFERROR(VLOOKUP($A131,RAIZ!$A$3:$X$1500,MATCH('Suc. Tuxpan'!$F$1,RAIZ!$A$2:$X$2,0),FALSE),0)</f>
        <v>0</v>
      </c>
      <c r="D131" s="18">
        <v>2</v>
      </c>
      <c r="E131" s="185"/>
      <c r="F131" s="185">
        <f t="shared" si="22"/>
        <v>2</v>
      </c>
      <c r="G131" s="185">
        <v>2</v>
      </c>
    </row>
    <row r="132" spans="1:7" ht="18.75" hidden="1" customHeight="1" thickBot="1" x14ac:dyDescent="0.4">
      <c r="A132" s="95" t="s">
        <v>573</v>
      </c>
      <c r="B132" s="194" t="s">
        <v>1138</v>
      </c>
      <c r="C132" s="187">
        <f>+IFERROR(VLOOKUP($A132,RAIZ!$A$3:$X$1500,MATCH('Suc. Tuxpan'!$F$1,RAIZ!$A$2:$X$2,0),FALSE),0)</f>
        <v>0</v>
      </c>
      <c r="D132" s="18">
        <v>1</v>
      </c>
      <c r="E132" s="185"/>
      <c r="F132" s="185">
        <f t="shared" si="22"/>
        <v>1</v>
      </c>
      <c r="G132" s="185"/>
    </row>
    <row r="133" spans="1:7" ht="18.75" hidden="1" customHeight="1" thickBot="1" x14ac:dyDescent="0.4">
      <c r="A133" s="95" t="s">
        <v>421</v>
      </c>
      <c r="B133" s="194" t="s">
        <v>1140</v>
      </c>
      <c r="C133" s="187">
        <f>+IFERROR(VLOOKUP($A133,RAIZ!$A$3:$X$1500,MATCH('Suc. Tuxpan'!$F$1,RAIZ!$A$2:$X$2,0),FALSE),0)</f>
        <v>0</v>
      </c>
      <c r="D133" s="18">
        <v>2</v>
      </c>
      <c r="E133" s="185"/>
      <c r="F133" s="185">
        <f t="shared" si="22"/>
        <v>2</v>
      </c>
      <c r="G133" s="185"/>
    </row>
    <row r="134" spans="1:7" ht="18.75" hidden="1" customHeight="1" thickBot="1" x14ac:dyDescent="0.4">
      <c r="A134" s="95" t="s">
        <v>249</v>
      </c>
      <c r="B134" s="194" t="s">
        <v>1134</v>
      </c>
      <c r="C134" s="187">
        <f>+IFERROR(VLOOKUP($A134,RAIZ!$A$3:$X$1500,MATCH('Suc. Tuxpan'!$F$1,RAIZ!$A$2:$X$2,0),FALSE),0)</f>
        <v>1</v>
      </c>
      <c r="D134" s="18">
        <v>2</v>
      </c>
      <c r="E134" s="185"/>
      <c r="F134" s="185">
        <f t="shared" si="22"/>
        <v>1</v>
      </c>
      <c r="G134" s="185"/>
    </row>
    <row r="135" spans="1:7" ht="18.75" hidden="1" customHeight="1" thickBot="1" x14ac:dyDescent="0.4">
      <c r="A135" s="95" t="s">
        <v>1030</v>
      </c>
      <c r="B135" s="194" t="s">
        <v>1143</v>
      </c>
      <c r="C135" s="187">
        <f>+IFERROR(VLOOKUP($A135,RAIZ!$A$3:$X$1500,MATCH('Suc. Tuxpan'!$F$1,RAIZ!$A$2:$X$2,0),FALSE),0)</f>
        <v>4</v>
      </c>
      <c r="D135" s="18">
        <v>6</v>
      </c>
      <c r="E135" s="185"/>
      <c r="F135" s="185">
        <f t="shared" si="22"/>
        <v>2</v>
      </c>
      <c r="G135" s="185"/>
    </row>
    <row r="136" spans="1:7" ht="18.75" customHeight="1" thickBot="1" x14ac:dyDescent="0.4">
      <c r="A136" s="95" t="s">
        <v>253</v>
      </c>
      <c r="B136" s="194" t="s">
        <v>1135</v>
      </c>
      <c r="C136" s="187">
        <f>+IFERROR(VLOOKUP($A136,RAIZ!$A$3:$X$1500,MATCH('Suc. Tuxpan'!$F$1,RAIZ!$A$2:$X$2,0),FALSE),0)</f>
        <v>0</v>
      </c>
      <c r="D136" s="18">
        <v>2</v>
      </c>
      <c r="E136" s="185"/>
      <c r="F136" s="185">
        <f t="shared" si="22"/>
        <v>2</v>
      </c>
      <c r="G136" s="185">
        <v>2</v>
      </c>
    </row>
    <row r="137" spans="1:7" ht="18.75" hidden="1" customHeight="1" thickBot="1" x14ac:dyDescent="0.4">
      <c r="A137" s="95" t="s">
        <v>240</v>
      </c>
      <c r="B137" s="194" t="s">
        <v>1139</v>
      </c>
      <c r="C137" s="187">
        <f>+IFERROR(VLOOKUP($A137,RAIZ!$A$3:$X$1500,MATCH('Suc. Tuxpan'!$F$1,RAIZ!$A$2:$X$2,0),FALSE),0)</f>
        <v>0</v>
      </c>
      <c r="D137" s="18">
        <v>0</v>
      </c>
      <c r="E137" s="185"/>
      <c r="F137" s="185">
        <f t="shared" si="22"/>
        <v>0</v>
      </c>
      <c r="G137" s="185"/>
    </row>
    <row r="138" spans="1:7" ht="18.75" hidden="1" customHeight="1" thickBot="1" x14ac:dyDescent="0.4">
      <c r="A138" s="95" t="s">
        <v>204</v>
      </c>
      <c r="B138" s="194" t="s">
        <v>1106</v>
      </c>
      <c r="C138" s="187">
        <f>+IFERROR(VLOOKUP($A138,RAIZ!$A$3:$X$1500,MATCH('Suc. Tuxpan'!$F$1,RAIZ!$A$2:$X$2,0),FALSE),0)</f>
        <v>0</v>
      </c>
      <c r="D138" s="18">
        <v>0</v>
      </c>
      <c r="E138" s="185"/>
      <c r="F138" s="185">
        <f t="shared" si="22"/>
        <v>0</v>
      </c>
      <c r="G138" s="185"/>
    </row>
    <row r="139" spans="1:7" ht="18.75" customHeight="1" thickBot="1" x14ac:dyDescent="0.4">
      <c r="A139" s="95" t="s">
        <v>1132</v>
      </c>
      <c r="B139" s="194" t="s">
        <v>1141</v>
      </c>
      <c r="C139" s="187">
        <f>+IFERROR(VLOOKUP($A139,RAIZ!$A$3:$X$1500,MATCH('Suc. Tuxpan'!$F$1,RAIZ!$A$2:$X$2,0),FALSE),0)</f>
        <v>0</v>
      </c>
      <c r="D139" s="18">
        <v>1</v>
      </c>
      <c r="E139" s="185"/>
      <c r="F139" s="185">
        <f t="shared" si="22"/>
        <v>1</v>
      </c>
      <c r="G139" s="185">
        <v>1</v>
      </c>
    </row>
    <row r="140" spans="1:7" ht="18.75" hidden="1" customHeight="1" thickBot="1" x14ac:dyDescent="0.4">
      <c r="A140" s="95" t="s">
        <v>914</v>
      </c>
      <c r="B140" s="194" t="s">
        <v>1133</v>
      </c>
      <c r="C140" s="187">
        <f>+IFERROR(VLOOKUP($A140,RAIZ!$A$3:$X$1500,MATCH('Suc. Tuxpan'!$F$1,RAIZ!$A$2:$X$2,0),FALSE),0)</f>
        <v>1</v>
      </c>
      <c r="D140" s="18">
        <v>1</v>
      </c>
      <c r="E140" s="185"/>
      <c r="F140" s="185">
        <f t="shared" si="22"/>
        <v>0</v>
      </c>
      <c r="G140" s="185"/>
    </row>
    <row r="141" spans="1:7" ht="18.75" hidden="1" customHeight="1" thickBot="1" x14ac:dyDescent="0.4">
      <c r="A141" s="243" t="s">
        <v>1120</v>
      </c>
      <c r="B141" s="194" t="s">
        <v>1159</v>
      </c>
      <c r="C141" s="187">
        <f>+IFERROR(VLOOKUP($A141,RAIZ!$A$3:$X$1500,MATCH('Suc. Tuxpan'!$F$1,RAIZ!$A$2:$X$2,0),FALSE),0)</f>
        <v>0</v>
      </c>
      <c r="D141" s="18"/>
      <c r="E141" s="185"/>
      <c r="F141" s="185">
        <f t="shared" si="22"/>
        <v>0</v>
      </c>
      <c r="G141" s="185"/>
    </row>
    <row r="142" spans="1:7" ht="18.75" hidden="1" customHeight="1" thickBot="1" x14ac:dyDescent="0.4">
      <c r="A142" s="95"/>
      <c r="B142" s="194"/>
      <c r="C142" s="187">
        <f>+IFERROR(VLOOKUP($A142,RAIZ!$A$3:$X$1500,MATCH('Suc. Tuxpan'!$F$1,RAIZ!$A$2:$X$2,0),FALSE),0)</f>
        <v>0</v>
      </c>
      <c r="D142" s="18"/>
      <c r="E142" s="185"/>
      <c r="F142" s="185"/>
      <c r="G142" s="185"/>
    </row>
    <row r="143" spans="1:7" ht="18.75" hidden="1" customHeight="1" thickBot="1" x14ac:dyDescent="0.4">
      <c r="A143" s="95"/>
      <c r="B143" s="193"/>
      <c r="C143" s="187">
        <f>+IFERROR(VLOOKUP($A143,RAIZ!$A$3:$X$1500,MATCH('Suc. Tuxpan'!$F$1,RAIZ!$A$2:$X$2,0),FALSE),0)</f>
        <v>0</v>
      </c>
      <c r="D143" s="18"/>
      <c r="E143" s="185"/>
      <c r="F143" s="185"/>
      <c r="G143" s="185"/>
    </row>
    <row r="144" spans="1:7" ht="18.75" hidden="1" customHeight="1" thickBot="1" x14ac:dyDescent="0.4">
      <c r="A144" s="95"/>
      <c r="B144" s="194"/>
      <c r="C144" s="187">
        <f>+IFERROR(VLOOKUP($A144,RAIZ!$A$3:$X$1500,MATCH('Suc. Tuxpan'!$F$1,RAIZ!$A$2:$X$2,0),FALSE),0)</f>
        <v>0</v>
      </c>
      <c r="D144" s="18"/>
      <c r="E144" s="185"/>
      <c r="F144" s="185"/>
      <c r="G144" s="185"/>
    </row>
    <row r="145" spans="1:7" ht="18.75" hidden="1" customHeight="1" thickBot="1" x14ac:dyDescent="0.4">
      <c r="A145" s="95"/>
      <c r="B145" s="192"/>
      <c r="C145" s="187">
        <f>+IFERROR(VLOOKUP($A145,RAIZ!$A$3:$X$1500,MATCH('Suc. Tuxpan'!$F$1,RAIZ!$A$2:$X$2,0),FALSE),0)</f>
        <v>0</v>
      </c>
      <c r="D145" s="18"/>
      <c r="E145" s="185"/>
      <c r="F145" s="185"/>
      <c r="G145" s="185"/>
    </row>
    <row r="146" spans="1:7" ht="18.75" hidden="1" customHeight="1" thickBot="1" x14ac:dyDescent="0.4">
      <c r="A146" s="95"/>
      <c r="B146" s="194"/>
      <c r="C146" s="187">
        <f>+IFERROR(VLOOKUP($A146,RAIZ!$A$3:$X$1500,MATCH('Suc. Tuxpan'!$F$1,RAIZ!$A$2:$X$2,0),FALSE),0)</f>
        <v>0</v>
      </c>
      <c r="D146" s="18"/>
      <c r="E146" s="185"/>
      <c r="F146" s="185"/>
      <c r="G146" s="185"/>
    </row>
    <row r="147" spans="1:7" ht="18.75" hidden="1" customHeight="1" thickBot="1" x14ac:dyDescent="0.4">
      <c r="A147" s="95"/>
      <c r="B147" s="193"/>
      <c r="C147" s="187">
        <f>+IFERROR(VLOOKUP($A147,RAIZ!$A$3:$X$1500,MATCH('Suc. Tuxpan'!$F$1,RAIZ!$A$2:$X$2,0),FALSE),0)</f>
        <v>0</v>
      </c>
      <c r="D147" s="14"/>
      <c r="E147" s="185"/>
      <c r="F147" s="185"/>
      <c r="G147" s="185"/>
    </row>
    <row r="148" spans="1:7" ht="18.75" hidden="1" customHeight="1" thickBot="1" x14ac:dyDescent="0.4">
      <c r="A148" s="95"/>
      <c r="B148" s="193"/>
      <c r="C148" s="188">
        <f>+IFERROR(VLOOKUP($A148,RAIZ!$A$3:$X$1500,MATCH('Suc. Tuxpan'!$F$1,RAIZ!$A$2:$X$2,0),FALSE),0)</f>
        <v>0</v>
      </c>
      <c r="D148" s="14"/>
      <c r="E148" s="185"/>
      <c r="F148" s="185"/>
      <c r="G148" s="185"/>
    </row>
    <row r="149" spans="1:7" ht="18.75" customHeight="1" thickBot="1" x14ac:dyDescent="0.4">
      <c r="A149" s="173"/>
      <c r="B149" s="109"/>
      <c r="C149" s="182">
        <f>SUM(C118:C127,)</f>
        <v>5</v>
      </c>
      <c r="D149" s="182">
        <f>SUM(D118:D127,)</f>
        <v>32</v>
      </c>
      <c r="E149" s="182">
        <f>SUM(E118:E127,)</f>
        <v>0</v>
      </c>
      <c r="F149" s="182">
        <f>SUM(F118:F127,)</f>
        <v>28</v>
      </c>
      <c r="G149" s="182">
        <f>SUM(G118:G148,)</f>
        <v>7</v>
      </c>
    </row>
    <row r="150" spans="1:7" ht="18.75" customHeight="1" thickBot="1" x14ac:dyDescent="0.4">
      <c r="A150" s="110" t="s">
        <v>86</v>
      </c>
      <c r="B150" s="111"/>
      <c r="C150" s="83">
        <f>C149+C117</f>
        <v>74</v>
      </c>
      <c r="D150" s="83">
        <f>D149+D117</f>
        <v>267</v>
      </c>
      <c r="E150" s="83">
        <f>E149+E117</f>
        <v>15</v>
      </c>
      <c r="F150" s="83">
        <f>F149+F117</f>
        <v>199</v>
      </c>
      <c r="G150" s="83">
        <f>G149+G117</f>
        <v>110</v>
      </c>
    </row>
  </sheetData>
  <autoFilter ref="A2:N150" xr:uid="{D9C924EE-61B6-424A-9AF6-2973E53A47D1}">
    <filterColumn colId="6">
      <filters>
        <filter val="1"/>
        <filter val="10"/>
        <filter val="103"/>
        <filter val="110"/>
        <filter val="12"/>
        <filter val="18"/>
        <filter val="2"/>
        <filter val="30"/>
        <filter val="35"/>
        <filter val="5"/>
        <filter val="6"/>
        <filter val="67"/>
        <filter val="7"/>
        <filter val="9"/>
      </filters>
    </filterColumn>
  </autoFilter>
  <mergeCells count="1">
    <mergeCell ref="E81:E86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371694-1446-49A9-9CD6-0F8B362B81A1}">
          <x14:formula1>
            <xm:f>Hoja1!$C$2:$C$9</xm:f>
          </x14:formula1>
          <xm:sqref>H2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70451-4F6E-4613-84EC-78C0EC678048}">
  <sheetPr codeName="Hoja5">
    <tabColor rgb="FF003300"/>
  </sheetPr>
  <dimension ref="A1:N150"/>
  <sheetViews>
    <sheetView zoomScale="80" zoomScaleNormal="80" workbookViewId="0">
      <pane xSplit="2" ySplit="2" topLeftCell="C127" activePane="bottomRight" state="frozen"/>
      <selection activeCell="I134" sqref="I134"/>
      <selection pane="topRight" activeCell="I134" sqref="I134"/>
      <selection pane="bottomLeft" activeCell="I134" sqref="I134"/>
      <selection pane="bottomRight" activeCell="I134" sqref="I134"/>
    </sheetView>
  </sheetViews>
  <sheetFormatPr baseColWidth="10" defaultRowHeight="18" x14ac:dyDescent="0.35"/>
  <cols>
    <col min="1" max="1" width="55.6640625" customWidth="1"/>
    <col min="2" max="2" width="7.6640625" style="91" bestFit="1" customWidth="1"/>
    <col min="3" max="3" width="14" bestFit="1" customWidth="1"/>
    <col min="4" max="5" width="15" style="84" customWidth="1"/>
    <col min="6" max="6" width="16.5546875" customWidth="1"/>
    <col min="7" max="8" width="11.44140625" customWidth="1"/>
    <col min="9" max="9" width="11.33203125" style="84"/>
  </cols>
  <sheetData>
    <row r="1" spans="1:14" ht="18.600000000000001" thickBot="1" x14ac:dyDescent="0.4">
      <c r="A1" s="1">
        <f>RAIZ!B1</f>
        <v>46301</v>
      </c>
      <c r="C1" s="2"/>
      <c r="D1" s="2" t="s">
        <v>702</v>
      </c>
      <c r="E1" s="2"/>
      <c r="F1" s="2" t="s">
        <v>90</v>
      </c>
      <c r="H1" t="s">
        <v>744</v>
      </c>
    </row>
    <row r="2" spans="1:14" ht="31.8" thickBot="1" x14ac:dyDescent="0.35">
      <c r="A2" s="90" t="s">
        <v>0</v>
      </c>
      <c r="B2" s="92" t="s">
        <v>755</v>
      </c>
      <c r="C2" s="39" t="s">
        <v>703</v>
      </c>
      <c r="D2" s="40" t="s">
        <v>704</v>
      </c>
      <c r="E2" s="88" t="s">
        <v>726</v>
      </c>
      <c r="F2" s="41" t="s">
        <v>705</v>
      </c>
      <c r="G2" s="62" t="s">
        <v>725</v>
      </c>
      <c r="H2" s="87"/>
    </row>
    <row r="3" spans="1:14" ht="18.75" customHeight="1" x14ac:dyDescent="0.35">
      <c r="A3" s="93" t="s">
        <v>1</v>
      </c>
      <c r="B3" s="112" t="s">
        <v>756</v>
      </c>
      <c r="C3" s="5">
        <f>+IFERROR(VLOOKUP($A3,RAIZ!$A$3:$X$1500,MATCH('Suc. Acaponeta'!$F$1,RAIZ!$A$2:$X$2,0),FALSE),0)</f>
        <v>2</v>
      </c>
      <c r="D3" s="4">
        <v>2</v>
      </c>
      <c r="E3" s="5"/>
      <c r="F3" s="5">
        <f>IF(D3-C3&gt;=0,D3-C3,0)</f>
        <v>0</v>
      </c>
      <c r="G3" s="5"/>
      <c r="M3" s="85"/>
      <c r="N3" s="85"/>
    </row>
    <row r="4" spans="1:14" ht="18.75" customHeight="1" x14ac:dyDescent="0.35">
      <c r="A4" s="93" t="s">
        <v>2</v>
      </c>
      <c r="B4" s="112" t="s">
        <v>865</v>
      </c>
      <c r="C4" s="5">
        <f>+IFERROR(VLOOKUP($A4,RAIZ!$A$3:$X$1500,MATCH('Suc. Acaponeta'!$F$1,RAIZ!$A$2:$X$2,0),FALSE),0)</f>
        <v>0</v>
      </c>
      <c r="D4" s="4">
        <v>2</v>
      </c>
      <c r="E4" s="5"/>
      <c r="F4" s="5">
        <f>IF(D4-C4&gt;=0,D4-C4,0)</f>
        <v>2</v>
      </c>
      <c r="G4" s="5"/>
      <c r="M4" s="85"/>
      <c r="N4" s="85"/>
    </row>
    <row r="5" spans="1:14" ht="18.75" customHeight="1" x14ac:dyDescent="0.35">
      <c r="A5" s="93" t="s">
        <v>3</v>
      </c>
      <c r="B5" s="112" t="s">
        <v>757</v>
      </c>
      <c r="C5" s="5">
        <f>+IFERROR(VLOOKUP($A5,RAIZ!$A$3:$X$1500,MATCH('Suc. Acaponeta'!$F$1,RAIZ!$A$2:$X$2,0),FALSE),0)</f>
        <v>4</v>
      </c>
      <c r="D5" s="4">
        <v>3</v>
      </c>
      <c r="E5" s="5"/>
      <c r="F5" s="5">
        <f t="shared" ref="F5:F10" si="0">IF(D5-C5&gt;=0,D5-C5,0)</f>
        <v>0</v>
      </c>
      <c r="G5" s="5"/>
      <c r="M5" s="86"/>
      <c r="N5" s="85"/>
    </row>
    <row r="6" spans="1:14" ht="18.75" customHeight="1" x14ac:dyDescent="0.35">
      <c r="A6" s="93" t="s">
        <v>4</v>
      </c>
      <c r="B6" s="112" t="s">
        <v>758</v>
      </c>
      <c r="C6" s="5">
        <f>+IFERROR(VLOOKUP($A6,RAIZ!$A$3:$X$1500,MATCH('Suc. Acaponeta'!$F$1,RAIZ!$A$2:$X$2,0),FALSE),0)</f>
        <v>3</v>
      </c>
      <c r="D6" s="4">
        <v>3</v>
      </c>
      <c r="E6" s="5"/>
      <c r="F6" s="5">
        <f t="shared" si="0"/>
        <v>0</v>
      </c>
      <c r="G6" s="5"/>
      <c r="M6" s="86"/>
      <c r="N6" s="85"/>
    </row>
    <row r="7" spans="1:14" ht="18.75" customHeight="1" x14ac:dyDescent="0.35">
      <c r="A7" s="93" t="s">
        <v>5</v>
      </c>
      <c r="B7" s="112" t="s">
        <v>759</v>
      </c>
      <c r="C7" s="5">
        <f>+IFERROR(VLOOKUP($A7,RAIZ!$A$3:$X$1500,MATCH('Suc. Acaponeta'!$F$1,RAIZ!$A$2:$X$2,0),FALSE),0)</f>
        <v>2</v>
      </c>
      <c r="D7" s="4">
        <v>2</v>
      </c>
      <c r="E7" s="5"/>
      <c r="F7" s="5">
        <f t="shared" si="0"/>
        <v>0</v>
      </c>
      <c r="G7" s="5"/>
      <c r="M7" s="86"/>
      <c r="N7" s="85"/>
    </row>
    <row r="8" spans="1:14" ht="18.75" customHeight="1" x14ac:dyDescent="0.35">
      <c r="A8" s="93" t="s">
        <v>6</v>
      </c>
      <c r="B8" s="112" t="s">
        <v>760</v>
      </c>
      <c r="C8" s="5">
        <f>+IFERROR(VLOOKUP($A8,RAIZ!$A$3:$X$1500,MATCH('Suc. Acaponeta'!$F$1,RAIZ!$A$2:$X$2,0),FALSE),0)</f>
        <v>4</v>
      </c>
      <c r="D8" s="4">
        <v>3</v>
      </c>
      <c r="E8" s="5"/>
      <c r="F8" s="5">
        <f t="shared" si="0"/>
        <v>0</v>
      </c>
      <c r="G8" s="5"/>
      <c r="M8" s="86"/>
      <c r="N8" s="85"/>
    </row>
    <row r="9" spans="1:14" ht="18.75" customHeight="1" x14ac:dyDescent="0.35">
      <c r="A9" s="93" t="s">
        <v>7</v>
      </c>
      <c r="B9" s="112" t="s">
        <v>761</v>
      </c>
      <c r="C9" s="5">
        <f>+IFERROR(VLOOKUP($A9,RAIZ!$A$3:$X$1500,MATCH('Suc. Acaponeta'!$F$1,RAIZ!$A$2:$X$2,0),FALSE),0)</f>
        <v>2</v>
      </c>
      <c r="D9" s="4">
        <v>2</v>
      </c>
      <c r="E9" s="5"/>
      <c r="F9" s="5">
        <f t="shared" si="0"/>
        <v>0</v>
      </c>
      <c r="G9" s="5"/>
      <c r="M9" s="86"/>
      <c r="N9" s="85"/>
    </row>
    <row r="10" spans="1:14" ht="18.75" customHeight="1" x14ac:dyDescent="0.35">
      <c r="A10" s="93" t="s">
        <v>8</v>
      </c>
      <c r="B10" s="112" t="s">
        <v>762</v>
      </c>
      <c r="C10" s="5">
        <f>+IFERROR(VLOOKUP($A10,RAIZ!$A$3:$X$1500,MATCH('Suc. Acaponeta'!$F$1,RAIZ!$A$2:$X$2,0),FALSE),0)</f>
        <v>3</v>
      </c>
      <c r="D10" s="20">
        <v>3</v>
      </c>
      <c r="E10" s="5"/>
      <c r="F10" s="5">
        <f t="shared" si="0"/>
        <v>0</v>
      </c>
      <c r="G10" s="5"/>
      <c r="M10" s="86"/>
      <c r="N10" s="85"/>
    </row>
    <row r="11" spans="1:14" ht="18.75" customHeight="1" x14ac:dyDescent="0.35">
      <c r="A11" s="93" t="s">
        <v>9</v>
      </c>
      <c r="B11" s="112" t="s">
        <v>763</v>
      </c>
      <c r="C11" s="5">
        <f>+IFERROR(VLOOKUP($A11,RAIZ!$A$3:$X$1500,MATCH('Suc. Acaponeta'!$F$1,RAIZ!$A$2:$X$2,0),FALSE),0)</f>
        <v>2</v>
      </c>
      <c r="D11" s="20">
        <v>2</v>
      </c>
      <c r="E11" s="5"/>
      <c r="F11" s="5">
        <f t="shared" ref="F11:F12" si="1">IF(D11-C11&gt;=0,D11-C11,0)</f>
        <v>0</v>
      </c>
      <c r="G11" s="5"/>
      <c r="M11" s="86"/>
      <c r="N11" s="85"/>
    </row>
    <row r="12" spans="1:14" ht="18.75" customHeight="1" x14ac:dyDescent="0.35">
      <c r="A12" s="93"/>
      <c r="B12" s="112"/>
      <c r="C12" s="5">
        <f>+IFERROR(VLOOKUP($A12,RAIZ!$A$3:$X$1500,MATCH('Suc. Acaponeta'!$F$1,RAIZ!$A$2:$X$2,0),FALSE),0)</f>
        <v>0</v>
      </c>
      <c r="D12" s="20"/>
      <c r="E12" s="5"/>
      <c r="F12" s="5">
        <f t="shared" si="1"/>
        <v>0</v>
      </c>
      <c r="G12" s="5"/>
    </row>
    <row r="13" spans="1:14" ht="18.75" customHeight="1" x14ac:dyDescent="0.35">
      <c r="A13" s="93"/>
      <c r="B13" s="112"/>
      <c r="C13" s="5">
        <f>+IFERROR(VLOOKUP($A13,RAIZ!$A$3:$X$1500,MATCH('Suc. Acaponeta'!$F$1,RAIZ!$A$2:$X$2,0),FALSE),0)</f>
        <v>0</v>
      </c>
      <c r="D13" s="20"/>
      <c r="E13" s="5"/>
      <c r="F13" s="5">
        <f t="shared" ref="F13:F17" si="2">IF(D13-C13&gt;=0,D13-C13,0)</f>
        <v>0</v>
      </c>
      <c r="G13" s="5"/>
    </row>
    <row r="14" spans="1:14" ht="18.75" customHeight="1" x14ac:dyDescent="0.35">
      <c r="A14" s="93"/>
      <c r="B14" s="112"/>
      <c r="C14" s="5">
        <f>+IFERROR(VLOOKUP($A14,RAIZ!$A$3:$X$1500,MATCH('Suc. Acaponeta'!$F$1,RAIZ!$A$2:$X$2,0),FALSE),0)</f>
        <v>0</v>
      </c>
      <c r="D14" s="20"/>
      <c r="E14" s="5"/>
      <c r="F14" s="5">
        <f>IF(D14-C14&gt;=0,D14-C14,0)</f>
        <v>0</v>
      </c>
      <c r="G14" s="5"/>
    </row>
    <row r="15" spans="1:14" ht="18.75" customHeight="1" x14ac:dyDescent="0.35">
      <c r="A15" s="93"/>
      <c r="B15" s="112"/>
      <c r="C15" s="5">
        <f>+IFERROR(VLOOKUP($A15,RAIZ!$A$3:$X$1500,MATCH('Suc. Acaponeta'!$F$1,RAIZ!$A$2:$X$2,0),FALSE),0)</f>
        <v>0</v>
      </c>
      <c r="D15" s="20"/>
      <c r="E15" s="5"/>
      <c r="F15" s="5">
        <f t="shared" si="2"/>
        <v>0</v>
      </c>
      <c r="G15" s="5"/>
      <c r="M15" s="86"/>
      <c r="N15" s="85"/>
    </row>
    <row r="16" spans="1:14" ht="18.75" customHeight="1" x14ac:dyDescent="0.35">
      <c r="A16" s="93"/>
      <c r="B16" s="112"/>
      <c r="C16" s="5">
        <f>+IFERROR(VLOOKUP($A16,RAIZ!$A$3:$X$1500,MATCH('Suc. Acaponeta'!$F$1,RAIZ!$A$2:$X$2,0),FALSE),0)</f>
        <v>0</v>
      </c>
      <c r="D16" s="20"/>
      <c r="E16" s="5"/>
      <c r="F16" s="5">
        <f t="shared" si="2"/>
        <v>0</v>
      </c>
      <c r="G16" s="5"/>
      <c r="M16" s="86"/>
      <c r="N16" s="85"/>
    </row>
    <row r="17" spans="1:14" ht="18.75" customHeight="1" thickBot="1" x14ac:dyDescent="0.4">
      <c r="A17" s="93"/>
      <c r="B17" s="112"/>
      <c r="C17" s="5">
        <f>+IFERROR(VLOOKUP($A17,RAIZ!$A$3:$X$1500,MATCH('Suc. Acaponeta'!$F$1,RAIZ!$A$2:$X$2,0),FALSE),0)</f>
        <v>0</v>
      </c>
      <c r="D17" s="20"/>
      <c r="E17" s="5"/>
      <c r="F17" s="5">
        <f t="shared" si="2"/>
        <v>0</v>
      </c>
      <c r="G17" s="5"/>
      <c r="M17" s="86"/>
      <c r="N17" s="85"/>
    </row>
    <row r="18" spans="1:14" ht="18.75" customHeight="1" thickBot="1" x14ac:dyDescent="0.4">
      <c r="A18" s="96" t="s">
        <v>10</v>
      </c>
      <c r="B18" s="111"/>
      <c r="C18" s="75">
        <f>SUM(C3:C17)</f>
        <v>22</v>
      </c>
      <c r="D18" s="44">
        <f>SUM(D3:D17)</f>
        <v>22</v>
      </c>
      <c r="E18" s="44">
        <f>SUM(E3:E17)</f>
        <v>0</v>
      </c>
      <c r="F18" s="63">
        <f>SUM(F3:F17)</f>
        <v>2</v>
      </c>
      <c r="G18" s="44">
        <f>SUM(G3:G17)</f>
        <v>0</v>
      </c>
      <c r="M18" s="86"/>
      <c r="N18" s="85"/>
    </row>
    <row r="19" spans="1:14" ht="18.75" customHeight="1" x14ac:dyDescent="0.35">
      <c r="A19" s="97" t="s">
        <v>676</v>
      </c>
      <c r="B19" s="112" t="s">
        <v>764</v>
      </c>
      <c r="C19" s="5">
        <f>+IFERROR(VLOOKUP($A19,RAIZ!$A$3:$X$1500,MATCH('Suc. Acaponeta'!$F$1,RAIZ!$A$2:$X$2,0),FALSE),0)</f>
        <v>4</v>
      </c>
      <c r="D19" s="4">
        <v>3</v>
      </c>
      <c r="E19" s="5"/>
      <c r="F19" s="5">
        <f t="shared" ref="F19:F21" si="3">IF(D19-C19&gt;=0,D19-C19,0)</f>
        <v>0</v>
      </c>
      <c r="G19" s="5"/>
      <c r="M19" s="86"/>
      <c r="N19" s="85"/>
    </row>
    <row r="20" spans="1:14" ht="18.75" customHeight="1" x14ac:dyDescent="0.35">
      <c r="A20" s="97" t="s">
        <v>11</v>
      </c>
      <c r="B20" s="112" t="s">
        <v>827</v>
      </c>
      <c r="C20" s="5">
        <f>+IFERROR(VLOOKUP($A20,RAIZ!$A$3:$X$1500,MATCH('Suc. Acaponeta'!$F$1,RAIZ!$A$2:$X$2,0),FALSE),0)</f>
        <v>2</v>
      </c>
      <c r="D20" s="4">
        <v>3</v>
      </c>
      <c r="E20" s="5"/>
      <c r="F20" s="5">
        <f t="shared" si="3"/>
        <v>1</v>
      </c>
      <c r="G20" s="5"/>
      <c r="M20" s="86"/>
      <c r="N20" s="85"/>
    </row>
    <row r="21" spans="1:14" ht="18.75" customHeight="1" x14ac:dyDescent="0.35">
      <c r="A21" s="97" t="s">
        <v>344</v>
      </c>
      <c r="B21" s="112" t="s">
        <v>765</v>
      </c>
      <c r="C21" s="5">
        <f>+IFERROR(VLOOKUP($A21,RAIZ!$A$3:$X$1500,MATCH('Suc. Acaponeta'!$F$1,RAIZ!$A$2:$X$2,0),FALSE),0)</f>
        <v>3</v>
      </c>
      <c r="D21" s="4">
        <v>3</v>
      </c>
      <c r="E21" s="5"/>
      <c r="F21" s="5">
        <f t="shared" si="3"/>
        <v>0</v>
      </c>
      <c r="G21" s="5"/>
      <c r="M21" s="86"/>
      <c r="N21" s="85"/>
    </row>
    <row r="22" spans="1:14" ht="18.75" customHeight="1" x14ac:dyDescent="0.35">
      <c r="A22" s="97" t="s">
        <v>832</v>
      </c>
      <c r="B22" s="112" t="s">
        <v>833</v>
      </c>
      <c r="C22" s="5">
        <f>+IFERROR(VLOOKUP($A22,RAIZ!$A$3:$X$1500,MATCH('Suc. Acaponeta'!$F$1,RAIZ!$A$2:$X$2,0),FALSE),0)</f>
        <v>3</v>
      </c>
      <c r="D22" s="4">
        <v>2</v>
      </c>
      <c r="E22" s="5"/>
      <c r="F22" s="5">
        <f t="shared" ref="F22:F31" si="4">IF(D22-C22&gt;=0,D22-C22,0)</f>
        <v>0</v>
      </c>
      <c r="G22" s="5"/>
      <c r="M22" s="86"/>
      <c r="N22" s="85"/>
    </row>
    <row r="23" spans="1:14" ht="18.75" customHeight="1" x14ac:dyDescent="0.35">
      <c r="A23" s="97" t="s">
        <v>12</v>
      </c>
      <c r="B23" s="112" t="s">
        <v>766</v>
      </c>
      <c r="C23" s="5">
        <f>+IFERROR(VLOOKUP($A23,RAIZ!$A$3:$X$1500,MATCH('Suc. Acaponeta'!$F$1,RAIZ!$A$2:$X$2,0),FALSE),0)</f>
        <v>2</v>
      </c>
      <c r="D23" s="4">
        <v>3</v>
      </c>
      <c r="E23" s="5"/>
      <c r="F23" s="5">
        <f t="shared" si="4"/>
        <v>1</v>
      </c>
      <c r="G23" s="5"/>
      <c r="M23" s="86"/>
      <c r="N23" s="85"/>
    </row>
    <row r="24" spans="1:14" ht="18.75" customHeight="1" x14ac:dyDescent="0.35">
      <c r="A24" s="97" t="s">
        <v>432</v>
      </c>
      <c r="B24" s="112" t="s">
        <v>767</v>
      </c>
      <c r="C24" s="5">
        <f>+IFERROR(VLOOKUP($A24,RAIZ!$A$3:$X$1500,MATCH('Suc. Acaponeta'!$F$1,RAIZ!$A$2:$X$2,0),FALSE),0)</f>
        <v>4</v>
      </c>
      <c r="D24" s="4">
        <v>3</v>
      </c>
      <c r="E24" s="5"/>
      <c r="F24" s="5">
        <f t="shared" si="4"/>
        <v>0</v>
      </c>
      <c r="G24" s="5"/>
      <c r="M24" s="86"/>
      <c r="N24" s="85"/>
    </row>
    <row r="25" spans="1:14" ht="18.75" customHeight="1" x14ac:dyDescent="0.35">
      <c r="A25" s="97" t="s">
        <v>468</v>
      </c>
      <c r="B25" s="112" t="s">
        <v>768</v>
      </c>
      <c r="C25" s="5">
        <f>+IFERROR(VLOOKUP($A25,RAIZ!$A$3:$X$1500,MATCH('Suc. Acaponeta'!$F$1,RAIZ!$A$2:$X$2,0),FALSE),0)</f>
        <v>1</v>
      </c>
      <c r="D25" s="4">
        <v>3</v>
      </c>
      <c r="E25" s="5"/>
      <c r="F25" s="5">
        <f t="shared" si="4"/>
        <v>2</v>
      </c>
      <c r="G25" s="5"/>
      <c r="M25" s="86"/>
      <c r="N25" s="85"/>
    </row>
    <row r="26" spans="1:14" ht="18.75" customHeight="1" x14ac:dyDescent="0.35">
      <c r="A26" s="97"/>
      <c r="B26" s="112"/>
      <c r="C26" s="5">
        <f>+IFERROR(VLOOKUP($A26,RAIZ!$A$3:$X$1500,MATCH('Suc. Acaponeta'!$F$1,RAIZ!$A$2:$X$2,0),FALSE),0)</f>
        <v>0</v>
      </c>
      <c r="D26" s="4"/>
      <c r="E26" s="5"/>
      <c r="F26" s="5">
        <f t="shared" si="4"/>
        <v>0</v>
      </c>
      <c r="G26" s="5"/>
    </row>
    <row r="27" spans="1:14" ht="18.75" customHeight="1" x14ac:dyDescent="0.35">
      <c r="A27" s="97"/>
      <c r="B27" s="112"/>
      <c r="C27" s="5">
        <f>+IFERROR(VLOOKUP($A27,RAIZ!$A$3:$X$1500,MATCH('Suc. Acaponeta'!$F$1,RAIZ!$A$2:$X$2,0),FALSE),0)</f>
        <v>0</v>
      </c>
      <c r="D27" s="4"/>
      <c r="E27" s="5"/>
      <c r="F27" s="5">
        <f>IF(D27-C27&gt;=0,D27-C27,0)</f>
        <v>0</v>
      </c>
      <c r="G27" s="5"/>
      <c r="M27" s="86"/>
      <c r="N27" s="85"/>
    </row>
    <row r="28" spans="1:14" ht="18.75" customHeight="1" x14ac:dyDescent="0.35">
      <c r="A28" s="97"/>
      <c r="B28" s="112"/>
      <c r="C28" s="5">
        <f>+IFERROR(VLOOKUP($A28,RAIZ!$A$3:$X$1500,MATCH('Suc. Acaponeta'!$F$1,RAIZ!$A$2:$X$2,0),FALSE),0)</f>
        <v>0</v>
      </c>
      <c r="D28" s="4"/>
      <c r="E28" s="5"/>
      <c r="F28" s="5">
        <f t="shared" si="4"/>
        <v>0</v>
      </c>
      <c r="G28" s="5"/>
      <c r="M28" s="86"/>
      <c r="N28" s="85"/>
    </row>
    <row r="29" spans="1:14" ht="18.75" customHeight="1" x14ac:dyDescent="0.35">
      <c r="A29" s="97"/>
      <c r="B29" s="112"/>
      <c r="C29" s="5">
        <f>+IFERROR(VLOOKUP($A29,RAIZ!$A$3:$X$1500,MATCH('Suc. Acaponeta'!$F$1,RAIZ!$A$2:$X$2,0),FALSE),0)</f>
        <v>0</v>
      </c>
      <c r="D29" s="4"/>
      <c r="E29" s="5"/>
      <c r="F29" s="5">
        <f t="shared" si="4"/>
        <v>0</v>
      </c>
      <c r="G29" s="5"/>
      <c r="M29" s="86"/>
      <c r="N29" s="85"/>
    </row>
    <row r="30" spans="1:14" ht="18.75" customHeight="1" x14ac:dyDescent="0.35">
      <c r="A30" s="97"/>
      <c r="B30" s="112"/>
      <c r="C30" s="5">
        <f>+IFERROR(VLOOKUP($A30,RAIZ!$A$3:$X$1500,MATCH('Suc. Acaponeta'!$F$1,RAIZ!$A$2:$X$2,0),FALSE),0)</f>
        <v>0</v>
      </c>
      <c r="D30" s="4"/>
      <c r="E30" s="5"/>
      <c r="F30" s="5">
        <f t="shared" si="4"/>
        <v>0</v>
      </c>
      <c r="G30" s="5"/>
      <c r="M30" s="86"/>
      <c r="N30" s="85"/>
    </row>
    <row r="31" spans="1:14" ht="18.75" customHeight="1" thickBot="1" x14ac:dyDescent="0.4">
      <c r="A31" s="97"/>
      <c r="B31" s="112"/>
      <c r="C31" s="5">
        <f>+IFERROR(VLOOKUP($A31,RAIZ!$A$3:$X$1500,MATCH('Suc. Acaponeta'!$F$1,RAIZ!$A$2:$X$2,0),FALSE),0)</f>
        <v>0</v>
      </c>
      <c r="D31" s="4"/>
      <c r="E31" s="5"/>
      <c r="F31" s="5">
        <f t="shared" si="4"/>
        <v>0</v>
      </c>
      <c r="G31" s="5"/>
      <c r="M31" s="86"/>
      <c r="N31" s="85"/>
    </row>
    <row r="32" spans="1:14" ht="18.75" customHeight="1" thickBot="1" x14ac:dyDescent="0.4">
      <c r="A32" s="98" t="s">
        <v>13</v>
      </c>
      <c r="B32" s="111"/>
      <c r="C32" s="76">
        <f>SUM(C19:C31)</f>
        <v>19</v>
      </c>
      <c r="D32" s="46">
        <f>SUM(D19:D31)</f>
        <v>20</v>
      </c>
      <c r="E32" s="46">
        <f>SUM(E19:E31)</f>
        <v>0</v>
      </c>
      <c r="F32" s="64">
        <f>SUM(F19:F31)</f>
        <v>4</v>
      </c>
      <c r="G32" s="46">
        <f>SUM(G19:G31)</f>
        <v>0</v>
      </c>
      <c r="M32" s="86"/>
      <c r="N32" s="85"/>
    </row>
    <row r="33" spans="1:14" ht="18.75" customHeight="1" x14ac:dyDescent="0.35">
      <c r="A33" s="97" t="s">
        <v>14</v>
      </c>
      <c r="B33" s="112" t="s">
        <v>769</v>
      </c>
      <c r="C33" s="5">
        <f>+IFERROR(VLOOKUP($A33,RAIZ!$A$3:$X$1500,MATCH('Suc. Acaponeta'!$F$1,RAIZ!$A$2:$X$2,0),FALSE),0)</f>
        <v>3</v>
      </c>
      <c r="D33" s="4">
        <v>3</v>
      </c>
      <c r="E33" s="5"/>
      <c r="F33" s="5">
        <f t="shared" ref="F33:F48" si="5">IF(D33-C33&gt;=0,D33-C33,0)</f>
        <v>0</v>
      </c>
      <c r="G33" s="5"/>
      <c r="M33" s="86"/>
      <c r="N33" s="85"/>
    </row>
    <row r="34" spans="1:14" ht="18.75" customHeight="1" x14ac:dyDescent="0.35">
      <c r="A34" s="97" t="s">
        <v>15</v>
      </c>
      <c r="B34" s="112" t="s">
        <v>770</v>
      </c>
      <c r="C34" s="5">
        <f>+IFERROR(VLOOKUP($A34,RAIZ!$A$3:$X$1500,MATCH('Suc. Acaponeta'!$F$1,RAIZ!$A$2:$X$2,0),FALSE),0)</f>
        <v>2</v>
      </c>
      <c r="D34" s="4">
        <v>3</v>
      </c>
      <c r="E34" s="5"/>
      <c r="F34" s="5">
        <f t="shared" si="5"/>
        <v>1</v>
      </c>
      <c r="G34" s="5"/>
      <c r="M34" s="86"/>
      <c r="N34" s="85"/>
    </row>
    <row r="35" spans="1:14" ht="18.75" customHeight="1" x14ac:dyDescent="0.35">
      <c r="A35" s="97" t="s">
        <v>16</v>
      </c>
      <c r="B35" s="112" t="s">
        <v>771</v>
      </c>
      <c r="C35" s="5">
        <f>+IFERROR(VLOOKUP($A35,RAIZ!$A$3:$X$1500,MATCH('Suc. Acaponeta'!$F$1,RAIZ!$A$2:$X$2,0),FALSE),0)</f>
        <v>3</v>
      </c>
      <c r="D35" s="4">
        <v>3</v>
      </c>
      <c r="E35" s="5"/>
      <c r="F35" s="5">
        <f t="shared" si="5"/>
        <v>0</v>
      </c>
      <c r="G35" s="5"/>
      <c r="M35" s="86"/>
      <c r="N35" s="85"/>
    </row>
    <row r="36" spans="1:14" ht="18.75" customHeight="1" x14ac:dyDescent="0.35">
      <c r="A36" s="97" t="s">
        <v>17</v>
      </c>
      <c r="B36" s="112" t="s">
        <v>772</v>
      </c>
      <c r="C36" s="5">
        <f>+IFERROR(VLOOKUP($A36,RAIZ!$A$3:$X$1500,MATCH('Suc. Acaponeta'!$F$1,RAIZ!$A$2:$X$2,0),FALSE),0)</f>
        <v>3</v>
      </c>
      <c r="D36" s="4">
        <v>4</v>
      </c>
      <c r="E36" s="5"/>
      <c r="F36" s="5">
        <f t="shared" si="5"/>
        <v>1</v>
      </c>
      <c r="G36" s="5"/>
      <c r="M36" s="86"/>
      <c r="N36" s="85"/>
    </row>
    <row r="37" spans="1:14" ht="18.75" customHeight="1" x14ac:dyDescent="0.35">
      <c r="A37" s="97" t="s">
        <v>18</v>
      </c>
      <c r="B37" s="112" t="s">
        <v>773</v>
      </c>
      <c r="C37" s="5">
        <f>+IFERROR(VLOOKUP($A37,RAIZ!$A$3:$X$1500,MATCH('Suc. Acaponeta'!$F$1,RAIZ!$A$2:$X$2,0),FALSE),0)</f>
        <v>2</v>
      </c>
      <c r="D37" s="4">
        <v>4</v>
      </c>
      <c r="E37" s="5"/>
      <c r="F37" s="5">
        <f t="shared" si="5"/>
        <v>2</v>
      </c>
      <c r="G37" s="5"/>
      <c r="M37" s="86"/>
      <c r="N37" s="85"/>
    </row>
    <row r="38" spans="1:14" ht="18.75" customHeight="1" x14ac:dyDescent="0.35">
      <c r="A38" s="97" t="s">
        <v>22</v>
      </c>
      <c r="B38" s="112" t="s">
        <v>774</v>
      </c>
      <c r="C38" s="5">
        <f>+IFERROR(VLOOKUP($A38,RAIZ!$A$3:$X$1500,MATCH('Suc. Acaponeta'!$F$1,RAIZ!$A$2:$X$2,0),FALSE),0)</f>
        <v>2</v>
      </c>
      <c r="D38" s="4">
        <v>4</v>
      </c>
      <c r="E38" s="5"/>
      <c r="F38" s="5">
        <f t="shared" si="5"/>
        <v>2</v>
      </c>
      <c r="G38" s="5"/>
      <c r="M38" s="86"/>
      <c r="N38" s="85"/>
    </row>
    <row r="39" spans="1:14" ht="18.75" customHeight="1" x14ac:dyDescent="0.35">
      <c r="A39" s="97" t="s">
        <v>23</v>
      </c>
      <c r="B39" s="112" t="s">
        <v>775</v>
      </c>
      <c r="C39" s="5">
        <f>+IFERROR(VLOOKUP($A39,RAIZ!$A$3:$X$1500,MATCH('Suc. Acaponeta'!$F$1,RAIZ!$A$2:$X$2,0),FALSE),0)</f>
        <v>2</v>
      </c>
      <c r="D39" s="4">
        <v>3</v>
      </c>
      <c r="E39" s="5"/>
      <c r="F39" s="5">
        <f t="shared" si="5"/>
        <v>1</v>
      </c>
      <c r="G39" s="5"/>
      <c r="M39" s="86"/>
      <c r="N39" s="85"/>
    </row>
    <row r="40" spans="1:14" ht="18.75" customHeight="1" x14ac:dyDescent="0.35">
      <c r="A40" s="97" t="s">
        <v>24</v>
      </c>
      <c r="B40" s="112" t="s">
        <v>776</v>
      </c>
      <c r="C40" s="5">
        <f>+IFERROR(VLOOKUP($A40,RAIZ!$A$3:$X$1500,MATCH('Suc. Acaponeta'!$F$1,RAIZ!$A$2:$X$2,0),FALSE),0)</f>
        <v>1</v>
      </c>
      <c r="D40" s="4">
        <v>3</v>
      </c>
      <c r="E40" s="5"/>
      <c r="F40" s="5">
        <f t="shared" si="5"/>
        <v>2</v>
      </c>
      <c r="G40" s="5"/>
      <c r="M40" s="86"/>
      <c r="N40" s="85"/>
    </row>
    <row r="41" spans="1:14" ht="18.75" customHeight="1" x14ac:dyDescent="0.35">
      <c r="A41" s="97" t="s">
        <v>25</v>
      </c>
      <c r="B41" s="112" t="s">
        <v>777</v>
      </c>
      <c r="C41" s="5">
        <f>+IFERROR(VLOOKUP($A41,RAIZ!$A$3:$X$1500,MATCH('Suc. Acaponeta'!$F$1,RAIZ!$A$2:$X$2,0),FALSE),0)</f>
        <v>3</v>
      </c>
      <c r="D41" s="4">
        <v>3</v>
      </c>
      <c r="E41" s="5"/>
      <c r="F41" s="5">
        <f t="shared" si="5"/>
        <v>0</v>
      </c>
      <c r="G41" s="5"/>
      <c r="M41" s="86"/>
      <c r="N41" s="85"/>
    </row>
    <row r="42" spans="1:14" ht="18.75" customHeight="1" x14ac:dyDescent="0.35">
      <c r="A42" s="97"/>
      <c r="B42" s="112"/>
      <c r="C42" s="5">
        <f>+IFERROR(VLOOKUP($A42,RAIZ!$A$3:$X$1500,MATCH('Suc. Acaponeta'!$F$1,RAIZ!$A$2:$X$2,0),FALSE),0)</f>
        <v>0</v>
      </c>
      <c r="D42" s="4"/>
      <c r="E42" s="5"/>
      <c r="F42" s="5">
        <f t="shared" si="5"/>
        <v>0</v>
      </c>
      <c r="G42" s="5"/>
    </row>
    <row r="43" spans="1:14" ht="18.75" customHeight="1" x14ac:dyDescent="0.35">
      <c r="A43" s="97"/>
      <c r="B43" s="112"/>
      <c r="C43" s="5">
        <f>+IFERROR(VLOOKUP($A43,RAIZ!$A$3:$X$1500,MATCH('Suc. Acaponeta'!$F$1,RAIZ!$A$2:$X$2,0),FALSE),0)</f>
        <v>0</v>
      </c>
      <c r="D43" s="4"/>
      <c r="E43" s="5"/>
      <c r="F43" s="5">
        <f t="shared" si="5"/>
        <v>0</v>
      </c>
      <c r="G43" s="5"/>
      <c r="M43" s="86"/>
      <c r="N43" s="85"/>
    </row>
    <row r="44" spans="1:14" ht="18.75" customHeight="1" x14ac:dyDescent="0.35">
      <c r="A44" s="97"/>
      <c r="B44" s="112"/>
      <c r="C44" s="5">
        <f>+IFERROR(VLOOKUP($A44,RAIZ!$A$3:$X$1500,MATCH('Suc. Acaponeta'!$F$1,RAIZ!$A$2:$X$2,0),FALSE),0)</f>
        <v>0</v>
      </c>
      <c r="D44" s="4"/>
      <c r="E44" s="5"/>
      <c r="F44" s="5">
        <f t="shared" si="5"/>
        <v>0</v>
      </c>
      <c r="G44" s="5"/>
      <c r="M44" s="86"/>
      <c r="N44" s="85"/>
    </row>
    <row r="45" spans="1:14" ht="18.75" customHeight="1" x14ac:dyDescent="0.35">
      <c r="A45" s="97"/>
      <c r="B45" s="112"/>
      <c r="C45" s="5">
        <f>+IFERROR(VLOOKUP($A45,RAIZ!$A$3:$X$1500,MATCH('Suc. Acaponeta'!$F$1,RAIZ!$A$2:$X$2,0),FALSE),0)</f>
        <v>0</v>
      </c>
      <c r="D45" s="4"/>
      <c r="E45" s="5"/>
      <c r="F45" s="5">
        <f t="shared" si="5"/>
        <v>0</v>
      </c>
      <c r="G45" s="5"/>
      <c r="M45" s="86"/>
      <c r="N45" s="85"/>
    </row>
    <row r="46" spans="1:14" ht="18.75" customHeight="1" x14ac:dyDescent="0.35">
      <c r="A46" s="97"/>
      <c r="B46" s="112"/>
      <c r="C46" s="5">
        <f>+IFERROR(VLOOKUP($A46,RAIZ!$A$3:$X$1500,MATCH('Suc. Acaponeta'!$F$1,RAIZ!$A$2:$X$2,0),FALSE),0)</f>
        <v>0</v>
      </c>
      <c r="D46" s="4"/>
      <c r="E46" s="5"/>
      <c r="F46" s="5">
        <f t="shared" si="5"/>
        <v>0</v>
      </c>
      <c r="G46" s="5"/>
      <c r="M46" s="86"/>
      <c r="N46" s="85"/>
    </row>
    <row r="47" spans="1:14" ht="18.75" customHeight="1" x14ac:dyDescent="0.35">
      <c r="A47" s="97"/>
      <c r="B47" s="112"/>
      <c r="C47" s="5">
        <f>+IFERROR(VLOOKUP($A47,RAIZ!$A$3:$X$1500,MATCH('Suc. Acaponeta'!$F$1,RAIZ!$A$2:$X$2,0),FALSE),0)</f>
        <v>0</v>
      </c>
      <c r="D47" s="4"/>
      <c r="E47" s="5"/>
      <c r="F47" s="5">
        <f t="shared" si="5"/>
        <v>0</v>
      </c>
      <c r="G47" s="5"/>
      <c r="M47" s="86"/>
      <c r="N47" s="85"/>
    </row>
    <row r="48" spans="1:14" ht="18.75" customHeight="1" thickBot="1" x14ac:dyDescent="0.4">
      <c r="A48" s="97"/>
      <c r="B48" s="112"/>
      <c r="C48" s="5">
        <f>+IFERROR(VLOOKUP($A48,RAIZ!$A$3:$X$1500,MATCH('Suc. Acaponeta'!$F$1,RAIZ!$A$2:$X$2,0),FALSE),0)</f>
        <v>0</v>
      </c>
      <c r="D48" s="4"/>
      <c r="E48" s="5"/>
      <c r="F48" s="5">
        <f t="shared" si="5"/>
        <v>0</v>
      </c>
      <c r="G48" s="5"/>
      <c r="M48" s="86"/>
      <c r="N48" s="85"/>
    </row>
    <row r="49" spans="1:14" ht="18.75" customHeight="1" thickBot="1" x14ac:dyDescent="0.4">
      <c r="A49" s="99" t="s">
        <v>29</v>
      </c>
      <c r="B49" s="111"/>
      <c r="C49" s="77">
        <f>SUM(C33:C48)</f>
        <v>21</v>
      </c>
      <c r="D49" s="48">
        <f>SUM(D33:D48)</f>
        <v>30</v>
      </c>
      <c r="E49" s="48">
        <f>SUM(E33:E48)</f>
        <v>0</v>
      </c>
      <c r="F49" s="65">
        <f>SUM(F33:F48)</f>
        <v>9</v>
      </c>
      <c r="G49" s="48">
        <f>SUM(G33:G48)</f>
        <v>0</v>
      </c>
      <c r="M49" s="86"/>
      <c r="N49" s="85"/>
    </row>
    <row r="50" spans="1:14" ht="18.75" customHeight="1" x14ac:dyDescent="0.35">
      <c r="A50" s="93" t="s">
        <v>30</v>
      </c>
      <c r="B50" s="112" t="s">
        <v>778</v>
      </c>
      <c r="C50" s="5">
        <f>+IFERROR(VLOOKUP($A50,RAIZ!$A$3:$X$1500,MATCH('Suc. Acaponeta'!$F$1,RAIZ!$A$2:$X$2,0),FALSE),0)</f>
        <v>9</v>
      </c>
      <c r="D50" s="4">
        <v>10</v>
      </c>
      <c r="E50" s="5"/>
      <c r="F50" s="5">
        <f>IF(D50-C50&gt;=0,D50-C50,0)</f>
        <v>1</v>
      </c>
      <c r="G50" s="5"/>
      <c r="M50" s="86"/>
      <c r="N50" s="85"/>
    </row>
    <row r="51" spans="1:14" ht="18.75" customHeight="1" thickBot="1" x14ac:dyDescent="0.4">
      <c r="A51" s="95" t="s">
        <v>31</v>
      </c>
      <c r="B51" s="112" t="s">
        <v>779</v>
      </c>
      <c r="C51" s="5">
        <f>+IFERROR(VLOOKUP($A51,RAIZ!$A$3:$X$1500,MATCH('Suc. Acaponeta'!$F$1,RAIZ!$A$2:$X$2,0),FALSE),0)</f>
        <v>11</v>
      </c>
      <c r="D51" s="4">
        <v>10</v>
      </c>
      <c r="E51" s="5"/>
      <c r="F51" s="5">
        <f t="shared" ref="F51" si="6">IF(D51-C51&gt;=0,D51-C51,0)</f>
        <v>0</v>
      </c>
      <c r="G51" s="5"/>
      <c r="M51" s="86"/>
      <c r="N51" s="85"/>
    </row>
    <row r="52" spans="1:14" ht="18.75" customHeight="1" thickBot="1" x14ac:dyDescent="0.4">
      <c r="A52" s="100" t="s">
        <v>32</v>
      </c>
      <c r="B52" s="111"/>
      <c r="C52" s="78">
        <f>SUM(C50:C51)</f>
        <v>20</v>
      </c>
      <c r="D52" s="50">
        <f t="shared" ref="D52:E52" si="7">SUM(D50:D51)</f>
        <v>20</v>
      </c>
      <c r="E52" s="50">
        <f t="shared" si="7"/>
        <v>0</v>
      </c>
      <c r="F52" s="66">
        <f t="shared" ref="F52:G52" si="8">SUM(F50:F51)</f>
        <v>1</v>
      </c>
      <c r="G52" s="50">
        <f t="shared" si="8"/>
        <v>0</v>
      </c>
      <c r="M52" s="86"/>
      <c r="N52" s="85"/>
    </row>
    <row r="53" spans="1:14" ht="18.75" customHeight="1" x14ac:dyDescent="0.35">
      <c r="A53" s="93" t="s">
        <v>33</v>
      </c>
      <c r="B53" s="112" t="s">
        <v>780</v>
      </c>
      <c r="C53" s="5">
        <f>+IFERROR(VLOOKUP($A53,RAIZ!$A$3:$X$1500,MATCH('Suc. Acaponeta'!$F$1,RAIZ!$A$2:$X$2,0),FALSE),0)</f>
        <v>1</v>
      </c>
      <c r="D53" s="4">
        <v>10</v>
      </c>
      <c r="E53" s="5"/>
      <c r="F53" s="5">
        <f t="shared" ref="F53:F54" si="9">IF(D53-C53&gt;=0,D53-C53,0)</f>
        <v>9</v>
      </c>
      <c r="G53" s="5"/>
      <c r="M53" s="86"/>
      <c r="N53" s="85"/>
    </row>
    <row r="54" spans="1:14" ht="18.75" customHeight="1" thickBot="1" x14ac:dyDescent="0.4">
      <c r="A54" s="95" t="s">
        <v>34</v>
      </c>
      <c r="B54" s="112" t="s">
        <v>781</v>
      </c>
      <c r="C54" s="5">
        <f>+IFERROR(VLOOKUP($A54,RAIZ!$A$3:$X$1500,MATCH('Suc. Acaponeta'!$F$1,RAIZ!$A$2:$X$2,0),FALSE),0)</f>
        <v>1</v>
      </c>
      <c r="D54" s="4">
        <v>10</v>
      </c>
      <c r="E54" s="5"/>
      <c r="F54" s="5">
        <f t="shared" si="9"/>
        <v>9</v>
      </c>
      <c r="G54" s="5"/>
      <c r="M54" s="86"/>
      <c r="N54" s="85"/>
    </row>
    <row r="55" spans="1:14" ht="18.75" customHeight="1" thickBot="1" x14ac:dyDescent="0.4">
      <c r="A55" s="99" t="s">
        <v>35</v>
      </c>
      <c r="B55" s="111"/>
      <c r="C55" s="77">
        <f>SUM(C53:C54)</f>
        <v>2</v>
      </c>
      <c r="D55" s="48">
        <f t="shared" ref="D55:E55" si="10">SUM(D53:D54)</f>
        <v>20</v>
      </c>
      <c r="E55" s="48">
        <f t="shared" si="10"/>
        <v>0</v>
      </c>
      <c r="F55" s="65">
        <f t="shared" ref="F55:G55" si="11">SUM(F53:F54)</f>
        <v>18</v>
      </c>
      <c r="G55" s="48">
        <f t="shared" si="11"/>
        <v>0</v>
      </c>
      <c r="M55" s="86"/>
      <c r="N55" s="85"/>
    </row>
    <row r="56" spans="1:14" ht="18.75" customHeight="1" x14ac:dyDescent="0.35">
      <c r="A56" s="93" t="s">
        <v>36</v>
      </c>
      <c r="B56" s="112" t="s">
        <v>782</v>
      </c>
      <c r="C56" s="5">
        <f>+IFERROR(VLOOKUP($A56,RAIZ!$A$3:$X$1500,MATCH('Suc. Acaponeta'!$F$1,RAIZ!$A$2:$X$2,0),FALSE),0)</f>
        <v>3</v>
      </c>
      <c r="D56" s="4">
        <v>2</v>
      </c>
      <c r="E56" s="5"/>
      <c r="F56" s="5">
        <f t="shared" ref="F56:F70" si="12">IF(D56-C56&gt;=0,D56-C56,0)</f>
        <v>0</v>
      </c>
      <c r="G56" s="5"/>
      <c r="M56" s="86"/>
      <c r="N56" s="85"/>
    </row>
    <row r="57" spans="1:14" ht="18.75" customHeight="1" x14ac:dyDescent="0.35">
      <c r="A57" s="93" t="s">
        <v>37</v>
      </c>
      <c r="B57" s="112" t="s">
        <v>783</v>
      </c>
      <c r="C57" s="5">
        <f>+IFERROR(VLOOKUP($A57,RAIZ!$A$3:$X$1500,MATCH('Suc. Acaponeta'!$F$1,RAIZ!$A$2:$X$2,0),FALSE),0)</f>
        <v>2</v>
      </c>
      <c r="D57" s="7">
        <v>4</v>
      </c>
      <c r="E57" s="5"/>
      <c r="F57" s="5">
        <f t="shared" si="12"/>
        <v>2</v>
      </c>
      <c r="G57" s="5"/>
      <c r="M57" s="86"/>
      <c r="N57" s="85"/>
    </row>
    <row r="58" spans="1:14" ht="18.75" customHeight="1" x14ac:dyDescent="0.35">
      <c r="A58" s="93" t="s">
        <v>39</v>
      </c>
      <c r="B58" s="112" t="s">
        <v>784</v>
      </c>
      <c r="C58" s="5">
        <f>+IFERROR(VLOOKUP($A58,RAIZ!$A$3:$X$1500,MATCH('Suc. Acaponeta'!$F$1,RAIZ!$A$2:$X$2,0),FALSE),0)</f>
        <v>2</v>
      </c>
      <c r="D58" s="7">
        <v>2</v>
      </c>
      <c r="E58" s="5"/>
      <c r="F58" s="5">
        <f t="shared" ref="F58" si="13">IF(D58-C58&gt;=0,D58-C58,0)</f>
        <v>0</v>
      </c>
      <c r="G58" s="5"/>
      <c r="M58" s="86"/>
      <c r="N58" s="85"/>
    </row>
    <row r="59" spans="1:14" ht="18.75" customHeight="1" x14ac:dyDescent="0.35">
      <c r="A59" s="93" t="s">
        <v>40</v>
      </c>
      <c r="B59" s="112" t="s">
        <v>785</v>
      </c>
      <c r="C59" s="5">
        <f>+IFERROR(VLOOKUP($A59,RAIZ!$A$3:$X$1500,MATCH('Suc. Acaponeta'!$F$1,RAIZ!$A$2:$X$2,0),FALSE),0)</f>
        <v>2</v>
      </c>
      <c r="D59" s="7">
        <v>2</v>
      </c>
      <c r="E59" s="5"/>
      <c r="F59" s="5">
        <f t="shared" si="12"/>
        <v>0</v>
      </c>
      <c r="G59" s="5"/>
      <c r="M59" s="86"/>
      <c r="N59" s="85"/>
    </row>
    <row r="60" spans="1:14" ht="18.75" customHeight="1" x14ac:dyDescent="0.35">
      <c r="A60" s="93" t="s">
        <v>41</v>
      </c>
      <c r="B60" s="112" t="s">
        <v>786</v>
      </c>
      <c r="C60" s="5">
        <f>+IFERROR(VLOOKUP($A60,RAIZ!$A$3:$X$1500,MATCH('Suc. Acaponeta'!$F$1,RAIZ!$A$2:$X$2,0),FALSE),0)</f>
        <v>2</v>
      </c>
      <c r="D60" s="7">
        <v>2</v>
      </c>
      <c r="E60" s="5"/>
      <c r="F60" s="5">
        <f t="shared" si="12"/>
        <v>0</v>
      </c>
      <c r="G60" s="5"/>
      <c r="M60" s="86"/>
      <c r="N60" s="85"/>
    </row>
    <row r="61" spans="1:14" ht="18.75" customHeight="1" x14ac:dyDescent="0.35">
      <c r="A61" s="101" t="s">
        <v>42</v>
      </c>
      <c r="B61" s="112" t="s">
        <v>787</v>
      </c>
      <c r="C61" s="5">
        <f>+IFERROR(VLOOKUP($A61,RAIZ!$A$3:$X$1500,MATCH('Suc. Acaponeta'!$F$1,RAIZ!$A$2:$X$2,0),FALSE),0)</f>
        <v>2</v>
      </c>
      <c r="D61" s="4">
        <v>2</v>
      </c>
      <c r="E61" s="5"/>
      <c r="F61" s="5">
        <f t="shared" si="12"/>
        <v>0</v>
      </c>
      <c r="G61" s="5"/>
      <c r="M61" s="86"/>
      <c r="N61" s="85"/>
    </row>
    <row r="62" spans="1:14" ht="18.75" customHeight="1" x14ac:dyDescent="0.35">
      <c r="A62" s="102" t="s">
        <v>43</v>
      </c>
      <c r="B62" s="112" t="s">
        <v>788</v>
      </c>
      <c r="C62" s="5">
        <f>+IFERROR(VLOOKUP($A62,RAIZ!$A$3:$X$1500,MATCH('Suc. Acaponeta'!$F$1,RAIZ!$A$2:$X$2,0),FALSE),0)</f>
        <v>0</v>
      </c>
      <c r="D62" s="7">
        <v>2</v>
      </c>
      <c r="E62" s="5"/>
      <c r="F62" s="5">
        <f t="shared" si="12"/>
        <v>2</v>
      </c>
      <c r="G62" s="5"/>
      <c r="M62" s="86"/>
      <c r="N62" s="85"/>
    </row>
    <row r="63" spans="1:14" ht="18.75" customHeight="1" x14ac:dyDescent="0.35">
      <c r="A63" s="93" t="s">
        <v>44</v>
      </c>
      <c r="B63" s="112" t="s">
        <v>789</v>
      </c>
      <c r="C63" s="5">
        <f>+IFERROR(VLOOKUP($A63,RAIZ!$A$3:$X$1500,MATCH('Suc. Acaponeta'!$F$1,RAIZ!$A$2:$X$2,0),FALSE),0)</f>
        <v>2</v>
      </c>
      <c r="D63" s="7">
        <v>2</v>
      </c>
      <c r="E63" s="5"/>
      <c r="F63" s="5">
        <f t="shared" si="12"/>
        <v>0</v>
      </c>
      <c r="G63" s="5"/>
      <c r="M63" s="86"/>
      <c r="N63" s="85"/>
    </row>
    <row r="64" spans="1:14" ht="18.75" customHeight="1" x14ac:dyDescent="0.35">
      <c r="A64" s="93" t="s">
        <v>45</v>
      </c>
      <c r="B64" s="112" t="s">
        <v>790</v>
      </c>
      <c r="C64" s="5">
        <f>+IFERROR(VLOOKUP($A64,RAIZ!$A$3:$X$1500,MATCH('Suc. Acaponeta'!$F$1,RAIZ!$A$2:$X$2,0),FALSE),0)</f>
        <v>2</v>
      </c>
      <c r="D64" s="4">
        <v>2</v>
      </c>
      <c r="E64" s="5"/>
      <c r="F64" s="5">
        <f t="shared" si="12"/>
        <v>0</v>
      </c>
      <c r="G64" s="5"/>
      <c r="M64" s="86"/>
      <c r="N64" s="85"/>
    </row>
    <row r="65" spans="1:14" ht="18.75" customHeight="1" x14ac:dyDescent="0.35">
      <c r="A65" s="93" t="s">
        <v>46</v>
      </c>
      <c r="B65" s="112" t="s">
        <v>791</v>
      </c>
      <c r="C65" s="5">
        <f>+IFERROR(VLOOKUP($A65,RAIZ!$A$3:$X$1500,MATCH('Suc. Acaponeta'!$F$1,RAIZ!$A$2:$X$2,0),FALSE),0)</f>
        <v>2</v>
      </c>
      <c r="D65" s="7">
        <v>5</v>
      </c>
      <c r="E65" s="5"/>
      <c r="F65" s="5">
        <f t="shared" si="12"/>
        <v>3</v>
      </c>
      <c r="G65" s="5"/>
      <c r="M65" s="86"/>
      <c r="N65" s="85"/>
    </row>
    <row r="66" spans="1:14" ht="18.75" customHeight="1" x14ac:dyDescent="0.35">
      <c r="A66" s="93" t="s">
        <v>48</v>
      </c>
      <c r="B66" s="112" t="s">
        <v>792</v>
      </c>
      <c r="C66" s="5">
        <f>+IFERROR(VLOOKUP($A66,RAIZ!$A$3:$X$1500,MATCH('Suc. Acaponeta'!$F$1,RAIZ!$A$2:$X$2,0),FALSE),0)</f>
        <v>2</v>
      </c>
      <c r="D66" s="7">
        <v>2</v>
      </c>
      <c r="E66" s="5"/>
      <c r="F66" s="5">
        <f t="shared" si="12"/>
        <v>0</v>
      </c>
      <c r="G66" s="5"/>
      <c r="M66" s="86"/>
      <c r="N66" s="85"/>
    </row>
    <row r="67" spans="1:14" ht="18.75" customHeight="1" x14ac:dyDescent="0.35">
      <c r="A67" s="93" t="s">
        <v>49</v>
      </c>
      <c r="B67" s="112" t="s">
        <v>793</v>
      </c>
      <c r="C67" s="5">
        <f>+IFERROR(VLOOKUP($A67,RAIZ!$A$3:$X$1500,MATCH('Suc. Acaponeta'!$F$1,RAIZ!$A$2:$X$2,0),FALSE),0)</f>
        <v>2</v>
      </c>
      <c r="D67" s="7">
        <v>4</v>
      </c>
      <c r="E67" s="5"/>
      <c r="F67" s="5">
        <f t="shared" si="12"/>
        <v>2</v>
      </c>
      <c r="G67" s="5"/>
      <c r="M67" s="86"/>
      <c r="N67" s="85"/>
    </row>
    <row r="68" spans="1:14" ht="18.75" customHeight="1" x14ac:dyDescent="0.35">
      <c r="A68" s="93" t="s">
        <v>50</v>
      </c>
      <c r="B68" s="112" t="s">
        <v>794</v>
      </c>
      <c r="C68" s="5">
        <f>+IFERROR(VLOOKUP($A68,RAIZ!$A$3:$X$1500,MATCH('Suc. Acaponeta'!$F$1,RAIZ!$A$2:$X$2,0),FALSE),0)</f>
        <v>3</v>
      </c>
      <c r="D68" s="4">
        <v>5</v>
      </c>
      <c r="E68" s="5"/>
      <c r="F68" s="5">
        <f t="shared" si="12"/>
        <v>2</v>
      </c>
      <c r="G68" s="5"/>
      <c r="M68" s="86"/>
      <c r="N68" s="85"/>
    </row>
    <row r="69" spans="1:14" ht="18.75" customHeight="1" x14ac:dyDescent="0.35">
      <c r="A69" s="93" t="s">
        <v>51</v>
      </c>
      <c r="B69" s="112" t="s">
        <v>795</v>
      </c>
      <c r="C69" s="5">
        <f>+IFERROR(VLOOKUP($A69,RAIZ!$A$3:$X$1500,MATCH('Suc. Acaponeta'!$F$1,RAIZ!$A$2:$X$2,0),FALSE),0)</f>
        <v>3</v>
      </c>
      <c r="D69" s="7">
        <v>3</v>
      </c>
      <c r="E69" s="5"/>
      <c r="F69" s="5">
        <f t="shared" si="12"/>
        <v>0</v>
      </c>
      <c r="G69" s="5"/>
      <c r="M69" s="86"/>
      <c r="N69" s="85"/>
    </row>
    <row r="70" spans="1:14" ht="18.75" customHeight="1" x14ac:dyDescent="0.35">
      <c r="A70" s="93" t="s">
        <v>53</v>
      </c>
      <c r="B70" s="112" t="s">
        <v>796</v>
      </c>
      <c r="C70" s="5">
        <f>+IFERROR(VLOOKUP($A70,RAIZ!$A$3:$X$1500,MATCH('Suc. Acaponeta'!$F$1,RAIZ!$A$2:$X$2,0),FALSE),0)</f>
        <v>5</v>
      </c>
      <c r="D70" s="20">
        <v>8</v>
      </c>
      <c r="E70" s="5"/>
      <c r="F70" s="5">
        <f t="shared" si="12"/>
        <v>3</v>
      </c>
      <c r="G70" s="5"/>
      <c r="M70" s="86"/>
      <c r="N70" s="85"/>
    </row>
    <row r="71" spans="1:14" ht="18.75" customHeight="1" x14ac:dyDescent="0.35">
      <c r="A71" s="93" t="s">
        <v>47</v>
      </c>
      <c r="B71" s="112" t="s">
        <v>873</v>
      </c>
      <c r="C71" s="5">
        <f>+IFERROR(VLOOKUP($A71,RAIZ!$A$3:$X$1500,MATCH('Suc. Acaponeta'!$F$1,RAIZ!$A$2:$X$2,0),FALSE),0)</f>
        <v>2</v>
      </c>
      <c r="D71" s="20">
        <v>2</v>
      </c>
      <c r="E71" s="5"/>
      <c r="F71" s="5">
        <f t="shared" ref="F71:F77" si="14">IF(D71-C71&gt;=0,D71-C71,0)</f>
        <v>0</v>
      </c>
      <c r="G71" s="5"/>
      <c r="M71" s="86"/>
      <c r="N71" s="85"/>
    </row>
    <row r="72" spans="1:14" ht="18.75" hidden="1" customHeight="1" x14ac:dyDescent="0.35">
      <c r="A72" s="86" t="s">
        <v>1089</v>
      </c>
      <c r="B72" s="112" t="s">
        <v>1090</v>
      </c>
      <c r="C72" s="5">
        <f>+IFERROR(VLOOKUP($A72,RAIZ!$A$3:$X$1500,MATCH('Suc. Acaponeta'!$F$1,RAIZ!$A$2:$X$2,0),FALSE),0)</f>
        <v>0</v>
      </c>
      <c r="D72" s="20">
        <v>0</v>
      </c>
      <c r="E72" s="5"/>
      <c r="F72" s="5">
        <f>IF(D72-C72&gt;=0,D72-C72,0)</f>
        <v>0</v>
      </c>
      <c r="G72" s="5"/>
    </row>
    <row r="73" spans="1:14" ht="18.75" customHeight="1" x14ac:dyDescent="0.35">
      <c r="A73" s="93"/>
      <c r="B73" s="112"/>
      <c r="C73" s="5">
        <f>+IFERROR(VLOOKUP($A73,RAIZ!$A$3:$X$1500,MATCH('Suc. Acaponeta'!$F$1,RAIZ!$A$2:$X$2,0),FALSE),0)</f>
        <v>0</v>
      </c>
      <c r="D73" s="20"/>
      <c r="E73" s="5"/>
      <c r="F73" s="5">
        <f t="shared" si="14"/>
        <v>0</v>
      </c>
      <c r="G73" s="5"/>
      <c r="M73" s="86"/>
      <c r="N73" s="85"/>
    </row>
    <row r="74" spans="1:14" ht="18.75" customHeight="1" x14ac:dyDescent="0.35">
      <c r="A74" s="93"/>
      <c r="B74" s="112"/>
      <c r="C74" s="5">
        <f>+IFERROR(VLOOKUP($A74,RAIZ!$A$3:$X$1500,MATCH('Suc. Acaponeta'!$F$1,RAIZ!$A$2:$X$2,0),FALSE),0)</f>
        <v>0</v>
      </c>
      <c r="D74" s="20"/>
      <c r="E74" s="5"/>
      <c r="F74" s="5">
        <f t="shared" si="14"/>
        <v>0</v>
      </c>
      <c r="G74" s="5"/>
      <c r="M74" s="86"/>
      <c r="N74" s="85"/>
    </row>
    <row r="75" spans="1:14" ht="18.75" customHeight="1" x14ac:dyDescent="0.35">
      <c r="A75" s="93"/>
      <c r="B75" s="112"/>
      <c r="C75" s="5">
        <f>+IFERROR(VLOOKUP($A75,RAIZ!$A$3:$X$1500,MATCH('Suc. Acaponeta'!$F$1,RAIZ!$A$2:$X$2,0),FALSE),0)</f>
        <v>0</v>
      </c>
      <c r="D75" s="20"/>
      <c r="E75" s="5"/>
      <c r="F75" s="5">
        <f t="shared" si="14"/>
        <v>0</v>
      </c>
      <c r="G75" s="5"/>
      <c r="M75" s="86"/>
      <c r="N75" s="85"/>
    </row>
    <row r="76" spans="1:14" ht="18.75" customHeight="1" x14ac:dyDescent="0.35">
      <c r="A76" s="93"/>
      <c r="B76" s="112"/>
      <c r="C76" s="5">
        <f>+IFERROR(VLOOKUP($A76,RAIZ!$A$3:$X$1500,MATCH('Suc. Acaponeta'!$F$1,RAIZ!$A$2:$X$2,0),FALSE),0)</f>
        <v>0</v>
      </c>
      <c r="D76" s="20"/>
      <c r="E76" s="5"/>
      <c r="F76" s="5">
        <f t="shared" si="14"/>
        <v>0</v>
      </c>
      <c r="G76" s="5"/>
      <c r="M76" s="86"/>
      <c r="N76" s="85"/>
    </row>
    <row r="77" spans="1:14" ht="18.75" customHeight="1" thickBot="1" x14ac:dyDescent="0.4">
      <c r="A77" s="93"/>
      <c r="B77" s="112"/>
      <c r="C77" s="5">
        <f>+IFERROR(VLOOKUP($A77,RAIZ!$A$3:$X$1500,MATCH('Suc. Acaponeta'!$F$1,RAIZ!$A$2:$X$2,0),FALSE),0)</f>
        <v>0</v>
      </c>
      <c r="D77" s="20"/>
      <c r="E77" s="5"/>
      <c r="F77" s="5">
        <f t="shared" si="14"/>
        <v>0</v>
      </c>
      <c r="G77" s="5"/>
      <c r="M77" s="86"/>
      <c r="N77" s="85"/>
    </row>
    <row r="78" spans="1:14" ht="18.75" customHeight="1" thickBot="1" x14ac:dyDescent="0.4">
      <c r="A78" s="99" t="s">
        <v>54</v>
      </c>
      <c r="B78" s="111"/>
      <c r="C78" s="77">
        <f>SUM(C56:C77)</f>
        <v>36</v>
      </c>
      <c r="D78" s="48">
        <f>SUM(D56:D77)</f>
        <v>49</v>
      </c>
      <c r="E78" s="48">
        <f>SUM(E56:E77)</f>
        <v>0</v>
      </c>
      <c r="F78" s="65">
        <f>SUM(F56:F77)</f>
        <v>14</v>
      </c>
      <c r="G78" s="48">
        <f>SUM(G56:G77)</f>
        <v>0</v>
      </c>
      <c r="M78" s="86"/>
      <c r="N78" s="85"/>
    </row>
    <row r="79" spans="1:14" ht="18.75" customHeight="1" thickBot="1" x14ac:dyDescent="0.4">
      <c r="A79" s="103" t="s">
        <v>55</v>
      </c>
      <c r="B79" s="111"/>
      <c r="C79" s="79">
        <f>C18+C32+C49+C52+C55+C78</f>
        <v>120</v>
      </c>
      <c r="D79" s="52">
        <f>D18+D32+D49+D52+D55+D78</f>
        <v>161</v>
      </c>
      <c r="E79" s="52">
        <f>E18+E32+E49+E52+E55+E78</f>
        <v>0</v>
      </c>
      <c r="F79" s="67">
        <f>F18+F32+F49+F52+F55+F78</f>
        <v>48</v>
      </c>
      <c r="G79" s="52">
        <f>G18+G32+G49+G52+G55+G78</f>
        <v>0</v>
      </c>
      <c r="M79" s="86"/>
      <c r="N79" s="85"/>
    </row>
    <row r="80" spans="1:14" ht="18.75" customHeight="1" x14ac:dyDescent="0.35">
      <c r="A80" s="104" t="s">
        <v>56</v>
      </c>
      <c r="B80" s="111"/>
      <c r="C80" s="68"/>
      <c r="D80" s="26"/>
      <c r="E80" s="27"/>
      <c r="F80" s="27"/>
      <c r="G80" s="27"/>
      <c r="M80" s="86"/>
      <c r="N80" s="85"/>
    </row>
    <row r="81" spans="1:14" ht="18.75" customHeight="1" x14ac:dyDescent="0.35">
      <c r="A81" s="94" t="s">
        <v>57</v>
      </c>
      <c r="B81" s="112" t="s">
        <v>797</v>
      </c>
      <c r="C81" s="5">
        <f>+IFERROR(VLOOKUP($A81,RAIZ!$A$3:$X$1500,MATCH('Suc. Acaponeta'!$F$1,RAIZ!$A$2:$X$2,0),FALSE),0)</f>
        <v>0</v>
      </c>
      <c r="D81" s="4">
        <v>6</v>
      </c>
      <c r="E81" s="5"/>
      <c r="F81" s="5">
        <f t="shared" ref="F81:F85" si="15">IF(D81-C81&gt;=0,D81-C81,0)</f>
        <v>6</v>
      </c>
      <c r="G81" s="5"/>
      <c r="M81" s="86"/>
      <c r="N81" s="85"/>
    </row>
    <row r="82" spans="1:14" ht="18.75" customHeight="1" x14ac:dyDescent="0.35">
      <c r="A82" s="94" t="s">
        <v>58</v>
      </c>
      <c r="B82" s="112" t="s">
        <v>867</v>
      </c>
      <c r="C82" s="5">
        <f>+IFERROR(VLOOKUP($A82,RAIZ!$A$3:$X$1500,MATCH('Suc. Acaponeta'!$F$1,RAIZ!$A$2:$X$2,0),FALSE),0)</f>
        <v>2</v>
      </c>
      <c r="D82" s="4">
        <v>6</v>
      </c>
      <c r="E82" s="5"/>
      <c r="F82" s="5">
        <f t="shared" ref="F82" si="16">IF(D82-C82&gt;=0,D82-C82,0)</f>
        <v>4</v>
      </c>
      <c r="G82" s="5"/>
      <c r="M82" s="86"/>
      <c r="N82" s="85"/>
    </row>
    <row r="83" spans="1:14" ht="18.75" customHeight="1" x14ac:dyDescent="0.35">
      <c r="A83" s="94" t="s">
        <v>59</v>
      </c>
      <c r="B83" s="112" t="s">
        <v>798</v>
      </c>
      <c r="C83" s="5">
        <f>+IFERROR(VLOOKUP($A83,RAIZ!$A$3:$X$1500,MATCH('Suc. Acaponeta'!$F$1,RAIZ!$A$2:$X$2,0),FALSE),0)</f>
        <v>3</v>
      </c>
      <c r="D83" s="7">
        <v>2</v>
      </c>
      <c r="E83" s="5"/>
      <c r="F83" s="5">
        <f t="shared" si="15"/>
        <v>0</v>
      </c>
      <c r="G83" s="5"/>
      <c r="M83" s="86"/>
      <c r="N83" s="85"/>
    </row>
    <row r="84" spans="1:14" ht="18.75" customHeight="1" x14ac:dyDescent="0.35">
      <c r="A84" s="94" t="s">
        <v>60</v>
      </c>
      <c r="B84" s="112" t="s">
        <v>799</v>
      </c>
      <c r="C84" s="5">
        <f>+IFERROR(VLOOKUP($A84,RAIZ!$A$3:$X$1500,MATCH('Suc. Acaponeta'!$F$1,RAIZ!$A$2:$X$2,0),FALSE),0)</f>
        <v>1</v>
      </c>
      <c r="D84" s="7">
        <v>4</v>
      </c>
      <c r="E84" s="5"/>
      <c r="F84" s="5">
        <f t="shared" si="15"/>
        <v>3</v>
      </c>
      <c r="G84" s="5"/>
      <c r="M84" s="86"/>
      <c r="N84" s="85"/>
    </row>
    <row r="85" spans="1:14" ht="18.75" customHeight="1" x14ac:dyDescent="0.35">
      <c r="A85" s="94" t="s">
        <v>61</v>
      </c>
      <c r="B85" s="112" t="s">
        <v>800</v>
      </c>
      <c r="C85" s="5">
        <f>+IFERROR(VLOOKUP($A85,RAIZ!$A$3:$X$1500,MATCH('Suc. Acaponeta'!$F$1,RAIZ!$A$2:$X$2,0),FALSE),0)</f>
        <v>3</v>
      </c>
      <c r="D85" s="7">
        <v>8</v>
      </c>
      <c r="E85" s="5"/>
      <c r="F85" s="5">
        <f t="shared" si="15"/>
        <v>5</v>
      </c>
      <c r="G85" s="5"/>
      <c r="M85" s="86"/>
      <c r="N85" s="85"/>
    </row>
    <row r="86" spans="1:14" ht="18.75" customHeight="1" x14ac:dyDescent="0.35">
      <c r="A86" s="94" t="s">
        <v>63</v>
      </c>
      <c r="B86" s="112" t="s">
        <v>801</v>
      </c>
      <c r="C86" s="5">
        <f>+IFERROR(VLOOKUP($A86,RAIZ!$A$3:$X$1500,MATCH('Suc. Acaponeta'!$F$1,RAIZ!$A$2:$X$2,0),FALSE),0)</f>
        <v>1</v>
      </c>
      <c r="D86" s="7">
        <v>5</v>
      </c>
      <c r="E86" s="5"/>
      <c r="F86" s="5">
        <f t="shared" ref="F86:F90" si="17">IF(D86-C86&gt;=0,D86-C86,0)</f>
        <v>4</v>
      </c>
      <c r="G86" s="5"/>
    </row>
    <row r="87" spans="1:14" ht="18.75" customHeight="1" x14ac:dyDescent="0.35">
      <c r="A87" s="94"/>
      <c r="B87" s="112" t="s">
        <v>1091</v>
      </c>
      <c r="C87" s="5">
        <f>+IFERROR(VLOOKUP($A87,RAIZ!$A$3:$X$1500,MATCH('Suc. Acaponeta'!$F$1,RAIZ!$A$2:$X$2,0),FALSE),0)</f>
        <v>0</v>
      </c>
      <c r="D87" s="20"/>
      <c r="E87" s="5"/>
      <c r="F87" s="5">
        <f>IF(D87-C87&gt;=0,D87-C87,0)</f>
        <v>0</v>
      </c>
      <c r="G87" s="5"/>
    </row>
    <row r="88" spans="1:14" ht="18.75" customHeight="1" x14ac:dyDescent="0.35">
      <c r="A88" s="94"/>
      <c r="B88" s="112" t="s">
        <v>1094</v>
      </c>
      <c r="C88" s="5">
        <f>+IFERROR(VLOOKUP($A88,RAIZ!$A$3:$X$1500,MATCH('Suc. Acaponeta'!$F$1,RAIZ!$A$2:$X$2,0),FALSE),0)</f>
        <v>0</v>
      </c>
      <c r="D88" s="7"/>
      <c r="E88" s="5"/>
      <c r="F88" s="5">
        <f t="shared" si="17"/>
        <v>0</v>
      </c>
      <c r="G88" s="5"/>
      <c r="M88" s="86"/>
      <c r="N88" s="85"/>
    </row>
    <row r="89" spans="1:14" ht="18.75" customHeight="1" x14ac:dyDescent="0.35">
      <c r="A89" s="94"/>
      <c r="B89" s="112" t="s">
        <v>1095</v>
      </c>
      <c r="C89" s="5">
        <f>+IFERROR(VLOOKUP($A89,RAIZ!$A$3:$X$1500,MATCH('Suc. Acaponeta'!$F$1,RAIZ!$A$2:$X$2,0),FALSE),0)</f>
        <v>0</v>
      </c>
      <c r="D89" s="7"/>
      <c r="E89" s="5"/>
      <c r="F89" s="5">
        <f t="shared" si="17"/>
        <v>0</v>
      </c>
      <c r="G89" s="5"/>
      <c r="M89" s="86"/>
      <c r="N89" s="85"/>
    </row>
    <row r="90" spans="1:14" ht="18.75" customHeight="1" thickBot="1" x14ac:dyDescent="0.4">
      <c r="A90" s="94"/>
      <c r="B90" s="112" t="s">
        <v>1093</v>
      </c>
      <c r="C90" s="5">
        <f>+IFERROR(VLOOKUP($A90,RAIZ!$A$3:$X$1500,MATCH('Suc. Acaponeta'!$F$1,RAIZ!$A$2:$X$2,0),FALSE),0)</f>
        <v>0</v>
      </c>
      <c r="D90" s="7"/>
      <c r="E90" s="5"/>
      <c r="F90" s="5">
        <f t="shared" si="17"/>
        <v>0</v>
      </c>
      <c r="G90" s="5"/>
    </row>
    <row r="91" spans="1:14" ht="18.75" customHeight="1" thickBot="1" x14ac:dyDescent="0.4">
      <c r="A91" s="105" t="s">
        <v>55</v>
      </c>
      <c r="B91" s="111"/>
      <c r="C91" s="80">
        <f>SUM(C81:C90)</f>
        <v>10</v>
      </c>
      <c r="D91" s="54">
        <f>SUM(D81:D90)</f>
        <v>31</v>
      </c>
      <c r="E91" s="54">
        <f>SUM(E81:E90)</f>
        <v>0</v>
      </c>
      <c r="F91" s="69">
        <f>SUM(F81:F90)</f>
        <v>22</v>
      </c>
      <c r="G91" s="54">
        <f>SUM(G81:G90)</f>
        <v>0</v>
      </c>
    </row>
    <row r="92" spans="1:14" ht="18.75" customHeight="1" x14ac:dyDescent="0.35">
      <c r="A92" s="106" t="s">
        <v>64</v>
      </c>
      <c r="B92" s="111"/>
      <c r="C92" s="70"/>
      <c r="D92" s="30"/>
      <c r="E92" s="31"/>
      <c r="F92" s="31"/>
      <c r="G92" s="31"/>
    </row>
    <row r="93" spans="1:14" ht="18.75" customHeight="1" x14ac:dyDescent="0.35">
      <c r="A93" s="94" t="s">
        <v>65</v>
      </c>
      <c r="B93" s="112" t="s">
        <v>802</v>
      </c>
      <c r="C93" s="5">
        <f>+IFERROR(VLOOKUP($A93,RAIZ!$A$3:$X$1500,MATCH('Suc. Acaponeta'!$F$1,RAIZ!$A$2:$X$2,0),FALSE),0)</f>
        <v>2</v>
      </c>
      <c r="D93" s="4">
        <v>2</v>
      </c>
      <c r="E93" s="5"/>
      <c r="F93" s="5">
        <f t="shared" ref="F93:F104" si="18">IF(D93-C93&gt;=0,D93-C93,0)</f>
        <v>0</v>
      </c>
      <c r="G93" s="5"/>
    </row>
    <row r="94" spans="1:14" ht="18.75" customHeight="1" x14ac:dyDescent="0.35">
      <c r="A94" s="94" t="s">
        <v>66</v>
      </c>
      <c r="B94" s="112" t="s">
        <v>803</v>
      </c>
      <c r="C94" s="5">
        <f>+IFERROR(VLOOKUP($A94,RAIZ!$A$3:$X$1500,MATCH('Suc. Acaponeta'!$F$1,RAIZ!$A$2:$X$2,0),FALSE),0)</f>
        <v>2</v>
      </c>
      <c r="D94" s="7">
        <v>2</v>
      </c>
      <c r="E94" s="5"/>
      <c r="F94" s="5">
        <f t="shared" si="18"/>
        <v>0</v>
      </c>
      <c r="G94" s="5"/>
    </row>
    <row r="95" spans="1:14" ht="18.75" customHeight="1" x14ac:dyDescent="0.35">
      <c r="A95" s="94" t="s">
        <v>68</v>
      </c>
      <c r="B95" s="112" t="s">
        <v>805</v>
      </c>
      <c r="C95" s="5">
        <f>+IFERROR(VLOOKUP($A95,RAIZ!$A$3:$X$1500,MATCH('Suc. Acaponeta'!$F$1,RAIZ!$A$2:$X$2,0),FALSE),0)</f>
        <v>0</v>
      </c>
      <c r="D95" s="7">
        <v>2</v>
      </c>
      <c r="E95" s="5"/>
      <c r="F95" s="5">
        <f t="shared" si="18"/>
        <v>2</v>
      </c>
      <c r="G95" s="5"/>
    </row>
    <row r="96" spans="1:14" ht="18.75" customHeight="1" x14ac:dyDescent="0.35">
      <c r="A96" s="94" t="s">
        <v>69</v>
      </c>
      <c r="B96" s="112" t="s">
        <v>806</v>
      </c>
      <c r="C96" s="5">
        <f>+IFERROR(VLOOKUP($A96,RAIZ!$A$3:$X$1500,MATCH('Suc. Acaponeta'!$F$1,RAIZ!$A$2:$X$2,0),FALSE),0)</f>
        <v>7</v>
      </c>
      <c r="D96" s="7">
        <v>10</v>
      </c>
      <c r="E96" s="5"/>
      <c r="F96" s="5">
        <f t="shared" si="18"/>
        <v>3</v>
      </c>
      <c r="G96" s="5"/>
    </row>
    <row r="97" spans="1:7" ht="18.75" customHeight="1" x14ac:dyDescent="0.35">
      <c r="A97" s="94" t="s">
        <v>70</v>
      </c>
      <c r="B97" s="112" t="s">
        <v>807</v>
      </c>
      <c r="C97" s="5">
        <f>+IFERROR(VLOOKUP($A97,RAIZ!$A$3:$X$1500,MATCH('Suc. Acaponeta'!$F$1,RAIZ!$A$2:$X$2,0),FALSE),0)</f>
        <v>6</v>
      </c>
      <c r="D97" s="7">
        <v>10</v>
      </c>
      <c r="E97" s="5"/>
      <c r="F97" s="5">
        <f t="shared" si="18"/>
        <v>4</v>
      </c>
      <c r="G97" s="5"/>
    </row>
    <row r="98" spans="1:7" ht="18.75" customHeight="1" x14ac:dyDescent="0.35">
      <c r="A98" s="94" t="s">
        <v>857</v>
      </c>
      <c r="B98" s="112" t="s">
        <v>808</v>
      </c>
      <c r="C98" s="5">
        <f>+IFERROR(VLOOKUP($A98,RAIZ!$A$3:$X$1500,MATCH('Suc. Acaponeta'!$F$1,RAIZ!$A$2:$X$2,0),FALSE),0)</f>
        <v>0</v>
      </c>
      <c r="D98" s="7">
        <v>5</v>
      </c>
      <c r="E98" s="201">
        <v>5</v>
      </c>
      <c r="F98" s="5">
        <f t="shared" si="18"/>
        <v>5</v>
      </c>
      <c r="G98" s="5"/>
    </row>
    <row r="99" spans="1:7" ht="18.75" customHeight="1" x14ac:dyDescent="0.35">
      <c r="A99" s="94" t="s">
        <v>835</v>
      </c>
      <c r="B99" s="112" t="s">
        <v>836</v>
      </c>
      <c r="C99" s="5">
        <f>+IFERROR(VLOOKUP($A99,RAIZ!$A$3:$X$1500,MATCH('Suc. Acaponeta'!$F$1,RAIZ!$A$2:$X$2,0),FALSE),0)</f>
        <v>3</v>
      </c>
      <c r="D99" s="7">
        <v>3</v>
      </c>
      <c r="E99" s="5"/>
      <c r="F99" s="5">
        <f t="shared" ref="F99:F103" si="19">IF(D99-C99&gt;=0,D99-C99,0)</f>
        <v>0</v>
      </c>
      <c r="G99" s="5"/>
    </row>
    <row r="100" spans="1:7" ht="18.75" customHeight="1" x14ac:dyDescent="0.35">
      <c r="A100" s="94" t="s">
        <v>72</v>
      </c>
      <c r="B100" s="112" t="s">
        <v>834</v>
      </c>
      <c r="C100" s="5">
        <f>+IFERROR(VLOOKUP($A100,RAIZ!$A$3:$X$1500,MATCH('Suc. Acaponeta'!$F$1,RAIZ!$A$2:$X$2,0),FALSE),0)</f>
        <v>21</v>
      </c>
      <c r="D100" s="7">
        <v>25</v>
      </c>
      <c r="E100" s="5"/>
      <c r="F100" s="5">
        <f t="shared" si="19"/>
        <v>4</v>
      </c>
      <c r="G100" s="5"/>
    </row>
    <row r="101" spans="1:7" ht="18.75" customHeight="1" x14ac:dyDescent="0.35">
      <c r="A101" s="94" t="s">
        <v>73</v>
      </c>
      <c r="B101" s="112" t="s">
        <v>809</v>
      </c>
      <c r="C101" s="5">
        <f>+IFERROR(VLOOKUP($A101,RAIZ!$A$3:$X$1500,MATCH('Suc. Acaponeta'!$F$1,RAIZ!$A$2:$X$2,0),FALSE),0)</f>
        <v>1</v>
      </c>
      <c r="D101" s="7">
        <v>2</v>
      </c>
      <c r="E101" s="5"/>
      <c r="F101" s="5">
        <f t="shared" si="19"/>
        <v>1</v>
      </c>
      <c r="G101" s="5"/>
    </row>
    <row r="102" spans="1:7" ht="18.75" customHeight="1" x14ac:dyDescent="0.35">
      <c r="A102" s="94" t="s">
        <v>74</v>
      </c>
      <c r="B102" s="112" t="s">
        <v>810</v>
      </c>
      <c r="C102" s="5">
        <f>+IFERROR(VLOOKUP($A102,RAIZ!$A$3:$X$1500,MATCH('Suc. Acaponeta'!$F$1,RAIZ!$A$2:$X$2,0),FALSE),0)</f>
        <v>2</v>
      </c>
      <c r="D102" s="7">
        <v>3</v>
      </c>
      <c r="E102" s="5"/>
      <c r="F102" s="5">
        <f t="shared" si="19"/>
        <v>1</v>
      </c>
      <c r="G102" s="5"/>
    </row>
    <row r="103" spans="1:7" ht="18.75" customHeight="1" x14ac:dyDescent="0.35">
      <c r="A103" s="94" t="s">
        <v>75</v>
      </c>
      <c r="B103" s="112" t="s">
        <v>811</v>
      </c>
      <c r="C103" s="5">
        <f>+IFERROR(VLOOKUP($A103,RAIZ!$A$3:$X$1500,MATCH('Suc. Acaponeta'!$F$1,RAIZ!$A$2:$X$2,0),FALSE),0)</f>
        <v>2</v>
      </c>
      <c r="D103" s="20">
        <v>6</v>
      </c>
      <c r="E103" s="5"/>
      <c r="F103" s="5">
        <f t="shared" si="19"/>
        <v>4</v>
      </c>
      <c r="G103" s="5"/>
    </row>
    <row r="104" spans="1:7" ht="18.75" customHeight="1" thickBot="1" x14ac:dyDescent="0.4">
      <c r="A104" s="94"/>
      <c r="B104" s="112" t="s">
        <v>1096</v>
      </c>
      <c r="C104" s="5">
        <f>+IFERROR(VLOOKUP($A104,RAIZ!$A$3:$X$1500,MATCH('Suc. Acaponeta'!$F$1,RAIZ!$A$2:$X$2,0),FALSE),0)</f>
        <v>0</v>
      </c>
      <c r="D104" s="7"/>
      <c r="E104" s="5"/>
      <c r="F104" s="5">
        <f t="shared" si="18"/>
        <v>0</v>
      </c>
      <c r="G104" s="5"/>
    </row>
    <row r="105" spans="1:7" ht="18.75" customHeight="1" thickBot="1" x14ac:dyDescent="0.4">
      <c r="A105" s="107" t="s">
        <v>55</v>
      </c>
      <c r="B105" s="111"/>
      <c r="C105" s="81">
        <f>SUM(C93:C104)</f>
        <v>46</v>
      </c>
      <c r="D105" s="56">
        <f>SUM(D93:D104)</f>
        <v>70</v>
      </c>
      <c r="E105" s="56">
        <f>SUM(E93:E104)</f>
        <v>5</v>
      </c>
      <c r="F105" s="71">
        <f>SUM(F93:F104)</f>
        <v>24</v>
      </c>
      <c r="G105" s="56">
        <f>SUM(G93:G104)</f>
        <v>0</v>
      </c>
    </row>
    <row r="106" spans="1:7" ht="18.75" customHeight="1" x14ac:dyDescent="0.35">
      <c r="A106" s="108" t="s">
        <v>76</v>
      </c>
      <c r="B106" s="111"/>
      <c r="C106" s="72"/>
      <c r="D106" s="34"/>
      <c r="E106" s="35"/>
      <c r="F106" s="35"/>
      <c r="G106" s="35"/>
    </row>
    <row r="107" spans="1:7" ht="18.75" customHeight="1" x14ac:dyDescent="0.35">
      <c r="A107" s="94" t="s">
        <v>77</v>
      </c>
      <c r="B107" s="112" t="s">
        <v>812</v>
      </c>
      <c r="C107" s="5">
        <f>+IFERROR(VLOOKUP($A107,RAIZ!$A$3:$X$1500,MATCH('Suc. Acaponeta'!$F$1,RAIZ!$A$2:$X$2,0),FALSE),0)</f>
        <v>0</v>
      </c>
      <c r="D107" s="7">
        <v>3</v>
      </c>
      <c r="E107" s="5"/>
      <c r="F107" s="5">
        <f t="shared" ref="F107:F112" si="20">IF(D107-C107&gt;=0,D107-C107,0)</f>
        <v>3</v>
      </c>
      <c r="G107" s="5"/>
    </row>
    <row r="108" spans="1:7" ht="18.75" customHeight="1" x14ac:dyDescent="0.35">
      <c r="A108" s="94" t="s">
        <v>621</v>
      </c>
      <c r="B108" s="112" t="s">
        <v>813</v>
      </c>
      <c r="C108" s="5">
        <f>+IFERROR(VLOOKUP($A108,RAIZ!$A$3:$X$1500,MATCH('Suc. Acaponeta'!$F$1,RAIZ!$A$2:$X$2,0),FALSE),0)</f>
        <v>4</v>
      </c>
      <c r="D108" s="7">
        <v>10</v>
      </c>
      <c r="E108" s="5"/>
      <c r="F108" s="5">
        <f t="shared" si="20"/>
        <v>6</v>
      </c>
      <c r="G108" s="5"/>
    </row>
    <row r="109" spans="1:7" ht="18.75" customHeight="1" x14ac:dyDescent="0.35">
      <c r="A109" s="94" t="s">
        <v>80</v>
      </c>
      <c r="B109" s="112" t="s">
        <v>815</v>
      </c>
      <c r="C109" s="5">
        <f>+IFERROR(VLOOKUP($A109,RAIZ!$A$3:$X$1500,MATCH('Suc. Acaponeta'!$F$1,RAIZ!$A$2:$X$2,0),FALSE),0)</f>
        <v>10</v>
      </c>
      <c r="D109" s="7">
        <v>10</v>
      </c>
      <c r="E109" s="5"/>
      <c r="F109" s="5">
        <f t="shared" si="20"/>
        <v>0</v>
      </c>
      <c r="G109" s="5"/>
    </row>
    <row r="110" spans="1:7" ht="18.75" customHeight="1" x14ac:dyDescent="0.35">
      <c r="A110" s="94" t="s">
        <v>81</v>
      </c>
      <c r="B110" s="112" t="s">
        <v>816</v>
      </c>
      <c r="C110" s="5">
        <f>+IFERROR(VLOOKUP($A110,RAIZ!$A$3:$X$1500,MATCH('Suc. Acaponeta'!$F$1,RAIZ!$A$2:$X$2,0),FALSE),0)</f>
        <v>11</v>
      </c>
      <c r="D110" s="7">
        <v>10</v>
      </c>
      <c r="E110" s="5"/>
      <c r="F110" s="5">
        <f t="shared" si="20"/>
        <v>0</v>
      </c>
      <c r="G110" s="5"/>
    </row>
    <row r="111" spans="1:7" ht="18.75" customHeight="1" x14ac:dyDescent="0.35">
      <c r="A111" s="95" t="s">
        <v>83</v>
      </c>
      <c r="B111" s="112" t="s">
        <v>818</v>
      </c>
      <c r="C111" s="5">
        <f>+IFERROR(VLOOKUP($A111,RAIZ!$A$3:$X$1500,MATCH('Suc. Acaponeta'!$F$1,RAIZ!$A$2:$X$2,0),FALSE),0)</f>
        <v>0</v>
      </c>
      <c r="D111" s="7">
        <v>4</v>
      </c>
      <c r="E111" s="5"/>
      <c r="F111" s="5">
        <f t="shared" si="20"/>
        <v>4</v>
      </c>
      <c r="G111" s="5"/>
    </row>
    <row r="112" spans="1:7" ht="18.75" customHeight="1" thickBot="1" x14ac:dyDescent="0.4">
      <c r="A112" s="95"/>
      <c r="B112" s="112"/>
      <c r="C112" s="5">
        <f>+IFERROR(VLOOKUP($A112,RAIZ!$A$3:$X$1500,MATCH('Suc. Acaponeta'!$F$1,RAIZ!$A$2:$X$2,0),FALSE),0)</f>
        <v>0</v>
      </c>
      <c r="D112" s="7"/>
      <c r="E112" s="5"/>
      <c r="F112" s="5">
        <f t="shared" si="20"/>
        <v>0</v>
      </c>
      <c r="G112" s="5"/>
    </row>
    <row r="113" spans="1:7" ht="18.75" customHeight="1" thickBot="1" x14ac:dyDescent="0.4">
      <c r="A113" s="109" t="s">
        <v>55</v>
      </c>
      <c r="B113" s="111"/>
      <c r="C113" s="82">
        <f>SUM(C107:C112,C114:C116)</f>
        <v>36</v>
      </c>
      <c r="D113" s="58">
        <f>SUM(D107:D112,D114:D116)</f>
        <v>52</v>
      </c>
      <c r="E113" s="58">
        <f>SUM(E107:E112,E114:E116)</f>
        <v>0</v>
      </c>
      <c r="F113" s="73">
        <f>SUM(F107:F112,F114:F116)</f>
        <v>17</v>
      </c>
      <c r="G113" s="58">
        <f>SUM(G107:G112,G114:G116)</f>
        <v>0</v>
      </c>
    </row>
    <row r="114" spans="1:7" ht="18.75" customHeight="1" x14ac:dyDescent="0.35">
      <c r="A114" s="93" t="s">
        <v>84</v>
      </c>
      <c r="B114" s="112" t="s">
        <v>819</v>
      </c>
      <c r="C114" s="5">
        <f>+IFERROR(VLOOKUP($A114,RAIZ!$A$3:$X$1500,MATCH('Suc. Acaponeta'!$F$1,RAIZ!$A$2:$X$2,0),FALSE),0)</f>
        <v>4</v>
      </c>
      <c r="D114" s="4">
        <v>5</v>
      </c>
      <c r="E114" s="5"/>
      <c r="F114" s="5">
        <f t="shared" ref="F114" si="21">IF(D114-C114&gt;=0,D114-C114,0)</f>
        <v>1</v>
      </c>
      <c r="G114" s="5"/>
    </row>
    <row r="115" spans="1:7" ht="18.75" customHeight="1" x14ac:dyDescent="0.35">
      <c r="A115" s="95" t="s">
        <v>85</v>
      </c>
      <c r="B115" s="112" t="s">
        <v>820</v>
      </c>
      <c r="C115" s="5">
        <f>+IFERROR(VLOOKUP($A115,RAIZ!$A$3:$X$1500,MATCH('Suc. Acaponeta'!$F$1,RAIZ!$A$2:$X$2,0),FALSE),0)</f>
        <v>3</v>
      </c>
      <c r="D115" s="20">
        <v>5</v>
      </c>
      <c r="E115" s="5"/>
      <c r="F115" s="5">
        <f t="shared" ref="F115:F141" si="22">IF(D115-C115&gt;=0,D115-C115,0)</f>
        <v>2</v>
      </c>
      <c r="G115" s="5"/>
    </row>
    <row r="116" spans="1:7" ht="18.75" customHeight="1" thickBot="1" x14ac:dyDescent="0.4">
      <c r="A116" s="95" t="s">
        <v>881</v>
      </c>
      <c r="B116" s="112" t="s">
        <v>882</v>
      </c>
      <c r="C116" s="5">
        <f>+IFERROR(VLOOKUP($A116,RAIZ!$A$3:$X$1500,MATCH('Suc. Acaponeta'!$F$1,RAIZ!$A$2:$X$2,0),FALSE),0)</f>
        <v>4</v>
      </c>
      <c r="D116" s="20">
        <v>5</v>
      </c>
      <c r="E116" s="5"/>
      <c r="F116" s="5">
        <f t="shared" si="22"/>
        <v>1</v>
      </c>
      <c r="G116" s="5"/>
    </row>
    <row r="117" spans="1:7" ht="18.75" customHeight="1" thickBot="1" x14ac:dyDescent="0.4">
      <c r="A117" s="110" t="s">
        <v>86</v>
      </c>
      <c r="B117" s="111"/>
      <c r="C117" s="83">
        <f>C79+C91+C105+C113</f>
        <v>212</v>
      </c>
      <c r="D117" s="60">
        <f>D79+D91+D105+D113</f>
        <v>314</v>
      </c>
      <c r="E117" s="60">
        <f>E79+E91+E105+E113</f>
        <v>5</v>
      </c>
      <c r="F117" s="74">
        <f>F79+F91+F105+F113</f>
        <v>111</v>
      </c>
      <c r="G117" s="60">
        <f>G79+G91+G105+G113</f>
        <v>0</v>
      </c>
    </row>
    <row r="118" spans="1:7" ht="18.75" customHeight="1" x14ac:dyDescent="0.35">
      <c r="A118" s="95" t="s">
        <v>975</v>
      </c>
      <c r="B118" s="112" t="s">
        <v>976</v>
      </c>
      <c r="C118" s="5">
        <f>+IFERROR(VLOOKUP($A118,RAIZ!$A$3:$X$1500,MATCH('Suc. Acaponeta'!$F$1,RAIZ!$A$2:$X$2,0),FALSE),0)</f>
        <v>11</v>
      </c>
      <c r="D118" s="20">
        <v>4</v>
      </c>
      <c r="E118" s="5"/>
      <c r="F118" s="5">
        <f>IF(D118-C118&gt;=0,D118-C118,0)</f>
        <v>0</v>
      </c>
      <c r="G118" s="5"/>
    </row>
    <row r="119" spans="1:7" ht="18.75" customHeight="1" x14ac:dyDescent="0.35">
      <c r="A119" s="95" t="s">
        <v>974</v>
      </c>
      <c r="B119" s="112" t="s">
        <v>977</v>
      </c>
      <c r="C119" s="5">
        <f>+IFERROR(VLOOKUP($A119,RAIZ!$A$3:$X$1500,MATCH('Suc. Acaponeta'!$F$1,RAIZ!$A$2:$X$2,0),FALSE),0)</f>
        <v>11</v>
      </c>
      <c r="D119" s="20">
        <v>4</v>
      </c>
      <c r="E119" s="5"/>
      <c r="F119" s="5">
        <f t="shared" si="22"/>
        <v>0</v>
      </c>
      <c r="G119" s="5"/>
    </row>
    <row r="120" spans="1:7" ht="18.75" customHeight="1" thickBot="1" x14ac:dyDescent="0.4">
      <c r="A120" s="95" t="s">
        <v>1077</v>
      </c>
      <c r="B120" s="112" t="s">
        <v>817</v>
      </c>
      <c r="C120" s="5">
        <f>+IFERROR(VLOOKUP($A120,RAIZ!$A$3:$X$1500,MATCH('Suc. Acaponeta'!$F$1,RAIZ!$A$2:$X$2,0),FALSE),0)</f>
        <v>0</v>
      </c>
      <c r="D120" s="20"/>
      <c r="E120" s="5"/>
      <c r="F120" s="5">
        <f t="shared" si="22"/>
        <v>0</v>
      </c>
      <c r="G120" s="5"/>
    </row>
    <row r="121" spans="1:7" ht="18.75" customHeight="1" thickBot="1" x14ac:dyDescent="0.4">
      <c r="A121" s="95" t="s">
        <v>1076</v>
      </c>
      <c r="B121" s="194" t="s">
        <v>1121</v>
      </c>
      <c r="C121" s="5">
        <f>+IFERROR(VLOOKUP($A121,RAIZ!$A$3:$X$1500,MATCH('Suc. Acaponeta'!$F$1,RAIZ!$A$2:$X$2,0),FALSE),0)</f>
        <v>1</v>
      </c>
      <c r="D121" s="20">
        <v>0</v>
      </c>
      <c r="E121" s="5"/>
      <c r="F121" s="5">
        <f t="shared" si="22"/>
        <v>0</v>
      </c>
      <c r="G121" s="5"/>
    </row>
    <row r="122" spans="1:7" ht="18.75" customHeight="1" thickBot="1" x14ac:dyDescent="0.4">
      <c r="A122" s="95" t="s">
        <v>1014</v>
      </c>
      <c r="B122" s="194" t="s">
        <v>1010</v>
      </c>
      <c r="C122" s="5">
        <f>+IFERROR(VLOOKUP($A122,RAIZ!$A$3:$X$1500,MATCH('Suc. Acaponeta'!$F$1,RAIZ!$A$2:$X$2,0),FALSE),0)</f>
        <v>10</v>
      </c>
      <c r="D122" s="20">
        <v>10</v>
      </c>
      <c r="E122" s="5"/>
      <c r="F122" s="5">
        <f t="shared" si="22"/>
        <v>0</v>
      </c>
      <c r="G122" s="5"/>
    </row>
    <row r="123" spans="1:7" ht="18.75" customHeight="1" thickBot="1" x14ac:dyDescent="0.4">
      <c r="A123" s="95" t="s">
        <v>1015</v>
      </c>
      <c r="B123" s="194" t="s">
        <v>1011</v>
      </c>
      <c r="C123" s="147">
        <f>+IFERROR(VLOOKUP($A123,RAIZ!$A$3:$X$1500,MATCH('Suc. Acaponeta'!$F$1,RAIZ!$A$2:$X$2,0),FALSE),0)</f>
        <v>5</v>
      </c>
      <c r="D123" s="20">
        <v>5</v>
      </c>
      <c r="E123" s="5"/>
      <c r="F123" s="5">
        <f t="shared" si="22"/>
        <v>0</v>
      </c>
      <c r="G123" s="5"/>
    </row>
    <row r="124" spans="1:7" ht="18.75" customHeight="1" thickBot="1" x14ac:dyDescent="0.4">
      <c r="A124" s="95" t="s">
        <v>1016</v>
      </c>
      <c r="B124" s="194" t="s">
        <v>1012</v>
      </c>
      <c r="C124" s="147">
        <f>+IFERROR(VLOOKUP($A124,RAIZ!$A$3:$X$1500,MATCH('Suc. Acaponeta'!$F$1,RAIZ!$A$2:$X$2,0),FALSE),0)</f>
        <v>5</v>
      </c>
      <c r="D124" s="20">
        <v>5</v>
      </c>
      <c r="E124" s="5"/>
      <c r="F124" s="5">
        <f t="shared" si="22"/>
        <v>0</v>
      </c>
      <c r="G124" s="5"/>
    </row>
    <row r="125" spans="1:7" ht="18.75" customHeight="1" thickBot="1" x14ac:dyDescent="0.4">
      <c r="A125" s="95" t="s">
        <v>1017</v>
      </c>
      <c r="B125" s="194" t="s">
        <v>1013</v>
      </c>
      <c r="C125" s="147">
        <f>+IFERROR(VLOOKUP($A125,RAIZ!$A$3:$X$1500,MATCH('Suc. Acaponeta'!$F$1,RAIZ!$A$2:$X$2,0),FALSE),0)</f>
        <v>10</v>
      </c>
      <c r="D125" s="18">
        <v>10</v>
      </c>
      <c r="E125" s="5"/>
      <c r="F125" s="5">
        <f t="shared" si="22"/>
        <v>0</v>
      </c>
      <c r="G125" s="5"/>
    </row>
    <row r="126" spans="1:7" ht="18.75" customHeight="1" thickBot="1" x14ac:dyDescent="0.4">
      <c r="A126" s="95" t="s">
        <v>1125</v>
      </c>
      <c r="B126" s="194" t="s">
        <v>1127</v>
      </c>
      <c r="C126" s="147">
        <f>+IFERROR(VLOOKUP($A126,RAIZ!$A$3:$X$1500,MATCH('Suc. Acaponeta'!$F$1,RAIZ!$A$2:$X$2,0),FALSE),0)</f>
        <v>0</v>
      </c>
      <c r="D126" s="20"/>
      <c r="E126" s="5"/>
      <c r="F126" s="5">
        <f t="shared" si="22"/>
        <v>0</v>
      </c>
      <c r="G126" s="5"/>
    </row>
    <row r="127" spans="1:7" ht="18.75" customHeight="1" thickBot="1" x14ac:dyDescent="0.4">
      <c r="A127" s="95" t="s">
        <v>1126</v>
      </c>
      <c r="B127" s="194" t="s">
        <v>1128</v>
      </c>
      <c r="C127" s="147">
        <f>+IFERROR(VLOOKUP($A127,RAIZ!$A$3:$X$1500,MATCH('Suc. Acaponeta'!$F$1,RAIZ!$A$2:$X$2,0),FALSE),0)</f>
        <v>0</v>
      </c>
      <c r="D127" s="18"/>
      <c r="E127" s="184"/>
      <c r="F127" s="184">
        <f t="shared" si="22"/>
        <v>0</v>
      </c>
      <c r="G127" s="181"/>
    </row>
    <row r="128" spans="1:7" ht="18.75" customHeight="1" thickBot="1" x14ac:dyDescent="0.4">
      <c r="A128" s="95" t="s">
        <v>568</v>
      </c>
      <c r="B128" s="194" t="s">
        <v>1131</v>
      </c>
      <c r="C128" s="186">
        <f>+IFERROR(VLOOKUP($A128,RAIZ!$A$3:$X$1500,MATCH('Suc. Acaponeta'!$F$1,RAIZ!$A$2:$X$2,0),FALSE),0)</f>
        <v>0</v>
      </c>
      <c r="D128" s="18">
        <v>3</v>
      </c>
      <c r="E128" s="185"/>
      <c r="F128" s="185">
        <f t="shared" si="22"/>
        <v>3</v>
      </c>
      <c r="G128" s="185"/>
    </row>
    <row r="129" spans="1:7" ht="18.75" customHeight="1" thickBot="1" x14ac:dyDescent="0.4">
      <c r="A129" s="95" t="s">
        <v>565</v>
      </c>
      <c r="B129" s="194" t="s">
        <v>1142</v>
      </c>
      <c r="C129" s="187">
        <f>+IFERROR(VLOOKUP($A129,RAIZ!$A$3:$X$1500,MATCH('Suc. Acaponeta'!$F$1,RAIZ!$A$2:$X$2,0),FALSE),0)</f>
        <v>0</v>
      </c>
      <c r="D129" s="18">
        <v>2</v>
      </c>
      <c r="E129" s="185"/>
      <c r="F129" s="185">
        <f t="shared" si="22"/>
        <v>2</v>
      </c>
      <c r="G129" s="185"/>
    </row>
    <row r="130" spans="1:7" ht="18.75" customHeight="1" thickBot="1" x14ac:dyDescent="0.4">
      <c r="A130" s="95" t="s">
        <v>912</v>
      </c>
      <c r="B130" s="194" t="s">
        <v>1136</v>
      </c>
      <c r="C130" s="187">
        <f>+IFERROR(VLOOKUP($A130,RAIZ!$A$3:$X$1500,MATCH('Suc. Acaponeta'!$F$1,RAIZ!$A$2:$X$2,0),FALSE),0)</f>
        <v>1</v>
      </c>
      <c r="D130" s="18">
        <v>2</v>
      </c>
      <c r="E130" s="185"/>
      <c r="F130" s="185">
        <f t="shared" si="22"/>
        <v>1</v>
      </c>
      <c r="G130" s="185"/>
    </row>
    <row r="131" spans="1:7" ht="18.75" customHeight="1" thickBot="1" x14ac:dyDescent="0.4">
      <c r="A131" s="95" t="s">
        <v>557</v>
      </c>
      <c r="B131" s="194" t="s">
        <v>1137</v>
      </c>
      <c r="C131" s="187">
        <f>+IFERROR(VLOOKUP($A131,RAIZ!$A$3:$X$1500,MATCH('Suc. Acaponeta'!$F$1,RAIZ!$A$2:$X$2,0),FALSE),0)</f>
        <v>0</v>
      </c>
      <c r="D131" s="18">
        <v>2</v>
      </c>
      <c r="E131" s="185"/>
      <c r="F131" s="185">
        <f t="shared" si="22"/>
        <v>2</v>
      </c>
      <c r="G131" s="185"/>
    </row>
    <row r="132" spans="1:7" ht="18.75" customHeight="1" thickBot="1" x14ac:dyDescent="0.4">
      <c r="A132" s="95" t="s">
        <v>573</v>
      </c>
      <c r="B132" s="194" t="s">
        <v>1138</v>
      </c>
      <c r="C132" s="187">
        <f>+IFERROR(VLOOKUP($A132,RAIZ!$A$3:$X$1500,MATCH('Suc. Acaponeta'!$F$1,RAIZ!$A$2:$X$2,0),FALSE),0)</f>
        <v>1</v>
      </c>
      <c r="D132" s="18">
        <v>1</v>
      </c>
      <c r="E132" s="185"/>
      <c r="F132" s="185">
        <f t="shared" si="22"/>
        <v>0</v>
      </c>
      <c r="G132" s="185"/>
    </row>
    <row r="133" spans="1:7" ht="18.75" customHeight="1" thickBot="1" x14ac:dyDescent="0.4">
      <c r="A133" s="95" t="s">
        <v>421</v>
      </c>
      <c r="B133" s="194" t="s">
        <v>1140</v>
      </c>
      <c r="C133" s="187">
        <f>+IFERROR(VLOOKUP($A133,RAIZ!$A$3:$X$1500,MATCH('Suc. Acaponeta'!$F$1,RAIZ!$A$2:$X$2,0),FALSE),0)</f>
        <v>2</v>
      </c>
      <c r="D133" s="18">
        <v>2</v>
      </c>
      <c r="E133" s="185"/>
      <c r="F133" s="185">
        <f t="shared" si="22"/>
        <v>0</v>
      </c>
      <c r="G133" s="185"/>
    </row>
    <row r="134" spans="1:7" ht="18.75" customHeight="1" thickBot="1" x14ac:dyDescent="0.4">
      <c r="A134" s="95" t="s">
        <v>249</v>
      </c>
      <c r="B134" s="194" t="s">
        <v>1134</v>
      </c>
      <c r="C134" s="187">
        <f>+IFERROR(VLOOKUP($A134,RAIZ!$A$3:$X$1500,MATCH('Suc. Acaponeta'!$F$1,RAIZ!$A$2:$X$2,0),FALSE),0)</f>
        <v>1</v>
      </c>
      <c r="D134" s="18">
        <v>2</v>
      </c>
      <c r="E134" s="185"/>
      <c r="F134" s="185">
        <f t="shared" si="22"/>
        <v>1</v>
      </c>
      <c r="G134" s="185"/>
    </row>
    <row r="135" spans="1:7" ht="18.75" customHeight="1" thickBot="1" x14ac:dyDescent="0.4">
      <c r="A135" s="95" t="s">
        <v>1030</v>
      </c>
      <c r="B135" s="194" t="s">
        <v>1143</v>
      </c>
      <c r="C135" s="187">
        <f>+IFERROR(VLOOKUP($A135,RAIZ!$A$3:$X$1500,MATCH('Suc. Acaponeta'!$F$1,RAIZ!$A$2:$X$2,0),FALSE),0)</f>
        <v>5</v>
      </c>
      <c r="D135" s="18">
        <v>6</v>
      </c>
      <c r="E135" s="185"/>
      <c r="F135" s="185">
        <f t="shared" si="22"/>
        <v>1</v>
      </c>
      <c r="G135" s="185"/>
    </row>
    <row r="136" spans="1:7" ht="18.75" customHeight="1" thickBot="1" x14ac:dyDescent="0.4">
      <c r="A136" s="95" t="s">
        <v>253</v>
      </c>
      <c r="B136" s="194" t="s">
        <v>1135</v>
      </c>
      <c r="C136" s="187">
        <f>+IFERROR(VLOOKUP($A136,RAIZ!$A$3:$X$1500,MATCH('Suc. Acaponeta'!$F$1,RAIZ!$A$2:$X$2,0),FALSE),0)</f>
        <v>2</v>
      </c>
      <c r="D136" s="18">
        <v>2</v>
      </c>
      <c r="E136" s="185"/>
      <c r="F136" s="185">
        <f t="shared" si="22"/>
        <v>0</v>
      </c>
      <c r="G136" s="185"/>
    </row>
    <row r="137" spans="1:7" ht="18.75" customHeight="1" thickBot="1" x14ac:dyDescent="0.4">
      <c r="A137" s="95" t="s">
        <v>240</v>
      </c>
      <c r="B137" s="194" t="s">
        <v>1139</v>
      </c>
      <c r="C137" s="187">
        <f>+IFERROR(VLOOKUP($A137,RAIZ!$A$3:$X$1500,MATCH('Suc. Acaponeta'!$F$1,RAIZ!$A$2:$X$2,0),FALSE),0)</f>
        <v>0</v>
      </c>
      <c r="D137" s="18">
        <v>0</v>
      </c>
      <c r="E137" s="185"/>
      <c r="F137" s="185">
        <f t="shared" si="22"/>
        <v>0</v>
      </c>
      <c r="G137" s="185"/>
    </row>
    <row r="138" spans="1:7" ht="18.75" customHeight="1" thickBot="1" x14ac:dyDescent="0.4">
      <c r="A138" s="95" t="s">
        <v>204</v>
      </c>
      <c r="B138" s="194" t="s">
        <v>1106</v>
      </c>
      <c r="C138" s="187">
        <f>+IFERROR(VLOOKUP($A138,RAIZ!$A$3:$X$1500,MATCH('Suc. Acaponeta'!$F$1,RAIZ!$A$2:$X$2,0),FALSE),0)</f>
        <v>0</v>
      </c>
      <c r="D138" s="18">
        <v>0</v>
      </c>
      <c r="E138" s="185"/>
      <c r="F138" s="185">
        <f t="shared" si="22"/>
        <v>0</v>
      </c>
      <c r="G138" s="185"/>
    </row>
    <row r="139" spans="1:7" ht="18.75" customHeight="1" thickBot="1" x14ac:dyDescent="0.4">
      <c r="A139" s="95" t="s">
        <v>1132</v>
      </c>
      <c r="B139" s="194" t="s">
        <v>1141</v>
      </c>
      <c r="C139" s="187">
        <f>+IFERROR(VLOOKUP($A139,RAIZ!$A$3:$X$1500,MATCH('Suc. Acaponeta'!$F$1,RAIZ!$A$2:$X$2,0),FALSE),0)</f>
        <v>1</v>
      </c>
      <c r="D139" s="18">
        <v>1</v>
      </c>
      <c r="E139" s="185"/>
      <c r="F139" s="185">
        <f t="shared" si="22"/>
        <v>0</v>
      </c>
      <c r="G139" s="185"/>
    </row>
    <row r="140" spans="1:7" ht="18.75" customHeight="1" thickBot="1" x14ac:dyDescent="0.4">
      <c r="A140" s="95" t="s">
        <v>914</v>
      </c>
      <c r="B140" s="194" t="s">
        <v>1133</v>
      </c>
      <c r="C140" s="187">
        <f>+IFERROR(VLOOKUP($A140,RAIZ!$A$3:$X$1500,MATCH('Suc. Acaponeta'!$F$1,RAIZ!$A$2:$X$2,0),FALSE),0)</f>
        <v>2</v>
      </c>
      <c r="D140" s="18">
        <v>1</v>
      </c>
      <c r="E140" s="185"/>
      <c r="F140" s="185">
        <f t="shared" si="22"/>
        <v>0</v>
      </c>
      <c r="G140" s="185"/>
    </row>
    <row r="141" spans="1:7" ht="18.75" customHeight="1" thickBot="1" x14ac:dyDescent="0.4">
      <c r="A141" s="243" t="s">
        <v>1120</v>
      </c>
      <c r="B141" s="194" t="s">
        <v>1159</v>
      </c>
      <c r="C141" s="187">
        <f>+IFERROR(VLOOKUP($A141,RAIZ!$A$3:$X$1500,MATCH('Suc. Acaponeta'!$F$1,RAIZ!$A$2:$X$2,0),FALSE),0)</f>
        <v>0</v>
      </c>
      <c r="D141" s="18"/>
      <c r="E141" s="185"/>
      <c r="F141" s="185">
        <f t="shared" si="22"/>
        <v>0</v>
      </c>
      <c r="G141" s="185"/>
    </row>
    <row r="142" spans="1:7" ht="18.75" customHeight="1" thickBot="1" x14ac:dyDescent="0.4">
      <c r="A142" s="95"/>
      <c r="B142" s="194"/>
      <c r="C142" s="187">
        <f>+IFERROR(VLOOKUP($A142,RAIZ!$A$3:$X$1500,MATCH('Suc. Acaponeta'!$F$1,RAIZ!$A$2:$X$2,0),FALSE),0)</f>
        <v>0</v>
      </c>
      <c r="D142" s="18"/>
      <c r="E142" s="185"/>
      <c r="F142" s="185"/>
      <c r="G142" s="185"/>
    </row>
    <row r="143" spans="1:7" ht="18.75" customHeight="1" thickBot="1" x14ac:dyDescent="0.4">
      <c r="A143" s="95"/>
      <c r="B143" s="193"/>
      <c r="C143" s="187">
        <f>+IFERROR(VLOOKUP($A143,RAIZ!$A$3:$X$1500,MATCH('Suc. Acaponeta'!$F$1,RAIZ!$A$2:$X$2,0),FALSE),0)</f>
        <v>0</v>
      </c>
      <c r="D143" s="18"/>
      <c r="E143" s="185"/>
      <c r="F143" s="185"/>
      <c r="G143" s="185"/>
    </row>
    <row r="144" spans="1:7" ht="18.75" customHeight="1" thickBot="1" x14ac:dyDescent="0.4">
      <c r="A144" s="95"/>
      <c r="B144" s="194"/>
      <c r="C144" s="187">
        <f>+IFERROR(VLOOKUP($A144,RAIZ!$A$3:$X$1500,MATCH('Suc. Acaponeta'!$F$1,RAIZ!$A$2:$X$2,0),FALSE),0)</f>
        <v>0</v>
      </c>
      <c r="D144" s="18"/>
      <c r="E144" s="185"/>
      <c r="F144" s="185"/>
      <c r="G144" s="185"/>
    </row>
    <row r="145" spans="1:7" ht="18.75" customHeight="1" thickBot="1" x14ac:dyDescent="0.4">
      <c r="A145" s="95"/>
      <c r="B145" s="192"/>
      <c r="C145" s="187">
        <f>+IFERROR(VLOOKUP($A145,RAIZ!$A$3:$X$1500,MATCH('Suc. Acaponeta'!$F$1,RAIZ!$A$2:$X$2,0),FALSE),0)</f>
        <v>0</v>
      </c>
      <c r="D145" s="18"/>
      <c r="E145" s="185"/>
      <c r="F145" s="185"/>
      <c r="G145" s="185"/>
    </row>
    <row r="146" spans="1:7" ht="18.75" customHeight="1" thickBot="1" x14ac:dyDescent="0.4">
      <c r="A146" s="95"/>
      <c r="B146" s="194"/>
      <c r="C146" s="187">
        <f>+IFERROR(VLOOKUP($A146,RAIZ!$A$3:$X$1500,MATCH('Suc. Acaponeta'!$F$1,RAIZ!$A$2:$X$2,0),FALSE),0)</f>
        <v>0</v>
      </c>
      <c r="D146" s="18"/>
      <c r="E146" s="185"/>
      <c r="F146" s="185"/>
      <c r="G146" s="185"/>
    </row>
    <row r="147" spans="1:7" ht="18.75" customHeight="1" thickBot="1" x14ac:dyDescent="0.4">
      <c r="A147" s="95"/>
      <c r="B147" s="193"/>
      <c r="C147" s="187">
        <f>+IFERROR(VLOOKUP($A147,RAIZ!$A$3:$X$1500,MATCH('Suc. Acaponeta'!$F$1,RAIZ!$A$2:$X$2,0),FALSE),0)</f>
        <v>0</v>
      </c>
      <c r="D147" s="14"/>
      <c r="E147" s="185"/>
      <c r="F147" s="185"/>
      <c r="G147" s="185"/>
    </row>
    <row r="148" spans="1:7" ht="18.75" customHeight="1" thickBot="1" x14ac:dyDescent="0.4">
      <c r="A148" s="95"/>
      <c r="B148" s="193"/>
      <c r="C148" s="188">
        <f>+IFERROR(VLOOKUP($A148,RAIZ!$A$3:$X$1500,MATCH('Suc. Acaponeta'!$F$1,RAIZ!$A$2:$X$2,0),FALSE),0)</f>
        <v>0</v>
      </c>
      <c r="D148" s="14"/>
      <c r="E148" s="185"/>
      <c r="F148" s="185"/>
      <c r="G148" s="185"/>
    </row>
    <row r="149" spans="1:7" ht="18.75" customHeight="1" thickBot="1" x14ac:dyDescent="0.4">
      <c r="A149" s="173"/>
      <c r="B149" s="109"/>
      <c r="C149" s="182">
        <f>SUM(C118:C127,)</f>
        <v>53</v>
      </c>
      <c r="D149" s="182">
        <f>SUM(D118:D127,)</f>
        <v>38</v>
      </c>
      <c r="E149" s="182">
        <f>SUM(E118:E127,)</f>
        <v>0</v>
      </c>
      <c r="F149" s="182">
        <f>SUM(F118:F127,)</f>
        <v>0</v>
      </c>
      <c r="G149" s="182">
        <f>SUM(G118:G148,)</f>
        <v>0</v>
      </c>
    </row>
    <row r="150" spans="1:7" ht="18.75" customHeight="1" thickBot="1" x14ac:dyDescent="0.4">
      <c r="A150" s="110" t="s">
        <v>86</v>
      </c>
      <c r="B150" s="111"/>
      <c r="C150" s="83">
        <f>C149+C117</f>
        <v>265</v>
      </c>
      <c r="D150" s="83">
        <f>D149+D117</f>
        <v>352</v>
      </c>
      <c r="E150" s="83">
        <f>E149+E117</f>
        <v>5</v>
      </c>
      <c r="F150" s="83">
        <f>F149+F117</f>
        <v>111</v>
      </c>
      <c r="G150" s="83">
        <f>G149+G117</f>
        <v>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1EFBD1-0276-413F-8162-5BC82BD52A13}">
          <x14:formula1>
            <xm:f>Hoja1!$C$2:$C$9</xm:f>
          </x14:formula1>
          <xm:sqref>H2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CDCB4-3F65-44DD-AEA4-DA2460A9F8BA}">
  <sheetPr codeName="Hoja16">
    <tabColor rgb="FF003300"/>
  </sheetPr>
  <dimension ref="A1:L150"/>
  <sheetViews>
    <sheetView zoomScale="80" zoomScaleNormal="80" workbookViewId="0">
      <pane xSplit="2" ySplit="2" topLeftCell="C122" activePane="bottomRight" state="frozen"/>
      <selection activeCell="I134" sqref="I134"/>
      <selection pane="topRight" activeCell="I134" sqref="I134"/>
      <selection pane="bottomLeft" activeCell="I134" sqref="I134"/>
      <selection pane="bottomRight" activeCell="I134" sqref="I134"/>
    </sheetView>
  </sheetViews>
  <sheetFormatPr baseColWidth="10" defaultRowHeight="18" x14ac:dyDescent="0.35"/>
  <cols>
    <col min="1" max="1" width="55.6640625" customWidth="1"/>
    <col min="2" max="2" width="7.6640625" style="91" bestFit="1" customWidth="1"/>
    <col min="3" max="3" width="14" customWidth="1"/>
    <col min="4" max="5" width="15" style="84" customWidth="1"/>
    <col min="6" max="6" width="14.5546875" customWidth="1"/>
    <col min="7" max="8" width="11.44140625" customWidth="1"/>
    <col min="9" max="9" width="11.33203125" style="84"/>
  </cols>
  <sheetData>
    <row r="1" spans="1:12" ht="18.600000000000001" thickBot="1" x14ac:dyDescent="0.4">
      <c r="A1" s="1">
        <f>RAIZ!B1</f>
        <v>46301</v>
      </c>
      <c r="C1" s="2"/>
      <c r="D1" s="2" t="s">
        <v>702</v>
      </c>
      <c r="E1" s="2"/>
      <c r="F1" s="2" t="s">
        <v>102</v>
      </c>
      <c r="H1" t="s">
        <v>750</v>
      </c>
    </row>
    <row r="2" spans="1:12" ht="31.8" thickBot="1" x14ac:dyDescent="0.35">
      <c r="A2" s="90" t="s">
        <v>0</v>
      </c>
      <c r="B2" s="92" t="s">
        <v>755</v>
      </c>
      <c r="C2" s="39" t="s">
        <v>703</v>
      </c>
      <c r="D2" s="40" t="s">
        <v>704</v>
      </c>
      <c r="E2" s="88" t="s">
        <v>726</v>
      </c>
      <c r="F2" s="41" t="s">
        <v>705</v>
      </c>
      <c r="G2" s="62" t="s">
        <v>725</v>
      </c>
      <c r="H2" s="87"/>
    </row>
    <row r="3" spans="1:12" ht="18.75" customHeight="1" x14ac:dyDescent="0.35">
      <c r="A3" s="93" t="s">
        <v>1</v>
      </c>
      <c r="B3" s="112" t="s">
        <v>756</v>
      </c>
      <c r="C3" s="5">
        <f>+IFERROR(VLOOKUP($A3,RAIZ!$A$3:$X$1500,MATCH('Suc. Tecuala'!$F$1,RAIZ!$A$2:$X$2,0),FALSE),0)</f>
        <v>4</v>
      </c>
      <c r="D3" s="4">
        <v>2</v>
      </c>
      <c r="E3" s="5"/>
      <c r="F3" s="5">
        <f>IF(D3-C3&gt;=0,D3-C3,0)</f>
        <v>0</v>
      </c>
      <c r="G3" s="5"/>
      <c r="K3" s="85"/>
      <c r="L3" s="85"/>
    </row>
    <row r="4" spans="1:12" ht="18.75" customHeight="1" x14ac:dyDescent="0.35">
      <c r="A4" s="93" t="s">
        <v>2</v>
      </c>
      <c r="B4" s="112" t="s">
        <v>865</v>
      </c>
      <c r="C4" s="5">
        <f>+IFERROR(VLOOKUP($A4,RAIZ!$A$3:$X$1500,MATCH('Suc. Tecuala'!$F$1,RAIZ!$A$2:$X$2,0),FALSE),0)</f>
        <v>2</v>
      </c>
      <c r="D4" s="4">
        <v>2</v>
      </c>
      <c r="E4" s="5"/>
      <c r="F4" s="5">
        <f>IF(D4-C4&gt;=0,D4-C4,0)</f>
        <v>0</v>
      </c>
      <c r="G4" s="5"/>
      <c r="K4" s="85"/>
      <c r="L4" s="85"/>
    </row>
    <row r="5" spans="1:12" ht="18.75" customHeight="1" x14ac:dyDescent="0.35">
      <c r="A5" s="93" t="s">
        <v>3</v>
      </c>
      <c r="B5" s="112" t="s">
        <v>757</v>
      </c>
      <c r="C5" s="5">
        <f>+IFERROR(VLOOKUP($A5,RAIZ!$A$3:$X$1500,MATCH('Suc. Tecuala'!$F$1,RAIZ!$A$2:$X$2,0),FALSE),0)</f>
        <v>2</v>
      </c>
      <c r="D5" s="7">
        <v>1</v>
      </c>
      <c r="E5" s="5"/>
      <c r="F5" s="5">
        <f t="shared" ref="F5:F10" si="0">IF(D5-C5&gt;=0,D5-C5,0)</f>
        <v>0</v>
      </c>
      <c r="G5" s="5"/>
      <c r="K5" s="86"/>
      <c r="L5" s="85"/>
    </row>
    <row r="6" spans="1:12" ht="18.75" customHeight="1" x14ac:dyDescent="0.35">
      <c r="A6" s="93" t="s">
        <v>4</v>
      </c>
      <c r="B6" s="112" t="s">
        <v>758</v>
      </c>
      <c r="C6" s="5">
        <f>+IFERROR(VLOOKUP($A6,RAIZ!$A$3:$X$1500,MATCH('Suc. Tecuala'!$F$1,RAIZ!$A$2:$X$2,0),FALSE),0)</f>
        <v>1</v>
      </c>
      <c r="D6" s="7">
        <v>3</v>
      </c>
      <c r="E6" s="5"/>
      <c r="F6" s="5">
        <f t="shared" si="0"/>
        <v>2</v>
      </c>
      <c r="G6" s="5"/>
      <c r="K6" s="86"/>
      <c r="L6" s="85"/>
    </row>
    <row r="7" spans="1:12" ht="18.75" customHeight="1" x14ac:dyDescent="0.35">
      <c r="A7" s="93" t="s">
        <v>5</v>
      </c>
      <c r="B7" s="112" t="s">
        <v>759</v>
      </c>
      <c r="C7" s="5">
        <f>+IFERROR(VLOOKUP($A7,RAIZ!$A$3:$X$1500,MATCH('Suc. Tecuala'!$F$1,RAIZ!$A$2:$X$2,0),FALSE),0)</f>
        <v>3</v>
      </c>
      <c r="D7" s="7">
        <v>2</v>
      </c>
      <c r="E7" s="5"/>
      <c r="F7" s="5">
        <f t="shared" si="0"/>
        <v>0</v>
      </c>
      <c r="G7" s="5"/>
      <c r="K7" s="86"/>
      <c r="L7" s="85"/>
    </row>
    <row r="8" spans="1:12" ht="18.75" customHeight="1" x14ac:dyDescent="0.35">
      <c r="A8" s="93" t="s">
        <v>6</v>
      </c>
      <c r="B8" s="112" t="s">
        <v>760</v>
      </c>
      <c r="C8" s="5">
        <f>+IFERROR(VLOOKUP($A8,RAIZ!$A$3:$X$1500,MATCH('Suc. Tecuala'!$F$1,RAIZ!$A$2:$X$2,0),FALSE),0)</f>
        <v>3</v>
      </c>
      <c r="D8" s="7">
        <v>3</v>
      </c>
      <c r="E8" s="5"/>
      <c r="F8" s="5">
        <f t="shared" si="0"/>
        <v>0</v>
      </c>
      <c r="G8" s="5"/>
      <c r="K8" s="86"/>
      <c r="L8" s="85"/>
    </row>
    <row r="9" spans="1:12" ht="18.75" customHeight="1" x14ac:dyDescent="0.35">
      <c r="A9" s="93" t="s">
        <v>7</v>
      </c>
      <c r="B9" s="112" t="s">
        <v>761</v>
      </c>
      <c r="C9" s="5">
        <f>+IFERROR(VLOOKUP($A9,RAIZ!$A$3:$X$1500,MATCH('Suc. Tecuala'!$F$1,RAIZ!$A$2:$X$2,0),FALSE),0)</f>
        <v>2</v>
      </c>
      <c r="D9" s="7">
        <v>2</v>
      </c>
      <c r="E9" s="5"/>
      <c r="F9" s="5">
        <f t="shared" si="0"/>
        <v>0</v>
      </c>
      <c r="G9" s="5"/>
      <c r="K9" s="86"/>
      <c r="L9" s="85"/>
    </row>
    <row r="10" spans="1:12" ht="18.75" customHeight="1" x14ac:dyDescent="0.35">
      <c r="A10" s="93" t="s">
        <v>8</v>
      </c>
      <c r="B10" s="112" t="s">
        <v>762</v>
      </c>
      <c r="C10" s="5">
        <f>+IFERROR(VLOOKUP($A10,RAIZ!$A$3:$X$1500,MATCH('Suc. Tecuala'!$F$1,RAIZ!$A$2:$X$2,0),FALSE),0)</f>
        <v>2</v>
      </c>
      <c r="D10" s="7">
        <v>2</v>
      </c>
      <c r="E10" s="5"/>
      <c r="F10" s="5">
        <f t="shared" si="0"/>
        <v>0</v>
      </c>
      <c r="G10" s="5"/>
      <c r="K10" s="86"/>
      <c r="L10" s="85"/>
    </row>
    <row r="11" spans="1:12" ht="18.75" customHeight="1" x14ac:dyDescent="0.35">
      <c r="A11" s="93" t="s">
        <v>9</v>
      </c>
      <c r="B11" s="112" t="s">
        <v>763</v>
      </c>
      <c r="C11" s="5">
        <f>+IFERROR(VLOOKUP($A11,RAIZ!$A$3:$X$1500,MATCH('Suc. Tecuala'!$F$1,RAIZ!$A$2:$X$2,0),FALSE),0)</f>
        <v>3</v>
      </c>
      <c r="D11" s="9">
        <v>2</v>
      </c>
      <c r="E11" s="5"/>
      <c r="F11" s="5">
        <f t="shared" ref="F11:F12" si="1">IF(D11-C11&gt;=0,D11-C11,0)</f>
        <v>0</v>
      </c>
      <c r="G11" s="5"/>
      <c r="K11" s="86"/>
      <c r="L11" s="85"/>
    </row>
    <row r="12" spans="1:12" ht="18.75" customHeight="1" x14ac:dyDescent="0.35">
      <c r="A12" s="93"/>
      <c r="B12" s="112"/>
      <c r="C12" s="5">
        <f>+IFERROR(VLOOKUP($A12,RAIZ!$A$3:$X$1500,MATCH('Suc. Tecuala'!$F$1,RAIZ!$A$2:$X$2,0),FALSE),0)</f>
        <v>0</v>
      </c>
      <c r="D12" s="20"/>
      <c r="E12" s="5"/>
      <c r="F12" s="5">
        <f t="shared" si="1"/>
        <v>0</v>
      </c>
      <c r="G12" s="5"/>
    </row>
    <row r="13" spans="1:12" ht="18.75" customHeight="1" x14ac:dyDescent="0.35">
      <c r="A13" s="93"/>
      <c r="B13" s="112"/>
      <c r="C13" s="5">
        <f>+IFERROR(VLOOKUP($A13,RAIZ!$A$3:$X$1500,MATCH('Suc. Tecuala'!$F$1,RAIZ!$A$2:$X$2,0),FALSE),0)</f>
        <v>0</v>
      </c>
      <c r="D13" s="20"/>
      <c r="E13" s="5"/>
      <c r="F13" s="5">
        <f t="shared" ref="F13:F17" si="2">IF(D13-C13&gt;=0,D13-C13,0)</f>
        <v>0</v>
      </c>
      <c r="G13" s="5"/>
    </row>
    <row r="14" spans="1:12" ht="18.75" customHeight="1" x14ac:dyDescent="0.35">
      <c r="A14" s="93"/>
      <c r="B14" s="112"/>
      <c r="C14" s="5">
        <f>+IFERROR(VLOOKUP($A14,RAIZ!$A$3:$X$1500,MATCH('Suc. Tecuala'!$F$1,RAIZ!$A$2:$X$2,0),FALSE),0)</f>
        <v>0</v>
      </c>
      <c r="D14" s="20"/>
      <c r="E14" s="5"/>
      <c r="F14" s="5">
        <f>IF(D14-C14&gt;=0,D14-C14,0)</f>
        <v>0</v>
      </c>
      <c r="G14" s="5"/>
    </row>
    <row r="15" spans="1:12" ht="18.75" customHeight="1" x14ac:dyDescent="0.35">
      <c r="A15" s="93"/>
      <c r="B15" s="112"/>
      <c r="C15" s="5">
        <f>+IFERROR(VLOOKUP($A15,RAIZ!$A$3:$X$1500,MATCH('Suc. Tecuala'!$F$1,RAIZ!$A$2:$X$2,0),FALSE),0)</f>
        <v>0</v>
      </c>
      <c r="D15" s="9"/>
      <c r="E15" s="5"/>
      <c r="F15" s="5">
        <f t="shared" si="2"/>
        <v>0</v>
      </c>
      <c r="G15" s="5"/>
      <c r="K15" s="86"/>
      <c r="L15" s="85"/>
    </row>
    <row r="16" spans="1:12" ht="18.75" customHeight="1" x14ac:dyDescent="0.35">
      <c r="A16" s="93"/>
      <c r="B16" s="112"/>
      <c r="C16" s="5">
        <f>+IFERROR(VLOOKUP($A16,RAIZ!$A$3:$X$1500,MATCH('Suc. Tecuala'!$F$1,RAIZ!$A$2:$X$2,0),FALSE),0)</f>
        <v>0</v>
      </c>
      <c r="D16" s="9"/>
      <c r="E16" s="5"/>
      <c r="F16" s="5">
        <f t="shared" si="2"/>
        <v>0</v>
      </c>
      <c r="G16" s="5"/>
      <c r="K16" s="86"/>
      <c r="L16" s="85"/>
    </row>
    <row r="17" spans="1:12" ht="18.75" customHeight="1" thickBot="1" x14ac:dyDescent="0.4">
      <c r="A17" s="93"/>
      <c r="B17" s="112"/>
      <c r="C17" s="5">
        <f>+IFERROR(VLOOKUP($A17,RAIZ!$A$3:$X$1500,MATCH('Suc. Tecuala'!$F$1,RAIZ!$A$2:$X$2,0),FALSE),0)</f>
        <v>0</v>
      </c>
      <c r="D17" s="9"/>
      <c r="E17" s="5"/>
      <c r="F17" s="5">
        <f t="shared" si="2"/>
        <v>0</v>
      </c>
      <c r="G17" s="5"/>
      <c r="K17" s="86"/>
      <c r="L17" s="85"/>
    </row>
    <row r="18" spans="1:12" ht="18.75" customHeight="1" thickBot="1" x14ac:dyDescent="0.4">
      <c r="A18" s="96" t="s">
        <v>10</v>
      </c>
      <c r="B18" s="111"/>
      <c r="C18" s="75">
        <f>SUM(C3:C17)</f>
        <v>22</v>
      </c>
      <c r="D18" s="44">
        <f>SUM(D3:D17)</f>
        <v>19</v>
      </c>
      <c r="E18" s="44">
        <f>SUM(E3:E17)</f>
        <v>0</v>
      </c>
      <c r="F18" s="63">
        <f>SUM(F3:F17)</f>
        <v>2</v>
      </c>
      <c r="G18" s="44">
        <f>SUM(G3:G17)</f>
        <v>0</v>
      </c>
      <c r="K18" s="86"/>
      <c r="L18" s="85"/>
    </row>
    <row r="19" spans="1:12" ht="18.75" customHeight="1" x14ac:dyDescent="0.35">
      <c r="A19" s="97" t="s">
        <v>676</v>
      </c>
      <c r="B19" s="112" t="s">
        <v>764</v>
      </c>
      <c r="C19" s="5">
        <f>+IFERROR(VLOOKUP($A19,RAIZ!$A$3:$X$1500,MATCH('Suc. Tecuala'!$F$1,RAIZ!$A$2:$X$2,0),FALSE),0)</f>
        <v>2</v>
      </c>
      <c r="D19" s="12">
        <v>2</v>
      </c>
      <c r="E19" s="5"/>
      <c r="F19" s="5">
        <f t="shared" ref="F19:F21" si="3">IF(D19-C19&gt;=0,D19-C19,0)</f>
        <v>0</v>
      </c>
      <c r="G19" s="5"/>
      <c r="K19" s="86"/>
      <c r="L19" s="85"/>
    </row>
    <row r="20" spans="1:12" ht="18.75" customHeight="1" x14ac:dyDescent="0.35">
      <c r="A20" s="97" t="s">
        <v>11</v>
      </c>
      <c r="B20" s="112" t="s">
        <v>827</v>
      </c>
      <c r="C20" s="5">
        <f>+IFERROR(VLOOKUP($A20,RAIZ!$A$3:$X$1500,MATCH('Suc. Tecuala'!$F$1,RAIZ!$A$2:$X$2,0),FALSE),0)</f>
        <v>3</v>
      </c>
      <c r="D20" s="14">
        <v>3</v>
      </c>
      <c r="E20" s="5"/>
      <c r="F20" s="5">
        <f t="shared" si="3"/>
        <v>0</v>
      </c>
      <c r="G20" s="5"/>
      <c r="K20" s="86"/>
      <c r="L20" s="85"/>
    </row>
    <row r="21" spans="1:12" ht="18.75" customHeight="1" x14ac:dyDescent="0.35">
      <c r="A21" s="97" t="s">
        <v>344</v>
      </c>
      <c r="B21" s="112" t="s">
        <v>765</v>
      </c>
      <c r="C21" s="5">
        <f>+IFERROR(VLOOKUP($A21,RAIZ!$A$3:$X$1500,MATCH('Suc. Tecuala'!$F$1,RAIZ!$A$2:$X$2,0),FALSE),0)</f>
        <v>4</v>
      </c>
      <c r="D21" s="14">
        <v>2</v>
      </c>
      <c r="E21" s="5"/>
      <c r="F21" s="5">
        <f t="shared" si="3"/>
        <v>0</v>
      </c>
      <c r="G21" s="5"/>
      <c r="K21" s="86"/>
      <c r="L21" s="85"/>
    </row>
    <row r="22" spans="1:12" ht="18.75" customHeight="1" x14ac:dyDescent="0.35">
      <c r="A22" s="97" t="s">
        <v>832</v>
      </c>
      <c r="B22" s="112" t="s">
        <v>833</v>
      </c>
      <c r="C22" s="5">
        <f>+IFERROR(VLOOKUP($A22,RAIZ!$A$3:$X$1500,MATCH('Suc. Tecuala'!$F$1,RAIZ!$A$2:$X$2,0),FALSE),0)</f>
        <v>5</v>
      </c>
      <c r="D22" s="14">
        <v>2</v>
      </c>
      <c r="E22" s="5"/>
      <c r="F22" s="5">
        <f t="shared" ref="F22:F31" si="4">IF(D22-C22&gt;=0,D22-C22,0)</f>
        <v>0</v>
      </c>
      <c r="G22" s="5"/>
      <c r="K22" s="86"/>
      <c r="L22" s="85"/>
    </row>
    <row r="23" spans="1:12" ht="18.75" customHeight="1" x14ac:dyDescent="0.35">
      <c r="A23" s="97" t="s">
        <v>12</v>
      </c>
      <c r="B23" s="112" t="s">
        <v>766</v>
      </c>
      <c r="C23" s="5">
        <f>+IFERROR(VLOOKUP($A23,RAIZ!$A$3:$X$1500,MATCH('Suc. Tecuala'!$F$1,RAIZ!$A$2:$X$2,0),FALSE),0)</f>
        <v>2</v>
      </c>
      <c r="D23" s="14">
        <v>3</v>
      </c>
      <c r="E23" s="5"/>
      <c r="F23" s="5">
        <f t="shared" si="4"/>
        <v>1</v>
      </c>
      <c r="G23" s="5"/>
      <c r="K23" s="86"/>
      <c r="L23" s="85"/>
    </row>
    <row r="24" spans="1:12" ht="18.75" customHeight="1" x14ac:dyDescent="0.35">
      <c r="A24" s="97" t="s">
        <v>432</v>
      </c>
      <c r="B24" s="112" t="s">
        <v>767</v>
      </c>
      <c r="C24" s="5">
        <f>+IFERROR(VLOOKUP($A24,RAIZ!$A$3:$X$1500,MATCH('Suc. Tecuala'!$F$1,RAIZ!$A$2:$X$2,0),FALSE),0)</f>
        <v>3</v>
      </c>
      <c r="D24" s="14">
        <v>2</v>
      </c>
      <c r="E24" s="5"/>
      <c r="F24" s="5">
        <f t="shared" si="4"/>
        <v>0</v>
      </c>
      <c r="G24" s="5"/>
      <c r="K24" s="86"/>
      <c r="L24" s="85"/>
    </row>
    <row r="25" spans="1:12" ht="18.75" customHeight="1" x14ac:dyDescent="0.35">
      <c r="A25" s="97" t="s">
        <v>468</v>
      </c>
      <c r="B25" s="112" t="s">
        <v>768</v>
      </c>
      <c r="C25" s="5">
        <f>+IFERROR(VLOOKUP($A25,RAIZ!$A$3:$X$1500,MATCH('Suc. Tecuala'!$F$1,RAIZ!$A$2:$X$2,0),FALSE),0)</f>
        <v>1</v>
      </c>
      <c r="D25" s="16">
        <v>2</v>
      </c>
      <c r="E25" s="5"/>
      <c r="F25" s="5">
        <f t="shared" si="4"/>
        <v>1</v>
      </c>
      <c r="G25" s="5"/>
      <c r="K25" s="86"/>
      <c r="L25" s="85"/>
    </row>
    <row r="26" spans="1:12" ht="18.75" customHeight="1" x14ac:dyDescent="0.35">
      <c r="A26" s="97"/>
      <c r="B26" s="112"/>
      <c r="C26" s="5">
        <f>+IFERROR(VLOOKUP($A26,RAIZ!$A$3:$X$1500,MATCH('Suc. Tecuala'!$F$1,RAIZ!$A$2:$X$2,0),FALSE),0)</f>
        <v>0</v>
      </c>
      <c r="D26" s="20"/>
      <c r="E26" s="5"/>
      <c r="F26" s="5">
        <f t="shared" si="4"/>
        <v>0</v>
      </c>
      <c r="G26" s="5"/>
    </row>
    <row r="27" spans="1:12" ht="18.75" customHeight="1" x14ac:dyDescent="0.35">
      <c r="A27" s="97"/>
      <c r="B27" s="112"/>
      <c r="C27" s="5">
        <f>+IFERROR(VLOOKUP($A27,RAIZ!$A$3:$X$1500,MATCH('Suc. Tecuala'!$F$1,RAIZ!$A$2:$X$2,0),FALSE),0)</f>
        <v>0</v>
      </c>
      <c r="D27" s="16"/>
      <c r="E27" s="5"/>
      <c r="F27" s="5">
        <f>IF(D27-C27&gt;=0,D27-C27,0)</f>
        <v>0</v>
      </c>
      <c r="G27" s="5"/>
      <c r="K27" s="86"/>
      <c r="L27" s="85"/>
    </row>
    <row r="28" spans="1:12" ht="18.75" customHeight="1" x14ac:dyDescent="0.35">
      <c r="A28" s="97"/>
      <c r="B28" s="112"/>
      <c r="C28" s="5">
        <f>+IFERROR(VLOOKUP($A28,RAIZ!$A$3:$X$1500,MATCH('Suc. Tecuala'!$F$1,RAIZ!$A$2:$X$2,0),FALSE),0)</f>
        <v>0</v>
      </c>
      <c r="D28" s="16"/>
      <c r="E28" s="5"/>
      <c r="F28" s="5">
        <f t="shared" si="4"/>
        <v>0</v>
      </c>
      <c r="G28" s="5"/>
      <c r="K28" s="86"/>
      <c r="L28" s="85"/>
    </row>
    <row r="29" spans="1:12" ht="18.75" customHeight="1" x14ac:dyDescent="0.35">
      <c r="A29" s="97"/>
      <c r="B29" s="112"/>
      <c r="C29" s="5">
        <f>+IFERROR(VLOOKUP($A29,RAIZ!$A$3:$X$1500,MATCH('Suc. Tecuala'!$F$1,RAIZ!$A$2:$X$2,0),FALSE),0)</f>
        <v>0</v>
      </c>
      <c r="D29" s="16"/>
      <c r="E29" s="5"/>
      <c r="F29" s="5">
        <f t="shared" si="4"/>
        <v>0</v>
      </c>
      <c r="G29" s="5"/>
      <c r="K29" s="86"/>
      <c r="L29" s="85"/>
    </row>
    <row r="30" spans="1:12" ht="18.75" customHeight="1" x14ac:dyDescent="0.35">
      <c r="A30" s="97"/>
      <c r="B30" s="112"/>
      <c r="C30" s="5">
        <f>+IFERROR(VLOOKUP($A30,RAIZ!$A$3:$X$1500,MATCH('Suc. Tecuala'!$F$1,RAIZ!$A$2:$X$2,0),FALSE),0)</f>
        <v>0</v>
      </c>
      <c r="D30" s="16"/>
      <c r="E30" s="5"/>
      <c r="F30" s="5">
        <f t="shared" si="4"/>
        <v>0</v>
      </c>
      <c r="G30" s="5"/>
      <c r="K30" s="86"/>
      <c r="L30" s="85"/>
    </row>
    <row r="31" spans="1:12" ht="18.75" customHeight="1" thickBot="1" x14ac:dyDescent="0.4">
      <c r="A31" s="97"/>
      <c r="B31" s="112"/>
      <c r="C31" s="5">
        <f>+IFERROR(VLOOKUP($A31,RAIZ!$A$3:$X$1500,MATCH('Suc. Tecuala'!$F$1,RAIZ!$A$2:$X$2,0),FALSE),0)</f>
        <v>0</v>
      </c>
      <c r="D31" s="16"/>
      <c r="E31" s="5"/>
      <c r="F31" s="5">
        <f t="shared" si="4"/>
        <v>0</v>
      </c>
      <c r="G31" s="5"/>
      <c r="K31" s="86"/>
      <c r="L31" s="85"/>
    </row>
    <row r="32" spans="1:12" ht="18.75" customHeight="1" thickBot="1" x14ac:dyDescent="0.4">
      <c r="A32" s="98" t="s">
        <v>13</v>
      </c>
      <c r="B32" s="111"/>
      <c r="C32" s="76">
        <f>SUM(C19:C31)</f>
        <v>20</v>
      </c>
      <c r="D32" s="46">
        <f>SUM(D19:D31)</f>
        <v>16</v>
      </c>
      <c r="E32" s="46">
        <f>SUM(E19:E31)</f>
        <v>0</v>
      </c>
      <c r="F32" s="64">
        <f>SUM(F19:F31)</f>
        <v>2</v>
      </c>
      <c r="G32" s="46">
        <f>SUM(G19:G31)</f>
        <v>0</v>
      </c>
      <c r="K32" s="86"/>
      <c r="L32" s="85"/>
    </row>
    <row r="33" spans="1:12" ht="18.75" customHeight="1" x14ac:dyDescent="0.35">
      <c r="A33" s="97" t="s">
        <v>14</v>
      </c>
      <c r="B33" s="112" t="s">
        <v>769</v>
      </c>
      <c r="C33" s="5">
        <f>+IFERROR(VLOOKUP($A33,RAIZ!$A$3:$X$1500,MATCH('Suc. Tecuala'!$F$1,RAIZ!$A$2:$X$2,0),FALSE),0)</f>
        <v>4</v>
      </c>
      <c r="D33" s="4">
        <v>2</v>
      </c>
      <c r="E33" s="5"/>
      <c r="F33" s="5">
        <f t="shared" ref="F33:F48" si="5">IF(D33-C33&gt;=0,D33-C33,0)</f>
        <v>0</v>
      </c>
      <c r="G33" s="5"/>
      <c r="K33" s="86"/>
      <c r="L33" s="85"/>
    </row>
    <row r="34" spans="1:12" ht="18.75" customHeight="1" x14ac:dyDescent="0.35">
      <c r="A34" s="97" t="s">
        <v>15</v>
      </c>
      <c r="B34" s="112" t="s">
        <v>770</v>
      </c>
      <c r="C34" s="5">
        <f>+IFERROR(VLOOKUP($A34,RAIZ!$A$3:$X$1500,MATCH('Suc. Tecuala'!$F$1,RAIZ!$A$2:$X$2,0),FALSE),0)</f>
        <v>4</v>
      </c>
      <c r="D34" s="7">
        <v>2</v>
      </c>
      <c r="E34" s="5"/>
      <c r="F34" s="5">
        <f t="shared" si="5"/>
        <v>0</v>
      </c>
      <c r="G34" s="5"/>
      <c r="K34" s="86"/>
      <c r="L34" s="85"/>
    </row>
    <row r="35" spans="1:12" ht="18.75" customHeight="1" x14ac:dyDescent="0.35">
      <c r="A35" s="97" t="s">
        <v>16</v>
      </c>
      <c r="B35" s="112" t="s">
        <v>771</v>
      </c>
      <c r="C35" s="5">
        <f>+IFERROR(VLOOKUP($A35,RAIZ!$A$3:$X$1500,MATCH('Suc. Tecuala'!$F$1,RAIZ!$A$2:$X$2,0),FALSE),0)</f>
        <v>1</v>
      </c>
      <c r="D35" s="7">
        <v>2</v>
      </c>
      <c r="E35" s="5"/>
      <c r="F35" s="5">
        <f t="shared" si="5"/>
        <v>1</v>
      </c>
      <c r="G35" s="5"/>
      <c r="K35" s="86"/>
      <c r="L35" s="85"/>
    </row>
    <row r="36" spans="1:12" ht="18.75" customHeight="1" x14ac:dyDescent="0.35">
      <c r="A36" s="97" t="s">
        <v>17</v>
      </c>
      <c r="B36" s="112" t="s">
        <v>772</v>
      </c>
      <c r="C36" s="5">
        <f>+IFERROR(VLOOKUP($A36,RAIZ!$A$3:$X$1500,MATCH('Suc. Tecuala'!$F$1,RAIZ!$A$2:$X$2,0),FALSE),0)</f>
        <v>0</v>
      </c>
      <c r="D36" s="7">
        <v>2</v>
      </c>
      <c r="E36" s="5"/>
      <c r="F36" s="5">
        <f t="shared" si="5"/>
        <v>2</v>
      </c>
      <c r="G36" s="5"/>
      <c r="K36" s="86"/>
      <c r="L36" s="85"/>
    </row>
    <row r="37" spans="1:12" ht="18.75" customHeight="1" x14ac:dyDescent="0.35">
      <c r="A37" s="97" t="s">
        <v>18</v>
      </c>
      <c r="B37" s="112" t="s">
        <v>773</v>
      </c>
      <c r="C37" s="5">
        <f>+IFERROR(VLOOKUP($A37,RAIZ!$A$3:$X$1500,MATCH('Suc. Tecuala'!$F$1,RAIZ!$A$2:$X$2,0),FALSE),0)</f>
        <v>3</v>
      </c>
      <c r="D37" s="7">
        <v>3</v>
      </c>
      <c r="E37" s="5"/>
      <c r="F37" s="5">
        <f t="shared" si="5"/>
        <v>0</v>
      </c>
      <c r="G37" s="5"/>
      <c r="K37" s="86"/>
      <c r="L37" s="85"/>
    </row>
    <row r="38" spans="1:12" ht="18.75" customHeight="1" x14ac:dyDescent="0.35">
      <c r="A38" s="97" t="s">
        <v>22</v>
      </c>
      <c r="B38" s="112" t="s">
        <v>774</v>
      </c>
      <c r="C38" s="5">
        <f>+IFERROR(VLOOKUP($A38,RAIZ!$A$3:$X$1500,MATCH('Suc. Tecuala'!$F$1,RAIZ!$A$2:$X$2,0),FALSE),0)</f>
        <v>3</v>
      </c>
      <c r="D38" s="18">
        <v>3</v>
      </c>
      <c r="E38" s="5"/>
      <c r="F38" s="5">
        <f t="shared" si="5"/>
        <v>0</v>
      </c>
      <c r="G38" s="5"/>
      <c r="K38" s="86"/>
      <c r="L38" s="85"/>
    </row>
    <row r="39" spans="1:12" ht="18.75" customHeight="1" x14ac:dyDescent="0.35">
      <c r="A39" s="97" t="s">
        <v>23</v>
      </c>
      <c r="B39" s="112" t="s">
        <v>775</v>
      </c>
      <c r="C39" s="5">
        <f>+IFERROR(VLOOKUP($A39,RAIZ!$A$3:$X$1500,MATCH('Suc. Tecuala'!$F$1,RAIZ!$A$2:$X$2,0),FALSE),0)</f>
        <v>2</v>
      </c>
      <c r="D39" s="18">
        <v>2</v>
      </c>
      <c r="E39" s="5"/>
      <c r="F39" s="5">
        <f t="shared" si="5"/>
        <v>0</v>
      </c>
      <c r="G39" s="5"/>
      <c r="K39" s="86"/>
      <c r="L39" s="85"/>
    </row>
    <row r="40" spans="1:12" ht="18.75" customHeight="1" x14ac:dyDescent="0.35">
      <c r="A40" s="97" t="s">
        <v>24</v>
      </c>
      <c r="B40" s="112" t="s">
        <v>776</v>
      </c>
      <c r="C40" s="5">
        <f>+IFERROR(VLOOKUP($A40,RAIZ!$A$3:$X$1500,MATCH('Suc. Tecuala'!$F$1,RAIZ!$A$2:$X$2,0),FALSE),0)</f>
        <v>1</v>
      </c>
      <c r="D40" s="7">
        <v>2</v>
      </c>
      <c r="E40" s="5"/>
      <c r="F40" s="5">
        <f t="shared" si="5"/>
        <v>1</v>
      </c>
      <c r="G40" s="5"/>
      <c r="K40" s="86"/>
      <c r="L40" s="85"/>
    </row>
    <row r="41" spans="1:12" ht="18.75" customHeight="1" x14ac:dyDescent="0.35">
      <c r="A41" s="97" t="s">
        <v>25</v>
      </c>
      <c r="B41" s="112" t="s">
        <v>777</v>
      </c>
      <c r="C41" s="5">
        <f>+IFERROR(VLOOKUP($A41,RAIZ!$A$3:$X$1500,MATCH('Suc. Tecuala'!$F$1,RAIZ!$A$2:$X$2,0),FALSE),0)</f>
        <v>1</v>
      </c>
      <c r="D41" s="18">
        <v>3</v>
      </c>
      <c r="E41" s="5"/>
      <c r="F41" s="5">
        <f t="shared" si="5"/>
        <v>2</v>
      </c>
      <c r="G41" s="5"/>
      <c r="K41" s="86"/>
      <c r="L41" s="85"/>
    </row>
    <row r="42" spans="1:12" ht="18.75" customHeight="1" x14ac:dyDescent="0.35">
      <c r="A42" s="97"/>
      <c r="B42" s="112"/>
      <c r="C42" s="5">
        <f>+IFERROR(VLOOKUP($A42,RAIZ!$A$3:$X$1500,MATCH('Suc. Tecuala'!$F$1,RAIZ!$A$2:$X$2,0),FALSE),0)</f>
        <v>0</v>
      </c>
      <c r="D42" s="20"/>
      <c r="E42" s="5"/>
      <c r="F42" s="5">
        <f t="shared" si="5"/>
        <v>0</v>
      </c>
      <c r="G42" s="5"/>
    </row>
    <row r="43" spans="1:12" ht="18.75" customHeight="1" x14ac:dyDescent="0.35">
      <c r="A43" s="97"/>
      <c r="B43" s="112"/>
      <c r="C43" s="5">
        <f>+IFERROR(VLOOKUP($A43,RAIZ!$A$3:$X$1500,MATCH('Suc. Tecuala'!$F$1,RAIZ!$A$2:$X$2,0),FALSE),0)</f>
        <v>0</v>
      </c>
      <c r="D43" s="18"/>
      <c r="E43" s="5"/>
      <c r="F43" s="5">
        <f t="shared" si="5"/>
        <v>0</v>
      </c>
      <c r="G43" s="5"/>
      <c r="K43" s="86"/>
      <c r="L43" s="85"/>
    </row>
    <row r="44" spans="1:12" ht="18.75" customHeight="1" x14ac:dyDescent="0.35">
      <c r="A44" s="97"/>
      <c r="B44" s="112"/>
      <c r="C44" s="5">
        <f>+IFERROR(VLOOKUP($A44,RAIZ!$A$3:$X$1500,MATCH('Suc. Tecuala'!$F$1,RAIZ!$A$2:$X$2,0),FALSE),0)</f>
        <v>0</v>
      </c>
      <c r="D44" s="18"/>
      <c r="E44" s="5"/>
      <c r="F44" s="5">
        <f t="shared" si="5"/>
        <v>0</v>
      </c>
      <c r="G44" s="5"/>
      <c r="K44" s="86"/>
      <c r="L44" s="85"/>
    </row>
    <row r="45" spans="1:12" ht="18.75" customHeight="1" x14ac:dyDescent="0.35">
      <c r="A45" s="97"/>
      <c r="B45" s="112"/>
      <c r="C45" s="5">
        <f>+IFERROR(VLOOKUP($A45,RAIZ!$A$3:$X$1500,MATCH('Suc. Tecuala'!$F$1,RAIZ!$A$2:$X$2,0),FALSE),0)</f>
        <v>0</v>
      </c>
      <c r="D45" s="18"/>
      <c r="E45" s="5"/>
      <c r="F45" s="5">
        <f t="shared" si="5"/>
        <v>0</v>
      </c>
      <c r="G45" s="5"/>
      <c r="K45" s="86"/>
      <c r="L45" s="85"/>
    </row>
    <row r="46" spans="1:12" ht="18.75" customHeight="1" x14ac:dyDescent="0.35">
      <c r="A46" s="97"/>
      <c r="B46" s="112"/>
      <c r="C46" s="5">
        <f>+IFERROR(VLOOKUP($A46,RAIZ!$A$3:$X$1500,MATCH('Suc. Tecuala'!$F$1,RAIZ!$A$2:$X$2,0),FALSE),0)</f>
        <v>0</v>
      </c>
      <c r="D46" s="18"/>
      <c r="E46" s="5"/>
      <c r="F46" s="5">
        <f t="shared" si="5"/>
        <v>0</v>
      </c>
      <c r="G46" s="5"/>
      <c r="K46" s="86"/>
      <c r="L46" s="85"/>
    </row>
    <row r="47" spans="1:12" ht="18.75" customHeight="1" x14ac:dyDescent="0.35">
      <c r="A47" s="97"/>
      <c r="B47" s="112"/>
      <c r="C47" s="5">
        <f>+IFERROR(VLOOKUP($A47,RAIZ!$A$3:$X$1500,MATCH('Suc. Tecuala'!$F$1,RAIZ!$A$2:$X$2,0),FALSE),0)</f>
        <v>0</v>
      </c>
      <c r="D47" s="18"/>
      <c r="E47" s="5"/>
      <c r="F47" s="5">
        <f t="shared" si="5"/>
        <v>0</v>
      </c>
      <c r="G47" s="5"/>
      <c r="K47" s="86"/>
      <c r="L47" s="85"/>
    </row>
    <row r="48" spans="1:12" ht="18.75" customHeight="1" thickBot="1" x14ac:dyDescent="0.4">
      <c r="A48" s="97"/>
      <c r="B48" s="112"/>
      <c r="C48" s="5">
        <f>+IFERROR(VLOOKUP($A48,RAIZ!$A$3:$X$1500,MATCH('Suc. Tecuala'!$F$1,RAIZ!$A$2:$X$2,0),FALSE),0)</f>
        <v>0</v>
      </c>
      <c r="D48" s="18"/>
      <c r="E48" s="5"/>
      <c r="F48" s="5">
        <f t="shared" si="5"/>
        <v>0</v>
      </c>
      <c r="G48" s="5"/>
      <c r="K48" s="86"/>
      <c r="L48" s="85"/>
    </row>
    <row r="49" spans="1:12" ht="18.75" customHeight="1" thickBot="1" x14ac:dyDescent="0.4">
      <c r="A49" s="99" t="s">
        <v>29</v>
      </c>
      <c r="B49" s="111"/>
      <c r="C49" s="77">
        <f>SUM(C33:C48)</f>
        <v>19</v>
      </c>
      <c r="D49" s="48">
        <f>SUM(D33:D48)</f>
        <v>21</v>
      </c>
      <c r="E49" s="48">
        <f>SUM(E33:E48)</f>
        <v>0</v>
      </c>
      <c r="F49" s="65">
        <f>SUM(F33:F48)</f>
        <v>6</v>
      </c>
      <c r="G49" s="48">
        <f>SUM(G33:G48)</f>
        <v>0</v>
      </c>
      <c r="K49" s="86"/>
      <c r="L49" s="85"/>
    </row>
    <row r="50" spans="1:12" ht="18.75" customHeight="1" x14ac:dyDescent="0.35">
      <c r="A50" s="93" t="s">
        <v>30</v>
      </c>
      <c r="B50" s="112" t="s">
        <v>778</v>
      </c>
      <c r="C50" s="5">
        <f>+IFERROR(VLOOKUP($A50,RAIZ!$A$3:$X$1500,MATCH('Suc. Tecuala'!$F$1,RAIZ!$A$2:$X$2,0),FALSE),0)</f>
        <v>3</v>
      </c>
      <c r="D50" s="4">
        <v>6</v>
      </c>
      <c r="E50" s="5"/>
      <c r="F50" s="5">
        <f>IF(D50-C50&gt;=0,D50-C50,0)</f>
        <v>3</v>
      </c>
      <c r="G50" s="5"/>
      <c r="K50" s="86"/>
      <c r="L50" s="85"/>
    </row>
    <row r="51" spans="1:12" ht="18.75" customHeight="1" thickBot="1" x14ac:dyDescent="0.4">
      <c r="A51" s="95" t="s">
        <v>31</v>
      </c>
      <c r="B51" s="112" t="s">
        <v>779</v>
      </c>
      <c r="C51" s="5">
        <f>+IFERROR(VLOOKUP($A51,RAIZ!$A$3:$X$1500,MATCH('Suc. Tecuala'!$F$1,RAIZ!$A$2:$X$2,0),FALSE),0)</f>
        <v>5</v>
      </c>
      <c r="D51" s="20">
        <v>6</v>
      </c>
      <c r="E51" s="5"/>
      <c r="F51" s="5">
        <f t="shared" ref="F51" si="6">IF(D51-C51&gt;=0,D51-C51,0)</f>
        <v>1</v>
      </c>
      <c r="G51" s="5"/>
      <c r="K51" s="86"/>
      <c r="L51" s="85"/>
    </row>
    <row r="52" spans="1:12" ht="18.75" customHeight="1" thickBot="1" x14ac:dyDescent="0.4">
      <c r="A52" s="100" t="s">
        <v>32</v>
      </c>
      <c r="B52" s="111"/>
      <c r="C52" s="78">
        <f>SUM(C50:C51)</f>
        <v>8</v>
      </c>
      <c r="D52" s="50">
        <f t="shared" ref="D52:E52" si="7">SUM(D50:D51)</f>
        <v>12</v>
      </c>
      <c r="E52" s="50">
        <f t="shared" si="7"/>
        <v>0</v>
      </c>
      <c r="F52" s="66">
        <f t="shared" ref="F52:G52" si="8">SUM(F50:F51)</f>
        <v>4</v>
      </c>
      <c r="G52" s="50">
        <f t="shared" si="8"/>
        <v>0</v>
      </c>
      <c r="K52" s="86"/>
      <c r="L52" s="85"/>
    </row>
    <row r="53" spans="1:12" ht="18.75" customHeight="1" x14ac:dyDescent="0.35">
      <c r="A53" s="93" t="s">
        <v>33</v>
      </c>
      <c r="B53" s="112" t="s">
        <v>780</v>
      </c>
      <c r="C53" s="5">
        <f>+IFERROR(VLOOKUP($A53,RAIZ!$A$3:$X$1500,MATCH('Suc. Tecuala'!$F$1,RAIZ!$A$2:$X$2,0),FALSE),0)</f>
        <v>5</v>
      </c>
      <c r="D53" s="4">
        <v>5</v>
      </c>
      <c r="E53" s="5"/>
      <c r="F53" s="5">
        <f t="shared" ref="F53:F54" si="9">IF(D53-C53&gt;=0,D53-C53,0)</f>
        <v>0</v>
      </c>
      <c r="G53" s="5"/>
      <c r="K53" s="86"/>
      <c r="L53" s="85"/>
    </row>
    <row r="54" spans="1:12" ht="18.75" customHeight="1" thickBot="1" x14ac:dyDescent="0.4">
      <c r="A54" s="95" t="s">
        <v>34</v>
      </c>
      <c r="B54" s="112" t="s">
        <v>781</v>
      </c>
      <c r="C54" s="5">
        <f>+IFERROR(VLOOKUP($A54,RAIZ!$A$3:$X$1500,MATCH('Suc. Tecuala'!$F$1,RAIZ!$A$2:$X$2,0),FALSE),0)</f>
        <v>3</v>
      </c>
      <c r="D54" s="20">
        <v>5</v>
      </c>
      <c r="E54" s="5"/>
      <c r="F54" s="5">
        <f t="shared" si="9"/>
        <v>2</v>
      </c>
      <c r="G54" s="5"/>
      <c r="K54" s="86"/>
      <c r="L54" s="85"/>
    </row>
    <row r="55" spans="1:12" ht="18.75" customHeight="1" thickBot="1" x14ac:dyDescent="0.4">
      <c r="A55" s="99" t="s">
        <v>35</v>
      </c>
      <c r="B55" s="111"/>
      <c r="C55" s="77">
        <f>SUM(C53:C54)</f>
        <v>8</v>
      </c>
      <c r="D55" s="48">
        <f t="shared" ref="D55:E55" si="10">SUM(D53:D54)</f>
        <v>10</v>
      </c>
      <c r="E55" s="48">
        <f t="shared" si="10"/>
        <v>0</v>
      </c>
      <c r="F55" s="65">
        <f t="shared" ref="F55:G55" si="11">SUM(F53:F54)</f>
        <v>2</v>
      </c>
      <c r="G55" s="48">
        <f t="shared" si="11"/>
        <v>0</v>
      </c>
      <c r="K55" s="86"/>
      <c r="L55" s="85"/>
    </row>
    <row r="56" spans="1:12" ht="18.75" customHeight="1" x14ac:dyDescent="0.35">
      <c r="A56" s="93" t="s">
        <v>36</v>
      </c>
      <c r="B56" s="112" t="s">
        <v>782</v>
      </c>
      <c r="C56" s="5">
        <f>+IFERROR(VLOOKUP($A56,RAIZ!$A$3:$X$1500,MATCH('Suc. Tecuala'!$F$1,RAIZ!$A$2:$X$2,0),FALSE),0)</f>
        <v>1</v>
      </c>
      <c r="D56" s="4">
        <v>1</v>
      </c>
      <c r="E56" s="5"/>
      <c r="F56" s="5">
        <f t="shared" ref="F56:F70" si="12">IF(D56-C56&gt;=0,D56-C56,0)</f>
        <v>0</v>
      </c>
      <c r="G56" s="5"/>
      <c r="K56" s="86"/>
      <c r="L56" s="85"/>
    </row>
    <row r="57" spans="1:12" ht="18.75" customHeight="1" x14ac:dyDescent="0.35">
      <c r="A57" s="93" t="s">
        <v>37</v>
      </c>
      <c r="B57" s="112" t="s">
        <v>783</v>
      </c>
      <c r="C57" s="5">
        <f>+IFERROR(VLOOKUP($A57,RAIZ!$A$3:$X$1500,MATCH('Suc. Tecuala'!$F$1,RAIZ!$A$2:$X$2,0),FALSE),0)</f>
        <v>4</v>
      </c>
      <c r="D57" s="7">
        <v>2</v>
      </c>
      <c r="E57" s="5"/>
      <c r="F57" s="5">
        <f t="shared" si="12"/>
        <v>0</v>
      </c>
      <c r="G57" s="5"/>
      <c r="K57" s="86"/>
      <c r="L57" s="85"/>
    </row>
    <row r="58" spans="1:12" ht="18.75" customHeight="1" x14ac:dyDescent="0.35">
      <c r="A58" s="93" t="s">
        <v>39</v>
      </c>
      <c r="B58" s="112" t="s">
        <v>784</v>
      </c>
      <c r="C58" s="5">
        <f>+IFERROR(VLOOKUP($A58,RAIZ!$A$3:$X$1500,MATCH('Suc. Tecuala'!$F$1,RAIZ!$A$2:$X$2,0),FALSE),0)</f>
        <v>1</v>
      </c>
      <c r="D58" s="7">
        <v>1</v>
      </c>
      <c r="E58" s="5"/>
      <c r="F58" s="5">
        <f t="shared" ref="F58" si="13">IF(D58-C58&gt;=0,D58-C58,0)</f>
        <v>0</v>
      </c>
      <c r="G58" s="5"/>
      <c r="K58" s="86"/>
      <c r="L58" s="85"/>
    </row>
    <row r="59" spans="1:12" ht="18.75" customHeight="1" x14ac:dyDescent="0.35">
      <c r="A59" s="93" t="s">
        <v>40</v>
      </c>
      <c r="B59" s="112" t="s">
        <v>785</v>
      </c>
      <c r="C59" s="5">
        <f>+IFERROR(VLOOKUP($A59,RAIZ!$A$3:$X$1500,MATCH('Suc. Tecuala'!$F$1,RAIZ!$A$2:$X$2,0),FALSE),0)</f>
        <v>0</v>
      </c>
      <c r="D59" s="7">
        <v>2</v>
      </c>
      <c r="E59" s="5"/>
      <c r="F59" s="5">
        <f t="shared" si="12"/>
        <v>2</v>
      </c>
      <c r="G59" s="5"/>
      <c r="K59" s="86"/>
      <c r="L59" s="85"/>
    </row>
    <row r="60" spans="1:12" ht="18.75" customHeight="1" x14ac:dyDescent="0.35">
      <c r="A60" s="93" t="s">
        <v>41</v>
      </c>
      <c r="B60" s="112" t="s">
        <v>786</v>
      </c>
      <c r="C60" s="5">
        <f>+IFERROR(VLOOKUP($A60,RAIZ!$A$3:$X$1500,MATCH('Suc. Tecuala'!$F$1,RAIZ!$A$2:$X$2,0),FALSE),0)</f>
        <v>2</v>
      </c>
      <c r="D60" s="7">
        <v>1</v>
      </c>
      <c r="E60" s="5"/>
      <c r="F60" s="5">
        <f t="shared" si="12"/>
        <v>0</v>
      </c>
      <c r="G60" s="5"/>
      <c r="K60" s="86"/>
      <c r="L60" s="85"/>
    </row>
    <row r="61" spans="1:12" ht="18.75" customHeight="1" x14ac:dyDescent="0.35">
      <c r="A61" s="101" t="s">
        <v>42</v>
      </c>
      <c r="B61" s="112" t="s">
        <v>787</v>
      </c>
      <c r="C61" s="5">
        <f>+IFERROR(VLOOKUP($A61,RAIZ!$A$3:$X$1500,MATCH('Suc. Tecuala'!$F$1,RAIZ!$A$2:$X$2,0),FALSE),0)</f>
        <v>2</v>
      </c>
      <c r="D61" s="4">
        <v>2</v>
      </c>
      <c r="E61" s="5"/>
      <c r="F61" s="5">
        <f t="shared" si="12"/>
        <v>0</v>
      </c>
      <c r="G61" s="5"/>
      <c r="K61" s="86"/>
      <c r="L61" s="85"/>
    </row>
    <row r="62" spans="1:12" ht="18.75" customHeight="1" x14ac:dyDescent="0.35">
      <c r="A62" s="102" t="s">
        <v>43</v>
      </c>
      <c r="B62" s="112" t="s">
        <v>788</v>
      </c>
      <c r="C62" s="5">
        <f>+IFERROR(VLOOKUP($A62,RAIZ!$A$3:$X$1500,MATCH('Suc. Tecuala'!$F$1,RAIZ!$A$2:$X$2,0),FALSE),0)</f>
        <v>2</v>
      </c>
      <c r="D62" s="7">
        <v>2</v>
      </c>
      <c r="E62" s="5"/>
      <c r="F62" s="5">
        <f t="shared" si="12"/>
        <v>0</v>
      </c>
      <c r="G62" s="5"/>
      <c r="K62" s="86"/>
      <c r="L62" s="85"/>
    </row>
    <row r="63" spans="1:12" ht="18.75" customHeight="1" x14ac:dyDescent="0.35">
      <c r="A63" s="93" t="s">
        <v>44</v>
      </c>
      <c r="B63" s="112" t="s">
        <v>789</v>
      </c>
      <c r="C63" s="5">
        <f>+IFERROR(VLOOKUP($A63,RAIZ!$A$3:$X$1500,MATCH('Suc. Tecuala'!$F$1,RAIZ!$A$2:$X$2,0),FALSE),0)</f>
        <v>1</v>
      </c>
      <c r="D63" s="7">
        <v>1</v>
      </c>
      <c r="E63" s="5"/>
      <c r="F63" s="5">
        <f t="shared" si="12"/>
        <v>0</v>
      </c>
      <c r="G63" s="5"/>
      <c r="K63" s="86"/>
      <c r="L63" s="85"/>
    </row>
    <row r="64" spans="1:12" ht="18.75" customHeight="1" x14ac:dyDescent="0.35">
      <c r="A64" s="93" t="s">
        <v>45</v>
      </c>
      <c r="B64" s="112" t="s">
        <v>790</v>
      </c>
      <c r="C64" s="5">
        <f>+IFERROR(VLOOKUP($A64,RAIZ!$A$3:$X$1500,MATCH('Suc. Tecuala'!$F$1,RAIZ!$A$2:$X$2,0),FALSE),0)</f>
        <v>1</v>
      </c>
      <c r="D64" s="4">
        <v>2</v>
      </c>
      <c r="E64" s="5"/>
      <c r="F64" s="5">
        <f t="shared" si="12"/>
        <v>1</v>
      </c>
      <c r="G64" s="5"/>
      <c r="K64" s="86"/>
      <c r="L64" s="85"/>
    </row>
    <row r="65" spans="1:12" ht="18.75" customHeight="1" x14ac:dyDescent="0.35">
      <c r="A65" s="93" t="s">
        <v>46</v>
      </c>
      <c r="B65" s="112" t="s">
        <v>791</v>
      </c>
      <c r="C65" s="5">
        <f>+IFERROR(VLOOKUP($A65,RAIZ!$A$3:$X$1500,MATCH('Suc. Tecuala'!$F$1,RAIZ!$A$2:$X$2,0),FALSE),0)</f>
        <v>2</v>
      </c>
      <c r="D65" s="7">
        <v>4</v>
      </c>
      <c r="E65" s="5"/>
      <c r="F65" s="5">
        <f t="shared" si="12"/>
        <v>2</v>
      </c>
      <c r="G65" s="5"/>
      <c r="K65" s="86"/>
      <c r="L65" s="85"/>
    </row>
    <row r="66" spans="1:12" ht="18.75" customHeight="1" x14ac:dyDescent="0.35">
      <c r="A66" s="93" t="s">
        <v>48</v>
      </c>
      <c r="B66" s="112" t="s">
        <v>792</v>
      </c>
      <c r="C66" s="5">
        <f>+IFERROR(VLOOKUP($A66,RAIZ!$A$3:$X$1500,MATCH('Suc. Tecuala'!$F$1,RAIZ!$A$2:$X$2,0),FALSE),0)</f>
        <v>3</v>
      </c>
      <c r="D66" s="7">
        <v>1</v>
      </c>
      <c r="E66" s="5"/>
      <c r="F66" s="5">
        <f t="shared" si="12"/>
        <v>0</v>
      </c>
      <c r="G66" s="5"/>
      <c r="K66" s="86"/>
      <c r="L66" s="85"/>
    </row>
    <row r="67" spans="1:12" ht="18.75" customHeight="1" x14ac:dyDescent="0.35">
      <c r="A67" s="93" t="s">
        <v>49</v>
      </c>
      <c r="B67" s="112" t="s">
        <v>793</v>
      </c>
      <c r="C67" s="5">
        <f>+IFERROR(VLOOKUP($A67,RAIZ!$A$3:$X$1500,MATCH('Suc. Tecuala'!$F$1,RAIZ!$A$2:$X$2,0),FALSE),0)</f>
        <v>0</v>
      </c>
      <c r="D67" s="7">
        <v>2</v>
      </c>
      <c r="E67" s="5"/>
      <c r="F67" s="5">
        <f t="shared" si="12"/>
        <v>2</v>
      </c>
      <c r="G67" s="5"/>
      <c r="K67" s="86"/>
      <c r="L67" s="85"/>
    </row>
    <row r="68" spans="1:12" ht="18.75" customHeight="1" x14ac:dyDescent="0.35">
      <c r="A68" s="93" t="s">
        <v>50</v>
      </c>
      <c r="B68" s="112" t="s">
        <v>794</v>
      </c>
      <c r="C68" s="5">
        <f>+IFERROR(VLOOKUP($A68,RAIZ!$A$3:$X$1500,MATCH('Suc. Tecuala'!$F$1,RAIZ!$A$2:$X$2,0),FALSE),0)</f>
        <v>2</v>
      </c>
      <c r="D68" s="4">
        <v>3</v>
      </c>
      <c r="E68" s="5"/>
      <c r="F68" s="5">
        <f t="shared" si="12"/>
        <v>1</v>
      </c>
      <c r="G68" s="5"/>
      <c r="K68" s="86"/>
      <c r="L68" s="85"/>
    </row>
    <row r="69" spans="1:12" ht="18.75" customHeight="1" x14ac:dyDescent="0.35">
      <c r="A69" s="93" t="s">
        <v>51</v>
      </c>
      <c r="B69" s="112" t="s">
        <v>795</v>
      </c>
      <c r="C69" s="5">
        <f>+IFERROR(VLOOKUP($A69,RAIZ!$A$3:$X$1500,MATCH('Suc. Tecuala'!$F$1,RAIZ!$A$2:$X$2,0),FALSE),0)</f>
        <v>0</v>
      </c>
      <c r="D69" s="7">
        <v>1</v>
      </c>
      <c r="E69" s="5"/>
      <c r="F69" s="5">
        <f t="shared" si="12"/>
        <v>1</v>
      </c>
      <c r="G69" s="5"/>
      <c r="K69" s="86"/>
      <c r="L69" s="85"/>
    </row>
    <row r="70" spans="1:12" ht="18.75" customHeight="1" x14ac:dyDescent="0.35">
      <c r="A70" s="93" t="s">
        <v>53</v>
      </c>
      <c r="B70" s="112" t="s">
        <v>796</v>
      </c>
      <c r="C70" s="5">
        <f>+IFERROR(VLOOKUP($A70,RAIZ!$A$3:$X$1500,MATCH('Suc. Tecuala'!$F$1,RAIZ!$A$2:$X$2,0),FALSE),0)</f>
        <v>5</v>
      </c>
      <c r="D70" s="20">
        <v>3</v>
      </c>
      <c r="E70" s="5"/>
      <c r="F70" s="5">
        <f t="shared" si="12"/>
        <v>0</v>
      </c>
      <c r="G70" s="5"/>
      <c r="K70" s="86"/>
      <c r="L70" s="85"/>
    </row>
    <row r="71" spans="1:12" ht="18.75" customHeight="1" x14ac:dyDescent="0.35">
      <c r="A71" s="93" t="s">
        <v>47</v>
      </c>
      <c r="B71" s="112" t="s">
        <v>873</v>
      </c>
      <c r="C71" s="5">
        <f>+IFERROR(VLOOKUP($A71,RAIZ!$A$3:$X$1500,MATCH('Suc. Tecuala'!$F$1,RAIZ!$A$2:$X$2,0),FALSE),0)</f>
        <v>1</v>
      </c>
      <c r="D71" s="20">
        <v>2</v>
      </c>
      <c r="E71" s="5"/>
      <c r="F71" s="5">
        <f t="shared" ref="F71:F77" si="14">IF(D71-C71&gt;=0,D71-C71,0)</f>
        <v>1</v>
      </c>
      <c r="G71" s="5"/>
    </row>
    <row r="72" spans="1:12" ht="18.75" hidden="1" customHeight="1" x14ac:dyDescent="0.35">
      <c r="A72" s="86" t="s">
        <v>1089</v>
      </c>
      <c r="B72" s="112" t="s">
        <v>1090</v>
      </c>
      <c r="C72" s="5">
        <f>+IFERROR(VLOOKUP($A72,RAIZ!$A$3:$X$1500,MATCH('Suc. Tecuala'!$F$1,RAIZ!$A$2:$X$2,0),FALSE),0)</f>
        <v>0</v>
      </c>
      <c r="D72" s="20">
        <v>0</v>
      </c>
      <c r="E72" s="5"/>
      <c r="F72" s="5">
        <f>IF(D72-C72&gt;=0,D72-C72,0)</f>
        <v>0</v>
      </c>
      <c r="G72" s="5"/>
    </row>
    <row r="73" spans="1:12" ht="18.75" customHeight="1" x14ac:dyDescent="0.35">
      <c r="A73" s="93"/>
      <c r="B73" s="112"/>
      <c r="C73" s="5">
        <f>+IFERROR(VLOOKUP($A73,RAIZ!$A$3:$X$1500,MATCH('Suc. Tecuala'!$F$1,RAIZ!$A$2:$X$2,0),FALSE),0)</f>
        <v>0</v>
      </c>
      <c r="D73" s="20"/>
      <c r="E73" s="5"/>
      <c r="F73" s="5">
        <f t="shared" si="14"/>
        <v>0</v>
      </c>
      <c r="G73" s="5"/>
      <c r="K73" s="86"/>
      <c r="L73" s="85"/>
    </row>
    <row r="74" spans="1:12" ht="18.75" customHeight="1" x14ac:dyDescent="0.35">
      <c r="A74" s="93"/>
      <c r="B74" s="112"/>
      <c r="C74" s="5">
        <f>+IFERROR(VLOOKUP($A74,RAIZ!$A$3:$X$1500,MATCH('Suc. Tecuala'!$F$1,RAIZ!$A$2:$X$2,0),FALSE),0)</f>
        <v>0</v>
      </c>
      <c r="D74" s="20"/>
      <c r="E74" s="5"/>
      <c r="F74" s="5">
        <f t="shared" si="14"/>
        <v>0</v>
      </c>
      <c r="G74" s="5"/>
      <c r="K74" s="86"/>
      <c r="L74" s="85"/>
    </row>
    <row r="75" spans="1:12" ht="18.75" customHeight="1" x14ac:dyDescent="0.35">
      <c r="A75" s="93"/>
      <c r="B75" s="112"/>
      <c r="C75" s="5">
        <f>+IFERROR(VLOOKUP($A75,RAIZ!$A$3:$X$1500,MATCH('Suc. Tecuala'!$F$1,RAIZ!$A$2:$X$2,0),FALSE),0)</f>
        <v>0</v>
      </c>
      <c r="D75" s="20"/>
      <c r="E75" s="5"/>
      <c r="F75" s="5">
        <f t="shared" si="14"/>
        <v>0</v>
      </c>
      <c r="G75" s="5"/>
      <c r="K75" s="86"/>
      <c r="L75" s="85"/>
    </row>
    <row r="76" spans="1:12" ht="18.75" customHeight="1" x14ac:dyDescent="0.35">
      <c r="A76" s="93"/>
      <c r="B76" s="112"/>
      <c r="C76" s="5">
        <f>+IFERROR(VLOOKUP($A76,RAIZ!$A$3:$X$1500,MATCH('Suc. Tecuala'!$F$1,RAIZ!$A$2:$X$2,0),FALSE),0)</f>
        <v>0</v>
      </c>
      <c r="D76" s="20"/>
      <c r="E76" s="5"/>
      <c r="F76" s="5">
        <f t="shared" si="14"/>
        <v>0</v>
      </c>
      <c r="G76" s="5"/>
      <c r="K76" s="86"/>
      <c r="L76" s="85"/>
    </row>
    <row r="77" spans="1:12" ht="18.75" customHeight="1" thickBot="1" x14ac:dyDescent="0.4">
      <c r="A77" s="93"/>
      <c r="B77" s="112"/>
      <c r="C77" s="5">
        <f>+IFERROR(VLOOKUP($A77,RAIZ!$A$3:$X$1500,MATCH('Suc. Tecuala'!$F$1,RAIZ!$A$2:$X$2,0),FALSE),0)</f>
        <v>0</v>
      </c>
      <c r="D77" s="20"/>
      <c r="E77" s="5"/>
      <c r="F77" s="5">
        <f t="shared" si="14"/>
        <v>0</v>
      </c>
      <c r="G77" s="5"/>
    </row>
    <row r="78" spans="1:12" ht="18.75" customHeight="1" thickBot="1" x14ac:dyDescent="0.4">
      <c r="A78" s="99" t="s">
        <v>54</v>
      </c>
      <c r="B78" s="111"/>
      <c r="C78" s="77">
        <f>SUM(C56:C77)</f>
        <v>27</v>
      </c>
      <c r="D78" s="48">
        <f>SUM(D56:D77)</f>
        <v>30</v>
      </c>
      <c r="E78" s="48">
        <f>SUM(E56:E77)</f>
        <v>0</v>
      </c>
      <c r="F78" s="65">
        <f>SUM(F56:F77)</f>
        <v>10</v>
      </c>
      <c r="G78" s="48">
        <f>SUM(G56:G77)</f>
        <v>0</v>
      </c>
    </row>
    <row r="79" spans="1:12" ht="18.75" customHeight="1" thickBot="1" x14ac:dyDescent="0.4">
      <c r="A79" s="103" t="s">
        <v>55</v>
      </c>
      <c r="B79" s="111"/>
      <c r="C79" s="79">
        <f>C18+C32+C49+C52+C55+C78</f>
        <v>104</v>
      </c>
      <c r="D79" s="52">
        <f>D18+D32+D49+D52+D55+D78</f>
        <v>108</v>
      </c>
      <c r="E79" s="52">
        <f>E18+E32+E49+E52+E55+E78</f>
        <v>0</v>
      </c>
      <c r="F79" s="67">
        <f>F18+F32+F49+F52+F55+F78</f>
        <v>26</v>
      </c>
      <c r="G79" s="52">
        <f>G18+G32+G49+G52+G55+G78</f>
        <v>0</v>
      </c>
    </row>
    <row r="80" spans="1:12" ht="18.75" customHeight="1" x14ac:dyDescent="0.35">
      <c r="A80" s="104" t="s">
        <v>56</v>
      </c>
      <c r="B80" s="111"/>
      <c r="C80" s="68"/>
      <c r="D80" s="26"/>
      <c r="E80" s="27"/>
      <c r="F80" s="27"/>
      <c r="G80" s="27"/>
    </row>
    <row r="81" spans="1:7" ht="18.75" customHeight="1" x14ac:dyDescent="0.35">
      <c r="A81" s="94" t="s">
        <v>57</v>
      </c>
      <c r="B81" s="112" t="s">
        <v>797</v>
      </c>
      <c r="C81" s="5">
        <f>+IFERROR(VLOOKUP($A81,RAIZ!$A$3:$X$1500,MATCH('Suc. Tecuala'!$F$1,RAIZ!$A$2:$X$2,0),FALSE),0)</f>
        <v>0</v>
      </c>
      <c r="D81" s="4">
        <v>2</v>
      </c>
      <c r="E81" s="5"/>
      <c r="F81" s="5">
        <f t="shared" ref="F81:F85" si="15">IF(D81-C81&gt;=0,D81-C81,0)</f>
        <v>2</v>
      </c>
      <c r="G81" s="5"/>
    </row>
    <row r="82" spans="1:7" ht="18.75" customHeight="1" x14ac:dyDescent="0.35">
      <c r="A82" s="94" t="s">
        <v>58</v>
      </c>
      <c r="B82" s="112" t="s">
        <v>867</v>
      </c>
      <c r="C82" s="5">
        <f>+IFERROR(VLOOKUP($A82,RAIZ!$A$3:$X$1500,MATCH('Suc. Tecuala'!$F$1,RAIZ!$A$2:$X$2,0),FALSE),0)</f>
        <v>0</v>
      </c>
      <c r="D82" s="4">
        <v>1</v>
      </c>
      <c r="E82" s="5"/>
      <c r="F82" s="5">
        <f t="shared" ref="F82" si="16">IF(D82-C82&gt;=0,D82-C82,0)</f>
        <v>1</v>
      </c>
      <c r="G82" s="5"/>
    </row>
    <row r="83" spans="1:7" ht="18.75" customHeight="1" x14ac:dyDescent="0.35">
      <c r="A83" s="94" t="s">
        <v>59</v>
      </c>
      <c r="B83" s="112" t="s">
        <v>798</v>
      </c>
      <c r="C83" s="5">
        <f>+IFERROR(VLOOKUP($A83,RAIZ!$A$3:$X$1500,MATCH('Suc. Tecuala'!$F$1,RAIZ!$A$2:$X$2,0),FALSE),0)</f>
        <v>0</v>
      </c>
      <c r="D83" s="7">
        <v>1</v>
      </c>
      <c r="E83" s="5"/>
      <c r="F83" s="5">
        <f t="shared" si="15"/>
        <v>1</v>
      </c>
      <c r="G83" s="5"/>
    </row>
    <row r="84" spans="1:7" ht="18.75" customHeight="1" x14ac:dyDescent="0.35">
      <c r="A84" s="94" t="s">
        <v>60</v>
      </c>
      <c r="B84" s="112" t="s">
        <v>799</v>
      </c>
      <c r="C84" s="5">
        <f>+IFERROR(VLOOKUP($A84,RAIZ!$A$3:$X$1500,MATCH('Suc. Tecuala'!$F$1,RAIZ!$A$2:$X$2,0),FALSE),0)</f>
        <v>1</v>
      </c>
      <c r="D84" s="7">
        <v>2</v>
      </c>
      <c r="E84" s="5"/>
      <c r="F84" s="5">
        <f t="shared" si="15"/>
        <v>1</v>
      </c>
      <c r="G84" s="5"/>
    </row>
    <row r="85" spans="1:7" ht="18.75" customHeight="1" x14ac:dyDescent="0.35">
      <c r="A85" s="94" t="s">
        <v>61</v>
      </c>
      <c r="B85" s="112" t="s">
        <v>800</v>
      </c>
      <c r="C85" s="5">
        <f>+IFERROR(VLOOKUP($A85,RAIZ!$A$3:$X$1500,MATCH('Suc. Tecuala'!$F$1,RAIZ!$A$2:$X$2,0),FALSE),0)</f>
        <v>2</v>
      </c>
      <c r="D85" s="7">
        <v>2</v>
      </c>
      <c r="E85" s="5"/>
      <c r="F85" s="5">
        <f t="shared" si="15"/>
        <v>0</v>
      </c>
      <c r="G85" s="5"/>
    </row>
    <row r="86" spans="1:7" ht="18.75" customHeight="1" x14ac:dyDescent="0.35">
      <c r="A86" s="94" t="s">
        <v>63</v>
      </c>
      <c r="B86" s="112" t="s">
        <v>801</v>
      </c>
      <c r="C86" s="5">
        <f>+IFERROR(VLOOKUP($A86,RAIZ!$A$3:$X$1500,MATCH('Suc. Tecuala'!$F$1,RAIZ!$A$2:$X$2,0),FALSE),0)</f>
        <v>1</v>
      </c>
      <c r="D86" s="7">
        <v>3</v>
      </c>
      <c r="E86" s="5"/>
      <c r="F86" s="5">
        <f t="shared" ref="F86:F90" si="17">IF(D86-C86&gt;=0,D86-C86,0)</f>
        <v>2</v>
      </c>
      <c r="G86" s="5"/>
    </row>
    <row r="87" spans="1:7" ht="18.75" customHeight="1" x14ac:dyDescent="0.35">
      <c r="A87" s="94"/>
      <c r="B87" s="112" t="s">
        <v>1091</v>
      </c>
      <c r="C87" s="5">
        <f>+IFERROR(VLOOKUP($A87,RAIZ!$A$3:$X$1500,MATCH('Suc. Tecuala'!$F$1,RAIZ!$A$2:$X$2,0),FALSE),0)</f>
        <v>0</v>
      </c>
      <c r="D87" s="20"/>
      <c r="E87" s="5"/>
      <c r="F87" s="5">
        <f>IF(D87-C87&gt;=0,D87-C87,0)</f>
        <v>0</v>
      </c>
      <c r="G87" s="5"/>
    </row>
    <row r="88" spans="1:7" ht="18.75" customHeight="1" x14ac:dyDescent="0.35">
      <c r="A88" s="94"/>
      <c r="B88" s="112" t="s">
        <v>1094</v>
      </c>
      <c r="C88" s="5">
        <f>+IFERROR(VLOOKUP($A88,RAIZ!$A$3:$X$1500,MATCH('Suc. Tecuala'!$F$1,RAIZ!$A$2:$X$2,0),FALSE),0)</f>
        <v>0</v>
      </c>
      <c r="D88" s="7"/>
      <c r="E88" s="5"/>
      <c r="F88" s="5">
        <f t="shared" si="17"/>
        <v>0</v>
      </c>
      <c r="G88" s="5"/>
    </row>
    <row r="89" spans="1:7" ht="18.75" customHeight="1" x14ac:dyDescent="0.35">
      <c r="A89" s="94"/>
      <c r="B89" s="112" t="s">
        <v>1095</v>
      </c>
      <c r="C89" s="5">
        <f>+IFERROR(VLOOKUP($A89,RAIZ!$A$3:$X$1500,MATCH('Suc. Tecuala'!$F$1,RAIZ!$A$2:$X$2,0),FALSE),0)</f>
        <v>0</v>
      </c>
      <c r="D89" s="7"/>
      <c r="E89" s="5"/>
      <c r="F89" s="5">
        <f t="shared" si="17"/>
        <v>0</v>
      </c>
      <c r="G89" s="5"/>
    </row>
    <row r="90" spans="1:7" ht="18.75" customHeight="1" thickBot="1" x14ac:dyDescent="0.4">
      <c r="A90" s="94"/>
      <c r="B90" s="112" t="s">
        <v>1093</v>
      </c>
      <c r="C90" s="5">
        <f>+IFERROR(VLOOKUP($A90,RAIZ!$A$3:$X$1500,MATCH('Suc. Tecuala'!$F$1,RAIZ!$A$2:$X$2,0),FALSE),0)</f>
        <v>0</v>
      </c>
      <c r="D90" s="7"/>
      <c r="E90" s="5"/>
      <c r="F90" s="5">
        <f t="shared" si="17"/>
        <v>0</v>
      </c>
      <c r="G90" s="5"/>
    </row>
    <row r="91" spans="1:7" ht="18.75" customHeight="1" thickBot="1" x14ac:dyDescent="0.4">
      <c r="A91" s="105" t="s">
        <v>55</v>
      </c>
      <c r="B91" s="111"/>
      <c r="C91" s="80">
        <f>SUM(C81:C90)</f>
        <v>4</v>
      </c>
      <c r="D91" s="54">
        <f>SUM(D81:D90)</f>
        <v>11</v>
      </c>
      <c r="E91" s="54">
        <f>SUM(E81:E90)</f>
        <v>0</v>
      </c>
      <c r="F91" s="69">
        <f>SUM(F81:F90)</f>
        <v>7</v>
      </c>
      <c r="G91" s="54">
        <f>SUM(G81:G90)</f>
        <v>0</v>
      </c>
    </row>
    <row r="92" spans="1:7" ht="18.75" customHeight="1" x14ac:dyDescent="0.35">
      <c r="A92" s="106" t="s">
        <v>64</v>
      </c>
      <c r="B92" s="111"/>
      <c r="C92" s="70"/>
      <c r="D92" s="30"/>
      <c r="E92" s="31"/>
      <c r="F92" s="31"/>
      <c r="G92" s="31"/>
    </row>
    <row r="93" spans="1:7" ht="18.75" customHeight="1" x14ac:dyDescent="0.35">
      <c r="A93" s="94" t="s">
        <v>65</v>
      </c>
      <c r="B93" s="112" t="s">
        <v>802</v>
      </c>
      <c r="C93" s="5">
        <f>+IFERROR(VLOOKUP($A93,RAIZ!$A$3:$X$1500,MATCH('Suc. Tecuala'!$F$1,RAIZ!$A$2:$X$2,0),FALSE),0)</f>
        <v>0</v>
      </c>
      <c r="D93" s="168">
        <v>0</v>
      </c>
      <c r="E93" s="5"/>
      <c r="F93" s="5">
        <f t="shared" ref="F93:F104" si="18">IF(D93-C93&gt;=0,D93-C93,0)</f>
        <v>0</v>
      </c>
      <c r="G93" s="5"/>
    </row>
    <row r="94" spans="1:7" ht="18.75" customHeight="1" x14ac:dyDescent="0.35">
      <c r="A94" s="94" t="s">
        <v>66</v>
      </c>
      <c r="B94" s="112" t="s">
        <v>803</v>
      </c>
      <c r="C94" s="5">
        <f>+IFERROR(VLOOKUP($A94,RAIZ!$A$3:$X$1500,MATCH('Suc. Tecuala'!$F$1,RAIZ!$A$2:$X$2,0),FALSE),0)</f>
        <v>0</v>
      </c>
      <c r="D94" s="169">
        <v>0</v>
      </c>
      <c r="E94" s="5"/>
      <c r="F94" s="5">
        <f t="shared" si="18"/>
        <v>0</v>
      </c>
      <c r="G94" s="5"/>
    </row>
    <row r="95" spans="1:7" ht="18.75" customHeight="1" x14ac:dyDescent="0.35">
      <c r="A95" s="94" t="s">
        <v>68</v>
      </c>
      <c r="B95" s="112" t="s">
        <v>805</v>
      </c>
      <c r="C95" s="5">
        <f>+IFERROR(VLOOKUP($A95,RAIZ!$A$3:$X$1500,MATCH('Suc. Tecuala'!$F$1,RAIZ!$A$2:$X$2,0),FALSE),0)</f>
        <v>0</v>
      </c>
      <c r="D95" s="7">
        <v>1</v>
      </c>
      <c r="E95" s="5"/>
      <c r="F95" s="5">
        <f t="shared" si="18"/>
        <v>1</v>
      </c>
      <c r="G95" s="5"/>
    </row>
    <row r="96" spans="1:7" ht="18.75" customHeight="1" x14ac:dyDescent="0.35">
      <c r="A96" s="94" t="s">
        <v>69</v>
      </c>
      <c r="B96" s="112" t="s">
        <v>806</v>
      </c>
      <c r="C96" s="5">
        <f>+IFERROR(VLOOKUP($A96,RAIZ!$A$3:$X$1500,MATCH('Suc. Tecuala'!$F$1,RAIZ!$A$2:$X$2,0),FALSE),0)</f>
        <v>4</v>
      </c>
      <c r="D96" s="7">
        <v>6</v>
      </c>
      <c r="E96" s="5"/>
      <c r="F96" s="5">
        <f t="shared" si="18"/>
        <v>2</v>
      </c>
      <c r="G96" s="5"/>
    </row>
    <row r="97" spans="1:7" ht="18.75" customHeight="1" x14ac:dyDescent="0.35">
      <c r="A97" s="94" t="s">
        <v>70</v>
      </c>
      <c r="B97" s="112" t="s">
        <v>807</v>
      </c>
      <c r="C97" s="5">
        <f>+IFERROR(VLOOKUP($A97,RAIZ!$A$3:$X$1500,MATCH('Suc. Tecuala'!$F$1,RAIZ!$A$2:$X$2,0),FALSE),0)</f>
        <v>5</v>
      </c>
      <c r="D97" s="7">
        <v>4</v>
      </c>
      <c r="E97" s="5"/>
      <c r="F97" s="5">
        <f t="shared" si="18"/>
        <v>0</v>
      </c>
      <c r="G97" s="5"/>
    </row>
    <row r="98" spans="1:7" ht="18.75" customHeight="1" x14ac:dyDescent="0.35">
      <c r="A98" s="94" t="s">
        <v>857</v>
      </c>
      <c r="B98" s="112" t="s">
        <v>808</v>
      </c>
      <c r="C98" s="5">
        <f>+IFERROR(VLOOKUP($A98,RAIZ!$A$3:$X$1500,MATCH('Suc. Tecuala'!$F$1,RAIZ!$A$2:$X$2,0),FALSE),0)</f>
        <v>2</v>
      </c>
      <c r="D98" s="7">
        <v>5</v>
      </c>
      <c r="E98" s="201">
        <v>5</v>
      </c>
      <c r="F98" s="5">
        <f t="shared" si="18"/>
        <v>3</v>
      </c>
      <c r="G98" s="5"/>
    </row>
    <row r="99" spans="1:7" ht="18.75" customHeight="1" x14ac:dyDescent="0.35">
      <c r="A99" s="94" t="s">
        <v>835</v>
      </c>
      <c r="B99" s="112" t="s">
        <v>836</v>
      </c>
      <c r="C99" s="5">
        <f>+IFERROR(VLOOKUP($A99,RAIZ!$A$3:$X$1500,MATCH('Suc. Tecuala'!$F$1,RAIZ!$A$2:$X$2,0),FALSE),0)</f>
        <v>0</v>
      </c>
      <c r="D99" s="7">
        <v>2</v>
      </c>
      <c r="E99" s="5"/>
      <c r="F99" s="5">
        <f t="shared" ref="F99:F103" si="19">IF(D99-C99&gt;=0,D99-C99,0)</f>
        <v>2</v>
      </c>
      <c r="G99" s="5"/>
    </row>
    <row r="100" spans="1:7" ht="18.75" customHeight="1" x14ac:dyDescent="0.35">
      <c r="A100" s="94" t="s">
        <v>72</v>
      </c>
      <c r="B100" s="112" t="s">
        <v>834</v>
      </c>
      <c r="C100" s="5">
        <f>+IFERROR(VLOOKUP($A100,RAIZ!$A$3:$X$1500,MATCH('Suc. Tecuala'!$F$1,RAIZ!$A$2:$X$2,0),FALSE),0)</f>
        <v>24</v>
      </c>
      <c r="D100" s="7">
        <v>25</v>
      </c>
      <c r="E100" s="5"/>
      <c r="F100" s="5">
        <f t="shared" si="19"/>
        <v>1</v>
      </c>
      <c r="G100" s="5"/>
    </row>
    <row r="101" spans="1:7" ht="18.75" customHeight="1" x14ac:dyDescent="0.35">
      <c r="A101" s="94" t="s">
        <v>73</v>
      </c>
      <c r="B101" s="112" t="s">
        <v>809</v>
      </c>
      <c r="C101" s="5">
        <f>+IFERROR(VLOOKUP($A101,RAIZ!$A$3:$X$1500,MATCH('Suc. Tecuala'!$F$1,RAIZ!$A$2:$X$2,0),FALSE),0)</f>
        <v>0</v>
      </c>
      <c r="D101" s="7">
        <v>0</v>
      </c>
      <c r="E101" s="5"/>
      <c r="F101" s="5">
        <f t="shared" si="19"/>
        <v>0</v>
      </c>
      <c r="G101" s="5"/>
    </row>
    <row r="102" spans="1:7" ht="18.75" customHeight="1" x14ac:dyDescent="0.35">
      <c r="A102" s="94" t="s">
        <v>74</v>
      </c>
      <c r="B102" s="112" t="s">
        <v>810</v>
      </c>
      <c r="C102" s="5">
        <f>+IFERROR(VLOOKUP($A102,RAIZ!$A$3:$X$1500,MATCH('Suc. Tecuala'!$F$1,RAIZ!$A$2:$X$2,0),FALSE),0)</f>
        <v>0</v>
      </c>
      <c r="D102" s="7">
        <v>2</v>
      </c>
      <c r="E102" s="5"/>
      <c r="F102" s="5">
        <f t="shared" si="19"/>
        <v>2</v>
      </c>
      <c r="G102" s="5"/>
    </row>
    <row r="103" spans="1:7" ht="18.75" customHeight="1" x14ac:dyDescent="0.35">
      <c r="A103" s="94" t="s">
        <v>75</v>
      </c>
      <c r="B103" s="112" t="s">
        <v>811</v>
      </c>
      <c r="C103" s="5">
        <f>+IFERROR(VLOOKUP($A103,RAIZ!$A$3:$X$1500,MATCH('Suc. Tecuala'!$F$1,RAIZ!$A$2:$X$2,0),FALSE),0)</f>
        <v>2</v>
      </c>
      <c r="D103" s="20">
        <v>2</v>
      </c>
      <c r="E103" s="5"/>
      <c r="F103" s="5">
        <f t="shared" si="19"/>
        <v>0</v>
      </c>
      <c r="G103" s="5"/>
    </row>
    <row r="104" spans="1:7" ht="18.75" customHeight="1" thickBot="1" x14ac:dyDescent="0.4">
      <c r="A104" s="94"/>
      <c r="B104" s="112" t="s">
        <v>1096</v>
      </c>
      <c r="C104" s="5">
        <f>+IFERROR(VLOOKUP($A104,RAIZ!$A$3:$X$1500,MATCH('Suc. Tecuala'!$F$1,RAIZ!$A$2:$X$2,0),FALSE),0)</f>
        <v>0</v>
      </c>
      <c r="D104" s="7"/>
      <c r="E104" s="5"/>
      <c r="F104" s="5">
        <f t="shared" si="18"/>
        <v>0</v>
      </c>
      <c r="G104" s="5"/>
    </row>
    <row r="105" spans="1:7" ht="18.75" customHeight="1" thickBot="1" x14ac:dyDescent="0.4">
      <c r="A105" s="107" t="s">
        <v>55</v>
      </c>
      <c r="B105" s="111"/>
      <c r="C105" s="81">
        <f>SUM(C93:C104)</f>
        <v>37</v>
      </c>
      <c r="D105" s="56">
        <f>SUM(D93:D104)</f>
        <v>47</v>
      </c>
      <c r="E105" s="56">
        <f>SUM(E93:E104)</f>
        <v>5</v>
      </c>
      <c r="F105" s="71">
        <f>SUM(F93:F104)</f>
        <v>11</v>
      </c>
      <c r="G105" s="56">
        <f>SUM(G93:G104)</f>
        <v>0</v>
      </c>
    </row>
    <row r="106" spans="1:7" ht="18.75" customHeight="1" x14ac:dyDescent="0.35">
      <c r="A106" s="108" t="s">
        <v>76</v>
      </c>
      <c r="B106" s="111"/>
      <c r="C106" s="72"/>
      <c r="D106" s="34"/>
      <c r="E106" s="35"/>
      <c r="F106" s="35"/>
      <c r="G106" s="35"/>
    </row>
    <row r="107" spans="1:7" ht="18.75" customHeight="1" x14ac:dyDescent="0.35">
      <c r="A107" s="94" t="s">
        <v>77</v>
      </c>
      <c r="B107" s="112" t="s">
        <v>812</v>
      </c>
      <c r="C107" s="5">
        <f>+IFERROR(VLOOKUP($A107,RAIZ!$A$3:$X$1500,MATCH('Suc. Tecuala'!$F$1,RAIZ!$A$2:$X$2,0),FALSE),0)</f>
        <v>0</v>
      </c>
      <c r="D107" s="7">
        <v>2</v>
      </c>
      <c r="E107" s="5"/>
      <c r="F107" s="5">
        <f t="shared" ref="F107:F112" si="20">IF(D107-C107&gt;=0,D107-C107,0)</f>
        <v>2</v>
      </c>
      <c r="G107" s="5"/>
    </row>
    <row r="108" spans="1:7" ht="18.75" customHeight="1" x14ac:dyDescent="0.35">
      <c r="A108" s="94" t="s">
        <v>621</v>
      </c>
      <c r="B108" s="112" t="s">
        <v>813</v>
      </c>
      <c r="C108" s="5">
        <f>+IFERROR(VLOOKUP($A108,RAIZ!$A$3:$X$1500,MATCH('Suc. Tecuala'!$F$1,RAIZ!$A$2:$X$2,0),FALSE),0)</f>
        <v>0</v>
      </c>
      <c r="D108" s="7">
        <v>0</v>
      </c>
      <c r="E108" s="5"/>
      <c r="F108" s="5">
        <f t="shared" si="20"/>
        <v>0</v>
      </c>
      <c r="G108" s="5"/>
    </row>
    <row r="109" spans="1:7" ht="18.75" customHeight="1" x14ac:dyDescent="0.35">
      <c r="A109" s="94" t="s">
        <v>80</v>
      </c>
      <c r="B109" s="112" t="s">
        <v>815</v>
      </c>
      <c r="C109" s="5">
        <f>+IFERROR(VLOOKUP($A109,RAIZ!$A$3:$X$1500,MATCH('Suc. Tecuala'!$F$1,RAIZ!$A$2:$X$2,0),FALSE),0)</f>
        <v>3</v>
      </c>
      <c r="D109" s="7">
        <v>10</v>
      </c>
      <c r="E109" s="5"/>
      <c r="F109" s="5">
        <f t="shared" si="20"/>
        <v>7</v>
      </c>
      <c r="G109" s="5"/>
    </row>
    <row r="110" spans="1:7" ht="18.75" customHeight="1" x14ac:dyDescent="0.35">
      <c r="A110" s="94" t="s">
        <v>81</v>
      </c>
      <c r="B110" s="112" t="s">
        <v>816</v>
      </c>
      <c r="C110" s="5">
        <f>+IFERROR(VLOOKUP($A110,RAIZ!$A$3:$X$1500,MATCH('Suc. Tecuala'!$F$1,RAIZ!$A$2:$X$2,0),FALSE),0)</f>
        <v>3</v>
      </c>
      <c r="D110" s="7">
        <v>8</v>
      </c>
      <c r="E110" s="5"/>
      <c r="F110" s="5">
        <f t="shared" si="20"/>
        <v>5</v>
      </c>
      <c r="G110" s="5"/>
    </row>
    <row r="111" spans="1:7" ht="18.75" customHeight="1" x14ac:dyDescent="0.35">
      <c r="A111" s="95" t="s">
        <v>83</v>
      </c>
      <c r="B111" s="112" t="s">
        <v>818</v>
      </c>
      <c r="C111" s="5">
        <f>+IFERROR(VLOOKUP($A111,RAIZ!$A$3:$X$1500,MATCH('Suc. Tecuala'!$F$1,RAIZ!$A$2:$X$2,0),FALSE),0)</f>
        <v>0</v>
      </c>
      <c r="D111" s="20">
        <v>2</v>
      </c>
      <c r="E111" s="5"/>
      <c r="F111" s="5">
        <f t="shared" si="20"/>
        <v>2</v>
      </c>
      <c r="G111" s="5"/>
    </row>
    <row r="112" spans="1:7" ht="18.75" customHeight="1" thickBot="1" x14ac:dyDescent="0.4">
      <c r="A112" s="95"/>
      <c r="B112" s="112"/>
      <c r="C112" s="5">
        <f>+IFERROR(VLOOKUP($A112,RAIZ!$A$3:$X$1500,MATCH('Suc. Tecuala'!$F$1,RAIZ!$A$2:$X$2,0),FALSE),0)</f>
        <v>0</v>
      </c>
      <c r="D112" s="20"/>
      <c r="E112" s="5"/>
      <c r="F112" s="5">
        <f t="shared" si="20"/>
        <v>0</v>
      </c>
      <c r="G112" s="5"/>
    </row>
    <row r="113" spans="1:7" ht="18.75" customHeight="1" thickBot="1" x14ac:dyDescent="0.4">
      <c r="A113" s="109" t="s">
        <v>55</v>
      </c>
      <c r="B113" s="111"/>
      <c r="C113" s="82">
        <f>SUM(C107:C112,C114:C116)</f>
        <v>13</v>
      </c>
      <c r="D113" s="58">
        <f>SUM(D107:D112,D114:D116)</f>
        <v>28</v>
      </c>
      <c r="E113" s="58">
        <f>SUM(E107:E112,E114:E116)</f>
        <v>0</v>
      </c>
      <c r="F113" s="73">
        <f>SUM(F107:F112,F114:F116)</f>
        <v>18</v>
      </c>
      <c r="G113" s="58">
        <f>SUM(G107:G112,G114:G116)</f>
        <v>0</v>
      </c>
    </row>
    <row r="114" spans="1:7" ht="18.75" customHeight="1" x14ac:dyDescent="0.35">
      <c r="A114" s="93" t="s">
        <v>84</v>
      </c>
      <c r="B114" s="112" t="s">
        <v>819</v>
      </c>
      <c r="C114" s="5">
        <f>+IFERROR(VLOOKUP($A114,RAIZ!$A$3:$X$1500,MATCH('Suc. Tecuala'!$F$1,RAIZ!$A$2:$X$2,0),FALSE),0)</f>
        <v>5</v>
      </c>
      <c r="D114" s="4">
        <v>2</v>
      </c>
      <c r="E114" s="5"/>
      <c r="F114" s="5">
        <f t="shared" ref="F114" si="21">IF(D114-C114&gt;=0,D114-C114,0)</f>
        <v>0</v>
      </c>
      <c r="G114" s="5"/>
    </row>
    <row r="115" spans="1:7" ht="18.75" customHeight="1" x14ac:dyDescent="0.35">
      <c r="A115" s="95" t="s">
        <v>85</v>
      </c>
      <c r="B115" s="112" t="s">
        <v>820</v>
      </c>
      <c r="C115" s="5">
        <f>+IFERROR(VLOOKUP($A115,RAIZ!$A$3:$X$1500,MATCH('Suc. Tecuala'!$F$1,RAIZ!$A$2:$X$2,0),FALSE),0)</f>
        <v>0</v>
      </c>
      <c r="D115" s="20">
        <v>2</v>
      </c>
      <c r="E115" s="5"/>
      <c r="F115" s="5">
        <f t="shared" ref="F115:F141" si="22">IF(D115-C115&gt;=0,D115-C115,0)</f>
        <v>2</v>
      </c>
      <c r="G115" s="5"/>
    </row>
    <row r="116" spans="1:7" ht="18.75" customHeight="1" thickBot="1" x14ac:dyDescent="0.4">
      <c r="A116" s="95" t="s">
        <v>881</v>
      </c>
      <c r="B116" s="112" t="s">
        <v>882</v>
      </c>
      <c r="C116" s="5">
        <f>+IFERROR(VLOOKUP($A116,RAIZ!$A$3:$X$1500,MATCH('Suc. Tecuala'!$F$1,RAIZ!$A$2:$X$2,0),FALSE),0)</f>
        <v>2</v>
      </c>
      <c r="D116" s="20">
        <v>2</v>
      </c>
      <c r="E116" s="5"/>
      <c r="F116" s="5">
        <f t="shared" si="22"/>
        <v>0</v>
      </c>
      <c r="G116" s="5"/>
    </row>
    <row r="117" spans="1:7" ht="18.75" customHeight="1" thickBot="1" x14ac:dyDescent="0.4">
      <c r="A117" s="110" t="s">
        <v>86</v>
      </c>
      <c r="B117" s="111"/>
      <c r="C117" s="83">
        <f>C79+C91+C105+C113</f>
        <v>158</v>
      </c>
      <c r="D117" s="60">
        <f>D79+D91+D105+D113</f>
        <v>194</v>
      </c>
      <c r="E117" s="60">
        <f>E79+E91+E105+E113</f>
        <v>5</v>
      </c>
      <c r="F117" s="74">
        <f>F79+F91+F105+F113</f>
        <v>62</v>
      </c>
      <c r="G117" s="60">
        <f>G79+G91+G105+G113</f>
        <v>0</v>
      </c>
    </row>
    <row r="118" spans="1:7" ht="18.75" customHeight="1" x14ac:dyDescent="0.35">
      <c r="A118" s="95" t="s">
        <v>975</v>
      </c>
      <c r="B118" s="112" t="s">
        <v>976</v>
      </c>
      <c r="C118" s="5">
        <f>+IFERROR(VLOOKUP($A118,RAIZ!$A$3:$X$1500,MATCH('Suc. Tecuala'!$F$1,RAIZ!$A$2:$X$2,0),FALSE),0)</f>
        <v>4</v>
      </c>
      <c r="D118" s="20">
        <v>3</v>
      </c>
      <c r="E118" s="5"/>
      <c r="F118" s="5">
        <f>IF(D118-C118&gt;=0,D118-C118,0)</f>
        <v>0</v>
      </c>
      <c r="G118" s="5"/>
    </row>
    <row r="119" spans="1:7" ht="18.75" customHeight="1" x14ac:dyDescent="0.35">
      <c r="A119" s="95" t="s">
        <v>974</v>
      </c>
      <c r="B119" s="112" t="s">
        <v>977</v>
      </c>
      <c r="C119" s="5">
        <f>+IFERROR(VLOOKUP($A119,RAIZ!$A$3:$X$1500,MATCH('Suc. Tecuala'!$F$1,RAIZ!$A$2:$X$2,0),FALSE),0)</f>
        <v>3</v>
      </c>
      <c r="D119" s="20">
        <v>3</v>
      </c>
      <c r="E119" s="5"/>
      <c r="F119" s="5">
        <f t="shared" si="22"/>
        <v>0</v>
      </c>
      <c r="G119" s="5"/>
    </row>
    <row r="120" spans="1:7" ht="18.75" customHeight="1" thickBot="1" x14ac:dyDescent="0.4">
      <c r="A120" s="95" t="s">
        <v>1077</v>
      </c>
      <c r="B120" s="112" t="s">
        <v>817</v>
      </c>
      <c r="C120" s="5">
        <f>+IFERROR(VLOOKUP($A120,RAIZ!$A$3:$X$1500,MATCH('Suc. Tecuala'!$F$1,RAIZ!$A$2:$X$2,0),FALSE),0)</f>
        <v>0</v>
      </c>
      <c r="D120" s="20"/>
      <c r="E120" s="5"/>
      <c r="F120" s="5">
        <f t="shared" si="22"/>
        <v>0</v>
      </c>
      <c r="G120" s="5"/>
    </row>
    <row r="121" spans="1:7" ht="18.75" customHeight="1" thickBot="1" x14ac:dyDescent="0.4">
      <c r="A121" s="95" t="s">
        <v>1076</v>
      </c>
      <c r="B121" s="194" t="s">
        <v>1121</v>
      </c>
      <c r="C121" s="5">
        <f>+IFERROR(VLOOKUP($A121,RAIZ!$A$3:$X$1500,MATCH('Suc. Tecuala'!$F$1,RAIZ!$A$2:$X$2,0),FALSE),0)</f>
        <v>1</v>
      </c>
      <c r="D121" s="20"/>
      <c r="E121" s="5"/>
      <c r="F121" s="5">
        <f t="shared" si="22"/>
        <v>0</v>
      </c>
      <c r="G121" s="5"/>
    </row>
    <row r="122" spans="1:7" ht="18.75" customHeight="1" thickBot="1" x14ac:dyDescent="0.4">
      <c r="A122" s="95" t="s">
        <v>1014</v>
      </c>
      <c r="B122" s="194" t="s">
        <v>1010</v>
      </c>
      <c r="C122" s="5">
        <f>+IFERROR(VLOOKUP($A122,RAIZ!$A$3:$X$1500,MATCH('Suc. Tecuala'!$F$1,RAIZ!$A$2:$X$2,0),FALSE),0)</f>
        <v>4</v>
      </c>
      <c r="D122" s="20">
        <v>5</v>
      </c>
      <c r="E122" s="5"/>
      <c r="F122" s="5">
        <f t="shared" si="22"/>
        <v>1</v>
      </c>
      <c r="G122" s="5"/>
    </row>
    <row r="123" spans="1:7" ht="18.75" customHeight="1" thickBot="1" x14ac:dyDescent="0.4">
      <c r="A123" s="95" t="s">
        <v>1015</v>
      </c>
      <c r="B123" s="194" t="s">
        <v>1011</v>
      </c>
      <c r="C123" s="147">
        <f>+IFERROR(VLOOKUP($A123,RAIZ!$A$3:$X$1500,MATCH('Suc. Tecuala'!$F$1,RAIZ!$A$2:$X$2,0),FALSE),0)</f>
        <v>0</v>
      </c>
      <c r="D123" s="20">
        <v>5</v>
      </c>
      <c r="E123" s="5"/>
      <c r="F123" s="5">
        <f t="shared" si="22"/>
        <v>5</v>
      </c>
      <c r="G123" s="5"/>
    </row>
    <row r="124" spans="1:7" ht="18.75" customHeight="1" thickBot="1" x14ac:dyDescent="0.4">
      <c r="A124" s="95" t="s">
        <v>1016</v>
      </c>
      <c r="B124" s="194" t="s">
        <v>1012</v>
      </c>
      <c r="C124" s="147">
        <f>+IFERROR(VLOOKUP($A124,RAIZ!$A$3:$X$1500,MATCH('Suc. Tecuala'!$F$1,RAIZ!$A$2:$X$2,0),FALSE),0)</f>
        <v>0</v>
      </c>
      <c r="D124" s="20">
        <v>5</v>
      </c>
      <c r="E124" s="5"/>
      <c r="F124" s="5">
        <f t="shared" si="22"/>
        <v>5</v>
      </c>
      <c r="G124" s="5"/>
    </row>
    <row r="125" spans="1:7" ht="18.75" customHeight="1" thickBot="1" x14ac:dyDescent="0.4">
      <c r="A125" s="95" t="s">
        <v>1017</v>
      </c>
      <c r="B125" s="194" t="s">
        <v>1013</v>
      </c>
      <c r="C125" s="147">
        <f>+IFERROR(VLOOKUP($A125,RAIZ!$A$3:$X$1500,MATCH('Suc. Tecuala'!$F$1,RAIZ!$A$2:$X$2,0),FALSE),0)</f>
        <v>4</v>
      </c>
      <c r="D125" s="18">
        <v>5</v>
      </c>
      <c r="E125" s="5"/>
      <c r="F125" s="5">
        <f t="shared" si="22"/>
        <v>1</v>
      </c>
      <c r="G125" s="5"/>
    </row>
    <row r="126" spans="1:7" ht="18.75" customHeight="1" thickBot="1" x14ac:dyDescent="0.4">
      <c r="A126" s="95" t="s">
        <v>1125</v>
      </c>
      <c r="B126" s="194" t="s">
        <v>1127</v>
      </c>
      <c r="C126" s="147">
        <f>+IFERROR(VLOOKUP($A126,RAIZ!$A$3:$X$1500,MATCH('Suc. Tecuala'!$F$1,RAIZ!$A$2:$X$2,0),FALSE),0)</f>
        <v>0</v>
      </c>
      <c r="D126" s="20"/>
      <c r="E126" s="5"/>
      <c r="F126" s="5">
        <f t="shared" si="22"/>
        <v>0</v>
      </c>
      <c r="G126" s="5"/>
    </row>
    <row r="127" spans="1:7" ht="18.75" customHeight="1" thickBot="1" x14ac:dyDescent="0.4">
      <c r="A127" s="95" t="s">
        <v>1126</v>
      </c>
      <c r="B127" s="194" t="s">
        <v>1128</v>
      </c>
      <c r="C127" s="147">
        <f>+IFERROR(VLOOKUP($A127,RAIZ!$A$3:$X$1500,MATCH('Suc. Tecuala'!$F$1,RAIZ!$A$2:$X$2,0),FALSE),0)</f>
        <v>2</v>
      </c>
      <c r="D127" s="18"/>
      <c r="E127" s="184"/>
      <c r="F127" s="184">
        <f t="shared" si="22"/>
        <v>0</v>
      </c>
      <c r="G127" s="181"/>
    </row>
    <row r="128" spans="1:7" ht="18.75" customHeight="1" thickBot="1" x14ac:dyDescent="0.4">
      <c r="A128" s="95" t="s">
        <v>568</v>
      </c>
      <c r="B128" s="194" t="s">
        <v>1131</v>
      </c>
      <c r="C128" s="186">
        <f>+IFERROR(VLOOKUP($A128,RAIZ!$A$3:$X$1500,MATCH('Suc. Tecuala'!$F$1,RAIZ!$A$2:$X$2,0),FALSE),0)</f>
        <v>3</v>
      </c>
      <c r="D128" s="18">
        <v>3</v>
      </c>
      <c r="E128" s="185"/>
      <c r="F128" s="185">
        <f t="shared" si="22"/>
        <v>0</v>
      </c>
      <c r="G128" s="185"/>
    </row>
    <row r="129" spans="1:7" ht="18.75" customHeight="1" thickBot="1" x14ac:dyDescent="0.4">
      <c r="A129" s="95" t="s">
        <v>565</v>
      </c>
      <c r="B129" s="194" t="s">
        <v>1142</v>
      </c>
      <c r="C129" s="187">
        <f>+IFERROR(VLOOKUP($A129,RAIZ!$A$3:$X$1500,MATCH('Suc. Tecuala'!$F$1,RAIZ!$A$2:$X$2,0),FALSE),0)</f>
        <v>1</v>
      </c>
      <c r="D129" s="18">
        <v>2</v>
      </c>
      <c r="E129" s="185"/>
      <c r="F129" s="185">
        <f t="shared" si="22"/>
        <v>1</v>
      </c>
      <c r="G129" s="185"/>
    </row>
    <row r="130" spans="1:7" ht="18.75" customHeight="1" thickBot="1" x14ac:dyDescent="0.4">
      <c r="A130" s="95" t="s">
        <v>912</v>
      </c>
      <c r="B130" s="194" t="s">
        <v>1136</v>
      </c>
      <c r="C130" s="187">
        <f>+IFERROR(VLOOKUP($A130,RAIZ!$A$3:$X$1500,MATCH('Suc. Tecuala'!$F$1,RAIZ!$A$2:$X$2,0),FALSE),0)</f>
        <v>2</v>
      </c>
      <c r="D130" s="18">
        <v>2</v>
      </c>
      <c r="E130" s="185"/>
      <c r="F130" s="185">
        <f t="shared" si="22"/>
        <v>0</v>
      </c>
      <c r="G130" s="185"/>
    </row>
    <row r="131" spans="1:7" ht="18.75" customHeight="1" thickBot="1" x14ac:dyDescent="0.4">
      <c r="A131" s="95" t="s">
        <v>557</v>
      </c>
      <c r="B131" s="194" t="s">
        <v>1137</v>
      </c>
      <c r="C131" s="187">
        <f>+IFERROR(VLOOKUP($A131,RAIZ!$A$3:$X$1500,MATCH('Suc. Tecuala'!$F$1,RAIZ!$A$2:$X$2,0),FALSE),0)</f>
        <v>0</v>
      </c>
      <c r="D131" s="18">
        <v>2</v>
      </c>
      <c r="E131" s="185"/>
      <c r="F131" s="185">
        <f t="shared" si="22"/>
        <v>2</v>
      </c>
      <c r="G131" s="185"/>
    </row>
    <row r="132" spans="1:7" ht="18.75" customHeight="1" thickBot="1" x14ac:dyDescent="0.4">
      <c r="A132" s="95" t="s">
        <v>573</v>
      </c>
      <c r="B132" s="194" t="s">
        <v>1138</v>
      </c>
      <c r="C132" s="187">
        <f>+IFERROR(VLOOKUP($A132,RAIZ!$A$3:$X$1500,MATCH('Suc. Tecuala'!$F$1,RAIZ!$A$2:$X$2,0),FALSE),0)</f>
        <v>0</v>
      </c>
      <c r="D132" s="18">
        <v>1</v>
      </c>
      <c r="E132" s="185"/>
      <c r="F132" s="185">
        <f t="shared" si="22"/>
        <v>1</v>
      </c>
      <c r="G132" s="185"/>
    </row>
    <row r="133" spans="1:7" ht="18.75" customHeight="1" thickBot="1" x14ac:dyDescent="0.4">
      <c r="A133" s="95" t="s">
        <v>421</v>
      </c>
      <c r="B133" s="194" t="s">
        <v>1140</v>
      </c>
      <c r="C133" s="187">
        <f>+IFERROR(VLOOKUP($A133,RAIZ!$A$3:$X$1500,MATCH('Suc. Tecuala'!$F$1,RAIZ!$A$2:$X$2,0),FALSE),0)</f>
        <v>2</v>
      </c>
      <c r="D133" s="18">
        <v>2</v>
      </c>
      <c r="E133" s="185"/>
      <c r="F133" s="185">
        <f t="shared" si="22"/>
        <v>0</v>
      </c>
      <c r="G133" s="185"/>
    </row>
    <row r="134" spans="1:7" ht="18.75" customHeight="1" thickBot="1" x14ac:dyDescent="0.4">
      <c r="A134" s="95" t="s">
        <v>249</v>
      </c>
      <c r="B134" s="194" t="s">
        <v>1134</v>
      </c>
      <c r="C134" s="187">
        <f>+IFERROR(VLOOKUP($A134,RAIZ!$A$3:$X$1500,MATCH('Suc. Tecuala'!$F$1,RAIZ!$A$2:$X$2,0),FALSE),0)</f>
        <v>2</v>
      </c>
      <c r="D134" s="18">
        <v>2</v>
      </c>
      <c r="E134" s="185"/>
      <c r="F134" s="185">
        <f t="shared" si="22"/>
        <v>0</v>
      </c>
      <c r="G134" s="185"/>
    </row>
    <row r="135" spans="1:7" ht="18.75" customHeight="1" thickBot="1" x14ac:dyDescent="0.4">
      <c r="A135" s="95" t="s">
        <v>1030</v>
      </c>
      <c r="B135" s="194" t="s">
        <v>1143</v>
      </c>
      <c r="C135" s="187">
        <f>+IFERROR(VLOOKUP($A135,RAIZ!$A$3:$X$1500,MATCH('Suc. Tecuala'!$F$1,RAIZ!$A$2:$X$2,0),FALSE),0)</f>
        <v>5</v>
      </c>
      <c r="D135" s="18">
        <v>6</v>
      </c>
      <c r="E135" s="185"/>
      <c r="F135" s="185">
        <f t="shared" si="22"/>
        <v>1</v>
      </c>
      <c r="G135" s="185"/>
    </row>
    <row r="136" spans="1:7" ht="18.75" customHeight="1" thickBot="1" x14ac:dyDescent="0.4">
      <c r="A136" s="95" t="s">
        <v>253</v>
      </c>
      <c r="B136" s="194" t="s">
        <v>1135</v>
      </c>
      <c r="C136" s="187">
        <f>+IFERROR(VLOOKUP($A136,RAIZ!$A$3:$X$1500,MATCH('Suc. Tecuala'!$F$1,RAIZ!$A$2:$X$2,0),FALSE),0)</f>
        <v>0</v>
      </c>
      <c r="D136" s="18">
        <v>2</v>
      </c>
      <c r="E136" s="185"/>
      <c r="F136" s="185">
        <f t="shared" si="22"/>
        <v>2</v>
      </c>
      <c r="G136" s="185"/>
    </row>
    <row r="137" spans="1:7" ht="18.75" customHeight="1" thickBot="1" x14ac:dyDescent="0.4">
      <c r="A137" s="95" t="s">
        <v>240</v>
      </c>
      <c r="B137" s="194" t="s">
        <v>1139</v>
      </c>
      <c r="C137" s="187">
        <f>+IFERROR(VLOOKUP($A137,RAIZ!$A$3:$X$1500,MATCH('Suc. Tecuala'!$F$1,RAIZ!$A$2:$X$2,0),FALSE),0)</f>
        <v>0</v>
      </c>
      <c r="D137" s="18">
        <v>0</v>
      </c>
      <c r="E137" s="185"/>
      <c r="F137" s="185">
        <f t="shared" si="22"/>
        <v>0</v>
      </c>
      <c r="G137" s="185"/>
    </row>
    <row r="138" spans="1:7" ht="18.75" customHeight="1" thickBot="1" x14ac:dyDescent="0.4">
      <c r="A138" s="95" t="s">
        <v>204</v>
      </c>
      <c r="B138" s="194" t="s">
        <v>1106</v>
      </c>
      <c r="C138" s="187">
        <f>+IFERROR(VLOOKUP($A138,RAIZ!$A$3:$X$1500,MATCH('Suc. Tecuala'!$F$1,RAIZ!$A$2:$X$2,0),FALSE),0)</f>
        <v>0</v>
      </c>
      <c r="D138" s="18">
        <v>0</v>
      </c>
      <c r="E138" s="185"/>
      <c r="F138" s="185">
        <f t="shared" si="22"/>
        <v>0</v>
      </c>
      <c r="G138" s="185"/>
    </row>
    <row r="139" spans="1:7" ht="18.75" customHeight="1" thickBot="1" x14ac:dyDescent="0.4">
      <c r="A139" s="95" t="s">
        <v>1132</v>
      </c>
      <c r="B139" s="194" t="s">
        <v>1141</v>
      </c>
      <c r="C139" s="187">
        <f>+IFERROR(VLOOKUP($A139,RAIZ!$A$3:$X$1500,MATCH('Suc. Tecuala'!$F$1,RAIZ!$A$2:$X$2,0),FALSE),0)</f>
        <v>0</v>
      </c>
      <c r="D139" s="18">
        <v>1</v>
      </c>
      <c r="E139" s="185"/>
      <c r="F139" s="185">
        <f t="shared" si="22"/>
        <v>1</v>
      </c>
      <c r="G139" s="185"/>
    </row>
    <row r="140" spans="1:7" ht="18.75" customHeight="1" thickBot="1" x14ac:dyDescent="0.4">
      <c r="A140" s="95" t="s">
        <v>914</v>
      </c>
      <c r="B140" s="194" t="s">
        <v>1133</v>
      </c>
      <c r="C140" s="187">
        <f>+IFERROR(VLOOKUP($A140,RAIZ!$A$3:$X$1500,MATCH('Suc. Tecuala'!$F$1,RAIZ!$A$2:$X$2,0),FALSE),0)</f>
        <v>0</v>
      </c>
      <c r="D140" s="18">
        <v>1</v>
      </c>
      <c r="E140" s="185"/>
      <c r="F140" s="185">
        <f t="shared" si="22"/>
        <v>1</v>
      </c>
      <c r="G140" s="185"/>
    </row>
    <row r="141" spans="1:7" ht="18.75" customHeight="1" thickBot="1" x14ac:dyDescent="0.4">
      <c r="A141" s="243" t="s">
        <v>1120</v>
      </c>
      <c r="B141" s="194" t="s">
        <v>1159</v>
      </c>
      <c r="C141" s="187">
        <f>+IFERROR(VLOOKUP($A141,RAIZ!$A$3:$X$1500,MATCH('Suc. Tecuala'!$F$1,RAIZ!$A$2:$X$2,0),FALSE),0)</f>
        <v>0</v>
      </c>
      <c r="D141" s="18"/>
      <c r="E141" s="185"/>
      <c r="F141" s="185">
        <f t="shared" si="22"/>
        <v>0</v>
      </c>
      <c r="G141" s="185"/>
    </row>
    <row r="142" spans="1:7" ht="18.75" customHeight="1" thickBot="1" x14ac:dyDescent="0.4">
      <c r="A142" s="95"/>
      <c r="B142" s="194"/>
      <c r="C142" s="187">
        <f>+IFERROR(VLOOKUP($A142,RAIZ!$A$3:$X$1500,MATCH('Suc. Tecuala'!$F$1,RAIZ!$A$2:$X$2,0),FALSE),0)</f>
        <v>0</v>
      </c>
      <c r="D142" s="18"/>
      <c r="E142" s="185"/>
      <c r="F142" s="185"/>
      <c r="G142" s="185"/>
    </row>
    <row r="143" spans="1:7" ht="18.75" customHeight="1" thickBot="1" x14ac:dyDescent="0.4">
      <c r="A143" s="95"/>
      <c r="B143" s="193"/>
      <c r="C143" s="187">
        <f>+IFERROR(VLOOKUP($A143,RAIZ!$A$3:$X$1500,MATCH('Suc. Tecuala'!$F$1,RAIZ!$A$2:$X$2,0),FALSE),0)</f>
        <v>0</v>
      </c>
      <c r="D143" s="18"/>
      <c r="E143" s="185"/>
      <c r="F143" s="185"/>
      <c r="G143" s="185"/>
    </row>
    <row r="144" spans="1:7" ht="18.75" customHeight="1" thickBot="1" x14ac:dyDescent="0.4">
      <c r="A144" s="95"/>
      <c r="B144" s="194"/>
      <c r="C144" s="187">
        <f>+IFERROR(VLOOKUP($A144,RAIZ!$A$3:$X$1500,MATCH('Suc. Tecuala'!$F$1,RAIZ!$A$2:$X$2,0),FALSE),0)</f>
        <v>0</v>
      </c>
      <c r="D144" s="18"/>
      <c r="E144" s="185"/>
      <c r="F144" s="185"/>
      <c r="G144" s="185"/>
    </row>
    <row r="145" spans="1:7" ht="18.75" customHeight="1" thickBot="1" x14ac:dyDescent="0.4">
      <c r="A145" s="95"/>
      <c r="B145" s="192"/>
      <c r="C145" s="187">
        <f>+IFERROR(VLOOKUP($A145,RAIZ!$A$3:$X$1500,MATCH('Suc. Tecuala'!$F$1,RAIZ!$A$2:$X$2,0),FALSE),0)</f>
        <v>0</v>
      </c>
      <c r="D145" s="18"/>
      <c r="E145" s="185"/>
      <c r="F145" s="185"/>
      <c r="G145" s="185"/>
    </row>
    <row r="146" spans="1:7" ht="18.75" customHeight="1" thickBot="1" x14ac:dyDescent="0.4">
      <c r="A146" s="95"/>
      <c r="B146" s="194"/>
      <c r="C146" s="187">
        <f>+IFERROR(VLOOKUP($A146,RAIZ!$A$3:$X$1500,MATCH('Suc. Tecuala'!$F$1,RAIZ!$A$2:$X$2,0),FALSE),0)</f>
        <v>0</v>
      </c>
      <c r="D146" s="18"/>
      <c r="E146" s="185"/>
      <c r="F146" s="185"/>
      <c r="G146" s="185"/>
    </row>
    <row r="147" spans="1:7" ht="18.75" customHeight="1" thickBot="1" x14ac:dyDescent="0.4">
      <c r="A147" s="95"/>
      <c r="B147" s="193"/>
      <c r="C147" s="187">
        <f>+IFERROR(VLOOKUP($A147,RAIZ!$A$3:$X$1500,MATCH('Suc. Tecuala'!$F$1,RAIZ!$A$2:$X$2,0),FALSE),0)</f>
        <v>0</v>
      </c>
      <c r="D147" s="14"/>
      <c r="E147" s="185"/>
      <c r="F147" s="185"/>
      <c r="G147" s="185"/>
    </row>
    <row r="148" spans="1:7" ht="18.75" customHeight="1" thickBot="1" x14ac:dyDescent="0.4">
      <c r="A148" s="95"/>
      <c r="B148" s="193"/>
      <c r="C148" s="188">
        <f>+IFERROR(VLOOKUP($A148,RAIZ!$A$3:$X$1500,MATCH('Suc. Tecuala'!$F$1,RAIZ!$A$2:$X$2,0),FALSE),0)</f>
        <v>0</v>
      </c>
      <c r="D148" s="14"/>
      <c r="E148" s="185"/>
      <c r="F148" s="185"/>
      <c r="G148" s="185"/>
    </row>
    <row r="149" spans="1:7" ht="18.75" customHeight="1" thickBot="1" x14ac:dyDescent="0.4">
      <c r="A149" s="173"/>
      <c r="B149" s="109"/>
      <c r="C149" s="182">
        <f>SUM(C118:C127,)</f>
        <v>18</v>
      </c>
      <c r="D149" s="182">
        <f>SUM(D118:D127,)</f>
        <v>26</v>
      </c>
      <c r="E149" s="182">
        <f>SUM(E118:E127,)</f>
        <v>0</v>
      </c>
      <c r="F149" s="182">
        <f>SUM(F118:F127,)</f>
        <v>12</v>
      </c>
      <c r="G149" s="182">
        <f>SUM(G118:G148,)</f>
        <v>0</v>
      </c>
    </row>
    <row r="150" spans="1:7" ht="18.75" customHeight="1" thickBot="1" x14ac:dyDescent="0.4">
      <c r="A150" s="110" t="s">
        <v>86</v>
      </c>
      <c r="B150" s="111"/>
      <c r="C150" s="83">
        <f>C149+C117</f>
        <v>176</v>
      </c>
      <c r="D150" s="83">
        <f>D149+D117</f>
        <v>220</v>
      </c>
      <c r="E150" s="83">
        <f>E149+E117</f>
        <v>5</v>
      </c>
      <c r="F150" s="83">
        <f>F149+F117</f>
        <v>74</v>
      </c>
      <c r="G150" s="83">
        <f>G149+G117</f>
        <v>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B782BF-3147-48BA-AA8E-7DD6C337442D}">
          <x14:formula1>
            <xm:f>Hoja1!$C$2:$C$9</xm:f>
          </x14:formula1>
          <xm:sqref>H2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A92CA-4A3D-44AC-879A-34E755CE28F1}">
  <sheetPr codeName="Hoja7" filterMode="1">
    <tabColor rgb="FFFFFF00"/>
  </sheetPr>
  <dimension ref="A1:L150"/>
  <sheetViews>
    <sheetView zoomScale="80" zoomScaleNormal="80" workbookViewId="0">
      <pane xSplit="2" ySplit="2" topLeftCell="G78" activePane="bottomRight" state="frozen"/>
      <selection activeCell="I134" sqref="I134"/>
      <selection pane="topRight" activeCell="I134" sqref="I134"/>
      <selection pane="bottomLeft" activeCell="I134" sqref="I134"/>
      <selection pane="bottomRight" activeCell="A2" sqref="A2:XFD2"/>
    </sheetView>
  </sheetViews>
  <sheetFormatPr baseColWidth="10" defaultRowHeight="18" x14ac:dyDescent="0.35"/>
  <cols>
    <col min="1" max="1" width="55.6640625" customWidth="1"/>
    <col min="2" max="2" width="8.109375" style="91" bestFit="1" customWidth="1"/>
    <col min="3" max="3" width="14" bestFit="1" customWidth="1"/>
    <col min="4" max="5" width="15" style="84" customWidth="1"/>
    <col min="6" max="6" width="17.88671875" bestFit="1" customWidth="1"/>
    <col min="9" max="9" width="11.33203125" style="84"/>
  </cols>
  <sheetData>
    <row r="1" spans="1:12" ht="18.600000000000001" thickBot="1" x14ac:dyDescent="0.4">
      <c r="A1" s="1">
        <f>RAIZ!B1</f>
        <v>46301</v>
      </c>
      <c r="C1" s="2"/>
      <c r="D1" s="2" t="s">
        <v>702</v>
      </c>
      <c r="E1" s="2"/>
      <c r="F1" s="2" t="s">
        <v>93</v>
      </c>
      <c r="H1" t="s">
        <v>745</v>
      </c>
    </row>
    <row r="2" spans="1:12" ht="31.8" thickBot="1" x14ac:dyDescent="0.35">
      <c r="A2" s="90" t="s">
        <v>0</v>
      </c>
      <c r="B2" s="92" t="s">
        <v>755</v>
      </c>
      <c r="C2" s="39" t="s">
        <v>703</v>
      </c>
      <c r="D2" s="40" t="s">
        <v>704</v>
      </c>
      <c r="E2" s="88" t="s">
        <v>726</v>
      </c>
      <c r="F2" s="41" t="s">
        <v>705</v>
      </c>
      <c r="G2" s="62" t="s">
        <v>725</v>
      </c>
      <c r="H2" s="87"/>
      <c r="K2" s="85"/>
      <c r="L2" s="85"/>
    </row>
    <row r="3" spans="1:12" ht="18.75" hidden="1" customHeight="1" x14ac:dyDescent="0.35">
      <c r="A3" s="93" t="s">
        <v>1</v>
      </c>
      <c r="B3" s="112" t="s">
        <v>756</v>
      </c>
      <c r="C3" s="5">
        <f>+IFERROR(VLOOKUP($A3,RAIZ!$A$3:$X$1500,MATCH('Suc. Compostela'!$F$1,RAIZ!$A$2:$X$2,0),FALSE),0)</f>
        <v>1</v>
      </c>
      <c r="D3" s="4">
        <v>1</v>
      </c>
      <c r="E3" s="5"/>
      <c r="F3" s="5">
        <f>IF(D3-C3&gt;=0,D3-C3,0)</f>
        <v>0</v>
      </c>
      <c r="G3" s="5"/>
      <c r="K3" s="86"/>
      <c r="L3" s="85"/>
    </row>
    <row r="4" spans="1:12" ht="18.75" hidden="1" customHeight="1" x14ac:dyDescent="0.35">
      <c r="A4" s="93" t="s">
        <v>2</v>
      </c>
      <c r="B4" s="112" t="s">
        <v>865</v>
      </c>
      <c r="C4" s="5">
        <f>+IFERROR(VLOOKUP($A4,RAIZ!$A$3:$X$1500,MATCH('Suc. Compostela'!$F$1,RAIZ!$A$2:$X$2,0),FALSE),0)</f>
        <v>1</v>
      </c>
      <c r="D4" s="4">
        <v>2</v>
      </c>
      <c r="E4" s="5"/>
      <c r="F4" s="5">
        <f>IF(D4-C4&gt;=0,D4-C4,0)</f>
        <v>1</v>
      </c>
      <c r="G4" s="5"/>
      <c r="K4" s="86"/>
      <c r="L4" s="85"/>
    </row>
    <row r="5" spans="1:12" ht="18.75" customHeight="1" x14ac:dyDescent="0.35">
      <c r="A5" s="93" t="s">
        <v>3</v>
      </c>
      <c r="B5" s="112" t="s">
        <v>757</v>
      </c>
      <c r="C5" s="5">
        <f>+IFERROR(VLOOKUP($A5,RAIZ!$A$3:$X$1500,MATCH('Suc. Compostela'!$F$1,RAIZ!$A$2:$X$2,0),FALSE),0)</f>
        <v>1</v>
      </c>
      <c r="D5" s="7">
        <v>2</v>
      </c>
      <c r="E5" s="5"/>
      <c r="F5" s="5">
        <f t="shared" ref="F5:F10" si="0">IF(D5-C5&gt;=0,D5-C5,0)</f>
        <v>1</v>
      </c>
      <c r="G5" s="5">
        <v>1</v>
      </c>
      <c r="K5" s="86"/>
      <c r="L5" s="85"/>
    </row>
    <row r="6" spans="1:12" ht="18.75" hidden="1" customHeight="1" x14ac:dyDescent="0.35">
      <c r="A6" s="93" t="s">
        <v>4</v>
      </c>
      <c r="B6" s="112" t="s">
        <v>758</v>
      </c>
      <c r="C6" s="5">
        <f>+IFERROR(VLOOKUP($A6,RAIZ!$A$3:$X$1500,MATCH('Suc. Compostela'!$F$1,RAIZ!$A$2:$X$2,0),FALSE),0)</f>
        <v>2</v>
      </c>
      <c r="D6" s="7">
        <v>2</v>
      </c>
      <c r="E6" s="5"/>
      <c r="F6" s="5">
        <f t="shared" si="0"/>
        <v>0</v>
      </c>
      <c r="G6" s="5"/>
      <c r="K6" s="86"/>
      <c r="L6" s="85"/>
    </row>
    <row r="7" spans="1:12" ht="18.75" hidden="1" customHeight="1" x14ac:dyDescent="0.35">
      <c r="A7" s="93" t="s">
        <v>5</v>
      </c>
      <c r="B7" s="112" t="s">
        <v>759</v>
      </c>
      <c r="C7" s="5">
        <f>+IFERROR(VLOOKUP($A7,RAIZ!$A$3:$X$1500,MATCH('Suc. Compostela'!$F$1,RAIZ!$A$2:$X$2,0),FALSE),0)</f>
        <v>2</v>
      </c>
      <c r="D7" s="7">
        <v>2</v>
      </c>
      <c r="E7" s="5"/>
      <c r="F7" s="5">
        <f t="shared" si="0"/>
        <v>0</v>
      </c>
      <c r="G7" s="5"/>
      <c r="K7" s="86"/>
      <c r="L7" s="85"/>
    </row>
    <row r="8" spans="1:12" ht="18.75" customHeight="1" x14ac:dyDescent="0.35">
      <c r="A8" s="93" t="s">
        <v>6</v>
      </c>
      <c r="B8" s="112" t="s">
        <v>760</v>
      </c>
      <c r="C8" s="5">
        <f>+IFERROR(VLOOKUP($A8,RAIZ!$A$3:$X$1500,MATCH('Suc. Compostela'!$F$1,RAIZ!$A$2:$X$2,0),FALSE),0)</f>
        <v>1</v>
      </c>
      <c r="D8" s="7">
        <v>3</v>
      </c>
      <c r="E8" s="5"/>
      <c r="F8" s="5">
        <f t="shared" si="0"/>
        <v>2</v>
      </c>
      <c r="G8" s="5">
        <v>1</v>
      </c>
      <c r="K8" s="86"/>
      <c r="L8" s="85"/>
    </row>
    <row r="9" spans="1:12" ht="18.75" hidden="1" customHeight="1" x14ac:dyDescent="0.35">
      <c r="A9" s="93" t="s">
        <v>7</v>
      </c>
      <c r="B9" s="112" t="s">
        <v>761</v>
      </c>
      <c r="C9" s="5">
        <f>+IFERROR(VLOOKUP($A9,RAIZ!$A$3:$X$1500,MATCH('Suc. Compostela'!$F$1,RAIZ!$A$2:$X$2,0),FALSE),0)</f>
        <v>2</v>
      </c>
      <c r="D9" s="7">
        <v>2</v>
      </c>
      <c r="E9" s="5"/>
      <c r="F9" s="5">
        <f t="shared" si="0"/>
        <v>0</v>
      </c>
      <c r="G9" s="5"/>
      <c r="K9" s="86"/>
      <c r="L9" s="85"/>
    </row>
    <row r="10" spans="1:12" ht="18.75" customHeight="1" thickBot="1" x14ac:dyDescent="0.4">
      <c r="A10" s="93" t="s">
        <v>8</v>
      </c>
      <c r="B10" s="112" t="s">
        <v>762</v>
      </c>
      <c r="C10" s="5">
        <f>+IFERROR(VLOOKUP($A10,RAIZ!$A$3:$X$1500,MATCH('Suc. Compostela'!$F$1,RAIZ!$A$2:$X$2,0),FALSE),0)</f>
        <v>1</v>
      </c>
      <c r="D10" s="7">
        <v>2</v>
      </c>
      <c r="E10" s="5"/>
      <c r="F10" s="5">
        <f t="shared" si="0"/>
        <v>1</v>
      </c>
      <c r="G10" s="5">
        <v>1</v>
      </c>
      <c r="K10" s="86"/>
      <c r="L10" s="85"/>
    </row>
    <row r="11" spans="1:12" ht="18.75" hidden="1" customHeight="1" x14ac:dyDescent="0.35">
      <c r="A11" s="93" t="s">
        <v>9</v>
      </c>
      <c r="B11" s="112" t="s">
        <v>763</v>
      </c>
      <c r="C11" s="5">
        <f>+IFERROR(VLOOKUP($A11,RAIZ!$A$3:$X$1500,MATCH('Suc. Compostela'!$F$1,RAIZ!$A$2:$X$2,0),FALSE),0)</f>
        <v>1</v>
      </c>
      <c r="D11" s="9">
        <v>2</v>
      </c>
      <c r="E11" s="5"/>
      <c r="F11" s="5">
        <f t="shared" ref="F11:F12" si="1">IF(D11-C11&gt;=0,D11-C11,0)</f>
        <v>1</v>
      </c>
      <c r="G11" s="5"/>
      <c r="K11" s="86"/>
      <c r="L11" s="85"/>
    </row>
    <row r="12" spans="1:12" ht="18.75" hidden="1" customHeight="1" x14ac:dyDescent="0.35">
      <c r="A12" s="93"/>
      <c r="B12" s="112"/>
      <c r="C12" s="5">
        <f>+IFERROR(VLOOKUP($A12,RAIZ!$A$3:$X$1500,MATCH('Suc. Compostela'!$F$1,RAIZ!$A$2:$X$2,0),FALSE),0)</f>
        <v>0</v>
      </c>
      <c r="D12" s="20"/>
      <c r="E12" s="5"/>
      <c r="F12" s="5">
        <f t="shared" si="1"/>
        <v>0</v>
      </c>
      <c r="G12" s="5"/>
    </row>
    <row r="13" spans="1:12" ht="18.75" hidden="1" customHeight="1" x14ac:dyDescent="0.35">
      <c r="A13" s="93"/>
      <c r="B13" s="112"/>
      <c r="C13" s="5">
        <f>+IFERROR(VLOOKUP($A13,RAIZ!$A$3:$X$1500,MATCH('Suc. Compostela'!$F$1,RAIZ!$A$2:$X$2,0),FALSE),0)</f>
        <v>0</v>
      </c>
      <c r="D13" s="20"/>
      <c r="E13" s="5"/>
      <c r="F13" s="5">
        <f t="shared" ref="F13:F17" si="2">IF(D13-C13&gt;=0,D13-C13,0)</f>
        <v>0</v>
      </c>
      <c r="G13" s="5"/>
    </row>
    <row r="14" spans="1:12" ht="18.75" hidden="1" customHeight="1" x14ac:dyDescent="0.35">
      <c r="A14" s="93"/>
      <c r="B14" s="112"/>
      <c r="C14" s="5">
        <f>+IFERROR(VLOOKUP($A14,RAIZ!$A$3:$X$1500,MATCH('Suc. Compostela'!$F$1,RAIZ!$A$2:$X$2,0),FALSE),0)</f>
        <v>0</v>
      </c>
      <c r="D14" s="20"/>
      <c r="E14" s="5"/>
      <c r="F14" s="5">
        <f>IF(D14-C14&gt;=0,D14-C14,0)</f>
        <v>0</v>
      </c>
      <c r="G14" s="5"/>
    </row>
    <row r="15" spans="1:12" ht="18.75" hidden="1" customHeight="1" x14ac:dyDescent="0.35">
      <c r="A15" s="93"/>
      <c r="B15" s="112"/>
      <c r="C15" s="5">
        <f>+IFERROR(VLOOKUP($A15,RAIZ!$A$3:$X$1500,MATCH('Suc. Compostela'!$F$1,RAIZ!$A$2:$X$2,0),FALSE),0)</f>
        <v>0</v>
      </c>
      <c r="D15" s="9"/>
      <c r="E15" s="5"/>
      <c r="F15" s="5">
        <f t="shared" si="2"/>
        <v>0</v>
      </c>
      <c r="G15" s="5"/>
      <c r="K15" s="86"/>
      <c r="L15" s="85"/>
    </row>
    <row r="16" spans="1:12" ht="18.75" hidden="1" customHeight="1" x14ac:dyDescent="0.35">
      <c r="A16" s="93"/>
      <c r="B16" s="112"/>
      <c r="C16" s="5">
        <f>+IFERROR(VLOOKUP($A16,RAIZ!$A$3:$X$1500,MATCH('Suc. Compostela'!$F$1,RAIZ!$A$2:$X$2,0),FALSE),0)</f>
        <v>0</v>
      </c>
      <c r="D16" s="9"/>
      <c r="E16" s="5"/>
      <c r="F16" s="5">
        <f t="shared" si="2"/>
        <v>0</v>
      </c>
      <c r="G16" s="5"/>
      <c r="K16" s="86"/>
      <c r="L16" s="85"/>
    </row>
    <row r="17" spans="1:12" ht="18.75" hidden="1" customHeight="1" thickBot="1" x14ac:dyDescent="0.4">
      <c r="A17" s="93"/>
      <c r="B17" s="112"/>
      <c r="C17" s="5">
        <f>+IFERROR(VLOOKUP($A17,RAIZ!$A$3:$X$1500,MATCH('Suc. Compostela'!$F$1,RAIZ!$A$2:$X$2,0),FALSE),0)</f>
        <v>0</v>
      </c>
      <c r="D17" s="9"/>
      <c r="E17" s="5"/>
      <c r="F17" s="5">
        <f t="shared" si="2"/>
        <v>0</v>
      </c>
      <c r="G17" s="5"/>
      <c r="K17" s="86"/>
      <c r="L17" s="85"/>
    </row>
    <row r="18" spans="1:12" ht="18.75" customHeight="1" thickBot="1" x14ac:dyDescent="0.4">
      <c r="A18" s="96" t="s">
        <v>10</v>
      </c>
      <c r="B18" s="111"/>
      <c r="C18" s="75">
        <f>SUM(C3:C17)</f>
        <v>12</v>
      </c>
      <c r="D18" s="44">
        <f>SUM(D3:D17)</f>
        <v>18</v>
      </c>
      <c r="E18" s="44">
        <f>SUM(E3:E17)</f>
        <v>0</v>
      </c>
      <c r="F18" s="63">
        <f>SUM(F3:F17)</f>
        <v>6</v>
      </c>
      <c r="G18" s="44">
        <f>SUM(G3:G17)</f>
        <v>3</v>
      </c>
      <c r="K18" s="86"/>
      <c r="L18" s="85"/>
    </row>
    <row r="19" spans="1:12" ht="18.75" hidden="1" customHeight="1" x14ac:dyDescent="0.35">
      <c r="A19" s="97" t="s">
        <v>676</v>
      </c>
      <c r="B19" s="112" t="s">
        <v>764</v>
      </c>
      <c r="C19" s="5">
        <f>+IFERROR(VLOOKUP($A19,RAIZ!$A$3:$X$1500,MATCH('Suc. Compostela'!$F$1,RAIZ!$A$2:$X$2,0),FALSE),0)</f>
        <v>2</v>
      </c>
      <c r="D19" s="12">
        <v>2</v>
      </c>
      <c r="E19" s="5"/>
      <c r="F19" s="5">
        <f t="shared" ref="F19:F21" si="3">IF(D19-C19&gt;=0,D19-C19,0)</f>
        <v>0</v>
      </c>
      <c r="G19" s="5"/>
      <c r="K19" s="86"/>
      <c r="L19" s="85"/>
    </row>
    <row r="20" spans="1:12" ht="18.75" hidden="1" customHeight="1" x14ac:dyDescent="0.35">
      <c r="A20" s="97" t="s">
        <v>11</v>
      </c>
      <c r="B20" s="112" t="s">
        <v>827</v>
      </c>
      <c r="C20" s="5">
        <f>+IFERROR(VLOOKUP($A20,RAIZ!$A$3:$X$1500,MATCH('Suc. Compostela'!$F$1,RAIZ!$A$2:$X$2,0),FALSE),0)</f>
        <v>1</v>
      </c>
      <c r="D20" s="14">
        <v>2</v>
      </c>
      <c r="E20" s="5"/>
      <c r="F20" s="5">
        <f t="shared" si="3"/>
        <v>1</v>
      </c>
      <c r="G20" s="5"/>
      <c r="K20" s="86"/>
      <c r="L20" s="85"/>
    </row>
    <row r="21" spans="1:12" ht="18.75" hidden="1" customHeight="1" x14ac:dyDescent="0.35">
      <c r="A21" s="97" t="s">
        <v>344</v>
      </c>
      <c r="B21" s="112" t="s">
        <v>765</v>
      </c>
      <c r="C21" s="5">
        <f>+IFERROR(VLOOKUP($A21,RAIZ!$A$3:$X$1500,MATCH('Suc. Compostela'!$F$1,RAIZ!$A$2:$X$2,0),FALSE),0)</f>
        <v>1</v>
      </c>
      <c r="D21" s="14">
        <v>2</v>
      </c>
      <c r="E21" s="5"/>
      <c r="F21" s="5">
        <f t="shared" si="3"/>
        <v>1</v>
      </c>
      <c r="G21" s="5"/>
      <c r="K21" s="86"/>
      <c r="L21" s="85"/>
    </row>
    <row r="22" spans="1:12" ht="18.75" hidden="1" customHeight="1" x14ac:dyDescent="0.35">
      <c r="A22" s="97" t="s">
        <v>832</v>
      </c>
      <c r="B22" s="112" t="s">
        <v>833</v>
      </c>
      <c r="C22" s="5">
        <f>+IFERROR(VLOOKUP($A22,RAIZ!$A$3:$X$1500,MATCH('Suc. Compostela'!$F$1,RAIZ!$A$2:$X$2,0),FALSE),0)</f>
        <v>1</v>
      </c>
      <c r="D22" s="14">
        <v>2</v>
      </c>
      <c r="E22" s="5"/>
      <c r="F22" s="5">
        <f t="shared" ref="F22:F31" si="4">IF(D22-C22&gt;=0,D22-C22,0)</f>
        <v>1</v>
      </c>
      <c r="G22" s="5"/>
      <c r="K22" s="86"/>
      <c r="L22" s="85"/>
    </row>
    <row r="23" spans="1:12" ht="18.75" hidden="1" customHeight="1" x14ac:dyDescent="0.35">
      <c r="A23" s="97" t="s">
        <v>12</v>
      </c>
      <c r="B23" s="112" t="s">
        <v>766</v>
      </c>
      <c r="C23" s="5">
        <f>+IFERROR(VLOOKUP($A23,RAIZ!$A$3:$X$1500,MATCH('Suc. Compostela'!$F$1,RAIZ!$A$2:$X$2,0),FALSE),0)</f>
        <v>1</v>
      </c>
      <c r="D23" s="14">
        <v>2</v>
      </c>
      <c r="E23" s="5"/>
      <c r="F23" s="5">
        <f t="shared" si="4"/>
        <v>1</v>
      </c>
      <c r="G23" s="5"/>
      <c r="K23" s="86"/>
      <c r="L23" s="85"/>
    </row>
    <row r="24" spans="1:12" ht="18.75" hidden="1" customHeight="1" x14ac:dyDescent="0.35">
      <c r="A24" s="97" t="s">
        <v>432</v>
      </c>
      <c r="B24" s="112" t="s">
        <v>767</v>
      </c>
      <c r="C24" s="5">
        <f>+IFERROR(VLOOKUP($A24,RAIZ!$A$3:$X$1500,MATCH('Suc. Compostela'!$F$1,RAIZ!$A$2:$X$2,0),FALSE),0)</f>
        <v>1</v>
      </c>
      <c r="D24" s="14">
        <v>2</v>
      </c>
      <c r="E24" s="5"/>
      <c r="F24" s="5">
        <f t="shared" si="4"/>
        <v>1</v>
      </c>
      <c r="G24" s="5"/>
      <c r="K24" s="86"/>
      <c r="L24" s="85"/>
    </row>
    <row r="25" spans="1:12" ht="18.75" hidden="1" customHeight="1" x14ac:dyDescent="0.35">
      <c r="A25" s="97" t="s">
        <v>468</v>
      </c>
      <c r="B25" s="112" t="s">
        <v>768</v>
      </c>
      <c r="C25" s="5">
        <f>+IFERROR(VLOOKUP($A25,RAIZ!$A$3:$X$1500,MATCH('Suc. Compostela'!$F$1,RAIZ!$A$2:$X$2,0),FALSE),0)</f>
        <v>2</v>
      </c>
      <c r="D25" s="16">
        <v>2</v>
      </c>
      <c r="E25" s="5"/>
      <c r="F25" s="5">
        <f t="shared" si="4"/>
        <v>0</v>
      </c>
      <c r="G25" s="5"/>
      <c r="K25" s="86"/>
      <c r="L25" s="85"/>
    </row>
    <row r="26" spans="1:12" ht="18.75" hidden="1" customHeight="1" x14ac:dyDescent="0.35">
      <c r="A26" s="97"/>
      <c r="B26" s="112"/>
      <c r="C26" s="5">
        <f>+IFERROR(VLOOKUP($A26,RAIZ!$A$3:$X$1500,MATCH('Suc. Compostela'!$F$1,RAIZ!$A$2:$X$2,0),FALSE),0)</f>
        <v>0</v>
      </c>
      <c r="D26" s="20"/>
      <c r="E26" s="5"/>
      <c r="F26" s="5">
        <f t="shared" si="4"/>
        <v>0</v>
      </c>
      <c r="G26" s="5"/>
    </row>
    <row r="27" spans="1:12" ht="18.75" hidden="1" customHeight="1" x14ac:dyDescent="0.35">
      <c r="A27" s="97"/>
      <c r="B27" s="112"/>
      <c r="C27" s="5">
        <f>+IFERROR(VLOOKUP($A27,RAIZ!$A$3:$X$1500,MATCH('Suc. Compostela'!$F$1,RAIZ!$A$2:$X$2,0),FALSE),0)</f>
        <v>0</v>
      </c>
      <c r="D27" s="16"/>
      <c r="E27" s="5"/>
      <c r="F27" s="5">
        <f>IF(D27-C27&gt;=0,D27-C27,0)</f>
        <v>0</v>
      </c>
      <c r="G27" s="5"/>
      <c r="K27" s="86"/>
      <c r="L27" s="85"/>
    </row>
    <row r="28" spans="1:12" ht="18.75" hidden="1" customHeight="1" x14ac:dyDescent="0.35">
      <c r="A28" s="97"/>
      <c r="B28" s="112"/>
      <c r="C28" s="5">
        <f>+IFERROR(VLOOKUP($A28,RAIZ!$A$3:$X$1500,MATCH('Suc. Compostela'!$F$1,RAIZ!$A$2:$X$2,0),FALSE),0)</f>
        <v>0</v>
      </c>
      <c r="D28" s="16"/>
      <c r="E28" s="5"/>
      <c r="F28" s="5">
        <f t="shared" si="4"/>
        <v>0</v>
      </c>
      <c r="G28" s="5"/>
      <c r="K28" s="86"/>
      <c r="L28" s="85"/>
    </row>
    <row r="29" spans="1:12" ht="18.75" hidden="1" customHeight="1" x14ac:dyDescent="0.35">
      <c r="A29" s="97"/>
      <c r="B29" s="112"/>
      <c r="C29" s="5">
        <f>+IFERROR(VLOOKUP($A29,RAIZ!$A$3:$X$1500,MATCH('Suc. Compostela'!$F$1,RAIZ!$A$2:$X$2,0),FALSE),0)</f>
        <v>0</v>
      </c>
      <c r="D29" s="16"/>
      <c r="E29" s="5"/>
      <c r="F29" s="5">
        <f t="shared" si="4"/>
        <v>0</v>
      </c>
      <c r="G29" s="5"/>
      <c r="K29" s="86"/>
      <c r="L29" s="85"/>
    </row>
    <row r="30" spans="1:12" ht="18.75" hidden="1" customHeight="1" x14ac:dyDescent="0.35">
      <c r="A30" s="97"/>
      <c r="B30" s="112"/>
      <c r="C30" s="5">
        <f>+IFERROR(VLOOKUP($A30,RAIZ!$A$3:$X$1500,MATCH('Suc. Compostela'!$F$1,RAIZ!$A$2:$X$2,0),FALSE),0)</f>
        <v>0</v>
      </c>
      <c r="D30" s="16"/>
      <c r="E30" s="5"/>
      <c r="F30" s="5">
        <f t="shared" si="4"/>
        <v>0</v>
      </c>
      <c r="G30" s="5"/>
      <c r="K30" s="86"/>
      <c r="L30" s="85"/>
    </row>
    <row r="31" spans="1:12" ht="18.75" hidden="1" customHeight="1" thickBot="1" x14ac:dyDescent="0.4">
      <c r="A31" s="97"/>
      <c r="B31" s="112"/>
      <c r="C31" s="5">
        <f>+IFERROR(VLOOKUP($A31,RAIZ!$A$3:$X$1500,MATCH('Suc. Compostela'!$F$1,RAIZ!$A$2:$X$2,0),FALSE),0)</f>
        <v>0</v>
      </c>
      <c r="D31" s="16"/>
      <c r="E31" s="5"/>
      <c r="F31" s="5">
        <f t="shared" si="4"/>
        <v>0</v>
      </c>
      <c r="G31" s="5"/>
      <c r="K31" s="86"/>
      <c r="L31" s="85"/>
    </row>
    <row r="32" spans="1:12" ht="18.75" hidden="1" customHeight="1" thickBot="1" x14ac:dyDescent="0.4">
      <c r="A32" s="98" t="s">
        <v>13</v>
      </c>
      <c r="B32" s="111"/>
      <c r="C32" s="76">
        <f>SUM(C19:C31)</f>
        <v>9</v>
      </c>
      <c r="D32" s="46">
        <f>SUM(D19:D31)</f>
        <v>14</v>
      </c>
      <c r="E32" s="46">
        <f>SUM(E19:E31)</f>
        <v>0</v>
      </c>
      <c r="F32" s="64">
        <f>SUM(F19:F31)</f>
        <v>5</v>
      </c>
      <c r="G32" s="46">
        <f>SUM(G19:G31)</f>
        <v>0</v>
      </c>
      <c r="K32" s="86"/>
      <c r="L32" s="85"/>
    </row>
    <row r="33" spans="1:12" ht="18.75" customHeight="1" x14ac:dyDescent="0.35">
      <c r="A33" s="97" t="s">
        <v>14</v>
      </c>
      <c r="B33" s="112" t="s">
        <v>769</v>
      </c>
      <c r="C33" s="5">
        <f>+IFERROR(VLOOKUP($A33,RAIZ!$A$3:$X$1500,MATCH('Suc. Compostela'!$F$1,RAIZ!$A$2:$X$2,0),FALSE),0)</f>
        <v>0</v>
      </c>
      <c r="D33" s="4">
        <v>2</v>
      </c>
      <c r="E33" s="5"/>
      <c r="F33" s="5">
        <f t="shared" ref="F33:F48" si="5">IF(D33-C33&gt;=0,D33-C33,0)</f>
        <v>2</v>
      </c>
      <c r="G33" s="5">
        <v>1</v>
      </c>
      <c r="K33" s="86"/>
      <c r="L33" s="85"/>
    </row>
    <row r="34" spans="1:12" ht="18.75" customHeight="1" x14ac:dyDescent="0.35">
      <c r="A34" s="97" t="s">
        <v>15</v>
      </c>
      <c r="B34" s="112" t="s">
        <v>770</v>
      </c>
      <c r="C34" s="5">
        <f>+IFERROR(VLOOKUP($A34,RAIZ!$A$3:$X$1500,MATCH('Suc. Compostela'!$F$1,RAIZ!$A$2:$X$2,0),FALSE),0)</f>
        <v>0</v>
      </c>
      <c r="D34" s="7">
        <v>2</v>
      </c>
      <c r="E34" s="5"/>
      <c r="F34" s="5">
        <f t="shared" si="5"/>
        <v>2</v>
      </c>
      <c r="G34" s="5">
        <v>2</v>
      </c>
      <c r="K34" s="86"/>
      <c r="L34" s="85"/>
    </row>
    <row r="35" spans="1:12" ht="18.75" customHeight="1" x14ac:dyDescent="0.35">
      <c r="A35" s="97" t="s">
        <v>16</v>
      </c>
      <c r="B35" s="112" t="s">
        <v>771</v>
      </c>
      <c r="C35" s="5">
        <f>+IFERROR(VLOOKUP($A35,RAIZ!$A$3:$X$1500,MATCH('Suc. Compostela'!$F$1,RAIZ!$A$2:$X$2,0),FALSE),0)</f>
        <v>0</v>
      </c>
      <c r="D35" s="7">
        <v>2</v>
      </c>
      <c r="E35" s="5"/>
      <c r="F35" s="5">
        <f t="shared" si="5"/>
        <v>2</v>
      </c>
      <c r="G35" s="5">
        <v>1</v>
      </c>
      <c r="K35" s="86"/>
      <c r="L35" s="85"/>
    </row>
    <row r="36" spans="1:12" ht="18.75" customHeight="1" x14ac:dyDescent="0.35">
      <c r="A36" s="97" t="s">
        <v>17</v>
      </c>
      <c r="B36" s="112" t="s">
        <v>772</v>
      </c>
      <c r="C36" s="5">
        <f>+IFERROR(VLOOKUP($A36,RAIZ!$A$3:$X$1500,MATCH('Suc. Compostela'!$F$1,RAIZ!$A$2:$X$2,0),FALSE),0)</f>
        <v>1</v>
      </c>
      <c r="D36" s="7">
        <v>2</v>
      </c>
      <c r="E36" s="5"/>
      <c r="F36" s="5">
        <f t="shared" si="5"/>
        <v>1</v>
      </c>
      <c r="G36" s="5">
        <v>1</v>
      </c>
      <c r="K36" s="86"/>
      <c r="L36" s="85"/>
    </row>
    <row r="37" spans="1:12" ht="18.75" customHeight="1" x14ac:dyDescent="0.35">
      <c r="A37" s="97" t="s">
        <v>18</v>
      </c>
      <c r="B37" s="112" t="s">
        <v>773</v>
      </c>
      <c r="C37" s="5">
        <f>+IFERROR(VLOOKUP($A37,RAIZ!$A$3:$X$1500,MATCH('Suc. Compostela'!$F$1,RAIZ!$A$2:$X$2,0),FALSE),0)</f>
        <v>0</v>
      </c>
      <c r="D37" s="7">
        <v>3</v>
      </c>
      <c r="E37" s="5"/>
      <c r="F37" s="5">
        <f t="shared" si="5"/>
        <v>3</v>
      </c>
      <c r="G37" s="5">
        <v>2</v>
      </c>
      <c r="K37" s="86"/>
      <c r="L37" s="85"/>
    </row>
    <row r="38" spans="1:12" ht="18.75" customHeight="1" x14ac:dyDescent="0.35">
      <c r="A38" s="97" t="s">
        <v>22</v>
      </c>
      <c r="B38" s="112" t="s">
        <v>774</v>
      </c>
      <c r="C38" s="5">
        <f>+IFERROR(VLOOKUP($A38,RAIZ!$A$3:$X$1500,MATCH('Suc. Compostela'!$F$1,RAIZ!$A$2:$X$2,0),FALSE),0)</f>
        <v>1</v>
      </c>
      <c r="D38" s="18">
        <v>2</v>
      </c>
      <c r="E38" s="5"/>
      <c r="F38" s="5">
        <f t="shared" si="5"/>
        <v>1</v>
      </c>
      <c r="G38" s="5">
        <v>1</v>
      </c>
      <c r="K38" s="86"/>
      <c r="L38" s="85"/>
    </row>
    <row r="39" spans="1:12" ht="18.75" customHeight="1" x14ac:dyDescent="0.35">
      <c r="A39" s="97" t="s">
        <v>23</v>
      </c>
      <c r="B39" s="112" t="s">
        <v>775</v>
      </c>
      <c r="C39" s="5">
        <f>+IFERROR(VLOOKUP($A39,RAIZ!$A$3:$X$1500,MATCH('Suc. Compostela'!$F$1,RAIZ!$A$2:$X$2,0),FALSE),0)</f>
        <v>1</v>
      </c>
      <c r="D39" s="18">
        <v>2</v>
      </c>
      <c r="E39" s="5"/>
      <c r="F39" s="5">
        <f t="shared" si="5"/>
        <v>1</v>
      </c>
      <c r="G39" s="5">
        <v>1</v>
      </c>
      <c r="K39" s="86"/>
      <c r="L39" s="85"/>
    </row>
    <row r="40" spans="1:12" ht="18.75" customHeight="1" thickBot="1" x14ac:dyDescent="0.4">
      <c r="A40" s="97" t="s">
        <v>24</v>
      </c>
      <c r="B40" s="112" t="s">
        <v>776</v>
      </c>
      <c r="C40" s="5">
        <f>+IFERROR(VLOOKUP($A40,RAIZ!$A$3:$X$1500,MATCH('Suc. Compostela'!$F$1,RAIZ!$A$2:$X$2,0),FALSE),0)</f>
        <v>1</v>
      </c>
      <c r="D40" s="7">
        <v>2</v>
      </c>
      <c r="E40" s="5"/>
      <c r="F40" s="5">
        <f t="shared" si="5"/>
        <v>1</v>
      </c>
      <c r="G40" s="5">
        <v>1</v>
      </c>
      <c r="K40" s="86"/>
      <c r="L40" s="85"/>
    </row>
    <row r="41" spans="1:12" ht="18.75" hidden="1" customHeight="1" x14ac:dyDescent="0.35">
      <c r="A41" s="97" t="s">
        <v>25</v>
      </c>
      <c r="B41" s="112" t="s">
        <v>777</v>
      </c>
      <c r="C41" s="5">
        <f>+IFERROR(VLOOKUP($A41,RAIZ!$A$3:$X$1500,MATCH('Suc. Compostela'!$F$1,RAIZ!$A$2:$X$2,0),FALSE),0)</f>
        <v>2</v>
      </c>
      <c r="D41" s="18">
        <v>2</v>
      </c>
      <c r="E41" s="5"/>
      <c r="F41" s="5">
        <f t="shared" si="5"/>
        <v>0</v>
      </c>
      <c r="G41" s="5"/>
      <c r="K41" s="86"/>
      <c r="L41" s="85"/>
    </row>
    <row r="42" spans="1:12" ht="18.75" hidden="1" customHeight="1" x14ac:dyDescent="0.35">
      <c r="A42" s="97"/>
      <c r="B42" s="112"/>
      <c r="C42" s="5">
        <f>+IFERROR(VLOOKUP($A42,RAIZ!$A$3:$X$1500,MATCH('Suc. Compostela'!$F$1,RAIZ!$A$2:$X$2,0),FALSE),0)</f>
        <v>0</v>
      </c>
      <c r="D42" s="20"/>
      <c r="E42" s="5"/>
      <c r="F42" s="5">
        <f t="shared" si="5"/>
        <v>0</v>
      </c>
      <c r="G42" s="5"/>
    </row>
    <row r="43" spans="1:12" ht="18.75" hidden="1" customHeight="1" x14ac:dyDescent="0.35">
      <c r="A43" s="97"/>
      <c r="B43" s="112"/>
      <c r="C43" s="5">
        <f>+IFERROR(VLOOKUP($A43,RAIZ!$A$3:$X$1500,MATCH('Suc. Compostela'!$F$1,RAIZ!$A$2:$X$2,0),FALSE),0)</f>
        <v>0</v>
      </c>
      <c r="D43" s="18"/>
      <c r="E43" s="5"/>
      <c r="F43" s="5">
        <f t="shared" si="5"/>
        <v>0</v>
      </c>
      <c r="G43" s="5"/>
      <c r="K43" s="86"/>
      <c r="L43" s="85"/>
    </row>
    <row r="44" spans="1:12" ht="18.75" hidden="1" customHeight="1" x14ac:dyDescent="0.35">
      <c r="A44" s="97"/>
      <c r="B44" s="112"/>
      <c r="C44" s="5">
        <f>+IFERROR(VLOOKUP($A44,RAIZ!$A$3:$X$1500,MATCH('Suc. Compostela'!$F$1,RAIZ!$A$2:$X$2,0),FALSE),0)</f>
        <v>0</v>
      </c>
      <c r="D44" s="18"/>
      <c r="E44" s="5"/>
      <c r="F44" s="5">
        <f t="shared" si="5"/>
        <v>0</v>
      </c>
      <c r="G44" s="5"/>
      <c r="K44" s="86"/>
      <c r="L44" s="85"/>
    </row>
    <row r="45" spans="1:12" ht="18.75" hidden="1" customHeight="1" x14ac:dyDescent="0.35">
      <c r="A45" s="97"/>
      <c r="B45" s="112"/>
      <c r="C45" s="5">
        <f>+IFERROR(VLOOKUP($A45,RAIZ!$A$3:$X$1500,MATCH('Suc. Compostela'!$F$1,RAIZ!$A$2:$X$2,0),FALSE),0)</f>
        <v>0</v>
      </c>
      <c r="D45" s="18"/>
      <c r="E45" s="5"/>
      <c r="F45" s="5">
        <f t="shared" si="5"/>
        <v>0</v>
      </c>
      <c r="G45" s="5"/>
      <c r="K45" s="86"/>
      <c r="L45" s="85"/>
    </row>
    <row r="46" spans="1:12" ht="18.75" hidden="1" customHeight="1" x14ac:dyDescent="0.35">
      <c r="A46" s="97"/>
      <c r="B46" s="112"/>
      <c r="C46" s="5">
        <f>+IFERROR(VLOOKUP($A46,RAIZ!$A$3:$X$1500,MATCH('Suc. Compostela'!$F$1,RAIZ!$A$2:$X$2,0),FALSE),0)</f>
        <v>0</v>
      </c>
      <c r="D46" s="18"/>
      <c r="E46" s="5"/>
      <c r="F46" s="5">
        <f t="shared" si="5"/>
        <v>0</v>
      </c>
      <c r="G46" s="5"/>
      <c r="K46" s="86"/>
      <c r="L46" s="85"/>
    </row>
    <row r="47" spans="1:12" ht="18.75" hidden="1" customHeight="1" x14ac:dyDescent="0.35">
      <c r="A47" s="97"/>
      <c r="B47" s="112"/>
      <c r="C47" s="5">
        <f>+IFERROR(VLOOKUP($A47,RAIZ!$A$3:$X$1500,MATCH('Suc. Compostela'!$F$1,RAIZ!$A$2:$X$2,0),FALSE),0)</f>
        <v>0</v>
      </c>
      <c r="D47" s="18"/>
      <c r="E47" s="5"/>
      <c r="F47" s="5">
        <f t="shared" si="5"/>
        <v>0</v>
      </c>
      <c r="G47" s="5"/>
      <c r="K47" s="86"/>
      <c r="L47" s="85"/>
    </row>
    <row r="48" spans="1:12" ht="18.75" hidden="1" customHeight="1" thickBot="1" x14ac:dyDescent="0.4">
      <c r="A48" s="97"/>
      <c r="B48" s="112"/>
      <c r="C48" s="5">
        <f>+IFERROR(VLOOKUP($A48,RAIZ!$A$3:$X$1500,MATCH('Suc. Compostela'!$F$1,RAIZ!$A$2:$X$2,0),FALSE),0)</f>
        <v>0</v>
      </c>
      <c r="D48" s="18"/>
      <c r="E48" s="5"/>
      <c r="F48" s="5">
        <f t="shared" si="5"/>
        <v>0</v>
      </c>
      <c r="G48" s="5"/>
      <c r="K48" s="86"/>
      <c r="L48" s="85"/>
    </row>
    <row r="49" spans="1:12" ht="18.75" customHeight="1" thickBot="1" x14ac:dyDescent="0.4">
      <c r="A49" s="99" t="s">
        <v>29</v>
      </c>
      <c r="B49" s="111"/>
      <c r="C49" s="77">
        <f>SUM(C33:C48)</f>
        <v>6</v>
      </c>
      <c r="D49" s="48">
        <f>SUM(D33:D48)</f>
        <v>19</v>
      </c>
      <c r="E49" s="48">
        <f>SUM(E33:E48)</f>
        <v>0</v>
      </c>
      <c r="F49" s="65">
        <f>SUM(F33:F48)</f>
        <v>13</v>
      </c>
      <c r="G49" s="48">
        <f>SUM(G33:G48)</f>
        <v>10</v>
      </c>
      <c r="K49" s="86"/>
      <c r="L49" s="85"/>
    </row>
    <row r="50" spans="1:12" ht="18.75" hidden="1" customHeight="1" x14ac:dyDescent="0.35">
      <c r="A50" s="93" t="s">
        <v>30</v>
      </c>
      <c r="B50" s="112" t="s">
        <v>778</v>
      </c>
      <c r="C50" s="5">
        <f>+IFERROR(VLOOKUP($A50,RAIZ!$A$3:$X$1500,MATCH('Suc. Compostela'!$F$1,RAIZ!$A$2:$X$2,0),FALSE),0)</f>
        <v>5</v>
      </c>
      <c r="D50" s="4">
        <v>6</v>
      </c>
      <c r="E50" s="5"/>
      <c r="F50" s="5">
        <f>IF(D50-C50&gt;=0,D50-C50,0)</f>
        <v>1</v>
      </c>
      <c r="G50" s="5"/>
      <c r="K50" s="86"/>
      <c r="L50" s="85"/>
    </row>
    <row r="51" spans="1:12" ht="18.75" customHeight="1" thickBot="1" x14ac:dyDescent="0.4">
      <c r="A51" s="95" t="s">
        <v>31</v>
      </c>
      <c r="B51" s="112" t="s">
        <v>779</v>
      </c>
      <c r="C51" s="5">
        <f>+IFERROR(VLOOKUP($A51,RAIZ!$A$3:$X$1500,MATCH('Suc. Compostela'!$F$1,RAIZ!$A$2:$X$2,0),FALSE),0)</f>
        <v>0</v>
      </c>
      <c r="D51" s="20">
        <v>6</v>
      </c>
      <c r="E51" s="5"/>
      <c r="F51" s="5">
        <f t="shared" ref="F51" si="6">IF(D51-C51&gt;=0,D51-C51,0)</f>
        <v>6</v>
      </c>
      <c r="G51" s="5">
        <v>5</v>
      </c>
      <c r="K51" s="86"/>
      <c r="L51" s="85"/>
    </row>
    <row r="52" spans="1:12" ht="18.75" customHeight="1" thickBot="1" x14ac:dyDescent="0.4">
      <c r="A52" s="100" t="s">
        <v>32</v>
      </c>
      <c r="B52" s="111"/>
      <c r="C52" s="78">
        <f>SUM(C50:C51)</f>
        <v>5</v>
      </c>
      <c r="D52" s="50">
        <f t="shared" ref="D52:E52" si="7">SUM(D50:D51)</f>
        <v>12</v>
      </c>
      <c r="E52" s="50">
        <f t="shared" si="7"/>
        <v>0</v>
      </c>
      <c r="F52" s="66">
        <f t="shared" ref="F52:G52" si="8">SUM(F50:F51)</f>
        <v>7</v>
      </c>
      <c r="G52" s="50">
        <f t="shared" si="8"/>
        <v>5</v>
      </c>
      <c r="K52" s="86"/>
      <c r="L52" s="85"/>
    </row>
    <row r="53" spans="1:12" ht="18.75" hidden="1" customHeight="1" x14ac:dyDescent="0.35">
      <c r="A53" s="93" t="s">
        <v>33</v>
      </c>
      <c r="B53" s="112" t="s">
        <v>780</v>
      </c>
      <c r="C53" s="5">
        <f>+IFERROR(VLOOKUP($A53,RAIZ!$A$3:$X$1500,MATCH('Suc. Compostela'!$F$1,RAIZ!$A$2:$X$2,0),FALSE),0)</f>
        <v>5</v>
      </c>
      <c r="D53" s="4">
        <v>6</v>
      </c>
      <c r="E53" s="5"/>
      <c r="F53" s="5">
        <f t="shared" ref="F53:F54" si="9">IF(D53-C53&gt;=0,D53-C53,0)</f>
        <v>1</v>
      </c>
      <c r="G53" s="5"/>
      <c r="K53" s="86"/>
      <c r="L53" s="85"/>
    </row>
    <row r="54" spans="1:12" ht="18.75" customHeight="1" thickBot="1" x14ac:dyDescent="0.4">
      <c r="A54" s="95" t="s">
        <v>34</v>
      </c>
      <c r="B54" s="112" t="s">
        <v>781</v>
      </c>
      <c r="C54" s="5">
        <f>+IFERROR(VLOOKUP($A54,RAIZ!$A$3:$X$1500,MATCH('Suc. Compostela'!$F$1,RAIZ!$A$2:$X$2,0),FALSE),0)</f>
        <v>2</v>
      </c>
      <c r="D54" s="20">
        <v>6</v>
      </c>
      <c r="E54" s="5"/>
      <c r="F54" s="5">
        <f t="shared" si="9"/>
        <v>4</v>
      </c>
      <c r="G54" s="5">
        <v>6</v>
      </c>
      <c r="K54" s="86"/>
      <c r="L54" s="85"/>
    </row>
    <row r="55" spans="1:12" ht="18.75" customHeight="1" thickBot="1" x14ac:dyDescent="0.4">
      <c r="A55" s="99" t="s">
        <v>35</v>
      </c>
      <c r="B55" s="111"/>
      <c r="C55" s="77">
        <f>SUM(C53:C54)</f>
        <v>7</v>
      </c>
      <c r="D55" s="48">
        <f t="shared" ref="D55:E55" si="10">SUM(D53:D54)</f>
        <v>12</v>
      </c>
      <c r="E55" s="48">
        <f t="shared" si="10"/>
        <v>0</v>
      </c>
      <c r="F55" s="65">
        <f t="shared" ref="F55:G55" si="11">SUM(F53:F54)</f>
        <v>5</v>
      </c>
      <c r="G55" s="48">
        <f t="shared" si="11"/>
        <v>6</v>
      </c>
      <c r="K55" s="86"/>
      <c r="L55" s="85"/>
    </row>
    <row r="56" spans="1:12" ht="18.75" hidden="1" customHeight="1" x14ac:dyDescent="0.35">
      <c r="A56" s="93" t="s">
        <v>36</v>
      </c>
      <c r="B56" s="112" t="s">
        <v>782</v>
      </c>
      <c r="C56" s="5">
        <f>+IFERROR(VLOOKUP($A56,RAIZ!$A$3:$X$1500,MATCH('Suc. Compostela'!$F$1,RAIZ!$A$2:$X$2,0),FALSE),0)</f>
        <v>1</v>
      </c>
      <c r="D56" s="4">
        <v>1</v>
      </c>
      <c r="E56" s="5"/>
      <c r="F56" s="5">
        <f t="shared" ref="F56:F70" si="12">IF(D56-C56&gt;=0,D56-C56,0)</f>
        <v>0</v>
      </c>
      <c r="G56" s="5"/>
      <c r="K56" s="86"/>
      <c r="L56" s="85"/>
    </row>
    <row r="57" spans="1:12" ht="18.75" hidden="1" customHeight="1" x14ac:dyDescent="0.35">
      <c r="A57" s="93" t="s">
        <v>37</v>
      </c>
      <c r="B57" s="112" t="s">
        <v>783</v>
      </c>
      <c r="C57" s="5">
        <f>+IFERROR(VLOOKUP($A57,RAIZ!$A$3:$X$1500,MATCH('Suc. Compostela'!$F$1,RAIZ!$A$2:$X$2,0),FALSE),0)</f>
        <v>1</v>
      </c>
      <c r="D57" s="7">
        <v>1</v>
      </c>
      <c r="E57" s="5"/>
      <c r="F57" s="5">
        <f t="shared" si="12"/>
        <v>0</v>
      </c>
      <c r="G57" s="5"/>
      <c r="K57" s="86"/>
      <c r="L57" s="85"/>
    </row>
    <row r="58" spans="1:12" ht="18.75" hidden="1" customHeight="1" x14ac:dyDescent="0.35">
      <c r="A58" s="93" t="s">
        <v>39</v>
      </c>
      <c r="B58" s="112" t="s">
        <v>784</v>
      </c>
      <c r="C58" s="5">
        <f>+IFERROR(VLOOKUP($A58,RAIZ!$A$3:$X$1500,MATCH('Suc. Compostela'!$F$1,RAIZ!$A$2:$X$2,0),FALSE),0)</f>
        <v>1</v>
      </c>
      <c r="D58" s="7">
        <v>1</v>
      </c>
      <c r="E58" s="5"/>
      <c r="F58" s="5">
        <f t="shared" ref="F58" si="13">IF(D58-C58&gt;=0,D58-C58,0)</f>
        <v>0</v>
      </c>
      <c r="G58" s="5"/>
      <c r="K58" s="86"/>
      <c r="L58" s="85"/>
    </row>
    <row r="59" spans="1:12" ht="18.75" hidden="1" customHeight="1" x14ac:dyDescent="0.35">
      <c r="A59" s="93" t="s">
        <v>40</v>
      </c>
      <c r="B59" s="112" t="s">
        <v>785</v>
      </c>
      <c r="C59" s="5">
        <f>+IFERROR(VLOOKUP($A59,RAIZ!$A$3:$X$1500,MATCH('Suc. Compostela'!$F$1,RAIZ!$A$2:$X$2,0),FALSE),0)</f>
        <v>1</v>
      </c>
      <c r="D59" s="7">
        <v>1</v>
      </c>
      <c r="E59" s="5"/>
      <c r="F59" s="5">
        <f t="shared" si="12"/>
        <v>0</v>
      </c>
      <c r="G59" s="5"/>
      <c r="K59" s="86"/>
      <c r="L59" s="85"/>
    </row>
    <row r="60" spans="1:12" ht="18.75" hidden="1" customHeight="1" x14ac:dyDescent="0.35">
      <c r="A60" s="93" t="s">
        <v>41</v>
      </c>
      <c r="B60" s="112" t="s">
        <v>786</v>
      </c>
      <c r="C60" s="5">
        <f>+IFERROR(VLOOKUP($A60,RAIZ!$A$3:$X$1500,MATCH('Suc. Compostela'!$F$1,RAIZ!$A$2:$X$2,0),FALSE),0)</f>
        <v>1</v>
      </c>
      <c r="D60" s="7">
        <v>1</v>
      </c>
      <c r="E60" s="5"/>
      <c r="F60" s="5">
        <f t="shared" si="12"/>
        <v>0</v>
      </c>
      <c r="G60" s="5"/>
      <c r="K60" s="86"/>
      <c r="L60" s="85"/>
    </row>
    <row r="61" spans="1:12" ht="18.75" hidden="1" customHeight="1" x14ac:dyDescent="0.35">
      <c r="A61" s="101" t="s">
        <v>42</v>
      </c>
      <c r="B61" s="112" t="s">
        <v>787</v>
      </c>
      <c r="C61" s="5">
        <f>+IFERROR(VLOOKUP($A61,RAIZ!$A$3:$X$1500,MATCH('Suc. Compostela'!$F$1,RAIZ!$A$2:$X$2,0),FALSE),0)</f>
        <v>0</v>
      </c>
      <c r="D61" s="4">
        <v>1</v>
      </c>
      <c r="E61" s="5"/>
      <c r="F61" s="5">
        <f t="shared" si="12"/>
        <v>1</v>
      </c>
      <c r="G61" s="5">
        <v>0</v>
      </c>
      <c r="K61" s="86"/>
      <c r="L61" s="85"/>
    </row>
    <row r="62" spans="1:12" ht="18.75" hidden="1" customHeight="1" x14ac:dyDescent="0.35">
      <c r="A62" s="102" t="s">
        <v>43</v>
      </c>
      <c r="B62" s="112" t="s">
        <v>788</v>
      </c>
      <c r="C62" s="5">
        <f>+IFERROR(VLOOKUP($A62,RAIZ!$A$3:$X$1500,MATCH('Suc. Compostela'!$F$1,RAIZ!$A$2:$X$2,0),FALSE),0)</f>
        <v>1</v>
      </c>
      <c r="D62" s="7">
        <v>1</v>
      </c>
      <c r="E62" s="5"/>
      <c r="F62" s="5">
        <f t="shared" si="12"/>
        <v>0</v>
      </c>
      <c r="G62" s="5"/>
      <c r="K62" s="86"/>
      <c r="L62" s="85"/>
    </row>
    <row r="63" spans="1:12" ht="18.75" hidden="1" customHeight="1" x14ac:dyDescent="0.35">
      <c r="A63" s="93" t="s">
        <v>44</v>
      </c>
      <c r="B63" s="112" t="s">
        <v>789</v>
      </c>
      <c r="C63" s="5">
        <f>+IFERROR(VLOOKUP($A63,RAIZ!$A$3:$X$1500,MATCH('Suc. Compostela'!$F$1,RAIZ!$A$2:$X$2,0),FALSE),0)</f>
        <v>1</v>
      </c>
      <c r="D63" s="7">
        <v>1</v>
      </c>
      <c r="E63" s="5"/>
      <c r="F63" s="5">
        <f t="shared" si="12"/>
        <v>0</v>
      </c>
      <c r="G63" s="5"/>
      <c r="K63" s="86"/>
      <c r="L63" s="85"/>
    </row>
    <row r="64" spans="1:12" ht="18.75" hidden="1" customHeight="1" x14ac:dyDescent="0.35">
      <c r="A64" s="93" t="s">
        <v>45</v>
      </c>
      <c r="B64" s="112" t="s">
        <v>790</v>
      </c>
      <c r="C64" s="5">
        <f>+IFERROR(VLOOKUP($A64,RAIZ!$A$3:$X$1500,MATCH('Suc. Compostela'!$F$1,RAIZ!$A$2:$X$2,0),FALSE),0)</f>
        <v>1</v>
      </c>
      <c r="D64" s="4">
        <v>1</v>
      </c>
      <c r="E64" s="5"/>
      <c r="F64" s="5">
        <f t="shared" si="12"/>
        <v>0</v>
      </c>
      <c r="G64" s="5"/>
      <c r="K64" s="86"/>
      <c r="L64" s="85"/>
    </row>
    <row r="65" spans="1:12" ht="18.75" customHeight="1" x14ac:dyDescent="0.35">
      <c r="A65" s="93" t="s">
        <v>46</v>
      </c>
      <c r="B65" s="112" t="s">
        <v>791</v>
      </c>
      <c r="C65" s="5">
        <f>+IFERROR(VLOOKUP($A65,RAIZ!$A$3:$X$1500,MATCH('Suc. Compostela'!$F$1,RAIZ!$A$2:$X$2,0),FALSE),0)</f>
        <v>1</v>
      </c>
      <c r="D65" s="7">
        <v>4</v>
      </c>
      <c r="E65" s="5"/>
      <c r="F65" s="5">
        <f t="shared" si="12"/>
        <v>3</v>
      </c>
      <c r="G65" s="5">
        <v>2</v>
      </c>
      <c r="K65" s="86"/>
      <c r="L65" s="85"/>
    </row>
    <row r="66" spans="1:12" ht="18.75" hidden="1" customHeight="1" x14ac:dyDescent="0.35">
      <c r="A66" s="93" t="s">
        <v>48</v>
      </c>
      <c r="B66" s="112" t="s">
        <v>792</v>
      </c>
      <c r="C66" s="5">
        <f>+IFERROR(VLOOKUP($A66,RAIZ!$A$3:$X$1500,MATCH('Suc. Compostela'!$F$1,RAIZ!$A$2:$X$2,0),FALSE),0)</f>
        <v>1</v>
      </c>
      <c r="D66" s="7">
        <v>1</v>
      </c>
      <c r="E66" s="5"/>
      <c r="F66" s="5">
        <f t="shared" si="12"/>
        <v>0</v>
      </c>
      <c r="G66" s="5"/>
      <c r="K66" s="86"/>
      <c r="L66" s="85"/>
    </row>
    <row r="67" spans="1:12" ht="18.75" hidden="1" customHeight="1" x14ac:dyDescent="0.35">
      <c r="A67" s="93" t="s">
        <v>49</v>
      </c>
      <c r="B67" s="112" t="s">
        <v>793</v>
      </c>
      <c r="C67" s="5">
        <f>+IFERROR(VLOOKUP($A67,RAIZ!$A$3:$X$1500,MATCH('Suc. Compostela'!$F$1,RAIZ!$A$2:$X$2,0),FALSE),0)</f>
        <v>1</v>
      </c>
      <c r="D67" s="7">
        <v>1</v>
      </c>
      <c r="E67" s="5"/>
      <c r="F67" s="5">
        <f t="shared" si="12"/>
        <v>0</v>
      </c>
      <c r="G67" s="5"/>
      <c r="K67" s="86"/>
      <c r="L67" s="85"/>
    </row>
    <row r="68" spans="1:12" ht="18.75" hidden="1" customHeight="1" x14ac:dyDescent="0.35">
      <c r="A68" s="93" t="s">
        <v>50</v>
      </c>
      <c r="B68" s="112" t="s">
        <v>794</v>
      </c>
      <c r="C68" s="5">
        <f>+IFERROR(VLOOKUP($A68,RAIZ!$A$3:$X$1500,MATCH('Suc. Compostela'!$F$1,RAIZ!$A$2:$X$2,0),FALSE),0)</f>
        <v>2</v>
      </c>
      <c r="D68" s="4">
        <v>4</v>
      </c>
      <c r="E68" s="5"/>
      <c r="F68" s="5">
        <f t="shared" si="12"/>
        <v>2</v>
      </c>
      <c r="G68" s="5"/>
      <c r="K68" s="86"/>
      <c r="L68" s="85"/>
    </row>
    <row r="69" spans="1:12" ht="18.75" hidden="1" customHeight="1" x14ac:dyDescent="0.35">
      <c r="A69" s="93" t="s">
        <v>51</v>
      </c>
      <c r="B69" s="112" t="s">
        <v>795</v>
      </c>
      <c r="C69" s="5">
        <f>+IFERROR(VLOOKUP($A69,RAIZ!$A$3:$X$1500,MATCH('Suc. Compostela'!$F$1,RAIZ!$A$2:$X$2,0),FALSE),0)</f>
        <v>1</v>
      </c>
      <c r="D69" s="169">
        <v>0</v>
      </c>
      <c r="E69" s="5"/>
      <c r="F69" s="5">
        <f t="shared" si="12"/>
        <v>0</v>
      </c>
      <c r="G69" s="5"/>
      <c r="K69" s="86"/>
      <c r="L69" s="85"/>
    </row>
    <row r="70" spans="1:12" ht="18.75" customHeight="1" thickBot="1" x14ac:dyDescent="0.4">
      <c r="A70" s="93" t="s">
        <v>53</v>
      </c>
      <c r="B70" s="112" t="s">
        <v>796</v>
      </c>
      <c r="C70" s="5">
        <f>+IFERROR(VLOOKUP($A70,RAIZ!$A$3:$X$1500,MATCH('Suc. Compostela'!$F$1,RAIZ!$A$2:$X$2,0),FALSE),0)</f>
        <v>0</v>
      </c>
      <c r="D70" s="20">
        <v>3</v>
      </c>
      <c r="E70" s="5"/>
      <c r="F70" s="5">
        <f t="shared" si="12"/>
        <v>3</v>
      </c>
      <c r="G70" s="5">
        <v>2</v>
      </c>
      <c r="K70" s="86"/>
      <c r="L70" s="85"/>
    </row>
    <row r="71" spans="1:12" ht="18.75" hidden="1" customHeight="1" x14ac:dyDescent="0.35">
      <c r="A71" s="93" t="s">
        <v>47</v>
      </c>
      <c r="B71" s="112" t="s">
        <v>873</v>
      </c>
      <c r="C71" s="5">
        <f>+IFERROR(VLOOKUP($A71,RAIZ!$A$3:$X$1500,MATCH('Suc. Compostela'!$F$1,RAIZ!$A$2:$X$2,0),FALSE),0)</f>
        <v>1</v>
      </c>
      <c r="D71" s="20">
        <v>1</v>
      </c>
      <c r="E71" s="5"/>
      <c r="F71" s="5">
        <f t="shared" ref="F71:F77" si="14">IF(D71-C71&gt;=0,D71-C71,0)</f>
        <v>0</v>
      </c>
      <c r="G71" s="5"/>
    </row>
    <row r="72" spans="1:12" ht="18.75" hidden="1" customHeight="1" x14ac:dyDescent="0.35">
      <c r="A72" s="86" t="s">
        <v>1089</v>
      </c>
      <c r="B72" s="112" t="s">
        <v>1090</v>
      </c>
      <c r="C72" s="5">
        <f>+IFERROR(VLOOKUP($A72,RAIZ!$A$3:$X$1500,MATCH('Suc. Compostela'!$F$1,RAIZ!$A$2:$X$2,0),FALSE),0)</f>
        <v>0</v>
      </c>
      <c r="D72" s="20">
        <v>0</v>
      </c>
      <c r="E72" s="5"/>
      <c r="F72" s="5">
        <f>IF(D72-C72&gt;=0,D72-C72,0)</f>
        <v>0</v>
      </c>
      <c r="G72" s="5"/>
    </row>
    <row r="73" spans="1:12" ht="18.75" hidden="1" customHeight="1" x14ac:dyDescent="0.35">
      <c r="A73" s="93"/>
      <c r="B73" s="112"/>
      <c r="C73" s="5">
        <f>+IFERROR(VLOOKUP($A73,RAIZ!$A$3:$X$1500,MATCH('Suc. Compostela'!$F$1,RAIZ!$A$2:$X$2,0),FALSE),0)</f>
        <v>0</v>
      </c>
      <c r="D73" s="20"/>
      <c r="E73" s="5"/>
      <c r="F73" s="5">
        <f t="shared" si="14"/>
        <v>0</v>
      </c>
      <c r="G73" s="5"/>
      <c r="K73" s="86"/>
      <c r="L73" s="85"/>
    </row>
    <row r="74" spans="1:12" ht="18.75" hidden="1" customHeight="1" x14ac:dyDescent="0.35">
      <c r="A74" s="93"/>
      <c r="B74" s="112"/>
      <c r="C74" s="5">
        <f>+IFERROR(VLOOKUP($A74,RAIZ!$A$3:$X$1500,MATCH('Suc. Compostela'!$F$1,RAIZ!$A$2:$X$2,0),FALSE),0)</f>
        <v>0</v>
      </c>
      <c r="D74" s="20"/>
      <c r="E74" s="5"/>
      <c r="F74" s="5">
        <f t="shared" si="14"/>
        <v>0</v>
      </c>
      <c r="G74" s="5"/>
      <c r="K74" s="86"/>
      <c r="L74" s="85"/>
    </row>
    <row r="75" spans="1:12" ht="18.75" hidden="1" customHeight="1" x14ac:dyDescent="0.35">
      <c r="A75" s="93"/>
      <c r="B75" s="112"/>
      <c r="C75" s="5">
        <f>+IFERROR(VLOOKUP($A75,RAIZ!$A$3:$X$1500,MATCH('Suc. Compostela'!$F$1,RAIZ!$A$2:$X$2,0),FALSE),0)</f>
        <v>0</v>
      </c>
      <c r="D75" s="20"/>
      <c r="E75" s="5"/>
      <c r="F75" s="5">
        <f t="shared" si="14"/>
        <v>0</v>
      </c>
      <c r="G75" s="5"/>
      <c r="K75" s="86"/>
      <c r="L75" s="85"/>
    </row>
    <row r="76" spans="1:12" ht="18.75" hidden="1" customHeight="1" x14ac:dyDescent="0.35">
      <c r="A76" s="93"/>
      <c r="B76" s="112"/>
      <c r="C76" s="5">
        <f>+IFERROR(VLOOKUP($A76,RAIZ!$A$3:$X$1500,MATCH('Suc. Compostela'!$F$1,RAIZ!$A$2:$X$2,0),FALSE),0)</f>
        <v>0</v>
      </c>
      <c r="D76" s="20"/>
      <c r="E76" s="5"/>
      <c r="F76" s="5">
        <f t="shared" si="14"/>
        <v>0</v>
      </c>
      <c r="G76" s="5"/>
      <c r="K76" s="86"/>
      <c r="L76" s="85"/>
    </row>
    <row r="77" spans="1:12" ht="18.75" hidden="1" customHeight="1" thickBot="1" x14ac:dyDescent="0.4">
      <c r="A77" s="93"/>
      <c r="B77" s="112"/>
      <c r="C77" s="5">
        <f>+IFERROR(VLOOKUP($A77,RAIZ!$A$3:$X$1500,MATCH('Suc. Compostela'!$F$1,RAIZ!$A$2:$X$2,0),FALSE),0)</f>
        <v>0</v>
      </c>
      <c r="D77" s="20"/>
      <c r="E77" s="5"/>
      <c r="F77" s="5">
        <f t="shared" si="14"/>
        <v>0</v>
      </c>
      <c r="G77" s="5"/>
    </row>
    <row r="78" spans="1:12" ht="18.75" customHeight="1" thickBot="1" x14ac:dyDescent="0.4">
      <c r="A78" s="99" t="s">
        <v>54</v>
      </c>
      <c r="B78" s="111"/>
      <c r="C78" s="77">
        <f>SUM(C56:C77)</f>
        <v>15</v>
      </c>
      <c r="D78" s="48">
        <f>SUM(D56:D77)</f>
        <v>23</v>
      </c>
      <c r="E78" s="48">
        <f>SUM(E56:E77)</f>
        <v>0</v>
      </c>
      <c r="F78" s="65">
        <f>SUM(F56:F77)</f>
        <v>9</v>
      </c>
      <c r="G78" s="48">
        <f>SUM(G56:G77)</f>
        <v>4</v>
      </c>
    </row>
    <row r="79" spans="1:12" ht="18.75" customHeight="1" thickBot="1" x14ac:dyDescent="0.4">
      <c r="A79" s="103" t="s">
        <v>55</v>
      </c>
      <c r="B79" s="111"/>
      <c r="C79" s="79">
        <f>C18+C32+C49+C52+C55+C78</f>
        <v>54</v>
      </c>
      <c r="D79" s="52">
        <f>D18+D32+D49+D52+D55+D78</f>
        <v>98</v>
      </c>
      <c r="E79" s="52">
        <f>E18+E32+E49+E52+E55+E78</f>
        <v>0</v>
      </c>
      <c r="F79" s="67">
        <f>F18+F32+F49+F52+F55+F78</f>
        <v>45</v>
      </c>
      <c r="G79" s="52">
        <f>G18+G32+G49+G52+G55+G78</f>
        <v>28</v>
      </c>
    </row>
    <row r="80" spans="1:12" ht="18.75" hidden="1" customHeight="1" x14ac:dyDescent="0.35">
      <c r="A80" s="104" t="s">
        <v>56</v>
      </c>
      <c r="B80" s="111"/>
      <c r="C80" s="68"/>
      <c r="D80" s="26"/>
      <c r="E80" s="27"/>
      <c r="F80" s="27"/>
      <c r="G80" s="27"/>
    </row>
    <row r="81" spans="1:7" ht="18.75" hidden="1" customHeight="1" x14ac:dyDescent="0.35">
      <c r="A81" s="94" t="s">
        <v>57</v>
      </c>
      <c r="B81" s="112" t="s">
        <v>797</v>
      </c>
      <c r="C81" s="5">
        <f>+IFERROR(VLOOKUP($A81,RAIZ!$A$3:$X$1500,MATCH('Suc. Compostela'!$F$1,RAIZ!$A$2:$X$2,0),FALSE),0)</f>
        <v>1</v>
      </c>
      <c r="D81" s="4">
        <v>1</v>
      </c>
      <c r="E81" s="5"/>
      <c r="F81" s="5">
        <f t="shared" ref="F81:F85" si="15">IF(D81-C81&gt;=0,D81-C81,0)</f>
        <v>0</v>
      </c>
      <c r="G81" s="5"/>
    </row>
    <row r="82" spans="1:7" ht="18.75" hidden="1" customHeight="1" x14ac:dyDescent="0.35">
      <c r="A82" s="94" t="s">
        <v>58</v>
      </c>
      <c r="B82" s="112" t="s">
        <v>867</v>
      </c>
      <c r="C82" s="5">
        <f>+IFERROR(VLOOKUP($A82,RAIZ!$A$3:$X$1500,MATCH('Suc. Compostela'!$F$1,RAIZ!$A$2:$X$2,0),FALSE),0)</f>
        <v>0</v>
      </c>
      <c r="D82" s="4">
        <v>1</v>
      </c>
      <c r="E82" s="5"/>
      <c r="F82" s="5">
        <f t="shared" ref="F82" si="16">IF(D82-C82&gt;=0,D82-C82,0)</f>
        <v>1</v>
      </c>
      <c r="G82" s="5"/>
    </row>
    <row r="83" spans="1:7" ht="18.75" hidden="1" customHeight="1" x14ac:dyDescent="0.35">
      <c r="A83" s="94" t="s">
        <v>59</v>
      </c>
      <c r="B83" s="112" t="s">
        <v>798</v>
      </c>
      <c r="C83" s="5">
        <f>+IFERROR(VLOOKUP($A83,RAIZ!$A$3:$X$1500,MATCH('Suc. Compostela'!$F$1,RAIZ!$A$2:$X$2,0),FALSE),0)</f>
        <v>0</v>
      </c>
      <c r="D83" s="7">
        <v>1</v>
      </c>
      <c r="E83" s="5"/>
      <c r="F83" s="5">
        <f t="shared" si="15"/>
        <v>1</v>
      </c>
      <c r="G83" s="5"/>
    </row>
    <row r="84" spans="1:7" ht="18.75" hidden="1" customHeight="1" x14ac:dyDescent="0.35">
      <c r="A84" s="94" t="s">
        <v>60</v>
      </c>
      <c r="B84" s="112" t="s">
        <v>799</v>
      </c>
      <c r="C84" s="5">
        <f>+IFERROR(VLOOKUP($A84,RAIZ!$A$3:$X$1500,MATCH('Suc. Compostela'!$F$1,RAIZ!$A$2:$X$2,0),FALSE),0)</f>
        <v>0</v>
      </c>
      <c r="D84" s="7">
        <v>0</v>
      </c>
      <c r="E84" s="5"/>
      <c r="F84" s="5">
        <f t="shared" si="15"/>
        <v>0</v>
      </c>
      <c r="G84" s="5"/>
    </row>
    <row r="85" spans="1:7" ht="18.75" customHeight="1" x14ac:dyDescent="0.35">
      <c r="A85" s="94" t="s">
        <v>61</v>
      </c>
      <c r="B85" s="112" t="s">
        <v>800</v>
      </c>
      <c r="C85" s="5">
        <f>+IFERROR(VLOOKUP($A85,RAIZ!$A$3:$X$1500,MATCH('Suc. Compostela'!$F$1,RAIZ!$A$2:$X$2,0),FALSE),0)</f>
        <v>0</v>
      </c>
      <c r="D85" s="7">
        <v>1</v>
      </c>
      <c r="E85" s="5"/>
      <c r="F85" s="5">
        <f t="shared" si="15"/>
        <v>1</v>
      </c>
      <c r="G85" s="5">
        <v>1</v>
      </c>
    </row>
    <row r="86" spans="1:7" ht="18.75" customHeight="1" thickBot="1" x14ac:dyDescent="0.4">
      <c r="A86" s="94" t="s">
        <v>63</v>
      </c>
      <c r="B86" s="112" t="s">
        <v>801</v>
      </c>
      <c r="C86" s="5">
        <f>+IFERROR(VLOOKUP($A86,RAIZ!$A$3:$X$1500,MATCH('Suc. Compostela'!$F$1,RAIZ!$A$2:$X$2,0),FALSE),0)</f>
        <v>0</v>
      </c>
      <c r="D86" s="7">
        <v>4</v>
      </c>
      <c r="E86" s="5"/>
      <c r="F86" s="5">
        <f t="shared" ref="F86:F90" si="17">IF(D86-C86&gt;=0,D86-C86,0)</f>
        <v>4</v>
      </c>
      <c r="G86" s="5">
        <v>3</v>
      </c>
    </row>
    <row r="87" spans="1:7" ht="18.75" hidden="1" customHeight="1" x14ac:dyDescent="0.35">
      <c r="A87" s="94"/>
      <c r="B87" s="112" t="s">
        <v>1091</v>
      </c>
      <c r="C87" s="5">
        <f>+IFERROR(VLOOKUP($A87,RAIZ!$A$3:$X$1500,MATCH('Suc. Compostela'!$F$1,RAIZ!$A$2:$X$2,0),FALSE),0)</f>
        <v>0</v>
      </c>
      <c r="D87" s="20"/>
      <c r="E87" s="5"/>
      <c r="F87" s="5">
        <f>IF(D87-C87&gt;=0,D87-C87,0)</f>
        <v>0</v>
      </c>
      <c r="G87" s="5"/>
    </row>
    <row r="88" spans="1:7" ht="18.75" hidden="1" customHeight="1" x14ac:dyDescent="0.35">
      <c r="A88" s="94"/>
      <c r="B88" s="112" t="s">
        <v>1094</v>
      </c>
      <c r="C88" s="5">
        <f>+IFERROR(VLOOKUP($A88,RAIZ!$A$3:$X$1500,MATCH('Suc. Compostela'!$F$1,RAIZ!$A$2:$X$2,0),FALSE),0)</f>
        <v>0</v>
      </c>
      <c r="D88" s="7"/>
      <c r="E88" s="5"/>
      <c r="F88" s="5">
        <f t="shared" si="17"/>
        <v>0</v>
      </c>
      <c r="G88" s="5"/>
    </row>
    <row r="89" spans="1:7" ht="18.75" hidden="1" customHeight="1" x14ac:dyDescent="0.35">
      <c r="A89" s="94"/>
      <c r="B89" s="112" t="s">
        <v>1095</v>
      </c>
      <c r="C89" s="5">
        <f>+IFERROR(VLOOKUP($A89,RAIZ!$A$3:$X$1500,MATCH('Suc. Compostela'!$F$1,RAIZ!$A$2:$X$2,0),FALSE),0)</f>
        <v>0</v>
      </c>
      <c r="D89" s="7"/>
      <c r="E89" s="5"/>
      <c r="F89" s="5">
        <f t="shared" si="17"/>
        <v>0</v>
      </c>
      <c r="G89" s="5"/>
    </row>
    <row r="90" spans="1:7" ht="18.75" hidden="1" customHeight="1" thickBot="1" x14ac:dyDescent="0.4">
      <c r="A90" s="94"/>
      <c r="B90" s="112" t="s">
        <v>1093</v>
      </c>
      <c r="C90" s="5">
        <f>+IFERROR(VLOOKUP($A90,RAIZ!$A$3:$X$1500,MATCH('Suc. Compostela'!$F$1,RAIZ!$A$2:$X$2,0),FALSE),0)</f>
        <v>0</v>
      </c>
      <c r="D90" s="7"/>
      <c r="E90" s="5"/>
      <c r="F90" s="5">
        <f t="shared" si="17"/>
        <v>0</v>
      </c>
      <c r="G90" s="5"/>
    </row>
    <row r="91" spans="1:7" ht="18.75" customHeight="1" thickBot="1" x14ac:dyDescent="0.4">
      <c r="A91" s="105" t="s">
        <v>55</v>
      </c>
      <c r="B91" s="111"/>
      <c r="C91" s="80">
        <f>SUM(C81:C90)</f>
        <v>1</v>
      </c>
      <c r="D91" s="54">
        <f>SUM(D81:D90)</f>
        <v>8</v>
      </c>
      <c r="E91" s="54">
        <f>SUM(E81:E90)</f>
        <v>0</v>
      </c>
      <c r="F91" s="69">
        <f>SUM(F81:F90)</f>
        <v>7</v>
      </c>
      <c r="G91" s="54">
        <f>SUM(G81:G90)</f>
        <v>4</v>
      </c>
    </row>
    <row r="92" spans="1:7" ht="18.75" hidden="1" customHeight="1" x14ac:dyDescent="0.35">
      <c r="A92" s="106" t="s">
        <v>64</v>
      </c>
      <c r="B92" s="111"/>
      <c r="C92" s="70"/>
      <c r="D92" s="30"/>
      <c r="E92" s="31"/>
      <c r="F92" s="31"/>
      <c r="G92" s="31"/>
    </row>
    <row r="93" spans="1:7" ht="18.75" hidden="1" customHeight="1" x14ac:dyDescent="0.35">
      <c r="A93" s="94" t="s">
        <v>65</v>
      </c>
      <c r="B93" s="112" t="s">
        <v>802</v>
      </c>
      <c r="C93" s="5">
        <f>+IFERROR(VLOOKUP($A93,RAIZ!$A$3:$X$1500,MATCH('Suc. Compostela'!$F$1,RAIZ!$A$2:$X$2,0),FALSE),0)</f>
        <v>1</v>
      </c>
      <c r="D93" s="4">
        <v>1</v>
      </c>
      <c r="E93" s="5"/>
      <c r="F93" s="5">
        <f t="shared" ref="F93:F104" si="18">IF(D93-C93&gt;=0,D93-C93,0)</f>
        <v>0</v>
      </c>
      <c r="G93" s="5"/>
    </row>
    <row r="94" spans="1:7" ht="18.75" hidden="1" customHeight="1" x14ac:dyDescent="0.35">
      <c r="A94" s="94" t="s">
        <v>66</v>
      </c>
      <c r="B94" s="112" t="s">
        <v>803</v>
      </c>
      <c r="C94" s="5">
        <f>+IFERROR(VLOOKUP($A94,RAIZ!$A$3:$X$1500,MATCH('Suc. Compostela'!$F$1,RAIZ!$A$2:$X$2,0),FALSE),0)</f>
        <v>1</v>
      </c>
      <c r="D94" s="7">
        <v>1</v>
      </c>
      <c r="E94" s="5"/>
      <c r="F94" s="5">
        <f t="shared" si="18"/>
        <v>0</v>
      </c>
      <c r="G94" s="5"/>
    </row>
    <row r="95" spans="1:7" ht="18.75" customHeight="1" x14ac:dyDescent="0.35">
      <c r="A95" s="94" t="s">
        <v>68</v>
      </c>
      <c r="B95" s="112" t="s">
        <v>805</v>
      </c>
      <c r="C95" s="5">
        <f>+IFERROR(VLOOKUP($A95,RAIZ!$A$3:$X$1500,MATCH('Suc. Compostela'!$F$1,RAIZ!$A$2:$X$2,0),FALSE),0)</f>
        <v>0</v>
      </c>
      <c r="D95" s="7">
        <v>2</v>
      </c>
      <c r="E95" s="5"/>
      <c r="F95" s="5">
        <f t="shared" si="18"/>
        <v>2</v>
      </c>
      <c r="G95" s="5">
        <v>1</v>
      </c>
    </row>
    <row r="96" spans="1:7" ht="18.75" hidden="1" customHeight="1" x14ac:dyDescent="0.35">
      <c r="A96" s="94" t="s">
        <v>69</v>
      </c>
      <c r="B96" s="112" t="s">
        <v>806</v>
      </c>
      <c r="C96" s="5">
        <f>+IFERROR(VLOOKUP($A96,RAIZ!$A$3:$X$1500,MATCH('Suc. Compostela'!$F$1,RAIZ!$A$2:$X$2,0),FALSE),0)</f>
        <v>7</v>
      </c>
      <c r="D96" s="7">
        <v>10</v>
      </c>
      <c r="E96" s="5"/>
      <c r="F96" s="5">
        <f t="shared" si="18"/>
        <v>3</v>
      </c>
      <c r="G96" s="5"/>
    </row>
    <row r="97" spans="1:7" ht="18.75" hidden="1" customHeight="1" x14ac:dyDescent="0.35">
      <c r="A97" s="94" t="s">
        <v>70</v>
      </c>
      <c r="B97" s="112" t="s">
        <v>807</v>
      </c>
      <c r="C97" s="5">
        <f>+IFERROR(VLOOKUP($A97,RAIZ!$A$3:$X$1500,MATCH('Suc. Compostela'!$F$1,RAIZ!$A$2:$X$2,0),FALSE),0)</f>
        <v>2</v>
      </c>
      <c r="D97" s="7">
        <v>10</v>
      </c>
      <c r="E97" s="5"/>
      <c r="F97" s="5">
        <f t="shared" si="18"/>
        <v>8</v>
      </c>
      <c r="G97" s="5"/>
    </row>
    <row r="98" spans="1:7" ht="18.75" customHeight="1" x14ac:dyDescent="0.35">
      <c r="A98" s="94" t="s">
        <v>857</v>
      </c>
      <c r="B98" s="112" t="s">
        <v>808</v>
      </c>
      <c r="C98" s="5">
        <f>+IFERROR(VLOOKUP($A98,RAIZ!$A$3:$X$1500,MATCH('Suc. Compostela'!$F$1,RAIZ!$A$2:$X$2,0),FALSE),0)</f>
        <v>1</v>
      </c>
      <c r="D98" s="7">
        <v>2</v>
      </c>
      <c r="E98" s="201">
        <v>12</v>
      </c>
      <c r="F98" s="5">
        <f t="shared" si="18"/>
        <v>1</v>
      </c>
      <c r="G98" s="5">
        <v>5</v>
      </c>
    </row>
    <row r="99" spans="1:7" ht="18.75" customHeight="1" x14ac:dyDescent="0.35">
      <c r="A99" s="94" t="s">
        <v>835</v>
      </c>
      <c r="B99" s="112" t="s">
        <v>836</v>
      </c>
      <c r="C99" s="5">
        <f>+IFERROR(VLOOKUP($A99,RAIZ!$A$3:$X$1500,MATCH('Suc. Compostela'!$F$1,RAIZ!$A$2:$X$2,0),FALSE),0)</f>
        <v>0</v>
      </c>
      <c r="D99" s="7">
        <v>2</v>
      </c>
      <c r="E99" s="5"/>
      <c r="F99" s="5">
        <f t="shared" ref="F99:F103" si="19">IF(D99-C99&gt;=0,D99-C99,0)</f>
        <v>2</v>
      </c>
      <c r="G99" s="5">
        <v>1</v>
      </c>
    </row>
    <row r="100" spans="1:7" ht="18.75" customHeight="1" thickBot="1" x14ac:dyDescent="0.4">
      <c r="A100" s="94" t="s">
        <v>72</v>
      </c>
      <c r="B100" s="112" t="s">
        <v>834</v>
      </c>
      <c r="C100" s="5">
        <f>+IFERROR(VLOOKUP($A100,RAIZ!$A$3:$X$1500,MATCH('Suc. Compostela'!$F$1,RAIZ!$A$2:$X$2,0),FALSE),0)</f>
        <v>19</v>
      </c>
      <c r="D100" s="7">
        <v>25</v>
      </c>
      <c r="E100" s="5"/>
      <c r="F100" s="5">
        <f t="shared" si="19"/>
        <v>6</v>
      </c>
      <c r="G100" s="5">
        <v>6</v>
      </c>
    </row>
    <row r="101" spans="1:7" ht="18.75" hidden="1" customHeight="1" x14ac:dyDescent="0.35">
      <c r="A101" s="94" t="s">
        <v>73</v>
      </c>
      <c r="B101" s="112" t="s">
        <v>809</v>
      </c>
      <c r="C101" s="5">
        <f>+IFERROR(VLOOKUP($A101,RAIZ!$A$3:$X$1500,MATCH('Suc. Compostela'!$F$1,RAIZ!$A$2:$X$2,0),FALSE),0)</f>
        <v>0</v>
      </c>
      <c r="D101" s="7">
        <v>1</v>
      </c>
      <c r="E101" s="5"/>
      <c r="F101" s="5">
        <f t="shared" si="19"/>
        <v>1</v>
      </c>
      <c r="G101" s="5"/>
    </row>
    <row r="102" spans="1:7" ht="18.75" hidden="1" customHeight="1" thickBot="1" x14ac:dyDescent="0.4">
      <c r="A102" s="94" t="s">
        <v>74</v>
      </c>
      <c r="B102" s="112" t="s">
        <v>810</v>
      </c>
      <c r="C102" s="5">
        <f>+IFERROR(VLOOKUP($A102,RAIZ!$A$3:$X$1500,MATCH('Suc. Compostela'!$F$1,RAIZ!$A$2:$X$2,0),FALSE),0)</f>
        <v>1</v>
      </c>
      <c r="D102" s="7">
        <v>1</v>
      </c>
      <c r="E102" s="5"/>
      <c r="F102" s="5">
        <f t="shared" si="19"/>
        <v>0</v>
      </c>
      <c r="G102" s="5"/>
    </row>
    <row r="103" spans="1:7" ht="18.75" hidden="1" customHeight="1" thickBot="1" x14ac:dyDescent="0.4">
      <c r="A103" s="94" t="s">
        <v>75</v>
      </c>
      <c r="B103" s="112" t="s">
        <v>811</v>
      </c>
      <c r="C103" s="5">
        <f>+IFERROR(VLOOKUP($A103,RAIZ!$A$3:$X$1500,MATCH('Suc. Compostela'!$F$1,RAIZ!$A$2:$X$2,0),FALSE),0)</f>
        <v>0</v>
      </c>
      <c r="D103" s="160">
        <v>3</v>
      </c>
      <c r="E103" s="154" t="s">
        <v>956</v>
      </c>
      <c r="F103" s="5">
        <f t="shared" si="19"/>
        <v>3</v>
      </c>
      <c r="G103" s="5"/>
    </row>
    <row r="104" spans="1:7" ht="18.75" hidden="1" customHeight="1" thickBot="1" x14ac:dyDescent="0.4">
      <c r="A104" s="94"/>
      <c r="B104" s="112" t="s">
        <v>1096</v>
      </c>
      <c r="C104" s="5">
        <f>+IFERROR(VLOOKUP($A104,RAIZ!$A$3:$X$1500,MATCH('Suc. Compostela'!$F$1,RAIZ!$A$2:$X$2,0),FALSE),0)</f>
        <v>0</v>
      </c>
      <c r="D104" s="7"/>
      <c r="E104" s="5"/>
      <c r="F104" s="5">
        <f t="shared" si="18"/>
        <v>0</v>
      </c>
      <c r="G104" s="5"/>
    </row>
    <row r="105" spans="1:7" ht="18.75" customHeight="1" thickBot="1" x14ac:dyDescent="0.4">
      <c r="A105" s="107" t="s">
        <v>55</v>
      </c>
      <c r="B105" s="111"/>
      <c r="C105" s="81">
        <f>SUM(C93:C104)</f>
        <v>32</v>
      </c>
      <c r="D105" s="56">
        <f>SUM(D93:D104)</f>
        <v>58</v>
      </c>
      <c r="E105" s="56">
        <f>SUM(E93:E104)</f>
        <v>12</v>
      </c>
      <c r="F105" s="71">
        <f>SUM(F93:F104)</f>
        <v>26</v>
      </c>
      <c r="G105" s="56">
        <f>SUM(G93:G104)</f>
        <v>13</v>
      </c>
    </row>
    <row r="106" spans="1:7" ht="18.75" hidden="1" customHeight="1" x14ac:dyDescent="0.35">
      <c r="A106" s="108" t="s">
        <v>76</v>
      </c>
      <c r="B106" s="111"/>
      <c r="C106" s="72"/>
      <c r="D106" s="34"/>
      <c r="E106" s="35"/>
      <c r="F106" s="35"/>
      <c r="G106" s="35"/>
    </row>
    <row r="107" spans="1:7" ht="18.75" hidden="1" customHeight="1" x14ac:dyDescent="0.35">
      <c r="A107" s="94" t="s">
        <v>77</v>
      </c>
      <c r="B107" s="112" t="s">
        <v>812</v>
      </c>
      <c r="C107" s="5">
        <f>+IFERROR(VLOOKUP($A107,RAIZ!$A$3:$X$1500,MATCH('Suc. Compostela'!$F$1,RAIZ!$A$2:$X$2,0),FALSE),0)</f>
        <v>2</v>
      </c>
      <c r="D107" s="7">
        <v>1</v>
      </c>
      <c r="E107" s="5"/>
      <c r="F107" s="5">
        <f t="shared" ref="F107:F112" si="20">IF(D107-C107&gt;=0,D107-C107,0)</f>
        <v>0</v>
      </c>
      <c r="G107" s="5"/>
    </row>
    <row r="108" spans="1:7" ht="18.75" hidden="1" customHeight="1" x14ac:dyDescent="0.35">
      <c r="A108" s="94" t="s">
        <v>621</v>
      </c>
      <c r="B108" s="112" t="s">
        <v>813</v>
      </c>
      <c r="C108" s="5">
        <f>+IFERROR(VLOOKUP($A108,RAIZ!$A$3:$X$1500,MATCH('Suc. Compostela'!$F$1,RAIZ!$A$2:$X$2,0),FALSE),0)</f>
        <v>0</v>
      </c>
      <c r="D108" s="7">
        <v>0</v>
      </c>
      <c r="E108" s="5"/>
      <c r="F108" s="5">
        <f t="shared" si="20"/>
        <v>0</v>
      </c>
      <c r="G108" s="5"/>
    </row>
    <row r="109" spans="1:7" ht="18.75" hidden="1" customHeight="1" x14ac:dyDescent="0.35">
      <c r="A109" s="94" t="s">
        <v>80</v>
      </c>
      <c r="B109" s="112" t="s">
        <v>815</v>
      </c>
      <c r="C109" s="5">
        <f>+IFERROR(VLOOKUP($A109,RAIZ!$A$3:$X$1500,MATCH('Suc. Compostela'!$F$1,RAIZ!$A$2:$X$2,0),FALSE),0)</f>
        <v>4</v>
      </c>
      <c r="D109" s="7">
        <v>10</v>
      </c>
      <c r="E109" s="5"/>
      <c r="F109" s="5">
        <f t="shared" si="20"/>
        <v>6</v>
      </c>
      <c r="G109" s="5"/>
    </row>
    <row r="110" spans="1:7" ht="18.75" hidden="1" customHeight="1" x14ac:dyDescent="0.35">
      <c r="A110" s="94" t="s">
        <v>81</v>
      </c>
      <c r="B110" s="112" t="s">
        <v>816</v>
      </c>
      <c r="C110" s="5">
        <f>+IFERROR(VLOOKUP($A110,RAIZ!$A$3:$X$1500,MATCH('Suc. Compostela'!$F$1,RAIZ!$A$2:$X$2,0),FALSE),0)</f>
        <v>5</v>
      </c>
      <c r="D110" s="7">
        <v>6</v>
      </c>
      <c r="E110" s="5"/>
      <c r="F110" s="5">
        <f t="shared" si="20"/>
        <v>1</v>
      </c>
      <c r="G110" s="5"/>
    </row>
    <row r="111" spans="1:7" ht="18.75" hidden="1" customHeight="1" x14ac:dyDescent="0.35">
      <c r="A111" s="95" t="s">
        <v>83</v>
      </c>
      <c r="B111" s="112" t="s">
        <v>818</v>
      </c>
      <c r="C111" s="5">
        <f>+IFERROR(VLOOKUP($A111,RAIZ!$A$3:$X$1500,MATCH('Suc. Compostela'!$F$1,RAIZ!$A$2:$X$2,0),FALSE),0)</f>
        <v>1</v>
      </c>
      <c r="D111" s="20">
        <v>2</v>
      </c>
      <c r="E111" s="5"/>
      <c r="F111" s="5">
        <f t="shared" si="20"/>
        <v>1</v>
      </c>
      <c r="G111" s="5"/>
    </row>
    <row r="112" spans="1:7" ht="18.75" hidden="1" customHeight="1" thickBot="1" x14ac:dyDescent="0.4">
      <c r="A112" s="95"/>
      <c r="B112" s="112"/>
      <c r="C112" s="5">
        <f>+IFERROR(VLOOKUP($A112,RAIZ!$A$3:$X$1500,MATCH('Suc. Compostela'!$F$1,RAIZ!$A$2:$X$2,0),FALSE),0)</f>
        <v>0</v>
      </c>
      <c r="D112" s="20"/>
      <c r="E112" s="5"/>
      <c r="F112" s="5">
        <f t="shared" si="20"/>
        <v>0</v>
      </c>
      <c r="G112" s="5"/>
    </row>
    <row r="113" spans="1:7" ht="18.75" customHeight="1" thickBot="1" x14ac:dyDescent="0.4">
      <c r="A113" s="109" t="s">
        <v>55</v>
      </c>
      <c r="B113" s="111"/>
      <c r="C113" s="82">
        <f>SUM(C107:C112,C114:C116)</f>
        <v>17</v>
      </c>
      <c r="D113" s="58">
        <f>SUM(D107:D112,D114:D116)</f>
        <v>27</v>
      </c>
      <c r="E113" s="58">
        <f>SUM(E107:E112,E114:E116)</f>
        <v>0</v>
      </c>
      <c r="F113" s="73">
        <f>SUM(F107:F112,F114:F116)</f>
        <v>12</v>
      </c>
      <c r="G113" s="58">
        <f>SUM(G107:G112,G114:G116)</f>
        <v>2</v>
      </c>
    </row>
    <row r="114" spans="1:7" ht="18.75" hidden="1" customHeight="1" x14ac:dyDescent="0.35">
      <c r="A114" s="93" t="s">
        <v>84</v>
      </c>
      <c r="B114" s="112" t="s">
        <v>819</v>
      </c>
      <c r="C114" s="5">
        <f>+IFERROR(VLOOKUP($A114,RAIZ!$A$3:$X$1500,MATCH('Suc. Compostela'!$F$1,RAIZ!$A$2:$X$2,0),FALSE),0)</f>
        <v>2</v>
      </c>
      <c r="D114" s="4">
        <v>3</v>
      </c>
      <c r="E114" s="5"/>
      <c r="F114" s="5">
        <f t="shared" ref="F114" si="21">IF(D114-C114&gt;=0,D114-C114,0)</f>
        <v>1</v>
      </c>
      <c r="G114" s="5"/>
    </row>
    <row r="115" spans="1:7" ht="18.75" customHeight="1" thickBot="1" x14ac:dyDescent="0.4">
      <c r="A115" s="95" t="s">
        <v>85</v>
      </c>
      <c r="B115" s="112" t="s">
        <v>820</v>
      </c>
      <c r="C115" s="5">
        <f>+IFERROR(VLOOKUP($A115,RAIZ!$A$3:$X$1500,MATCH('Suc. Compostela'!$F$1,RAIZ!$A$2:$X$2,0),FALSE),0)</f>
        <v>0</v>
      </c>
      <c r="D115" s="20">
        <v>3</v>
      </c>
      <c r="E115" s="5"/>
      <c r="F115" s="5">
        <f t="shared" ref="F115:F141" si="22">IF(D115-C115&gt;=0,D115-C115,0)</f>
        <v>3</v>
      </c>
      <c r="G115" s="5">
        <v>2</v>
      </c>
    </row>
    <row r="116" spans="1:7" ht="18.75" hidden="1" customHeight="1" thickBot="1" x14ac:dyDescent="0.4">
      <c r="A116" s="95" t="s">
        <v>881</v>
      </c>
      <c r="B116" s="112" t="s">
        <v>882</v>
      </c>
      <c r="C116" s="5">
        <f>+IFERROR(VLOOKUP($A116,RAIZ!$A$3:$X$1500,MATCH('Suc. Compostela'!$F$1,RAIZ!$A$2:$X$2,0),FALSE),0)</f>
        <v>3</v>
      </c>
      <c r="D116" s="20">
        <v>2</v>
      </c>
      <c r="E116" s="5"/>
      <c r="F116" s="5">
        <f t="shared" si="22"/>
        <v>0</v>
      </c>
      <c r="G116" s="5"/>
    </row>
    <row r="117" spans="1:7" ht="18.75" customHeight="1" thickBot="1" x14ac:dyDescent="0.4">
      <c r="A117" s="110" t="s">
        <v>86</v>
      </c>
      <c r="B117" s="111"/>
      <c r="C117" s="83">
        <f>C79+C91+C105+C113</f>
        <v>104</v>
      </c>
      <c r="D117" s="60">
        <f>D79+D91+D105+D113</f>
        <v>191</v>
      </c>
      <c r="E117" s="60">
        <f>E79+E91+E105+E113</f>
        <v>12</v>
      </c>
      <c r="F117" s="74">
        <f>F79+F91+F105+F113</f>
        <v>90</v>
      </c>
      <c r="G117" s="60">
        <f>G79+G91+G105+G113</f>
        <v>47</v>
      </c>
    </row>
    <row r="118" spans="1:7" ht="18.75" customHeight="1" x14ac:dyDescent="0.35">
      <c r="A118" s="95" t="s">
        <v>975</v>
      </c>
      <c r="B118" s="112" t="s">
        <v>976</v>
      </c>
      <c r="C118" s="5">
        <f>+IFERROR(VLOOKUP($A118,RAIZ!$A$3:$X$1500,MATCH('Suc. Compostela'!$F$1,RAIZ!$A$2:$X$2,0),FALSE),0)</f>
        <v>0</v>
      </c>
      <c r="D118" s="20">
        <v>3</v>
      </c>
      <c r="E118" s="5"/>
      <c r="F118" s="5">
        <f>IF(D118-C118&gt;=0,D118-C118,0)</f>
        <v>3</v>
      </c>
      <c r="G118" s="5">
        <v>3</v>
      </c>
    </row>
    <row r="119" spans="1:7" ht="18.75" customHeight="1" thickBot="1" x14ac:dyDescent="0.4">
      <c r="A119" s="95" t="s">
        <v>974</v>
      </c>
      <c r="B119" s="112" t="s">
        <v>977</v>
      </c>
      <c r="C119" s="5">
        <f>+IFERROR(VLOOKUP($A119,RAIZ!$A$3:$X$1500,MATCH('Suc. Compostela'!$F$1,RAIZ!$A$2:$X$2,0),FALSE),0)</f>
        <v>0</v>
      </c>
      <c r="D119" s="20">
        <v>3</v>
      </c>
      <c r="E119" s="5"/>
      <c r="F119" s="5">
        <f t="shared" si="22"/>
        <v>3</v>
      </c>
      <c r="G119" s="5">
        <v>3</v>
      </c>
    </row>
    <row r="120" spans="1:7" ht="18.75" hidden="1" customHeight="1" thickBot="1" x14ac:dyDescent="0.4">
      <c r="A120" s="95" t="s">
        <v>1077</v>
      </c>
      <c r="B120" s="112" t="s">
        <v>817</v>
      </c>
      <c r="C120" s="5">
        <f>+IFERROR(VLOOKUP($A120,RAIZ!$A$3:$X$1500,MATCH('Suc. Compostela'!$F$1,RAIZ!$A$2:$X$2,0),FALSE),0)</f>
        <v>0</v>
      </c>
      <c r="D120" s="20"/>
      <c r="E120" s="5"/>
      <c r="F120" s="5">
        <f t="shared" si="22"/>
        <v>0</v>
      </c>
      <c r="G120" s="5"/>
    </row>
    <row r="121" spans="1:7" ht="18.75" hidden="1" customHeight="1" thickBot="1" x14ac:dyDescent="0.4">
      <c r="A121" s="95" t="s">
        <v>1076</v>
      </c>
      <c r="B121" s="194" t="s">
        <v>1121</v>
      </c>
      <c r="C121" s="5">
        <f>+IFERROR(VLOOKUP($A121,RAIZ!$A$3:$X$1500,MATCH('Suc. Compostela'!$F$1,RAIZ!$A$2:$X$2,0),FALSE),0)</f>
        <v>0</v>
      </c>
      <c r="D121" s="20"/>
      <c r="E121" s="5"/>
      <c r="F121" s="5">
        <f t="shared" si="22"/>
        <v>0</v>
      </c>
      <c r="G121" s="5"/>
    </row>
    <row r="122" spans="1:7" ht="18.75" hidden="1" customHeight="1" thickBot="1" x14ac:dyDescent="0.4">
      <c r="A122" s="95" t="s">
        <v>1014</v>
      </c>
      <c r="B122" s="194" t="s">
        <v>1010</v>
      </c>
      <c r="C122" s="5">
        <f>+IFERROR(VLOOKUP($A122,RAIZ!$A$3:$X$1500,MATCH('Suc. Compostela'!$F$1,RAIZ!$A$2:$X$2,0),FALSE),0)</f>
        <v>3</v>
      </c>
      <c r="D122" s="20">
        <v>5</v>
      </c>
      <c r="E122" s="5"/>
      <c r="F122" s="5">
        <f t="shared" si="22"/>
        <v>2</v>
      </c>
      <c r="G122" s="5"/>
    </row>
    <row r="123" spans="1:7" ht="18.75" hidden="1" customHeight="1" thickBot="1" x14ac:dyDescent="0.4">
      <c r="A123" s="95" t="s">
        <v>1015</v>
      </c>
      <c r="B123" s="194" t="s">
        <v>1011</v>
      </c>
      <c r="C123" s="147">
        <f>+IFERROR(VLOOKUP($A123,RAIZ!$A$3:$X$1500,MATCH('Suc. Compostela'!$F$1,RAIZ!$A$2:$X$2,0),FALSE),0)</f>
        <v>3</v>
      </c>
      <c r="D123" s="20">
        <v>5</v>
      </c>
      <c r="E123" s="5"/>
      <c r="F123" s="5">
        <f t="shared" si="22"/>
        <v>2</v>
      </c>
      <c r="G123" s="5"/>
    </row>
    <row r="124" spans="1:7" ht="18.75" hidden="1" customHeight="1" thickBot="1" x14ac:dyDescent="0.4">
      <c r="A124" s="95" t="s">
        <v>1016</v>
      </c>
      <c r="B124" s="194" t="s">
        <v>1012</v>
      </c>
      <c r="C124" s="147">
        <f>+IFERROR(VLOOKUP($A124,RAIZ!$A$3:$X$1500,MATCH('Suc. Compostela'!$F$1,RAIZ!$A$2:$X$2,0),FALSE),0)</f>
        <v>6</v>
      </c>
      <c r="D124" s="20">
        <v>5</v>
      </c>
      <c r="E124" s="5"/>
      <c r="F124" s="5">
        <f t="shared" si="22"/>
        <v>0</v>
      </c>
      <c r="G124" s="5"/>
    </row>
    <row r="125" spans="1:7" ht="18.75" hidden="1" customHeight="1" thickBot="1" x14ac:dyDescent="0.4">
      <c r="A125" s="95" t="s">
        <v>1017</v>
      </c>
      <c r="B125" s="194" t="s">
        <v>1013</v>
      </c>
      <c r="C125" s="147">
        <f>+IFERROR(VLOOKUP($A125,RAIZ!$A$3:$X$1500,MATCH('Suc. Compostela'!$F$1,RAIZ!$A$2:$X$2,0),FALSE),0)</f>
        <v>10</v>
      </c>
      <c r="D125" s="18">
        <v>5</v>
      </c>
      <c r="E125" s="5"/>
      <c r="F125" s="5">
        <f t="shared" si="22"/>
        <v>0</v>
      </c>
      <c r="G125" s="5"/>
    </row>
    <row r="126" spans="1:7" ht="18.75" hidden="1" customHeight="1" thickBot="1" x14ac:dyDescent="0.4">
      <c r="A126" s="95" t="s">
        <v>1125</v>
      </c>
      <c r="B126" s="194" t="s">
        <v>1127</v>
      </c>
      <c r="C126" s="147">
        <f>+IFERROR(VLOOKUP($A126,RAIZ!$A$3:$X$1500,MATCH('Suc. Compostela'!$F$1,RAIZ!$A$2:$X$2,0),FALSE),0)</f>
        <v>1</v>
      </c>
      <c r="D126" s="20"/>
      <c r="E126" s="5"/>
      <c r="F126" s="5">
        <f t="shared" si="22"/>
        <v>0</v>
      </c>
      <c r="G126" s="5"/>
    </row>
    <row r="127" spans="1:7" ht="18.75" hidden="1" customHeight="1" thickBot="1" x14ac:dyDescent="0.4">
      <c r="A127" s="95" t="s">
        <v>1126</v>
      </c>
      <c r="B127" s="194" t="s">
        <v>1128</v>
      </c>
      <c r="C127" s="147">
        <f>+IFERROR(VLOOKUP($A127,RAIZ!$A$3:$X$1500,MATCH('Suc. Compostela'!$F$1,RAIZ!$A$2:$X$2,0),FALSE),0)</f>
        <v>2</v>
      </c>
      <c r="D127" s="18"/>
      <c r="E127" s="184"/>
      <c r="F127" s="184">
        <f t="shared" si="22"/>
        <v>0</v>
      </c>
      <c r="G127" s="181"/>
    </row>
    <row r="128" spans="1:7" ht="18.75" customHeight="1" thickBot="1" x14ac:dyDescent="0.4">
      <c r="A128" s="95" t="s">
        <v>568</v>
      </c>
      <c r="B128" s="194" t="s">
        <v>1131</v>
      </c>
      <c r="C128" s="186">
        <f>+IFERROR(VLOOKUP($A128,RAIZ!$A$3:$X$1500,MATCH('Suc. Compostela'!$F$1,RAIZ!$A$2:$X$2,0),FALSE),0)</f>
        <v>0</v>
      </c>
      <c r="D128" s="18">
        <v>3</v>
      </c>
      <c r="E128" s="185"/>
      <c r="F128" s="185">
        <f t="shared" si="22"/>
        <v>3</v>
      </c>
      <c r="G128" s="185">
        <v>3</v>
      </c>
    </row>
    <row r="129" spans="1:7" ht="18.75" hidden="1" customHeight="1" thickBot="1" x14ac:dyDescent="0.4">
      <c r="A129" s="95" t="s">
        <v>565</v>
      </c>
      <c r="B129" s="194" t="s">
        <v>1142</v>
      </c>
      <c r="C129" s="187">
        <f>+IFERROR(VLOOKUP($A129,RAIZ!$A$3:$X$1500,MATCH('Suc. Compostela'!$F$1,RAIZ!$A$2:$X$2,0),FALSE),0)</f>
        <v>0</v>
      </c>
      <c r="D129" s="18">
        <v>2</v>
      </c>
      <c r="E129" s="185"/>
      <c r="F129" s="185">
        <f t="shared" si="22"/>
        <v>2</v>
      </c>
      <c r="G129" s="185">
        <v>0</v>
      </c>
    </row>
    <row r="130" spans="1:7" ht="18.75" customHeight="1" thickBot="1" x14ac:dyDescent="0.4">
      <c r="A130" s="95" t="s">
        <v>912</v>
      </c>
      <c r="B130" s="194" t="s">
        <v>1136</v>
      </c>
      <c r="C130" s="187">
        <f>+IFERROR(VLOOKUP($A130,RAIZ!$A$3:$X$1500,MATCH('Suc. Compostela'!$F$1,RAIZ!$A$2:$X$2,0),FALSE),0)</f>
        <v>1</v>
      </c>
      <c r="D130" s="18">
        <v>2</v>
      </c>
      <c r="E130" s="185"/>
      <c r="F130" s="185">
        <f t="shared" si="22"/>
        <v>1</v>
      </c>
      <c r="G130" s="185">
        <v>1</v>
      </c>
    </row>
    <row r="131" spans="1:7" ht="18.75" customHeight="1" thickBot="1" x14ac:dyDescent="0.4">
      <c r="A131" s="95" t="s">
        <v>557</v>
      </c>
      <c r="B131" s="194" t="s">
        <v>1137</v>
      </c>
      <c r="C131" s="187">
        <f>+IFERROR(VLOOKUP($A131,RAIZ!$A$3:$X$1500,MATCH('Suc. Compostela'!$F$1,RAIZ!$A$2:$X$2,0),FALSE),0)</f>
        <v>0</v>
      </c>
      <c r="D131" s="18">
        <v>2</v>
      </c>
      <c r="E131" s="185"/>
      <c r="F131" s="185">
        <f t="shared" si="22"/>
        <v>2</v>
      </c>
      <c r="G131" s="185">
        <v>2</v>
      </c>
    </row>
    <row r="132" spans="1:7" ht="18.75" hidden="1" customHeight="1" thickBot="1" x14ac:dyDescent="0.4">
      <c r="A132" s="95" t="s">
        <v>573</v>
      </c>
      <c r="B132" s="194" t="s">
        <v>1138</v>
      </c>
      <c r="C132" s="187">
        <f>+IFERROR(VLOOKUP($A132,RAIZ!$A$3:$X$1500,MATCH('Suc. Compostela'!$F$1,RAIZ!$A$2:$X$2,0),FALSE),0)</f>
        <v>1</v>
      </c>
      <c r="D132" s="18">
        <v>1</v>
      </c>
      <c r="E132" s="185"/>
      <c r="F132" s="185">
        <f t="shared" si="22"/>
        <v>0</v>
      </c>
      <c r="G132" s="185"/>
    </row>
    <row r="133" spans="1:7" ht="18.75" customHeight="1" thickBot="1" x14ac:dyDescent="0.4">
      <c r="A133" s="95" t="s">
        <v>421</v>
      </c>
      <c r="B133" s="194" t="s">
        <v>1140</v>
      </c>
      <c r="C133" s="187">
        <f>+IFERROR(VLOOKUP($A133,RAIZ!$A$3:$X$1500,MATCH('Suc. Compostela'!$F$1,RAIZ!$A$2:$X$2,0),FALSE),0)</f>
        <v>1</v>
      </c>
      <c r="D133" s="18">
        <v>2</v>
      </c>
      <c r="E133" s="185"/>
      <c r="F133" s="185">
        <f t="shared" si="22"/>
        <v>1</v>
      </c>
      <c r="G133" s="185">
        <v>1</v>
      </c>
    </row>
    <row r="134" spans="1:7" ht="18.75" hidden="1" customHeight="1" thickBot="1" x14ac:dyDescent="0.4">
      <c r="A134" s="95" t="s">
        <v>249</v>
      </c>
      <c r="B134" s="194" t="s">
        <v>1134</v>
      </c>
      <c r="C134" s="187">
        <f>+IFERROR(VLOOKUP($A134,RAIZ!$A$3:$X$1500,MATCH('Suc. Compostela'!$F$1,RAIZ!$A$2:$X$2,0),FALSE),0)</f>
        <v>2</v>
      </c>
      <c r="D134" s="18">
        <v>2</v>
      </c>
      <c r="E134" s="185"/>
      <c r="F134" s="185">
        <f t="shared" si="22"/>
        <v>0</v>
      </c>
      <c r="G134" s="185"/>
    </row>
    <row r="135" spans="1:7" ht="18.75" hidden="1" customHeight="1" thickBot="1" x14ac:dyDescent="0.4">
      <c r="A135" s="95" t="s">
        <v>1030</v>
      </c>
      <c r="B135" s="194" t="s">
        <v>1143</v>
      </c>
      <c r="C135" s="187">
        <f>+IFERROR(VLOOKUP($A135,RAIZ!$A$3:$X$1500,MATCH('Suc. Compostela'!$F$1,RAIZ!$A$2:$X$2,0),FALSE),0)</f>
        <v>6</v>
      </c>
      <c r="D135" s="18">
        <v>6</v>
      </c>
      <c r="E135" s="185"/>
      <c r="F135" s="185">
        <f t="shared" si="22"/>
        <v>0</v>
      </c>
      <c r="G135" s="185"/>
    </row>
    <row r="136" spans="1:7" ht="18.75" customHeight="1" thickBot="1" x14ac:dyDescent="0.4">
      <c r="A136" s="95" t="s">
        <v>253</v>
      </c>
      <c r="B136" s="194" t="s">
        <v>1135</v>
      </c>
      <c r="C136" s="187">
        <f>+IFERROR(VLOOKUP($A136,RAIZ!$A$3:$X$1500,MATCH('Suc. Compostela'!$F$1,RAIZ!$A$2:$X$2,0),FALSE),0)</f>
        <v>0</v>
      </c>
      <c r="D136" s="18">
        <v>2</v>
      </c>
      <c r="E136" s="185"/>
      <c r="F136" s="185">
        <f t="shared" si="22"/>
        <v>2</v>
      </c>
      <c r="G136" s="185">
        <v>2</v>
      </c>
    </row>
    <row r="137" spans="1:7" ht="18.75" hidden="1" customHeight="1" thickBot="1" x14ac:dyDescent="0.4">
      <c r="A137" s="95" t="s">
        <v>240</v>
      </c>
      <c r="B137" s="194" t="s">
        <v>1139</v>
      </c>
      <c r="C137" s="187">
        <f>+IFERROR(VLOOKUP($A137,RAIZ!$A$3:$X$1500,MATCH('Suc. Compostela'!$F$1,RAIZ!$A$2:$X$2,0),FALSE),0)</f>
        <v>0</v>
      </c>
      <c r="D137" s="18">
        <v>0</v>
      </c>
      <c r="E137" s="185"/>
      <c r="F137" s="185">
        <f t="shared" si="22"/>
        <v>0</v>
      </c>
      <c r="G137" s="185"/>
    </row>
    <row r="138" spans="1:7" ht="18.75" hidden="1" customHeight="1" thickBot="1" x14ac:dyDescent="0.4">
      <c r="A138" s="95" t="s">
        <v>204</v>
      </c>
      <c r="B138" s="194" t="s">
        <v>1106</v>
      </c>
      <c r="C138" s="187">
        <f>+IFERROR(VLOOKUP($A138,RAIZ!$A$3:$X$1500,MATCH('Suc. Compostela'!$F$1,RAIZ!$A$2:$X$2,0),FALSE),0)</f>
        <v>0</v>
      </c>
      <c r="D138" s="18">
        <v>0</v>
      </c>
      <c r="E138" s="185"/>
      <c r="F138" s="185">
        <f t="shared" si="22"/>
        <v>0</v>
      </c>
      <c r="G138" s="185"/>
    </row>
    <row r="139" spans="1:7" ht="18.75" customHeight="1" thickBot="1" x14ac:dyDescent="0.4">
      <c r="A139" s="95" t="s">
        <v>1132</v>
      </c>
      <c r="B139" s="194" t="s">
        <v>1141</v>
      </c>
      <c r="C139" s="187">
        <f>+IFERROR(VLOOKUP($A139,RAIZ!$A$3:$X$1500,MATCH('Suc. Compostela'!$F$1,RAIZ!$A$2:$X$2,0),FALSE),0)</f>
        <v>0</v>
      </c>
      <c r="D139" s="18">
        <v>1</v>
      </c>
      <c r="E139" s="185"/>
      <c r="F139" s="185">
        <f t="shared" si="22"/>
        <v>1</v>
      </c>
      <c r="G139" s="185">
        <v>1</v>
      </c>
    </row>
    <row r="140" spans="1:7" ht="18.75" hidden="1" customHeight="1" thickBot="1" x14ac:dyDescent="0.4">
      <c r="A140" s="95" t="s">
        <v>914</v>
      </c>
      <c r="B140" s="194" t="s">
        <v>1133</v>
      </c>
      <c r="C140" s="187">
        <f>+IFERROR(VLOOKUP($A140,RAIZ!$A$3:$X$1500,MATCH('Suc. Compostela'!$F$1,RAIZ!$A$2:$X$2,0),FALSE),0)</f>
        <v>1</v>
      </c>
      <c r="D140" s="18">
        <v>1</v>
      </c>
      <c r="E140" s="185"/>
      <c r="F140" s="185">
        <f t="shared" si="22"/>
        <v>0</v>
      </c>
      <c r="G140" s="185"/>
    </row>
    <row r="141" spans="1:7" ht="18.75" hidden="1" customHeight="1" thickBot="1" x14ac:dyDescent="0.4">
      <c r="A141" s="243" t="s">
        <v>1120</v>
      </c>
      <c r="B141" s="194" t="s">
        <v>1159</v>
      </c>
      <c r="C141" s="187">
        <f>+IFERROR(VLOOKUP($A141,RAIZ!$A$3:$X$1500,MATCH('Suc. Compostela'!$F$1,RAIZ!$A$2:$X$2,0),FALSE),0)</f>
        <v>0</v>
      </c>
      <c r="D141" s="18"/>
      <c r="E141" s="185"/>
      <c r="F141" s="185">
        <f t="shared" si="22"/>
        <v>0</v>
      </c>
      <c r="G141" s="185"/>
    </row>
    <row r="142" spans="1:7" ht="18.75" hidden="1" customHeight="1" thickBot="1" x14ac:dyDescent="0.4">
      <c r="A142" s="95"/>
      <c r="B142" s="194"/>
      <c r="C142" s="187">
        <f>+IFERROR(VLOOKUP($A142,RAIZ!$A$3:$X$1500,MATCH('Suc. Compostela'!$F$1,RAIZ!$A$2:$X$2,0),FALSE),0)</f>
        <v>0</v>
      </c>
      <c r="D142" s="18"/>
      <c r="E142" s="185"/>
      <c r="F142" s="185"/>
      <c r="G142" s="185"/>
    </row>
    <row r="143" spans="1:7" ht="18.75" hidden="1" customHeight="1" thickBot="1" x14ac:dyDescent="0.4">
      <c r="A143" s="95"/>
      <c r="B143" s="193"/>
      <c r="C143" s="187">
        <f>+IFERROR(VLOOKUP($A143,RAIZ!$A$3:$X$1500,MATCH('Suc. Compostela'!$F$1,RAIZ!$A$2:$X$2,0),FALSE),0)</f>
        <v>0</v>
      </c>
      <c r="D143" s="18"/>
      <c r="E143" s="185"/>
      <c r="F143" s="185"/>
      <c r="G143" s="185"/>
    </row>
    <row r="144" spans="1:7" ht="18.75" hidden="1" customHeight="1" thickBot="1" x14ac:dyDescent="0.4">
      <c r="A144" s="95"/>
      <c r="B144" s="194"/>
      <c r="C144" s="187">
        <f>+IFERROR(VLOOKUP($A144,RAIZ!$A$3:$X$1500,MATCH('Suc. Compostela'!$F$1,RAIZ!$A$2:$X$2,0),FALSE),0)</f>
        <v>0</v>
      </c>
      <c r="D144" s="18"/>
      <c r="E144" s="185"/>
      <c r="F144" s="185"/>
      <c r="G144" s="185"/>
    </row>
    <row r="145" spans="1:7" ht="18.75" hidden="1" customHeight="1" thickBot="1" x14ac:dyDescent="0.4">
      <c r="A145" s="95"/>
      <c r="B145" s="192"/>
      <c r="C145" s="187">
        <f>+IFERROR(VLOOKUP($A145,RAIZ!$A$3:$X$1500,MATCH('Suc. Compostela'!$F$1,RAIZ!$A$2:$X$2,0),FALSE),0)</f>
        <v>0</v>
      </c>
      <c r="D145" s="18"/>
      <c r="E145" s="185"/>
      <c r="F145" s="185"/>
      <c r="G145" s="185"/>
    </row>
    <row r="146" spans="1:7" ht="18.75" hidden="1" customHeight="1" thickBot="1" x14ac:dyDescent="0.4">
      <c r="A146" s="95"/>
      <c r="B146" s="194"/>
      <c r="C146" s="187">
        <f>+IFERROR(VLOOKUP($A146,RAIZ!$A$3:$X$1500,MATCH('Suc. Compostela'!$F$1,RAIZ!$A$2:$X$2,0),FALSE),0)</f>
        <v>0</v>
      </c>
      <c r="D146" s="18"/>
      <c r="E146" s="185"/>
      <c r="F146" s="185"/>
      <c r="G146" s="185"/>
    </row>
    <row r="147" spans="1:7" ht="18.75" hidden="1" customHeight="1" thickBot="1" x14ac:dyDescent="0.4">
      <c r="A147" s="95"/>
      <c r="B147" s="193"/>
      <c r="C147" s="187">
        <f>+IFERROR(VLOOKUP($A147,RAIZ!$A$3:$X$1500,MATCH('Suc. Compostela'!$F$1,RAIZ!$A$2:$X$2,0),FALSE),0)</f>
        <v>0</v>
      </c>
      <c r="D147" s="14"/>
      <c r="E147" s="185"/>
      <c r="F147" s="185"/>
      <c r="G147" s="185"/>
    </row>
    <row r="148" spans="1:7" ht="18.75" hidden="1" customHeight="1" thickBot="1" x14ac:dyDescent="0.4">
      <c r="A148" s="95"/>
      <c r="B148" s="193"/>
      <c r="C148" s="188">
        <f>+IFERROR(VLOOKUP($A148,RAIZ!$A$3:$X$1500,MATCH('Suc. Compostela'!$F$1,RAIZ!$A$2:$X$2,0),FALSE),0)</f>
        <v>0</v>
      </c>
      <c r="D148" s="14"/>
      <c r="E148" s="185"/>
      <c r="F148" s="185"/>
      <c r="G148" s="185"/>
    </row>
    <row r="149" spans="1:7" ht="18.75" customHeight="1" thickBot="1" x14ac:dyDescent="0.4">
      <c r="A149" s="173"/>
      <c r="B149" s="109"/>
      <c r="C149" s="182">
        <f>SUM(C118:C127,)</f>
        <v>25</v>
      </c>
      <c r="D149" s="182">
        <f>SUM(D118:D127,)</f>
        <v>26</v>
      </c>
      <c r="E149" s="182">
        <f>SUM(E118:E127,)</f>
        <v>0</v>
      </c>
      <c r="F149" s="182">
        <f>SUM(F118:F127,)</f>
        <v>10</v>
      </c>
      <c r="G149" s="182">
        <f>SUM(G118:G148,)</f>
        <v>16</v>
      </c>
    </row>
    <row r="150" spans="1:7" ht="18.75" customHeight="1" thickBot="1" x14ac:dyDescent="0.4">
      <c r="A150" s="110" t="s">
        <v>86</v>
      </c>
      <c r="B150" s="111"/>
      <c r="C150" s="83">
        <f>C149+C117</f>
        <v>129</v>
      </c>
      <c r="D150" s="83">
        <f>D149+D117</f>
        <v>217</v>
      </c>
      <c r="E150" s="83">
        <f>E149+E117</f>
        <v>12</v>
      </c>
      <c r="F150" s="83">
        <f>F149+F117</f>
        <v>100</v>
      </c>
      <c r="G150" s="83">
        <f>G149+G117</f>
        <v>63</v>
      </c>
    </row>
  </sheetData>
  <autoFilter ref="A2:L150" xr:uid="{918A92CA-4A3D-44AC-879A-34E755CE28F1}">
    <filterColumn colId="6">
      <filters>
        <filter val="1"/>
        <filter val="10"/>
        <filter val="13"/>
        <filter val="16"/>
        <filter val="2"/>
        <filter val="28"/>
        <filter val="3"/>
        <filter val="4"/>
        <filter val="47"/>
        <filter val="5"/>
        <filter val="6"/>
        <filter val="63"/>
      </filters>
    </filterColumn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9895195-9C3C-43A0-8401-F1FDED59723D}">
          <x14:formula1>
            <xm:f>Hoja1!$C$2:$C$9</xm:f>
          </x14:formula1>
          <xm:sqref>H2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63FEB-D3E1-45E4-8637-B1C40526783B}">
  <sheetPr codeName="Hoja13">
    <tabColor rgb="FF003300"/>
  </sheetPr>
  <dimension ref="A1:L150"/>
  <sheetViews>
    <sheetView zoomScale="80" zoomScaleNormal="80" workbookViewId="0">
      <pane xSplit="2" ySplit="2" topLeftCell="C3" activePane="bottomRight" state="frozen"/>
      <selection activeCell="I134" sqref="I134"/>
      <selection pane="topRight" activeCell="I134" sqref="I134"/>
      <selection pane="bottomLeft" activeCell="I134" sqref="I134"/>
      <selection pane="bottomRight" activeCell="I134" sqref="I134"/>
    </sheetView>
  </sheetViews>
  <sheetFormatPr baseColWidth="10" defaultRowHeight="18" x14ac:dyDescent="0.35"/>
  <cols>
    <col min="1" max="1" width="55.6640625" customWidth="1"/>
    <col min="2" max="2" width="7.6640625" style="91" bestFit="1" customWidth="1"/>
    <col min="3" max="3" width="14" bestFit="1" customWidth="1"/>
    <col min="4" max="5" width="15" style="84" customWidth="1"/>
    <col min="6" max="6" width="14.5546875" customWidth="1"/>
    <col min="9" max="9" width="11.88671875" style="84" bestFit="1" customWidth="1"/>
  </cols>
  <sheetData>
    <row r="1" spans="1:12" ht="18.600000000000001" thickBot="1" x14ac:dyDescent="0.4">
      <c r="A1" s="1">
        <f>RAIZ!B1</f>
        <v>46301</v>
      </c>
      <c r="C1" s="2"/>
      <c r="D1" s="2" t="s">
        <v>702</v>
      </c>
      <c r="E1" s="2"/>
      <c r="F1" s="2" t="s">
        <v>99</v>
      </c>
      <c r="H1" t="s">
        <v>747</v>
      </c>
      <c r="K1" s="85"/>
      <c r="L1" s="85"/>
    </row>
    <row r="2" spans="1:12" ht="31.8" thickBot="1" x14ac:dyDescent="0.35">
      <c r="A2" s="90" t="s">
        <v>0</v>
      </c>
      <c r="B2" s="92" t="s">
        <v>755</v>
      </c>
      <c r="C2" s="39" t="s">
        <v>703</v>
      </c>
      <c r="D2" s="40" t="s">
        <v>704</v>
      </c>
      <c r="E2" s="88" t="s">
        <v>726</v>
      </c>
      <c r="F2" s="41" t="s">
        <v>705</v>
      </c>
      <c r="G2" s="62" t="s">
        <v>725</v>
      </c>
      <c r="H2" s="87"/>
      <c r="K2" s="86"/>
      <c r="L2" s="85"/>
    </row>
    <row r="3" spans="1:12" ht="18.75" customHeight="1" x14ac:dyDescent="0.35">
      <c r="A3" s="93" t="s">
        <v>1</v>
      </c>
      <c r="B3" s="112" t="s">
        <v>756</v>
      </c>
      <c r="C3" s="5">
        <f>+IFERROR(VLOOKUP($A3,RAIZ!$A$3:$X$1500,MATCH('Suc. Sanblas'!$F$1,RAIZ!$A$2:$X$2,0),FALSE),0)</f>
        <v>3</v>
      </c>
      <c r="D3" s="4">
        <v>1</v>
      </c>
      <c r="E3" s="5"/>
      <c r="F3" s="5">
        <f>IF(D3-C3&gt;=0,D3-C3,0)</f>
        <v>0</v>
      </c>
      <c r="G3" s="5"/>
      <c r="K3" s="86"/>
      <c r="L3" s="85"/>
    </row>
    <row r="4" spans="1:12" ht="18.75" customHeight="1" x14ac:dyDescent="0.35">
      <c r="A4" s="93" t="s">
        <v>2</v>
      </c>
      <c r="B4" s="112" t="s">
        <v>865</v>
      </c>
      <c r="C4" s="5">
        <f>+IFERROR(VLOOKUP($A4,RAIZ!$A$3:$X$1500,MATCH('Suc. Sanblas'!$F$1,RAIZ!$A$2:$X$2,0),FALSE),0)</f>
        <v>1</v>
      </c>
      <c r="D4" s="4">
        <v>3</v>
      </c>
      <c r="E4" s="5"/>
      <c r="F4" s="5">
        <f>IF(D4-C4&gt;=0,D4-C4,0)</f>
        <v>2</v>
      </c>
      <c r="G4" s="5"/>
      <c r="K4" s="86"/>
      <c r="L4" s="85"/>
    </row>
    <row r="5" spans="1:12" ht="18.75" customHeight="1" x14ac:dyDescent="0.35">
      <c r="A5" s="93" t="s">
        <v>3</v>
      </c>
      <c r="B5" s="112" t="s">
        <v>757</v>
      </c>
      <c r="C5" s="5">
        <f>+IFERROR(VLOOKUP($A5,RAIZ!$A$3:$X$1500,MATCH('Suc. Sanblas'!$F$1,RAIZ!$A$2:$X$2,0),FALSE),0)</f>
        <v>1</v>
      </c>
      <c r="D5" s="7">
        <v>1</v>
      </c>
      <c r="E5" s="5"/>
      <c r="F5" s="5">
        <f t="shared" ref="F5:F10" si="0">IF(D5-C5&gt;=0,D5-C5,0)</f>
        <v>0</v>
      </c>
      <c r="G5" s="5"/>
      <c r="K5" s="86"/>
      <c r="L5" s="85"/>
    </row>
    <row r="6" spans="1:12" ht="18.75" customHeight="1" x14ac:dyDescent="0.35">
      <c r="A6" s="93" t="s">
        <v>4</v>
      </c>
      <c r="B6" s="112" t="s">
        <v>758</v>
      </c>
      <c r="C6" s="5">
        <f>+IFERROR(VLOOKUP($A6,RAIZ!$A$3:$X$1500,MATCH('Suc. Sanblas'!$F$1,RAIZ!$A$2:$X$2,0),FALSE),0)</f>
        <v>1</v>
      </c>
      <c r="D6" s="7">
        <v>3</v>
      </c>
      <c r="E6" s="5"/>
      <c r="F6" s="5">
        <f t="shared" si="0"/>
        <v>2</v>
      </c>
      <c r="G6" s="5"/>
      <c r="K6" s="86"/>
      <c r="L6" s="85"/>
    </row>
    <row r="7" spans="1:12" ht="18.75" customHeight="1" x14ac:dyDescent="0.35">
      <c r="A7" s="93" t="s">
        <v>5</v>
      </c>
      <c r="B7" s="112" t="s">
        <v>759</v>
      </c>
      <c r="C7" s="5">
        <f>+IFERROR(VLOOKUP($A7,RAIZ!$A$3:$X$1500,MATCH('Suc. Sanblas'!$F$1,RAIZ!$A$2:$X$2,0),FALSE),0)</f>
        <v>2</v>
      </c>
      <c r="D7" s="7">
        <v>3</v>
      </c>
      <c r="E7" s="5"/>
      <c r="F7" s="5">
        <f t="shared" si="0"/>
        <v>1</v>
      </c>
      <c r="G7" s="5"/>
      <c r="K7" s="86"/>
      <c r="L7" s="85"/>
    </row>
    <row r="8" spans="1:12" ht="18.75" customHeight="1" x14ac:dyDescent="0.35">
      <c r="A8" s="93" t="s">
        <v>6</v>
      </c>
      <c r="B8" s="112" t="s">
        <v>760</v>
      </c>
      <c r="C8" s="5">
        <f>+IFERROR(VLOOKUP($A8,RAIZ!$A$3:$X$1500,MATCH('Suc. Sanblas'!$F$1,RAIZ!$A$2:$X$2,0),FALSE),0)</f>
        <v>2</v>
      </c>
      <c r="D8" s="7">
        <v>3</v>
      </c>
      <c r="E8" s="5"/>
      <c r="F8" s="5">
        <f t="shared" si="0"/>
        <v>1</v>
      </c>
      <c r="G8" s="5"/>
      <c r="K8" s="86"/>
      <c r="L8" s="85"/>
    </row>
    <row r="9" spans="1:12" ht="18.75" customHeight="1" x14ac:dyDescent="0.35">
      <c r="A9" s="93" t="s">
        <v>7</v>
      </c>
      <c r="B9" s="112" t="s">
        <v>761</v>
      </c>
      <c r="C9" s="5">
        <f>+IFERROR(VLOOKUP($A9,RAIZ!$A$3:$X$1500,MATCH('Suc. Sanblas'!$F$1,RAIZ!$A$2:$X$2,0),FALSE),0)</f>
        <v>2</v>
      </c>
      <c r="D9" s="7">
        <v>3</v>
      </c>
      <c r="E9" s="5"/>
      <c r="F9" s="5">
        <f t="shared" si="0"/>
        <v>1</v>
      </c>
      <c r="G9" s="5"/>
      <c r="K9" s="86"/>
      <c r="L9" s="85"/>
    </row>
    <row r="10" spans="1:12" ht="18.75" customHeight="1" x14ac:dyDescent="0.35">
      <c r="A10" s="93" t="s">
        <v>8</v>
      </c>
      <c r="B10" s="112" t="s">
        <v>762</v>
      </c>
      <c r="C10" s="5">
        <f>+IFERROR(VLOOKUP($A10,RAIZ!$A$3:$X$1500,MATCH('Suc. Sanblas'!$F$1,RAIZ!$A$2:$X$2,0),FALSE),0)</f>
        <v>2</v>
      </c>
      <c r="D10" s="7">
        <v>3</v>
      </c>
      <c r="E10" s="5"/>
      <c r="F10" s="5">
        <f t="shared" si="0"/>
        <v>1</v>
      </c>
      <c r="G10" s="5"/>
      <c r="K10" s="86"/>
      <c r="L10" s="85"/>
    </row>
    <row r="11" spans="1:12" ht="18.75" customHeight="1" x14ac:dyDescent="0.35">
      <c r="A11" s="93" t="s">
        <v>9</v>
      </c>
      <c r="B11" s="112" t="s">
        <v>763</v>
      </c>
      <c r="C11" s="5">
        <f>+IFERROR(VLOOKUP($A11,RAIZ!$A$3:$X$1500,MATCH('Suc. Sanblas'!$F$1,RAIZ!$A$2:$X$2,0),FALSE),0)</f>
        <v>0</v>
      </c>
      <c r="D11" s="9">
        <v>3</v>
      </c>
      <c r="E11" s="5"/>
      <c r="F11" s="5">
        <f t="shared" ref="F11:F12" si="1">IF(D11-C11&gt;=0,D11-C11,0)</f>
        <v>3</v>
      </c>
      <c r="G11" s="5"/>
      <c r="K11" s="86"/>
      <c r="L11" s="85"/>
    </row>
    <row r="12" spans="1:12" ht="18.75" customHeight="1" x14ac:dyDescent="0.35">
      <c r="A12" s="93"/>
      <c r="B12" s="112"/>
      <c r="C12" s="5">
        <f>+IFERROR(VLOOKUP($A12,RAIZ!$A$3:$X$1500,MATCH('Suc. Sanblas'!$F$1,RAIZ!$A$2:$X$2,0),FALSE),0)</f>
        <v>0</v>
      </c>
      <c r="D12" s="20"/>
      <c r="E12" s="5"/>
      <c r="F12" s="5">
        <f t="shared" si="1"/>
        <v>0</v>
      </c>
      <c r="G12" s="5"/>
    </row>
    <row r="13" spans="1:12" ht="18.75" customHeight="1" x14ac:dyDescent="0.35">
      <c r="A13" s="93"/>
      <c r="B13" s="112"/>
      <c r="C13" s="5">
        <f>+IFERROR(VLOOKUP($A13,RAIZ!$A$3:$X$1500,MATCH('Suc. Sanblas'!$F$1,RAIZ!$A$2:$X$2,0),FALSE),0)</f>
        <v>0</v>
      </c>
      <c r="D13" s="20"/>
      <c r="E13" s="5"/>
      <c r="F13" s="5">
        <f t="shared" ref="F13:F17" si="2">IF(D13-C13&gt;=0,D13-C13,0)</f>
        <v>0</v>
      </c>
      <c r="G13" s="5"/>
    </row>
    <row r="14" spans="1:12" ht="18.75" customHeight="1" x14ac:dyDescent="0.35">
      <c r="A14" s="93"/>
      <c r="B14" s="112"/>
      <c r="C14" s="5">
        <f>+IFERROR(VLOOKUP($A14,RAIZ!$A$3:$X$1500,MATCH('Suc. Sanblas'!$F$1,RAIZ!$A$2:$X$2,0),FALSE),0)</f>
        <v>0</v>
      </c>
      <c r="D14" s="20"/>
      <c r="E14" s="5"/>
      <c r="F14" s="5">
        <f>IF(D14-C14&gt;=0,D14-C14,0)</f>
        <v>0</v>
      </c>
      <c r="G14" s="5"/>
    </row>
    <row r="15" spans="1:12" ht="18.75" customHeight="1" x14ac:dyDescent="0.35">
      <c r="A15" s="93"/>
      <c r="B15" s="112"/>
      <c r="C15" s="5">
        <f>+IFERROR(VLOOKUP($A15,RAIZ!$A$3:$X$1500,MATCH('Suc. Sanblas'!$F$1,RAIZ!$A$2:$X$2,0),FALSE),0)</f>
        <v>0</v>
      </c>
      <c r="D15" s="9"/>
      <c r="E15" s="5"/>
      <c r="F15" s="5">
        <f t="shared" si="2"/>
        <v>0</v>
      </c>
      <c r="G15" s="5"/>
      <c r="K15" s="86"/>
      <c r="L15" s="85"/>
    </row>
    <row r="16" spans="1:12" ht="18.75" customHeight="1" x14ac:dyDescent="0.35">
      <c r="A16" s="93"/>
      <c r="B16" s="112"/>
      <c r="C16" s="5">
        <f>+IFERROR(VLOOKUP($A16,RAIZ!$A$3:$X$1500,MATCH('Suc. Sanblas'!$F$1,RAIZ!$A$2:$X$2,0),FALSE),0)</f>
        <v>0</v>
      </c>
      <c r="D16" s="9"/>
      <c r="E16" s="5"/>
      <c r="F16" s="5">
        <f t="shared" si="2"/>
        <v>0</v>
      </c>
      <c r="G16" s="5"/>
      <c r="K16" s="86"/>
      <c r="L16" s="85"/>
    </row>
    <row r="17" spans="1:12" ht="18.75" customHeight="1" thickBot="1" x14ac:dyDescent="0.4">
      <c r="A17" s="93"/>
      <c r="B17" s="112"/>
      <c r="C17" s="5">
        <f>+IFERROR(VLOOKUP($A17,RAIZ!$A$3:$X$1500,MATCH('Suc. Sanblas'!$F$1,RAIZ!$A$2:$X$2,0),FALSE),0)</f>
        <v>0</v>
      </c>
      <c r="D17" s="9"/>
      <c r="E17" s="5"/>
      <c r="F17" s="5">
        <f t="shared" si="2"/>
        <v>0</v>
      </c>
      <c r="G17" s="5"/>
      <c r="K17" s="86"/>
      <c r="L17" s="85"/>
    </row>
    <row r="18" spans="1:12" ht="18.75" customHeight="1" thickBot="1" x14ac:dyDescent="0.4">
      <c r="A18" s="96" t="s">
        <v>10</v>
      </c>
      <c r="B18" s="111"/>
      <c r="C18" s="75">
        <f>SUM(C3:C17)</f>
        <v>14</v>
      </c>
      <c r="D18" s="44">
        <f>SUM(D3:D17)</f>
        <v>23</v>
      </c>
      <c r="E18" s="44">
        <f>SUM(E3:E17)</f>
        <v>0</v>
      </c>
      <c r="F18" s="63">
        <f>SUM(F3:F17)</f>
        <v>11</v>
      </c>
      <c r="G18" s="44">
        <f>SUM(G3:G17)</f>
        <v>0</v>
      </c>
      <c r="K18" s="86"/>
      <c r="L18" s="85"/>
    </row>
    <row r="19" spans="1:12" ht="18.75" customHeight="1" x14ac:dyDescent="0.35">
      <c r="A19" s="97" t="s">
        <v>676</v>
      </c>
      <c r="B19" s="112" t="s">
        <v>764</v>
      </c>
      <c r="C19" s="5">
        <f>+IFERROR(VLOOKUP($A19,RAIZ!$A$3:$X$1500,MATCH('Suc. Sanblas'!$F$1,RAIZ!$A$2:$X$2,0),FALSE),0)</f>
        <v>1</v>
      </c>
      <c r="D19" s="12">
        <v>1</v>
      </c>
      <c r="E19" s="5"/>
      <c r="F19" s="5">
        <f t="shared" ref="F19:F21" si="3">IF(D19-C19&gt;=0,D19-C19,0)</f>
        <v>0</v>
      </c>
      <c r="G19" s="5"/>
      <c r="K19" s="86"/>
      <c r="L19" s="85"/>
    </row>
    <row r="20" spans="1:12" ht="18.75" customHeight="1" x14ac:dyDescent="0.35">
      <c r="A20" s="97" t="s">
        <v>11</v>
      </c>
      <c r="B20" s="112" t="s">
        <v>827</v>
      </c>
      <c r="C20" s="5">
        <f>+IFERROR(VLOOKUP($A20,RAIZ!$A$3:$X$1500,MATCH('Suc. Sanblas'!$F$1,RAIZ!$A$2:$X$2,0),FALSE),0)</f>
        <v>3</v>
      </c>
      <c r="D20" s="14">
        <v>3</v>
      </c>
      <c r="E20" s="5"/>
      <c r="F20" s="5">
        <f t="shared" si="3"/>
        <v>0</v>
      </c>
      <c r="G20" s="5"/>
      <c r="K20" s="86"/>
      <c r="L20" s="85"/>
    </row>
    <row r="21" spans="1:12" ht="18.75" customHeight="1" x14ac:dyDescent="0.35">
      <c r="A21" s="97" t="s">
        <v>344</v>
      </c>
      <c r="B21" s="112" t="s">
        <v>765</v>
      </c>
      <c r="C21" s="5">
        <f>+IFERROR(VLOOKUP($A21,RAIZ!$A$3:$X$1500,MATCH('Suc. Sanblas'!$F$1,RAIZ!$A$2:$X$2,0),FALSE),0)</f>
        <v>3</v>
      </c>
      <c r="D21" s="14">
        <v>2</v>
      </c>
      <c r="E21" s="5"/>
      <c r="F21" s="5">
        <f t="shared" si="3"/>
        <v>0</v>
      </c>
      <c r="G21" s="5"/>
      <c r="K21" s="86"/>
      <c r="L21" s="85"/>
    </row>
    <row r="22" spans="1:12" ht="18.75" customHeight="1" x14ac:dyDescent="0.35">
      <c r="A22" s="97" t="s">
        <v>832</v>
      </c>
      <c r="B22" s="112" t="s">
        <v>833</v>
      </c>
      <c r="C22" s="5">
        <f>+IFERROR(VLOOKUP($A22,RAIZ!$A$3:$X$1500,MATCH('Suc. Sanblas'!$F$1,RAIZ!$A$2:$X$2,0),FALSE),0)</f>
        <v>2</v>
      </c>
      <c r="D22" s="14">
        <v>3</v>
      </c>
      <c r="E22" s="5"/>
      <c r="F22" s="5">
        <f t="shared" ref="F22:F31" si="4">IF(D22-C22&gt;=0,D22-C22,0)</f>
        <v>1</v>
      </c>
      <c r="G22" s="5"/>
      <c r="K22" s="86"/>
      <c r="L22" s="85"/>
    </row>
    <row r="23" spans="1:12" ht="18.75" customHeight="1" x14ac:dyDescent="0.35">
      <c r="A23" s="97" t="s">
        <v>12</v>
      </c>
      <c r="B23" s="112" t="s">
        <v>766</v>
      </c>
      <c r="C23" s="5">
        <f>+IFERROR(VLOOKUP($A23,RAIZ!$A$3:$X$1500,MATCH('Suc. Sanblas'!$F$1,RAIZ!$A$2:$X$2,0),FALSE),0)</f>
        <v>2</v>
      </c>
      <c r="D23" s="14">
        <v>3</v>
      </c>
      <c r="E23" s="5"/>
      <c r="F23" s="5">
        <f t="shared" si="4"/>
        <v>1</v>
      </c>
      <c r="G23" s="5"/>
      <c r="K23" s="86"/>
      <c r="L23" s="85"/>
    </row>
    <row r="24" spans="1:12" ht="18.75" customHeight="1" x14ac:dyDescent="0.35">
      <c r="A24" s="97" t="s">
        <v>432</v>
      </c>
      <c r="B24" s="112" t="s">
        <v>767</v>
      </c>
      <c r="C24" s="5">
        <f>+IFERROR(VLOOKUP($A24,RAIZ!$A$3:$X$1500,MATCH('Suc. Sanblas'!$F$1,RAIZ!$A$2:$X$2,0),FALSE),0)</f>
        <v>0</v>
      </c>
      <c r="D24" s="14">
        <v>3</v>
      </c>
      <c r="E24" s="5"/>
      <c r="F24" s="5">
        <f t="shared" si="4"/>
        <v>3</v>
      </c>
      <c r="G24" s="5"/>
      <c r="K24" s="86"/>
      <c r="L24" s="85"/>
    </row>
    <row r="25" spans="1:12" ht="18.75" customHeight="1" x14ac:dyDescent="0.35">
      <c r="A25" s="97" t="s">
        <v>468</v>
      </c>
      <c r="B25" s="112" t="s">
        <v>768</v>
      </c>
      <c r="C25" s="5">
        <f>+IFERROR(VLOOKUP($A25,RAIZ!$A$3:$X$1500,MATCH('Suc. Sanblas'!$F$1,RAIZ!$A$2:$X$2,0),FALSE),0)</f>
        <v>3</v>
      </c>
      <c r="D25" s="16">
        <v>3</v>
      </c>
      <c r="E25" s="5"/>
      <c r="F25" s="5">
        <f t="shared" si="4"/>
        <v>0</v>
      </c>
      <c r="G25" s="5"/>
      <c r="K25" s="86"/>
      <c r="L25" s="85"/>
    </row>
    <row r="26" spans="1:12" ht="18.75" customHeight="1" x14ac:dyDescent="0.35">
      <c r="A26" s="97"/>
      <c r="B26" s="112"/>
      <c r="C26" s="5">
        <f>+IFERROR(VLOOKUP($A26,RAIZ!$A$3:$X$1500,MATCH('Suc. Sanblas'!$F$1,RAIZ!$A$2:$X$2,0),FALSE),0)</f>
        <v>0</v>
      </c>
      <c r="D26" s="20"/>
      <c r="E26" s="5"/>
      <c r="F26" s="5">
        <f t="shared" si="4"/>
        <v>0</v>
      </c>
      <c r="G26" s="5"/>
    </row>
    <row r="27" spans="1:12" ht="18.75" customHeight="1" x14ac:dyDescent="0.35">
      <c r="A27" s="97"/>
      <c r="B27" s="112"/>
      <c r="C27" s="5">
        <f>+IFERROR(VLOOKUP($A27,RAIZ!$A$3:$X$1500,MATCH('Suc. Sanblas'!$F$1,RAIZ!$A$2:$X$2,0),FALSE),0)</f>
        <v>0</v>
      </c>
      <c r="D27" s="16"/>
      <c r="E27" s="5"/>
      <c r="F27" s="5">
        <f>IF(D27-C27&gt;=0,D27-C27,0)</f>
        <v>0</v>
      </c>
      <c r="G27" s="5"/>
      <c r="K27" s="86"/>
      <c r="L27" s="85"/>
    </row>
    <row r="28" spans="1:12" ht="18.75" customHeight="1" x14ac:dyDescent="0.35">
      <c r="A28" s="97"/>
      <c r="B28" s="112"/>
      <c r="C28" s="5">
        <f>+IFERROR(VLOOKUP($A28,RAIZ!$A$3:$X$1500,MATCH('Suc. Sanblas'!$F$1,RAIZ!$A$2:$X$2,0),FALSE),0)</f>
        <v>0</v>
      </c>
      <c r="D28" s="16"/>
      <c r="E28" s="5"/>
      <c r="F28" s="5">
        <f t="shared" si="4"/>
        <v>0</v>
      </c>
      <c r="G28" s="5"/>
      <c r="K28" s="86"/>
      <c r="L28" s="85"/>
    </row>
    <row r="29" spans="1:12" ht="18.75" customHeight="1" x14ac:dyDescent="0.35">
      <c r="A29" s="97"/>
      <c r="B29" s="112"/>
      <c r="C29" s="5">
        <f>+IFERROR(VLOOKUP($A29,RAIZ!$A$3:$X$1500,MATCH('Suc. Sanblas'!$F$1,RAIZ!$A$2:$X$2,0),FALSE),0)</f>
        <v>0</v>
      </c>
      <c r="D29" s="16"/>
      <c r="E29" s="5"/>
      <c r="F29" s="5">
        <f t="shared" si="4"/>
        <v>0</v>
      </c>
      <c r="G29" s="5"/>
      <c r="K29" s="86"/>
      <c r="L29" s="85"/>
    </row>
    <row r="30" spans="1:12" ht="18.75" customHeight="1" x14ac:dyDescent="0.35">
      <c r="A30" s="97"/>
      <c r="B30" s="112"/>
      <c r="C30" s="5">
        <f>+IFERROR(VLOOKUP($A30,RAIZ!$A$3:$X$1500,MATCH('Suc. Sanblas'!$F$1,RAIZ!$A$2:$X$2,0),FALSE),0)</f>
        <v>0</v>
      </c>
      <c r="D30" s="16"/>
      <c r="E30" s="5"/>
      <c r="F30" s="5">
        <f t="shared" si="4"/>
        <v>0</v>
      </c>
      <c r="G30" s="5"/>
      <c r="K30" s="86"/>
      <c r="L30" s="85"/>
    </row>
    <row r="31" spans="1:12" ht="18.75" customHeight="1" thickBot="1" x14ac:dyDescent="0.4">
      <c r="A31" s="97"/>
      <c r="B31" s="112"/>
      <c r="C31" s="5">
        <f>+IFERROR(VLOOKUP($A31,RAIZ!$A$3:$X$1500,MATCH('Suc. Sanblas'!$F$1,RAIZ!$A$2:$X$2,0),FALSE),0)</f>
        <v>0</v>
      </c>
      <c r="D31" s="16"/>
      <c r="E31" s="5"/>
      <c r="F31" s="5">
        <f t="shared" si="4"/>
        <v>0</v>
      </c>
      <c r="G31" s="5"/>
      <c r="K31" s="86"/>
      <c r="L31" s="85"/>
    </row>
    <row r="32" spans="1:12" ht="18.75" customHeight="1" thickBot="1" x14ac:dyDescent="0.4">
      <c r="A32" s="98" t="s">
        <v>13</v>
      </c>
      <c r="B32" s="111"/>
      <c r="C32" s="76">
        <f>SUM(C19:C31)</f>
        <v>14</v>
      </c>
      <c r="D32" s="46">
        <f>SUM(D19:D31)</f>
        <v>18</v>
      </c>
      <c r="E32" s="46">
        <f>SUM(E19:E31)</f>
        <v>0</v>
      </c>
      <c r="F32" s="64">
        <f>SUM(F19:F31)</f>
        <v>5</v>
      </c>
      <c r="G32" s="46">
        <f>SUM(G19:G31)</f>
        <v>0</v>
      </c>
      <c r="K32" s="86"/>
      <c r="L32" s="85"/>
    </row>
    <row r="33" spans="1:12" ht="18.75" customHeight="1" x14ac:dyDescent="0.35">
      <c r="A33" s="97" t="s">
        <v>14</v>
      </c>
      <c r="B33" s="112" t="s">
        <v>769</v>
      </c>
      <c r="C33" s="5">
        <f>+IFERROR(VLOOKUP($A33,RAIZ!$A$3:$X$1500,MATCH('Suc. Sanblas'!$F$1,RAIZ!$A$2:$X$2,0),FALSE),0)</f>
        <v>0</v>
      </c>
      <c r="D33" s="4">
        <v>3</v>
      </c>
      <c r="E33" s="5"/>
      <c r="F33" s="5">
        <f t="shared" ref="F33:F48" si="5">IF(D33-C33&gt;=0,D33-C33,0)</f>
        <v>3</v>
      </c>
      <c r="G33" s="5"/>
      <c r="K33" s="86"/>
      <c r="L33" s="85"/>
    </row>
    <row r="34" spans="1:12" ht="18.75" customHeight="1" x14ac:dyDescent="0.35">
      <c r="A34" s="97" t="s">
        <v>15</v>
      </c>
      <c r="B34" s="112" t="s">
        <v>770</v>
      </c>
      <c r="C34" s="5">
        <f>+IFERROR(VLOOKUP($A34,RAIZ!$A$3:$X$1500,MATCH('Suc. Sanblas'!$F$1,RAIZ!$A$2:$X$2,0),FALSE),0)</f>
        <v>1</v>
      </c>
      <c r="D34" s="7">
        <v>3</v>
      </c>
      <c r="E34" s="5"/>
      <c r="F34" s="5">
        <f t="shared" si="5"/>
        <v>2</v>
      </c>
      <c r="G34" s="5"/>
      <c r="K34" s="86"/>
      <c r="L34" s="85"/>
    </row>
    <row r="35" spans="1:12" ht="18.75" customHeight="1" x14ac:dyDescent="0.35">
      <c r="A35" s="97" t="s">
        <v>16</v>
      </c>
      <c r="B35" s="112" t="s">
        <v>771</v>
      </c>
      <c r="C35" s="5">
        <f>+IFERROR(VLOOKUP($A35,RAIZ!$A$3:$X$1500,MATCH('Suc. Sanblas'!$F$1,RAIZ!$A$2:$X$2,0),FALSE),0)</f>
        <v>3</v>
      </c>
      <c r="D35" s="7">
        <v>3</v>
      </c>
      <c r="E35" s="5"/>
      <c r="F35" s="5">
        <f t="shared" si="5"/>
        <v>0</v>
      </c>
      <c r="G35" s="5"/>
      <c r="K35" s="86"/>
      <c r="L35" s="85"/>
    </row>
    <row r="36" spans="1:12" ht="18.75" customHeight="1" x14ac:dyDescent="0.35">
      <c r="A36" s="97" t="s">
        <v>17</v>
      </c>
      <c r="B36" s="112" t="s">
        <v>772</v>
      </c>
      <c r="C36" s="5">
        <f>+IFERROR(VLOOKUP($A36,RAIZ!$A$3:$X$1500,MATCH('Suc. Sanblas'!$F$1,RAIZ!$A$2:$X$2,0),FALSE),0)</f>
        <v>1</v>
      </c>
      <c r="D36" s="7">
        <v>1</v>
      </c>
      <c r="E36" s="5"/>
      <c r="F36" s="5">
        <f t="shared" si="5"/>
        <v>0</v>
      </c>
      <c r="G36" s="5"/>
      <c r="K36" s="86"/>
      <c r="L36" s="85"/>
    </row>
    <row r="37" spans="1:12" ht="18.75" customHeight="1" x14ac:dyDescent="0.35">
      <c r="A37" s="97" t="s">
        <v>18</v>
      </c>
      <c r="B37" s="112" t="s">
        <v>773</v>
      </c>
      <c r="C37" s="5">
        <f>+IFERROR(VLOOKUP($A37,RAIZ!$A$3:$X$1500,MATCH('Suc. Sanblas'!$F$1,RAIZ!$A$2:$X$2,0),FALSE),0)</f>
        <v>3</v>
      </c>
      <c r="D37" s="7">
        <v>3</v>
      </c>
      <c r="E37" s="5"/>
      <c r="F37" s="5">
        <f t="shared" si="5"/>
        <v>0</v>
      </c>
      <c r="G37" s="5"/>
      <c r="K37" s="86"/>
      <c r="L37" s="85"/>
    </row>
    <row r="38" spans="1:12" ht="18.75" customHeight="1" x14ac:dyDescent="0.35">
      <c r="A38" s="97" t="s">
        <v>22</v>
      </c>
      <c r="B38" s="112" t="s">
        <v>774</v>
      </c>
      <c r="C38" s="5">
        <f>+IFERROR(VLOOKUP($A38,RAIZ!$A$3:$X$1500,MATCH('Suc. Sanblas'!$F$1,RAIZ!$A$2:$X$2,0),FALSE),0)</f>
        <v>3</v>
      </c>
      <c r="D38" s="18">
        <v>3</v>
      </c>
      <c r="E38" s="5"/>
      <c r="F38" s="5">
        <f t="shared" si="5"/>
        <v>0</v>
      </c>
      <c r="G38" s="5"/>
      <c r="K38" s="86"/>
      <c r="L38" s="85"/>
    </row>
    <row r="39" spans="1:12" ht="18.75" customHeight="1" x14ac:dyDescent="0.35">
      <c r="A39" s="97" t="s">
        <v>23</v>
      </c>
      <c r="B39" s="112" t="s">
        <v>775</v>
      </c>
      <c r="C39" s="5">
        <f>+IFERROR(VLOOKUP($A39,RAIZ!$A$3:$X$1500,MATCH('Suc. Sanblas'!$F$1,RAIZ!$A$2:$X$2,0),FALSE),0)</f>
        <v>1</v>
      </c>
      <c r="D39" s="18">
        <v>3</v>
      </c>
      <c r="E39" s="5"/>
      <c r="F39" s="5">
        <f t="shared" si="5"/>
        <v>2</v>
      </c>
      <c r="G39" s="5"/>
      <c r="K39" s="86"/>
      <c r="L39" s="85"/>
    </row>
    <row r="40" spans="1:12" ht="18.75" customHeight="1" x14ac:dyDescent="0.35">
      <c r="A40" s="97" t="s">
        <v>24</v>
      </c>
      <c r="B40" s="112" t="s">
        <v>776</v>
      </c>
      <c r="C40" s="5">
        <f>+IFERROR(VLOOKUP($A40,RAIZ!$A$3:$X$1500,MATCH('Suc. Sanblas'!$F$1,RAIZ!$A$2:$X$2,0),FALSE),0)</f>
        <v>3</v>
      </c>
      <c r="D40" s="7">
        <v>3</v>
      </c>
      <c r="E40" s="5"/>
      <c r="F40" s="5">
        <f t="shared" si="5"/>
        <v>0</v>
      </c>
      <c r="G40" s="5"/>
      <c r="K40" s="86"/>
      <c r="L40" s="85"/>
    </row>
    <row r="41" spans="1:12" ht="18.75" customHeight="1" x14ac:dyDescent="0.35">
      <c r="A41" s="97" t="s">
        <v>25</v>
      </c>
      <c r="B41" s="112" t="s">
        <v>777</v>
      </c>
      <c r="C41" s="5">
        <f>+IFERROR(VLOOKUP($A41,RAIZ!$A$3:$X$1500,MATCH('Suc. Sanblas'!$F$1,RAIZ!$A$2:$X$2,0),FALSE),0)</f>
        <v>2</v>
      </c>
      <c r="D41" s="18">
        <v>3</v>
      </c>
      <c r="E41" s="5"/>
      <c r="F41" s="5">
        <f t="shared" si="5"/>
        <v>1</v>
      </c>
      <c r="G41" s="5"/>
      <c r="K41" s="86"/>
      <c r="L41" s="85"/>
    </row>
    <row r="42" spans="1:12" ht="18.75" customHeight="1" x14ac:dyDescent="0.35">
      <c r="A42" s="97"/>
      <c r="B42" s="112"/>
      <c r="C42" s="5">
        <f>+IFERROR(VLOOKUP($A42,RAIZ!$A$3:$X$1500,MATCH('Suc. Sanblas'!$F$1,RAIZ!$A$2:$X$2,0),FALSE),0)</f>
        <v>0</v>
      </c>
      <c r="D42" s="20"/>
      <c r="E42" s="5"/>
      <c r="F42" s="5">
        <f t="shared" si="5"/>
        <v>0</v>
      </c>
      <c r="G42" s="5"/>
    </row>
    <row r="43" spans="1:12" ht="18.75" customHeight="1" x14ac:dyDescent="0.35">
      <c r="A43" s="97"/>
      <c r="B43" s="112"/>
      <c r="C43" s="5">
        <f>+IFERROR(VLOOKUP($A43,RAIZ!$A$3:$X$1500,MATCH('Suc. Sanblas'!$F$1,RAIZ!$A$2:$X$2,0),FALSE),0)</f>
        <v>0</v>
      </c>
      <c r="D43" s="18"/>
      <c r="E43" s="5"/>
      <c r="F43" s="5">
        <f t="shared" si="5"/>
        <v>0</v>
      </c>
      <c r="G43" s="5"/>
      <c r="K43" s="86"/>
      <c r="L43" s="85"/>
    </row>
    <row r="44" spans="1:12" ht="18.75" customHeight="1" x14ac:dyDescent="0.35">
      <c r="A44" s="97"/>
      <c r="B44" s="112"/>
      <c r="C44" s="5">
        <f>+IFERROR(VLOOKUP($A44,RAIZ!$A$3:$X$1500,MATCH('Suc. Sanblas'!$F$1,RAIZ!$A$2:$X$2,0),FALSE),0)</f>
        <v>0</v>
      </c>
      <c r="D44" s="18"/>
      <c r="E44" s="5"/>
      <c r="F44" s="5">
        <f t="shared" si="5"/>
        <v>0</v>
      </c>
      <c r="G44" s="5"/>
      <c r="K44" s="86"/>
      <c r="L44" s="85"/>
    </row>
    <row r="45" spans="1:12" ht="18.75" customHeight="1" x14ac:dyDescent="0.35">
      <c r="A45" s="97"/>
      <c r="B45" s="112"/>
      <c r="C45" s="5">
        <f>+IFERROR(VLOOKUP($A45,RAIZ!$A$3:$X$1500,MATCH('Suc. Sanblas'!$F$1,RAIZ!$A$2:$X$2,0),FALSE),0)</f>
        <v>0</v>
      </c>
      <c r="D45" s="18"/>
      <c r="E45" s="5"/>
      <c r="F45" s="5">
        <f t="shared" si="5"/>
        <v>0</v>
      </c>
      <c r="G45" s="5"/>
      <c r="K45" s="86"/>
      <c r="L45" s="85"/>
    </row>
    <row r="46" spans="1:12" ht="18.75" customHeight="1" x14ac:dyDescent="0.35">
      <c r="A46" s="97"/>
      <c r="B46" s="112"/>
      <c r="C46" s="5">
        <f>+IFERROR(VLOOKUP($A46,RAIZ!$A$3:$X$1500,MATCH('Suc. Sanblas'!$F$1,RAIZ!$A$2:$X$2,0),FALSE),0)</f>
        <v>0</v>
      </c>
      <c r="D46" s="18"/>
      <c r="E46" s="5"/>
      <c r="F46" s="5">
        <f t="shared" si="5"/>
        <v>0</v>
      </c>
      <c r="G46" s="5"/>
      <c r="K46" s="86"/>
      <c r="L46" s="85"/>
    </row>
    <row r="47" spans="1:12" ht="18.75" customHeight="1" x14ac:dyDescent="0.35">
      <c r="A47" s="97"/>
      <c r="B47" s="112"/>
      <c r="C47" s="5">
        <f>+IFERROR(VLOOKUP($A47,RAIZ!$A$3:$X$1500,MATCH('Suc. Sanblas'!$F$1,RAIZ!$A$2:$X$2,0),FALSE),0)</f>
        <v>0</v>
      </c>
      <c r="D47" s="18"/>
      <c r="E47" s="5"/>
      <c r="F47" s="5">
        <f t="shared" si="5"/>
        <v>0</v>
      </c>
      <c r="G47" s="5"/>
      <c r="K47" s="86"/>
      <c r="L47" s="85"/>
    </row>
    <row r="48" spans="1:12" ht="18.75" customHeight="1" thickBot="1" x14ac:dyDescent="0.4">
      <c r="A48" s="97"/>
      <c r="B48" s="112"/>
      <c r="C48" s="5">
        <f>+IFERROR(VLOOKUP($A48,RAIZ!$A$3:$X$1500,MATCH('Suc. Sanblas'!$F$1,RAIZ!$A$2:$X$2,0),FALSE),0)</f>
        <v>0</v>
      </c>
      <c r="D48" s="18"/>
      <c r="E48" s="5"/>
      <c r="F48" s="5">
        <f t="shared" si="5"/>
        <v>0</v>
      </c>
      <c r="G48" s="5"/>
      <c r="K48" s="86"/>
      <c r="L48" s="85"/>
    </row>
    <row r="49" spans="1:12" ht="18.75" customHeight="1" thickBot="1" x14ac:dyDescent="0.4">
      <c r="A49" s="99" t="s">
        <v>29</v>
      </c>
      <c r="B49" s="111"/>
      <c r="C49" s="77">
        <f>SUM(C33:C48)</f>
        <v>17</v>
      </c>
      <c r="D49" s="48">
        <f>SUM(D33:D48)</f>
        <v>25</v>
      </c>
      <c r="E49" s="48">
        <f>SUM(E33:E48)</f>
        <v>0</v>
      </c>
      <c r="F49" s="65">
        <f>SUM(F33:F48)</f>
        <v>8</v>
      </c>
      <c r="G49" s="48">
        <f>SUM(G33:G48)</f>
        <v>0</v>
      </c>
      <c r="K49" s="86"/>
      <c r="L49" s="85"/>
    </row>
    <row r="50" spans="1:12" ht="18.75" customHeight="1" x14ac:dyDescent="0.35">
      <c r="A50" s="93" t="s">
        <v>30</v>
      </c>
      <c r="B50" s="112" t="s">
        <v>778</v>
      </c>
      <c r="C50" s="5">
        <f>+IFERROR(VLOOKUP($A50,RAIZ!$A$3:$X$1500,MATCH('Suc. Sanblas'!$F$1,RAIZ!$A$2:$X$2,0),FALSE),0)</f>
        <v>8</v>
      </c>
      <c r="D50" s="4">
        <v>8</v>
      </c>
      <c r="E50" s="5"/>
      <c r="F50" s="5">
        <f>IF(D50-C50&gt;=0,D50-C50,0)</f>
        <v>0</v>
      </c>
      <c r="G50" s="5"/>
      <c r="K50" s="86"/>
      <c r="L50" s="85"/>
    </row>
    <row r="51" spans="1:12" ht="18.75" customHeight="1" thickBot="1" x14ac:dyDescent="0.4">
      <c r="A51" s="95" t="s">
        <v>31</v>
      </c>
      <c r="B51" s="112" t="s">
        <v>779</v>
      </c>
      <c r="C51" s="5">
        <f>+IFERROR(VLOOKUP($A51,RAIZ!$A$3:$X$1500,MATCH('Suc. Sanblas'!$F$1,RAIZ!$A$2:$X$2,0),FALSE),0)</f>
        <v>8</v>
      </c>
      <c r="D51" s="20">
        <v>8</v>
      </c>
      <c r="E51" s="5"/>
      <c r="F51" s="5">
        <f t="shared" ref="F51" si="6">IF(D51-C51&gt;=0,D51-C51,0)</f>
        <v>0</v>
      </c>
      <c r="G51" s="5"/>
      <c r="K51" s="86"/>
      <c r="L51" s="85"/>
    </row>
    <row r="52" spans="1:12" ht="18.75" customHeight="1" thickBot="1" x14ac:dyDescent="0.4">
      <c r="A52" s="100" t="s">
        <v>32</v>
      </c>
      <c r="B52" s="111"/>
      <c r="C52" s="78">
        <f>SUM(C50:C51)</f>
        <v>16</v>
      </c>
      <c r="D52" s="50">
        <f t="shared" ref="D52:G52" si="7">SUM(D50:D51)</f>
        <v>16</v>
      </c>
      <c r="E52" s="50">
        <f t="shared" si="7"/>
        <v>0</v>
      </c>
      <c r="F52" s="66">
        <f t="shared" si="7"/>
        <v>0</v>
      </c>
      <c r="G52" s="50">
        <f t="shared" si="7"/>
        <v>0</v>
      </c>
      <c r="K52" s="86"/>
      <c r="L52" s="85"/>
    </row>
    <row r="53" spans="1:12" ht="18.75" customHeight="1" x14ac:dyDescent="0.35">
      <c r="A53" s="93" t="s">
        <v>33</v>
      </c>
      <c r="B53" s="112" t="s">
        <v>780</v>
      </c>
      <c r="C53" s="5">
        <f>+IFERROR(VLOOKUP($A53,RAIZ!$A$3:$X$1500,MATCH('Suc. Sanblas'!$F$1,RAIZ!$A$2:$X$2,0),FALSE),0)</f>
        <v>10</v>
      </c>
      <c r="D53" s="4">
        <v>10</v>
      </c>
      <c r="E53" s="5"/>
      <c r="F53" s="5">
        <f t="shared" ref="F53:F54" si="8">IF(D53-C53&gt;=0,D53-C53,0)</f>
        <v>0</v>
      </c>
      <c r="G53" s="5"/>
      <c r="K53" s="86"/>
      <c r="L53" s="85"/>
    </row>
    <row r="54" spans="1:12" ht="18.75" customHeight="1" thickBot="1" x14ac:dyDescent="0.4">
      <c r="A54" s="95" t="s">
        <v>34</v>
      </c>
      <c r="B54" s="112" t="s">
        <v>781</v>
      </c>
      <c r="C54" s="5">
        <f>+IFERROR(VLOOKUP($A54,RAIZ!$A$3:$X$1500,MATCH('Suc. Sanblas'!$F$1,RAIZ!$A$2:$X$2,0),FALSE),0)</f>
        <v>8</v>
      </c>
      <c r="D54" s="20">
        <v>10</v>
      </c>
      <c r="E54" s="5"/>
      <c r="F54" s="5">
        <f t="shared" si="8"/>
        <v>2</v>
      </c>
      <c r="G54" s="5"/>
      <c r="K54" s="86"/>
      <c r="L54" s="85"/>
    </row>
    <row r="55" spans="1:12" ht="18.75" customHeight="1" thickBot="1" x14ac:dyDescent="0.4">
      <c r="A55" s="99" t="s">
        <v>35</v>
      </c>
      <c r="B55" s="111"/>
      <c r="C55" s="77">
        <f>SUM(C53:C54)</f>
        <v>18</v>
      </c>
      <c r="D55" s="48">
        <f t="shared" ref="D55:G55" si="9">SUM(D53:D54)</f>
        <v>20</v>
      </c>
      <c r="E55" s="48">
        <f t="shared" si="9"/>
        <v>0</v>
      </c>
      <c r="F55" s="65">
        <f t="shared" si="9"/>
        <v>2</v>
      </c>
      <c r="G55" s="48">
        <f t="shared" si="9"/>
        <v>0</v>
      </c>
      <c r="K55" s="86"/>
      <c r="L55" s="85"/>
    </row>
    <row r="56" spans="1:12" ht="18.75" customHeight="1" x14ac:dyDescent="0.35">
      <c r="A56" s="93" t="s">
        <v>36</v>
      </c>
      <c r="B56" s="112" t="s">
        <v>782</v>
      </c>
      <c r="C56" s="5">
        <f>+IFERROR(VLOOKUP($A56,RAIZ!$A$3:$X$1500,MATCH('Suc. Sanblas'!$F$1,RAIZ!$A$2:$X$2,0),FALSE),0)</f>
        <v>1</v>
      </c>
      <c r="D56" s="4">
        <v>1</v>
      </c>
      <c r="E56" s="5"/>
      <c r="F56" s="5">
        <f t="shared" ref="F56:F70" si="10">IF(D56-C56&gt;=0,D56-C56,0)</f>
        <v>0</v>
      </c>
      <c r="G56" s="5"/>
      <c r="K56" s="86"/>
      <c r="L56" s="85"/>
    </row>
    <row r="57" spans="1:12" ht="18.75" customHeight="1" x14ac:dyDescent="0.35">
      <c r="A57" s="93" t="s">
        <v>37</v>
      </c>
      <c r="B57" s="112" t="s">
        <v>783</v>
      </c>
      <c r="C57" s="5">
        <f>+IFERROR(VLOOKUP($A57,RAIZ!$A$3:$X$1500,MATCH('Suc. Sanblas'!$F$1,RAIZ!$A$2:$X$2,0),FALSE),0)</f>
        <v>1</v>
      </c>
      <c r="D57" s="7">
        <v>1</v>
      </c>
      <c r="E57" s="5"/>
      <c r="F57" s="5">
        <f t="shared" si="10"/>
        <v>0</v>
      </c>
      <c r="G57" s="5"/>
      <c r="K57" s="86"/>
      <c r="L57" s="85"/>
    </row>
    <row r="58" spans="1:12" ht="18.75" customHeight="1" x14ac:dyDescent="0.35">
      <c r="A58" s="93" t="s">
        <v>39</v>
      </c>
      <c r="B58" s="112" t="s">
        <v>784</v>
      </c>
      <c r="C58" s="5">
        <f>+IFERROR(VLOOKUP($A58,RAIZ!$A$3:$X$1500,MATCH('Suc. Sanblas'!$F$1,RAIZ!$A$2:$X$2,0),FALSE),0)</f>
        <v>1</v>
      </c>
      <c r="D58" s="7">
        <v>1</v>
      </c>
      <c r="E58" s="5"/>
      <c r="F58" s="5">
        <f t="shared" ref="F58" si="11">IF(D58-C58&gt;=0,D58-C58,0)</f>
        <v>0</v>
      </c>
      <c r="G58" s="5"/>
      <c r="K58" s="86"/>
      <c r="L58" s="85"/>
    </row>
    <row r="59" spans="1:12" ht="18.75" customHeight="1" x14ac:dyDescent="0.35">
      <c r="A59" s="93" t="s">
        <v>40</v>
      </c>
      <c r="B59" s="112" t="s">
        <v>785</v>
      </c>
      <c r="C59" s="5">
        <f>+IFERROR(VLOOKUP($A59,RAIZ!$A$3:$X$1500,MATCH('Suc. Sanblas'!$F$1,RAIZ!$A$2:$X$2,0),FALSE),0)</f>
        <v>0</v>
      </c>
      <c r="D59" s="7">
        <v>1</v>
      </c>
      <c r="E59" s="5"/>
      <c r="F59" s="5">
        <f t="shared" si="10"/>
        <v>1</v>
      </c>
      <c r="G59" s="5"/>
      <c r="K59" s="86"/>
      <c r="L59" s="85"/>
    </row>
    <row r="60" spans="1:12" ht="18.75" customHeight="1" x14ac:dyDescent="0.35">
      <c r="A60" s="93" t="s">
        <v>41</v>
      </c>
      <c r="B60" s="112" t="s">
        <v>786</v>
      </c>
      <c r="C60" s="5">
        <f>+IFERROR(VLOOKUP($A60,RAIZ!$A$3:$X$1500,MATCH('Suc. Sanblas'!$F$1,RAIZ!$A$2:$X$2,0),FALSE),0)</f>
        <v>1</v>
      </c>
      <c r="D60" s="7">
        <v>1</v>
      </c>
      <c r="E60" s="5"/>
      <c r="F60" s="5">
        <f t="shared" si="10"/>
        <v>0</v>
      </c>
      <c r="G60" s="5"/>
      <c r="K60" s="86"/>
      <c r="L60" s="85"/>
    </row>
    <row r="61" spans="1:12" ht="18.75" customHeight="1" x14ac:dyDescent="0.35">
      <c r="A61" s="101" t="s">
        <v>42</v>
      </c>
      <c r="B61" s="112" t="s">
        <v>787</v>
      </c>
      <c r="C61" s="5">
        <f>+IFERROR(VLOOKUP($A61,RAIZ!$A$3:$X$1500,MATCH('Suc. Sanblas'!$F$1,RAIZ!$A$2:$X$2,0),FALSE),0)</f>
        <v>3</v>
      </c>
      <c r="D61" s="4">
        <v>1</v>
      </c>
      <c r="E61" s="5"/>
      <c r="F61" s="5">
        <f t="shared" si="10"/>
        <v>0</v>
      </c>
      <c r="G61" s="5"/>
      <c r="K61" s="86"/>
      <c r="L61" s="85"/>
    </row>
    <row r="62" spans="1:12" ht="18.75" customHeight="1" x14ac:dyDescent="0.35">
      <c r="A62" s="102" t="s">
        <v>43</v>
      </c>
      <c r="B62" s="112" t="s">
        <v>788</v>
      </c>
      <c r="C62" s="5">
        <f>+IFERROR(VLOOKUP($A62,RAIZ!$A$3:$X$1500,MATCH('Suc. Sanblas'!$F$1,RAIZ!$A$2:$X$2,0),FALSE),0)</f>
        <v>0</v>
      </c>
      <c r="D62" s="7">
        <v>2</v>
      </c>
      <c r="E62" s="5"/>
      <c r="F62" s="5">
        <f t="shared" si="10"/>
        <v>2</v>
      </c>
      <c r="G62" s="5"/>
      <c r="K62" s="86"/>
      <c r="L62" s="85"/>
    </row>
    <row r="63" spans="1:12" ht="18.75" customHeight="1" x14ac:dyDescent="0.35">
      <c r="A63" s="93" t="s">
        <v>44</v>
      </c>
      <c r="B63" s="112" t="s">
        <v>789</v>
      </c>
      <c r="C63" s="5">
        <f>+IFERROR(VLOOKUP($A63,RAIZ!$A$3:$X$1500,MATCH('Suc. Sanblas'!$F$1,RAIZ!$A$2:$X$2,0),FALSE),0)</f>
        <v>1</v>
      </c>
      <c r="D63" s="7">
        <v>1</v>
      </c>
      <c r="E63" s="5"/>
      <c r="F63" s="5">
        <f t="shared" si="10"/>
        <v>0</v>
      </c>
      <c r="G63" s="5"/>
      <c r="K63" s="86"/>
      <c r="L63" s="85"/>
    </row>
    <row r="64" spans="1:12" ht="18.75" customHeight="1" x14ac:dyDescent="0.35">
      <c r="A64" s="93" t="s">
        <v>45</v>
      </c>
      <c r="B64" s="112" t="s">
        <v>790</v>
      </c>
      <c r="C64" s="5">
        <f>+IFERROR(VLOOKUP($A64,RAIZ!$A$3:$X$1500,MATCH('Suc. Sanblas'!$F$1,RAIZ!$A$2:$X$2,0),FALSE),0)</f>
        <v>2</v>
      </c>
      <c r="D64" s="4">
        <v>2</v>
      </c>
      <c r="E64" s="5"/>
      <c r="F64" s="5">
        <f t="shared" si="10"/>
        <v>0</v>
      </c>
      <c r="G64" s="5"/>
      <c r="K64" s="86"/>
      <c r="L64" s="85"/>
    </row>
    <row r="65" spans="1:12" ht="18.75" customHeight="1" x14ac:dyDescent="0.35">
      <c r="A65" s="93" t="s">
        <v>46</v>
      </c>
      <c r="B65" s="112" t="s">
        <v>791</v>
      </c>
      <c r="C65" s="5">
        <f>+IFERROR(VLOOKUP($A65,RAIZ!$A$3:$X$1500,MATCH('Suc. Sanblas'!$F$1,RAIZ!$A$2:$X$2,0),FALSE),0)</f>
        <v>3</v>
      </c>
      <c r="D65" s="7">
        <v>5</v>
      </c>
      <c r="E65" s="5"/>
      <c r="F65" s="5">
        <f t="shared" si="10"/>
        <v>2</v>
      </c>
      <c r="G65" s="5"/>
      <c r="K65" s="86"/>
      <c r="L65" s="85"/>
    </row>
    <row r="66" spans="1:12" ht="18.75" customHeight="1" x14ac:dyDescent="0.35">
      <c r="A66" s="93" t="s">
        <v>48</v>
      </c>
      <c r="B66" s="112" t="s">
        <v>792</v>
      </c>
      <c r="C66" s="5">
        <f>+IFERROR(VLOOKUP($A66,RAIZ!$A$3:$X$1500,MATCH('Suc. Sanblas'!$F$1,RAIZ!$A$2:$X$2,0),FALSE),0)</f>
        <v>0</v>
      </c>
      <c r="D66" s="7">
        <v>1</v>
      </c>
      <c r="E66" s="5"/>
      <c r="F66" s="5">
        <f t="shared" si="10"/>
        <v>1</v>
      </c>
      <c r="G66" s="5"/>
      <c r="K66" s="86"/>
      <c r="L66" s="85"/>
    </row>
    <row r="67" spans="1:12" ht="18.75" customHeight="1" x14ac:dyDescent="0.35">
      <c r="A67" s="93" t="s">
        <v>49</v>
      </c>
      <c r="B67" s="112" t="s">
        <v>793</v>
      </c>
      <c r="C67" s="5">
        <f>+IFERROR(VLOOKUP($A67,RAIZ!$A$3:$X$1500,MATCH('Suc. Sanblas'!$F$1,RAIZ!$A$2:$X$2,0),FALSE),0)</f>
        <v>0</v>
      </c>
      <c r="D67" s="7">
        <v>2</v>
      </c>
      <c r="E67" s="5"/>
      <c r="F67" s="5">
        <f t="shared" si="10"/>
        <v>2</v>
      </c>
      <c r="G67" s="5"/>
      <c r="K67" s="86"/>
      <c r="L67" s="85"/>
    </row>
    <row r="68" spans="1:12" ht="18.75" customHeight="1" x14ac:dyDescent="0.35">
      <c r="A68" s="93" t="s">
        <v>50</v>
      </c>
      <c r="B68" s="112" t="s">
        <v>794</v>
      </c>
      <c r="C68" s="5">
        <f>+IFERROR(VLOOKUP($A68,RAIZ!$A$3:$X$1500,MATCH('Suc. Sanblas'!$F$1,RAIZ!$A$2:$X$2,0),FALSE),0)</f>
        <v>3</v>
      </c>
      <c r="D68" s="4">
        <v>5</v>
      </c>
      <c r="E68" s="5"/>
      <c r="F68" s="5">
        <f t="shared" si="10"/>
        <v>2</v>
      </c>
      <c r="G68" s="5"/>
      <c r="K68" s="86"/>
      <c r="L68" s="85"/>
    </row>
    <row r="69" spans="1:12" ht="18.75" customHeight="1" x14ac:dyDescent="0.35">
      <c r="A69" s="93" t="s">
        <v>51</v>
      </c>
      <c r="B69" s="112" t="s">
        <v>795</v>
      </c>
      <c r="C69" s="5">
        <f>+IFERROR(VLOOKUP($A69,RAIZ!$A$3:$X$1500,MATCH('Suc. Sanblas'!$F$1,RAIZ!$A$2:$X$2,0),FALSE),0)</f>
        <v>0</v>
      </c>
      <c r="D69" s="7">
        <v>1</v>
      </c>
      <c r="E69" s="5"/>
      <c r="F69" s="5">
        <f t="shared" si="10"/>
        <v>1</v>
      </c>
      <c r="G69" s="5"/>
      <c r="K69" s="86"/>
      <c r="L69" s="85"/>
    </row>
    <row r="70" spans="1:12" ht="18.75" customHeight="1" x14ac:dyDescent="0.35">
      <c r="A70" s="93" t="s">
        <v>53</v>
      </c>
      <c r="B70" s="112" t="s">
        <v>796</v>
      </c>
      <c r="C70" s="5">
        <f>+IFERROR(VLOOKUP($A70,RAIZ!$A$3:$X$1500,MATCH('Suc. Sanblas'!$F$1,RAIZ!$A$2:$X$2,0),FALSE),0)</f>
        <v>3</v>
      </c>
      <c r="D70" s="20">
        <v>4</v>
      </c>
      <c r="E70" s="5"/>
      <c r="F70" s="5">
        <f t="shared" si="10"/>
        <v>1</v>
      </c>
      <c r="G70" s="5"/>
      <c r="K70" s="86"/>
      <c r="L70" s="85"/>
    </row>
    <row r="71" spans="1:12" ht="18.75" customHeight="1" x14ac:dyDescent="0.35">
      <c r="A71" s="93" t="s">
        <v>47</v>
      </c>
      <c r="B71" s="112" t="s">
        <v>873</v>
      </c>
      <c r="C71" s="5">
        <f>+IFERROR(VLOOKUP($A71,RAIZ!$A$3:$X$1500,MATCH('Suc. Sanblas'!$F$1,RAIZ!$A$2:$X$2,0),FALSE),0)</f>
        <v>0</v>
      </c>
      <c r="D71" s="20">
        <v>1</v>
      </c>
      <c r="E71" s="5"/>
      <c r="F71" s="5">
        <f t="shared" ref="F71:F77" si="12">IF(D71-C71&gt;=0,D71-C71,0)</f>
        <v>1</v>
      </c>
      <c r="G71" s="5"/>
      <c r="K71" s="86"/>
      <c r="L71" s="85"/>
    </row>
    <row r="72" spans="1:12" ht="18.75" hidden="1" customHeight="1" x14ac:dyDescent="0.35">
      <c r="A72" s="86" t="s">
        <v>1089</v>
      </c>
      <c r="B72" s="112" t="s">
        <v>1090</v>
      </c>
      <c r="C72" s="5">
        <f>+IFERROR(VLOOKUP($A72,RAIZ!$A$3:$X$1500,MATCH('Suc. Sanblas'!$F$1,RAIZ!$A$2:$X$2,0),FALSE),0)</f>
        <v>0</v>
      </c>
      <c r="D72" s="20">
        <v>0</v>
      </c>
      <c r="E72" s="5"/>
      <c r="F72" s="5">
        <f>IF(D72-C72&gt;=0,D72-C72,0)</f>
        <v>0</v>
      </c>
      <c r="G72" s="5"/>
    </row>
    <row r="73" spans="1:12" ht="18.75" customHeight="1" x14ac:dyDescent="0.35">
      <c r="A73" s="93"/>
      <c r="B73" s="112"/>
      <c r="C73" s="5">
        <f>+IFERROR(VLOOKUP($A73,RAIZ!$A$3:$X$1500,MATCH('Suc. Sanblas'!$F$1,RAIZ!$A$2:$X$2,0),FALSE),0)</f>
        <v>0</v>
      </c>
      <c r="D73" s="20"/>
      <c r="E73" s="5"/>
      <c r="F73" s="5">
        <f t="shared" si="12"/>
        <v>0</v>
      </c>
      <c r="G73" s="5"/>
      <c r="K73" s="86"/>
      <c r="L73" s="85"/>
    </row>
    <row r="74" spans="1:12" ht="18.75" customHeight="1" x14ac:dyDescent="0.35">
      <c r="A74" s="93"/>
      <c r="B74" s="112"/>
      <c r="C74" s="5">
        <f>+IFERROR(VLOOKUP($A74,RAIZ!$A$3:$X$1500,MATCH('Suc. Sanblas'!$F$1,RAIZ!$A$2:$X$2,0),FALSE),0)</f>
        <v>0</v>
      </c>
      <c r="D74" s="20"/>
      <c r="E74" s="5"/>
      <c r="F74" s="5">
        <f t="shared" si="12"/>
        <v>0</v>
      </c>
      <c r="G74" s="5"/>
      <c r="K74" s="86"/>
      <c r="L74" s="85"/>
    </row>
    <row r="75" spans="1:12" ht="18.75" customHeight="1" x14ac:dyDescent="0.35">
      <c r="A75" s="93"/>
      <c r="B75" s="112"/>
      <c r="C75" s="5">
        <f>+IFERROR(VLOOKUP($A75,RAIZ!$A$3:$X$1500,MATCH('Suc. Sanblas'!$F$1,RAIZ!$A$2:$X$2,0),FALSE),0)</f>
        <v>0</v>
      </c>
      <c r="D75" s="20"/>
      <c r="E75" s="5"/>
      <c r="F75" s="5">
        <f t="shared" si="12"/>
        <v>0</v>
      </c>
      <c r="G75" s="5"/>
      <c r="K75" s="86"/>
      <c r="L75" s="85"/>
    </row>
    <row r="76" spans="1:12" ht="18.75" customHeight="1" x14ac:dyDescent="0.35">
      <c r="A76" s="93"/>
      <c r="B76" s="112"/>
      <c r="C76" s="5">
        <f>+IFERROR(VLOOKUP($A76,RAIZ!$A$3:$X$1500,MATCH('Suc. Sanblas'!$F$1,RAIZ!$A$2:$X$2,0),FALSE),0)</f>
        <v>0</v>
      </c>
      <c r="D76" s="20"/>
      <c r="E76" s="5"/>
      <c r="F76" s="5">
        <f t="shared" si="12"/>
        <v>0</v>
      </c>
      <c r="G76" s="5"/>
      <c r="K76" s="86"/>
      <c r="L76" s="85"/>
    </row>
    <row r="77" spans="1:12" ht="18.75" customHeight="1" thickBot="1" x14ac:dyDescent="0.4">
      <c r="A77" s="93"/>
      <c r="B77" s="112"/>
      <c r="C77" s="5">
        <f>+IFERROR(VLOOKUP($A77,RAIZ!$A$3:$X$1500,MATCH('Suc. Sanblas'!$F$1,RAIZ!$A$2:$X$2,0),FALSE),0)</f>
        <v>0</v>
      </c>
      <c r="D77" s="20"/>
      <c r="E77" s="5"/>
      <c r="F77" s="5">
        <f t="shared" si="12"/>
        <v>0</v>
      </c>
      <c r="G77" s="5"/>
      <c r="K77" s="86"/>
      <c r="L77" s="85"/>
    </row>
    <row r="78" spans="1:12" ht="18.75" customHeight="1" thickBot="1" x14ac:dyDescent="0.4">
      <c r="A78" s="99" t="s">
        <v>54</v>
      </c>
      <c r="B78" s="111"/>
      <c r="C78" s="77">
        <f>SUM(C56:C77)</f>
        <v>19</v>
      </c>
      <c r="D78" s="48">
        <f>SUM(D56:D77)</f>
        <v>30</v>
      </c>
      <c r="E78" s="48">
        <f>SUM(E56:E77)</f>
        <v>0</v>
      </c>
      <c r="F78" s="65">
        <f>SUM(F56:F77)</f>
        <v>13</v>
      </c>
      <c r="G78" s="48">
        <f>SUM(G56:G77)</f>
        <v>0</v>
      </c>
      <c r="K78" s="86"/>
      <c r="L78" s="85"/>
    </row>
    <row r="79" spans="1:12" ht="18.75" customHeight="1" thickBot="1" x14ac:dyDescent="0.4">
      <c r="A79" s="103" t="s">
        <v>55</v>
      </c>
      <c r="B79" s="111"/>
      <c r="C79" s="79">
        <f>C18+C32+C49+C52+C55+C78</f>
        <v>98</v>
      </c>
      <c r="D79" s="52">
        <f>D18+D32+D49+D52+D55+D78</f>
        <v>132</v>
      </c>
      <c r="E79" s="52">
        <f>E18+E32+E49+E52+E55+E78</f>
        <v>0</v>
      </c>
      <c r="F79" s="67">
        <f>F18+F32+F49+F52+F55+F78</f>
        <v>39</v>
      </c>
      <c r="G79" s="52">
        <f>G18+G32+G49+G52+G55+G78</f>
        <v>0</v>
      </c>
      <c r="K79" s="86"/>
      <c r="L79" s="85"/>
    </row>
    <row r="80" spans="1:12" ht="18.75" customHeight="1" x14ac:dyDescent="0.35">
      <c r="A80" s="104" t="s">
        <v>56</v>
      </c>
      <c r="B80" s="111"/>
      <c r="C80" s="68"/>
      <c r="D80" s="26"/>
      <c r="E80" s="27"/>
      <c r="F80" s="27"/>
      <c r="G80" s="27"/>
      <c r="K80" s="86"/>
      <c r="L80" s="85"/>
    </row>
    <row r="81" spans="1:12" ht="18.75" customHeight="1" x14ac:dyDescent="0.35">
      <c r="A81" s="94" t="s">
        <v>57</v>
      </c>
      <c r="B81" s="112" t="s">
        <v>797</v>
      </c>
      <c r="C81" s="5">
        <f>+IFERROR(VLOOKUP($A81,RAIZ!$A$3:$X$1500,MATCH('Suc. Sanblas'!$F$1,RAIZ!$A$2:$X$2,0),FALSE),0)</f>
        <v>0</v>
      </c>
      <c r="D81" s="4">
        <v>1</v>
      </c>
      <c r="E81" s="5"/>
      <c r="F81" s="5">
        <f t="shared" ref="F81:F85" si="13">IF(D81-C81&gt;=0,D81-C81,0)</f>
        <v>1</v>
      </c>
      <c r="G81" s="5"/>
      <c r="K81" s="86"/>
      <c r="L81" s="85"/>
    </row>
    <row r="82" spans="1:12" ht="18.75" customHeight="1" x14ac:dyDescent="0.35">
      <c r="A82" s="94" t="s">
        <v>58</v>
      </c>
      <c r="B82" s="112" t="s">
        <v>867</v>
      </c>
      <c r="C82" s="5">
        <f>+IFERROR(VLOOKUP($A82,RAIZ!$A$3:$X$1500,MATCH('Suc. Sanblas'!$F$1,RAIZ!$A$2:$X$2,0),FALSE),0)</f>
        <v>0</v>
      </c>
      <c r="D82" s="4">
        <v>1</v>
      </c>
      <c r="E82" s="5"/>
      <c r="F82" s="5">
        <f t="shared" ref="F82" si="14">IF(D82-C82&gt;=0,D82-C82,0)</f>
        <v>1</v>
      </c>
      <c r="G82" s="5"/>
      <c r="K82" s="86"/>
      <c r="L82" s="85"/>
    </row>
    <row r="83" spans="1:12" ht="18.75" customHeight="1" x14ac:dyDescent="0.35">
      <c r="A83" s="94" t="s">
        <v>59</v>
      </c>
      <c r="B83" s="112" t="s">
        <v>798</v>
      </c>
      <c r="C83" s="5">
        <f>+IFERROR(VLOOKUP($A83,RAIZ!$A$3:$X$1500,MATCH('Suc. Sanblas'!$F$1,RAIZ!$A$2:$X$2,0),FALSE),0)</f>
        <v>0</v>
      </c>
      <c r="D83" s="7">
        <v>1</v>
      </c>
      <c r="E83" s="5"/>
      <c r="F83" s="5">
        <f t="shared" si="13"/>
        <v>1</v>
      </c>
      <c r="G83" s="5"/>
    </row>
    <row r="84" spans="1:12" ht="18.75" customHeight="1" x14ac:dyDescent="0.35">
      <c r="A84" s="94" t="s">
        <v>60</v>
      </c>
      <c r="B84" s="112" t="s">
        <v>799</v>
      </c>
      <c r="C84" s="5">
        <f>+IFERROR(VLOOKUP($A84,RAIZ!$A$3:$X$1500,MATCH('Suc. Sanblas'!$F$1,RAIZ!$A$2:$X$2,0),FALSE),0)</f>
        <v>0</v>
      </c>
      <c r="D84" s="7">
        <v>1</v>
      </c>
      <c r="E84" s="5"/>
      <c r="F84" s="5">
        <f t="shared" si="13"/>
        <v>1</v>
      </c>
      <c r="G84" s="5"/>
    </row>
    <row r="85" spans="1:12" ht="18.75" customHeight="1" x14ac:dyDescent="0.35">
      <c r="A85" s="94" t="s">
        <v>61</v>
      </c>
      <c r="B85" s="112" t="s">
        <v>800</v>
      </c>
      <c r="C85" s="5">
        <f>+IFERROR(VLOOKUP($A85,RAIZ!$A$3:$X$1500,MATCH('Suc. Sanblas'!$F$1,RAIZ!$A$2:$X$2,0),FALSE),0)</f>
        <v>0</v>
      </c>
      <c r="D85" s="7">
        <v>2</v>
      </c>
      <c r="E85" s="5"/>
      <c r="F85" s="5">
        <f t="shared" si="13"/>
        <v>2</v>
      </c>
      <c r="G85" s="5"/>
    </row>
    <row r="86" spans="1:12" ht="18.75" customHeight="1" x14ac:dyDescent="0.35">
      <c r="A86" s="94" t="s">
        <v>63</v>
      </c>
      <c r="B86" s="112" t="s">
        <v>801</v>
      </c>
      <c r="C86" s="5">
        <f>+IFERROR(VLOOKUP($A86,RAIZ!$A$3:$X$1500,MATCH('Suc. Sanblas'!$F$1,RAIZ!$A$2:$X$2,0),FALSE),0)</f>
        <v>6</v>
      </c>
      <c r="D86" s="7">
        <v>5</v>
      </c>
      <c r="E86" s="5"/>
      <c r="F86" s="5">
        <f t="shared" ref="F86:F90" si="15">IF(D86-C86&gt;=0,D86-C86,0)</f>
        <v>0</v>
      </c>
      <c r="G86" s="5"/>
    </row>
    <row r="87" spans="1:12" ht="18.75" customHeight="1" x14ac:dyDescent="0.35">
      <c r="A87" s="94"/>
      <c r="B87" s="112" t="s">
        <v>1091</v>
      </c>
      <c r="C87" s="5">
        <f>+IFERROR(VLOOKUP($A87,RAIZ!$A$3:$X$1500,MATCH('Suc. Sanblas'!$F$1,RAIZ!$A$2:$X$2,0),FALSE),0)</f>
        <v>0</v>
      </c>
      <c r="D87" s="20"/>
      <c r="E87" s="5"/>
      <c r="F87" s="5">
        <f>IF(D87-C87&gt;=0,D87-C87,0)</f>
        <v>0</v>
      </c>
      <c r="G87" s="5"/>
    </row>
    <row r="88" spans="1:12" ht="18.75" customHeight="1" x14ac:dyDescent="0.35">
      <c r="A88" s="94"/>
      <c r="B88" s="112" t="s">
        <v>1094</v>
      </c>
      <c r="C88" s="5">
        <f>+IFERROR(VLOOKUP($A88,RAIZ!$A$3:$X$1500,MATCH('Suc. Sanblas'!$F$1,RAIZ!$A$2:$X$2,0),FALSE),0)</f>
        <v>0</v>
      </c>
      <c r="D88" s="7"/>
      <c r="E88" s="5"/>
      <c r="F88" s="5">
        <f t="shared" si="15"/>
        <v>0</v>
      </c>
      <c r="G88" s="5"/>
    </row>
    <row r="89" spans="1:12" ht="18.75" customHeight="1" x14ac:dyDescent="0.35">
      <c r="A89" s="94"/>
      <c r="B89" s="112" t="s">
        <v>1095</v>
      </c>
      <c r="C89" s="5">
        <f>+IFERROR(VLOOKUP($A89,RAIZ!$A$3:$X$1500,MATCH('Suc. Sanblas'!$F$1,RAIZ!$A$2:$X$2,0),FALSE),0)</f>
        <v>0</v>
      </c>
      <c r="D89" s="7"/>
      <c r="E89" s="5"/>
      <c r="F89" s="5">
        <f t="shared" si="15"/>
        <v>0</v>
      </c>
      <c r="G89" s="5"/>
    </row>
    <row r="90" spans="1:12" ht="18.75" customHeight="1" thickBot="1" x14ac:dyDescent="0.4">
      <c r="A90" s="94"/>
      <c r="B90" s="112" t="s">
        <v>1093</v>
      </c>
      <c r="C90" s="5">
        <f>+IFERROR(VLOOKUP($A90,RAIZ!$A$3:$X$1500,MATCH('Suc. Sanblas'!$F$1,RAIZ!$A$2:$X$2,0),FALSE),0)</f>
        <v>0</v>
      </c>
      <c r="D90" s="7"/>
      <c r="E90" s="5"/>
      <c r="F90" s="5">
        <f t="shared" si="15"/>
        <v>0</v>
      </c>
      <c r="G90" s="5"/>
    </row>
    <row r="91" spans="1:12" ht="18.75" customHeight="1" thickBot="1" x14ac:dyDescent="0.4">
      <c r="A91" s="105" t="s">
        <v>55</v>
      </c>
      <c r="B91" s="111"/>
      <c r="C91" s="80">
        <f>SUM(C81:C90)</f>
        <v>6</v>
      </c>
      <c r="D91" s="54">
        <f>SUM(D81:D90)</f>
        <v>11</v>
      </c>
      <c r="E91" s="54">
        <f>SUM(E81:E90)</f>
        <v>0</v>
      </c>
      <c r="F91" s="69">
        <f>SUM(F81:F90)</f>
        <v>6</v>
      </c>
      <c r="G91" s="54">
        <f>SUM(G81:G90)</f>
        <v>0</v>
      </c>
    </row>
    <row r="92" spans="1:12" ht="18.75" customHeight="1" x14ac:dyDescent="0.35">
      <c r="A92" s="106" t="s">
        <v>64</v>
      </c>
      <c r="B92" s="111"/>
      <c r="C92" s="70"/>
      <c r="D92" s="30"/>
      <c r="E92" s="31"/>
      <c r="F92" s="31"/>
      <c r="G92" s="31"/>
    </row>
    <row r="93" spans="1:12" ht="18.75" customHeight="1" x14ac:dyDescent="0.35">
      <c r="A93" s="94" t="s">
        <v>65</v>
      </c>
      <c r="B93" s="112" t="s">
        <v>802</v>
      </c>
      <c r="C93" s="5">
        <f>+IFERROR(VLOOKUP($A93,RAIZ!$A$3:$X$1500,MATCH('Suc. Sanblas'!$F$1,RAIZ!$A$2:$X$2,0),FALSE),0)</f>
        <v>0</v>
      </c>
      <c r="D93" s="4">
        <v>0</v>
      </c>
      <c r="E93" s="5"/>
      <c r="F93" s="5">
        <f t="shared" ref="F93:F104" si="16">IF(D93-C93&gt;=0,D93-C93,0)</f>
        <v>0</v>
      </c>
      <c r="G93" s="5"/>
    </row>
    <row r="94" spans="1:12" ht="18.75" customHeight="1" x14ac:dyDescent="0.35">
      <c r="A94" s="94" t="s">
        <v>66</v>
      </c>
      <c r="B94" s="112" t="s">
        <v>803</v>
      </c>
      <c r="C94" s="5">
        <f>+IFERROR(VLOOKUP($A94,RAIZ!$A$3:$X$1500,MATCH('Suc. Sanblas'!$F$1,RAIZ!$A$2:$X$2,0),FALSE),0)</f>
        <v>0</v>
      </c>
      <c r="D94" s="7">
        <v>0</v>
      </c>
      <c r="E94" s="5"/>
      <c r="F94" s="5">
        <f t="shared" si="16"/>
        <v>0</v>
      </c>
      <c r="G94" s="5"/>
    </row>
    <row r="95" spans="1:12" ht="18.75" customHeight="1" x14ac:dyDescent="0.35">
      <c r="A95" s="94" t="s">
        <v>68</v>
      </c>
      <c r="B95" s="112" t="s">
        <v>805</v>
      </c>
      <c r="C95" s="5">
        <f>+IFERROR(VLOOKUP($A95,RAIZ!$A$3:$X$1500,MATCH('Suc. Sanblas'!$F$1,RAIZ!$A$2:$X$2,0),FALSE),0)</f>
        <v>0</v>
      </c>
      <c r="D95" s="7">
        <v>1</v>
      </c>
      <c r="E95" s="5"/>
      <c r="F95" s="5">
        <f t="shared" si="16"/>
        <v>1</v>
      </c>
      <c r="G95" s="5"/>
    </row>
    <row r="96" spans="1:12" ht="18.75" customHeight="1" x14ac:dyDescent="0.35">
      <c r="A96" s="94" t="s">
        <v>69</v>
      </c>
      <c r="B96" s="112" t="s">
        <v>806</v>
      </c>
      <c r="C96" s="5">
        <f>+IFERROR(VLOOKUP($A96,RAIZ!$A$3:$X$1500,MATCH('Suc. Sanblas'!$F$1,RAIZ!$A$2:$X$2,0),FALSE),0)</f>
        <v>8</v>
      </c>
      <c r="D96" s="7">
        <v>10</v>
      </c>
      <c r="E96" s="5"/>
      <c r="F96" s="5">
        <f t="shared" si="16"/>
        <v>2</v>
      </c>
      <c r="G96" s="5"/>
    </row>
    <row r="97" spans="1:7" ht="18.75" customHeight="1" x14ac:dyDescent="0.35">
      <c r="A97" s="94" t="s">
        <v>70</v>
      </c>
      <c r="B97" s="112" t="s">
        <v>807</v>
      </c>
      <c r="C97" s="5">
        <f>+IFERROR(VLOOKUP($A97,RAIZ!$A$3:$X$1500,MATCH('Suc. Sanblas'!$F$1,RAIZ!$A$2:$X$2,0),FALSE),0)</f>
        <v>8</v>
      </c>
      <c r="D97" s="7">
        <v>10</v>
      </c>
      <c r="E97" s="5"/>
      <c r="F97" s="5">
        <f t="shared" si="16"/>
        <v>2</v>
      </c>
      <c r="G97" s="5"/>
    </row>
    <row r="98" spans="1:7" ht="18.75" customHeight="1" x14ac:dyDescent="0.35">
      <c r="A98" s="94" t="s">
        <v>857</v>
      </c>
      <c r="B98" s="112" t="s">
        <v>808</v>
      </c>
      <c r="C98" s="5">
        <f>+IFERROR(VLOOKUP($A98,RAIZ!$A$3:$X$1500,MATCH('Suc. Sanblas'!$F$1,RAIZ!$A$2:$X$2,0),FALSE),0)</f>
        <v>5</v>
      </c>
      <c r="D98" s="7">
        <v>3</v>
      </c>
      <c r="E98" s="201">
        <v>5</v>
      </c>
      <c r="F98" s="5">
        <f t="shared" si="16"/>
        <v>0</v>
      </c>
      <c r="G98" s="5"/>
    </row>
    <row r="99" spans="1:7" ht="18.75" customHeight="1" x14ac:dyDescent="0.35">
      <c r="A99" s="94" t="s">
        <v>835</v>
      </c>
      <c r="B99" s="112" t="s">
        <v>836</v>
      </c>
      <c r="C99" s="5">
        <f>+IFERROR(VLOOKUP($A99,RAIZ!$A$3:$X$1500,MATCH('Suc. Sanblas'!$F$1,RAIZ!$A$2:$X$2,0),FALSE),0)</f>
        <v>0</v>
      </c>
      <c r="D99" s="7">
        <v>2</v>
      </c>
      <c r="E99" s="5"/>
      <c r="F99" s="5">
        <f t="shared" ref="F99:F103" si="17">IF(D99-C99&gt;=0,D99-C99,0)</f>
        <v>2</v>
      </c>
      <c r="G99" s="5"/>
    </row>
    <row r="100" spans="1:7" ht="18.75" customHeight="1" x14ac:dyDescent="0.35">
      <c r="A100" s="94" t="s">
        <v>72</v>
      </c>
      <c r="B100" s="112" t="s">
        <v>834</v>
      </c>
      <c r="C100" s="5">
        <f>+IFERROR(VLOOKUP($A100,RAIZ!$A$3:$X$1500,MATCH('Suc. Sanblas'!$F$1,RAIZ!$A$2:$X$2,0),FALSE),0)</f>
        <v>20</v>
      </c>
      <c r="D100" s="7">
        <v>30</v>
      </c>
      <c r="E100" s="5"/>
      <c r="F100" s="5">
        <f t="shared" si="17"/>
        <v>10</v>
      </c>
      <c r="G100" s="5"/>
    </row>
    <row r="101" spans="1:7" ht="18.75" customHeight="1" x14ac:dyDescent="0.35">
      <c r="A101" s="94" t="s">
        <v>73</v>
      </c>
      <c r="B101" s="112" t="s">
        <v>809</v>
      </c>
      <c r="C101" s="5">
        <f>+IFERROR(VLOOKUP($A101,RAIZ!$A$3:$X$1500,MATCH('Suc. Sanblas'!$F$1,RAIZ!$A$2:$X$2,0),FALSE),0)</f>
        <v>0</v>
      </c>
      <c r="D101" s="7">
        <v>0</v>
      </c>
      <c r="E101" s="5"/>
      <c r="F101" s="5">
        <f t="shared" si="17"/>
        <v>0</v>
      </c>
      <c r="G101" s="5"/>
    </row>
    <row r="102" spans="1:7" ht="18.75" customHeight="1" thickBot="1" x14ac:dyDescent="0.4">
      <c r="A102" s="94" t="s">
        <v>74</v>
      </c>
      <c r="B102" s="112" t="s">
        <v>810</v>
      </c>
      <c r="C102" s="5">
        <f>+IFERROR(VLOOKUP($A102,RAIZ!$A$3:$X$1500,MATCH('Suc. Sanblas'!$F$1,RAIZ!$A$2:$X$2,0),FALSE),0)</f>
        <v>1</v>
      </c>
      <c r="D102" s="7">
        <v>2</v>
      </c>
      <c r="E102" s="5"/>
      <c r="F102" s="5">
        <f t="shared" si="17"/>
        <v>1</v>
      </c>
      <c r="G102" s="5"/>
    </row>
    <row r="103" spans="1:7" ht="18.75" customHeight="1" thickBot="1" x14ac:dyDescent="0.4">
      <c r="A103" s="94" t="s">
        <v>75</v>
      </c>
      <c r="B103" s="112" t="s">
        <v>811</v>
      </c>
      <c r="C103" s="149">
        <f>+IFERROR(VLOOKUP($A103,RAIZ!$A$3:$X$1500,MATCH('Suc. Sanblas'!$F$1,RAIZ!$A$2:$X$2,0),FALSE),0)</f>
        <v>2</v>
      </c>
      <c r="D103" s="160">
        <v>3</v>
      </c>
      <c r="E103" s="154" t="s">
        <v>963</v>
      </c>
      <c r="F103" s="5">
        <f t="shared" si="17"/>
        <v>1</v>
      </c>
      <c r="G103" s="5"/>
    </row>
    <row r="104" spans="1:7" ht="18.75" customHeight="1" thickBot="1" x14ac:dyDescent="0.4">
      <c r="A104" s="94"/>
      <c r="B104" s="112" t="s">
        <v>1096</v>
      </c>
      <c r="C104" s="5">
        <f>+IFERROR(VLOOKUP($A104,RAIZ!$A$3:$X$1500,MATCH('Suc. Sanblas'!$F$1,RAIZ!$A$2:$X$2,0),FALSE),0)</f>
        <v>0</v>
      </c>
      <c r="D104" s="7"/>
      <c r="E104" s="5"/>
      <c r="F104" s="5">
        <f t="shared" si="16"/>
        <v>0</v>
      </c>
      <c r="G104" s="5"/>
    </row>
    <row r="105" spans="1:7" ht="18.75" customHeight="1" thickBot="1" x14ac:dyDescent="0.4">
      <c r="A105" s="107" t="s">
        <v>55</v>
      </c>
      <c r="B105" s="111"/>
      <c r="C105" s="81">
        <f>SUM(C93:C104)</f>
        <v>44</v>
      </c>
      <c r="D105" s="56">
        <f>SUM(D93:D104)</f>
        <v>61</v>
      </c>
      <c r="E105" s="56">
        <f>SUM(E93:E104)</f>
        <v>5</v>
      </c>
      <c r="F105" s="71">
        <f>SUM(F93:F104)</f>
        <v>19</v>
      </c>
      <c r="G105" s="56">
        <f>SUM(G93:G104)</f>
        <v>0</v>
      </c>
    </row>
    <row r="106" spans="1:7" ht="18.75" customHeight="1" x14ac:dyDescent="0.35">
      <c r="A106" s="108" t="s">
        <v>76</v>
      </c>
      <c r="B106" s="111"/>
      <c r="C106" s="72"/>
      <c r="D106" s="34"/>
      <c r="E106" s="35"/>
      <c r="F106" s="35"/>
      <c r="G106" s="35"/>
    </row>
    <row r="107" spans="1:7" ht="18.75" customHeight="1" x14ac:dyDescent="0.35">
      <c r="A107" s="94" t="s">
        <v>77</v>
      </c>
      <c r="B107" s="112" t="s">
        <v>812</v>
      </c>
      <c r="C107" s="5">
        <f>+IFERROR(VLOOKUP($A107,RAIZ!$A$3:$X$1500,MATCH('Suc. Sanblas'!$F$1,RAIZ!$A$2:$X$2,0),FALSE),0)</f>
        <v>1</v>
      </c>
      <c r="D107" s="7">
        <v>1</v>
      </c>
      <c r="E107" s="5"/>
      <c r="F107" s="5">
        <f t="shared" ref="F107:F112" si="18">IF(D107-C107&gt;=0,D107-C107,0)</f>
        <v>0</v>
      </c>
      <c r="G107" s="5"/>
    </row>
    <row r="108" spans="1:7" ht="18.75" customHeight="1" x14ac:dyDescent="0.35">
      <c r="A108" s="94" t="s">
        <v>621</v>
      </c>
      <c r="B108" s="112" t="s">
        <v>813</v>
      </c>
      <c r="C108" s="5">
        <f>+IFERROR(VLOOKUP($A108,RAIZ!$A$3:$X$1500,MATCH('Suc. Sanblas'!$F$1,RAIZ!$A$2:$X$2,0),FALSE),0)</f>
        <v>0</v>
      </c>
      <c r="D108" s="7">
        <v>0</v>
      </c>
      <c r="E108" s="5"/>
      <c r="F108" s="5">
        <f t="shared" si="18"/>
        <v>0</v>
      </c>
      <c r="G108" s="5"/>
    </row>
    <row r="109" spans="1:7" ht="18.75" customHeight="1" x14ac:dyDescent="0.35">
      <c r="A109" s="94" t="s">
        <v>80</v>
      </c>
      <c r="B109" s="112" t="s">
        <v>815</v>
      </c>
      <c r="C109" s="5">
        <f>+IFERROR(VLOOKUP($A109,RAIZ!$A$3:$X$1500,MATCH('Suc. Sanblas'!$F$1,RAIZ!$A$2:$X$2,0),FALSE),0)</f>
        <v>3</v>
      </c>
      <c r="D109" s="7">
        <v>10</v>
      </c>
      <c r="E109" s="5"/>
      <c r="F109" s="5">
        <f t="shared" si="18"/>
        <v>7</v>
      </c>
      <c r="G109" s="5"/>
    </row>
    <row r="110" spans="1:7" ht="18.75" customHeight="1" x14ac:dyDescent="0.35">
      <c r="A110" s="94" t="s">
        <v>81</v>
      </c>
      <c r="B110" s="112" t="s">
        <v>816</v>
      </c>
      <c r="C110" s="5">
        <f>+IFERROR(VLOOKUP($A110,RAIZ!$A$3:$X$1500,MATCH('Suc. Sanblas'!$F$1,RAIZ!$A$2:$X$2,0),FALSE),0)</f>
        <v>2</v>
      </c>
      <c r="D110" s="7">
        <v>10</v>
      </c>
      <c r="E110" s="5"/>
      <c r="F110" s="5">
        <f t="shared" si="18"/>
        <v>8</v>
      </c>
      <c r="G110" s="5"/>
    </row>
    <row r="111" spans="1:7" ht="18.75" customHeight="1" x14ac:dyDescent="0.35">
      <c r="A111" s="95" t="s">
        <v>83</v>
      </c>
      <c r="B111" s="112" t="s">
        <v>818</v>
      </c>
      <c r="C111" s="5">
        <f>+IFERROR(VLOOKUP($A111,RAIZ!$A$3:$X$1500,MATCH('Suc. Sanblas'!$F$1,RAIZ!$A$2:$X$2,0),FALSE),0)</f>
        <v>0</v>
      </c>
      <c r="D111" s="20">
        <v>2</v>
      </c>
      <c r="E111" s="5"/>
      <c r="F111" s="5">
        <f t="shared" si="18"/>
        <v>2</v>
      </c>
      <c r="G111" s="5"/>
    </row>
    <row r="112" spans="1:7" ht="18.75" customHeight="1" thickBot="1" x14ac:dyDescent="0.4">
      <c r="A112" s="95"/>
      <c r="B112" s="112"/>
      <c r="C112" s="5">
        <f>+IFERROR(VLOOKUP($A112,RAIZ!$A$3:$X$1500,MATCH('Suc. Sanblas'!$F$1,RAIZ!$A$2:$X$2,0),FALSE),0)</f>
        <v>0</v>
      </c>
      <c r="D112" s="20"/>
      <c r="E112" s="5"/>
      <c r="F112" s="5">
        <f t="shared" si="18"/>
        <v>0</v>
      </c>
      <c r="G112" s="5"/>
    </row>
    <row r="113" spans="1:7" ht="18.75" customHeight="1" thickBot="1" x14ac:dyDescent="0.4">
      <c r="A113" s="109" t="s">
        <v>55</v>
      </c>
      <c r="B113" s="111"/>
      <c r="C113" s="82">
        <f>SUM(C107:C112,C114:C116)</f>
        <v>11</v>
      </c>
      <c r="D113" s="58">
        <f>SUM(D107:D112,D114:D116)</f>
        <v>31</v>
      </c>
      <c r="E113" s="58">
        <f>SUM(E107:E112,E114:E116)</f>
        <v>0</v>
      </c>
      <c r="F113" s="73">
        <f>SUM(F107:F112,F114:F116)</f>
        <v>20</v>
      </c>
      <c r="G113" s="58">
        <f>SUM(G107:G112,G114:G116)</f>
        <v>0</v>
      </c>
    </row>
    <row r="114" spans="1:7" ht="18.75" customHeight="1" x14ac:dyDescent="0.35">
      <c r="A114" s="93" t="s">
        <v>84</v>
      </c>
      <c r="B114" s="112" t="s">
        <v>819</v>
      </c>
      <c r="C114" s="5">
        <f>+IFERROR(VLOOKUP($A114,RAIZ!$A$3:$X$1500,MATCH('Suc. Sanblas'!$F$1,RAIZ!$A$2:$X$2,0),FALSE),0)</f>
        <v>1</v>
      </c>
      <c r="D114" s="4">
        <v>3</v>
      </c>
      <c r="E114" s="5"/>
      <c r="F114" s="5">
        <f t="shared" ref="F114" si="19">IF(D114-C114&gt;=0,D114-C114,0)</f>
        <v>2</v>
      </c>
      <c r="G114" s="5"/>
    </row>
    <row r="115" spans="1:7" ht="18.75" customHeight="1" x14ac:dyDescent="0.35">
      <c r="A115" s="95" t="s">
        <v>85</v>
      </c>
      <c r="B115" s="112" t="s">
        <v>820</v>
      </c>
      <c r="C115" s="5">
        <f>+IFERROR(VLOOKUP($A115,RAIZ!$A$3:$X$1500,MATCH('Suc. Sanblas'!$F$1,RAIZ!$A$2:$X$2,0),FALSE),0)</f>
        <v>2</v>
      </c>
      <c r="D115" s="20">
        <v>3</v>
      </c>
      <c r="E115" s="5"/>
      <c r="F115" s="5">
        <f t="shared" ref="F115:F141" si="20">IF(D115-C115&gt;=0,D115-C115,0)</f>
        <v>1</v>
      </c>
      <c r="G115" s="5"/>
    </row>
    <row r="116" spans="1:7" ht="18.75" customHeight="1" thickBot="1" x14ac:dyDescent="0.4">
      <c r="A116" s="95" t="s">
        <v>881</v>
      </c>
      <c r="B116" s="112" t="s">
        <v>882</v>
      </c>
      <c r="C116" s="5">
        <f>+IFERROR(VLOOKUP($A116,RAIZ!$A$3:$X$1500,MATCH('Suc. Sanblas'!$F$1,RAIZ!$A$2:$X$2,0),FALSE),0)</f>
        <v>2</v>
      </c>
      <c r="D116" s="20">
        <v>2</v>
      </c>
      <c r="E116" s="5"/>
      <c r="F116" s="5">
        <f t="shared" si="20"/>
        <v>0</v>
      </c>
      <c r="G116" s="5"/>
    </row>
    <row r="117" spans="1:7" ht="18.75" customHeight="1" thickBot="1" x14ac:dyDescent="0.4">
      <c r="A117" s="110" t="s">
        <v>86</v>
      </c>
      <c r="B117" s="111"/>
      <c r="C117" s="83">
        <f>C79+C91+C105+C113</f>
        <v>159</v>
      </c>
      <c r="D117" s="60">
        <f>D79+D91+D105+D113</f>
        <v>235</v>
      </c>
      <c r="E117" s="60">
        <f>E79+E91+E105+E113</f>
        <v>5</v>
      </c>
      <c r="F117" s="74">
        <f>F79+F91+F105+F113</f>
        <v>84</v>
      </c>
      <c r="G117" s="60">
        <f>G79+G91+G105+G113</f>
        <v>0</v>
      </c>
    </row>
    <row r="118" spans="1:7" ht="18.75" customHeight="1" x14ac:dyDescent="0.35">
      <c r="A118" s="95" t="s">
        <v>975</v>
      </c>
      <c r="B118" s="112" t="s">
        <v>976</v>
      </c>
      <c r="C118" s="5">
        <f>+IFERROR(VLOOKUP($A118,RAIZ!$A$3:$X$1500,MATCH('Suc. Sanblas'!$F$1,RAIZ!$A$2:$X$2,0),FALSE),0)</f>
        <v>3</v>
      </c>
      <c r="D118" s="20">
        <v>3</v>
      </c>
      <c r="E118" s="5"/>
      <c r="F118" s="5">
        <f>IF(D118-C118&gt;=0,D118-C118,0)</f>
        <v>0</v>
      </c>
      <c r="G118" s="5"/>
    </row>
    <row r="119" spans="1:7" ht="18.75" customHeight="1" x14ac:dyDescent="0.35">
      <c r="A119" s="95" t="s">
        <v>974</v>
      </c>
      <c r="B119" s="112" t="s">
        <v>977</v>
      </c>
      <c r="C119" s="5">
        <f>+IFERROR(VLOOKUP($A119,RAIZ!$A$3:$X$1500,MATCH('Suc. Sanblas'!$F$1,RAIZ!$A$2:$X$2,0),FALSE),0)</f>
        <v>3</v>
      </c>
      <c r="D119" s="20">
        <v>3</v>
      </c>
      <c r="E119" s="5"/>
      <c r="F119" s="5">
        <f t="shared" si="20"/>
        <v>0</v>
      </c>
      <c r="G119" s="5"/>
    </row>
    <row r="120" spans="1:7" ht="18.75" customHeight="1" thickBot="1" x14ac:dyDescent="0.4">
      <c r="A120" s="95" t="s">
        <v>1077</v>
      </c>
      <c r="B120" s="112" t="s">
        <v>817</v>
      </c>
      <c r="C120" s="5">
        <f>+IFERROR(VLOOKUP($A120,RAIZ!$A$3:$X$1500,MATCH('Suc. Sanblas'!$F$1,RAIZ!$A$2:$X$2,0),FALSE),0)</f>
        <v>0</v>
      </c>
      <c r="D120" s="20"/>
      <c r="E120" s="5"/>
      <c r="F120" s="5">
        <f t="shared" si="20"/>
        <v>0</v>
      </c>
      <c r="G120" s="5"/>
    </row>
    <row r="121" spans="1:7" ht="18.75" customHeight="1" thickBot="1" x14ac:dyDescent="0.4">
      <c r="A121" s="95" t="s">
        <v>1076</v>
      </c>
      <c r="B121" s="194" t="s">
        <v>1121</v>
      </c>
      <c r="C121" s="5">
        <f>+IFERROR(VLOOKUP($A121,RAIZ!$A$3:$X$1500,MATCH('Suc. Sanblas'!$F$1,RAIZ!$A$2:$X$2,0),FALSE),0)</f>
        <v>0</v>
      </c>
      <c r="D121" s="20">
        <v>1</v>
      </c>
      <c r="E121" s="5"/>
      <c r="F121" s="5">
        <f t="shared" si="20"/>
        <v>1</v>
      </c>
      <c r="G121" s="5"/>
    </row>
    <row r="122" spans="1:7" ht="18.75" customHeight="1" thickBot="1" x14ac:dyDescent="0.4">
      <c r="A122" s="95" t="s">
        <v>1014</v>
      </c>
      <c r="B122" s="194" t="s">
        <v>1010</v>
      </c>
      <c r="C122" s="5">
        <f>+IFERROR(VLOOKUP($A122,RAIZ!$A$3:$X$1500,MATCH('Suc. Sanblas'!$F$1,RAIZ!$A$2:$X$2,0),FALSE),0)</f>
        <v>0</v>
      </c>
      <c r="D122" s="20">
        <v>5</v>
      </c>
      <c r="E122" s="5"/>
      <c r="F122" s="5">
        <f t="shared" si="20"/>
        <v>5</v>
      </c>
      <c r="G122" s="5"/>
    </row>
    <row r="123" spans="1:7" ht="18.75" customHeight="1" thickBot="1" x14ac:dyDescent="0.4">
      <c r="A123" s="95" t="s">
        <v>1015</v>
      </c>
      <c r="B123" s="194" t="s">
        <v>1011</v>
      </c>
      <c r="C123" s="147">
        <f>+IFERROR(VLOOKUP($A123,RAIZ!$A$3:$X$1500,MATCH('Suc. Sanblas'!$F$1,RAIZ!$A$2:$X$2,0),FALSE),0)</f>
        <v>0</v>
      </c>
      <c r="D123" s="20">
        <v>5</v>
      </c>
      <c r="E123" s="5"/>
      <c r="F123" s="5">
        <f t="shared" si="20"/>
        <v>5</v>
      </c>
      <c r="G123" s="5"/>
    </row>
    <row r="124" spans="1:7" ht="18.75" customHeight="1" thickBot="1" x14ac:dyDescent="0.4">
      <c r="A124" s="95" t="s">
        <v>1016</v>
      </c>
      <c r="B124" s="194" t="s">
        <v>1012</v>
      </c>
      <c r="C124" s="147">
        <f>+IFERROR(VLOOKUP($A124,RAIZ!$A$3:$X$1500,MATCH('Suc. Sanblas'!$F$1,RAIZ!$A$2:$X$2,0),FALSE),0)</f>
        <v>0</v>
      </c>
      <c r="D124" s="20">
        <v>5</v>
      </c>
      <c r="E124" s="5"/>
      <c r="F124" s="5">
        <f t="shared" si="20"/>
        <v>5</v>
      </c>
      <c r="G124" s="5"/>
    </row>
    <row r="125" spans="1:7" ht="18.75" customHeight="1" thickBot="1" x14ac:dyDescent="0.4">
      <c r="A125" s="95" t="s">
        <v>1017</v>
      </c>
      <c r="B125" s="194" t="s">
        <v>1013</v>
      </c>
      <c r="C125" s="147">
        <f>+IFERROR(VLOOKUP($A125,RAIZ!$A$3:$X$1500,MATCH('Suc. Sanblas'!$F$1,RAIZ!$A$2:$X$2,0),FALSE),0)</f>
        <v>0</v>
      </c>
      <c r="D125" s="18">
        <v>5</v>
      </c>
      <c r="E125" s="5"/>
      <c r="F125" s="5">
        <f t="shared" si="20"/>
        <v>5</v>
      </c>
      <c r="G125" s="5"/>
    </row>
    <row r="126" spans="1:7" ht="18.75" customHeight="1" thickBot="1" x14ac:dyDescent="0.4">
      <c r="A126" s="95" t="s">
        <v>1125</v>
      </c>
      <c r="B126" s="194" t="s">
        <v>1127</v>
      </c>
      <c r="C126" s="147">
        <f>+IFERROR(VLOOKUP($A126,RAIZ!$A$3:$X$1500,MATCH('Suc. Sanblas'!$F$1,RAIZ!$A$2:$X$2,0),FALSE),0)</f>
        <v>1</v>
      </c>
      <c r="D126" s="20"/>
      <c r="E126" s="5"/>
      <c r="F126" s="5">
        <f t="shared" si="20"/>
        <v>0</v>
      </c>
      <c r="G126" s="5"/>
    </row>
    <row r="127" spans="1:7" ht="18.75" customHeight="1" thickBot="1" x14ac:dyDescent="0.4">
      <c r="A127" s="95" t="s">
        <v>1126</v>
      </c>
      <c r="B127" s="194" t="s">
        <v>1128</v>
      </c>
      <c r="C127" s="147">
        <f>+IFERROR(VLOOKUP($A127,RAIZ!$A$3:$X$1500,MATCH('Suc. Sanblas'!$F$1,RAIZ!$A$2:$X$2,0),FALSE),0)</f>
        <v>0</v>
      </c>
      <c r="D127" s="18"/>
      <c r="E127" s="184"/>
      <c r="F127" s="184">
        <f t="shared" si="20"/>
        <v>0</v>
      </c>
      <c r="G127" s="181"/>
    </row>
    <row r="128" spans="1:7" ht="18.75" customHeight="1" thickBot="1" x14ac:dyDescent="0.4">
      <c r="A128" s="95" t="s">
        <v>568</v>
      </c>
      <c r="B128" s="194" t="s">
        <v>1131</v>
      </c>
      <c r="C128" s="186">
        <f>+IFERROR(VLOOKUP($A128,RAIZ!$A$3:$X$1500,MATCH('Suc. Sanblas'!$F$1,RAIZ!$A$2:$X$2,0),FALSE),0)</f>
        <v>3</v>
      </c>
      <c r="D128" s="18">
        <v>3</v>
      </c>
      <c r="E128" s="185"/>
      <c r="F128" s="185">
        <f t="shared" si="20"/>
        <v>0</v>
      </c>
      <c r="G128" s="185"/>
    </row>
    <row r="129" spans="1:7" ht="18.75" customHeight="1" thickBot="1" x14ac:dyDescent="0.4">
      <c r="A129" s="95" t="s">
        <v>565</v>
      </c>
      <c r="B129" s="194" t="s">
        <v>1142</v>
      </c>
      <c r="C129" s="187">
        <f>+IFERROR(VLOOKUP($A129,RAIZ!$A$3:$X$1500,MATCH('Suc. Sanblas'!$F$1,RAIZ!$A$2:$X$2,0),FALSE),0)</f>
        <v>1</v>
      </c>
      <c r="D129" s="18">
        <v>2</v>
      </c>
      <c r="E129" s="185"/>
      <c r="F129" s="185">
        <f t="shared" si="20"/>
        <v>1</v>
      </c>
      <c r="G129" s="185"/>
    </row>
    <row r="130" spans="1:7" ht="18.75" customHeight="1" thickBot="1" x14ac:dyDescent="0.4">
      <c r="A130" s="95" t="s">
        <v>912</v>
      </c>
      <c r="B130" s="194" t="s">
        <v>1136</v>
      </c>
      <c r="C130" s="187">
        <f>+IFERROR(VLOOKUP($A130,RAIZ!$A$3:$X$1500,MATCH('Suc. Sanblas'!$F$1,RAIZ!$A$2:$X$2,0),FALSE),0)</f>
        <v>0</v>
      </c>
      <c r="D130" s="18">
        <v>2</v>
      </c>
      <c r="E130" s="185"/>
      <c r="F130" s="185">
        <f t="shared" si="20"/>
        <v>2</v>
      </c>
      <c r="G130" s="185"/>
    </row>
    <row r="131" spans="1:7" ht="18.75" customHeight="1" thickBot="1" x14ac:dyDescent="0.4">
      <c r="A131" s="95" t="s">
        <v>557</v>
      </c>
      <c r="B131" s="194" t="s">
        <v>1137</v>
      </c>
      <c r="C131" s="187">
        <f>+IFERROR(VLOOKUP($A131,RAIZ!$A$3:$X$1500,MATCH('Suc. Sanblas'!$F$1,RAIZ!$A$2:$X$2,0),FALSE),0)</f>
        <v>0</v>
      </c>
      <c r="D131" s="18">
        <v>2</v>
      </c>
      <c r="E131" s="185"/>
      <c r="F131" s="185">
        <f t="shared" si="20"/>
        <v>2</v>
      </c>
      <c r="G131" s="185"/>
    </row>
    <row r="132" spans="1:7" ht="18.75" customHeight="1" thickBot="1" x14ac:dyDescent="0.4">
      <c r="A132" s="95" t="s">
        <v>573</v>
      </c>
      <c r="B132" s="194" t="s">
        <v>1138</v>
      </c>
      <c r="C132" s="187">
        <f>+IFERROR(VLOOKUP($A132,RAIZ!$A$3:$X$1500,MATCH('Suc. Sanblas'!$F$1,RAIZ!$A$2:$X$2,0),FALSE),0)</f>
        <v>1</v>
      </c>
      <c r="D132" s="18">
        <v>1</v>
      </c>
      <c r="E132" s="185"/>
      <c r="F132" s="185">
        <f t="shared" si="20"/>
        <v>0</v>
      </c>
      <c r="G132" s="185"/>
    </row>
    <row r="133" spans="1:7" ht="18.75" customHeight="1" thickBot="1" x14ac:dyDescent="0.4">
      <c r="A133" s="95" t="s">
        <v>421</v>
      </c>
      <c r="B133" s="194" t="s">
        <v>1140</v>
      </c>
      <c r="C133" s="187">
        <f>+IFERROR(VLOOKUP($A133,RAIZ!$A$3:$X$1500,MATCH('Suc. Sanblas'!$F$1,RAIZ!$A$2:$X$2,0),FALSE),0)</f>
        <v>2</v>
      </c>
      <c r="D133" s="18">
        <v>2</v>
      </c>
      <c r="E133" s="185"/>
      <c r="F133" s="185">
        <f t="shared" si="20"/>
        <v>0</v>
      </c>
      <c r="G133" s="185"/>
    </row>
    <row r="134" spans="1:7" ht="18.75" customHeight="1" thickBot="1" x14ac:dyDescent="0.4">
      <c r="A134" s="95" t="s">
        <v>249</v>
      </c>
      <c r="B134" s="194" t="s">
        <v>1134</v>
      </c>
      <c r="C134" s="187">
        <f>+IFERROR(VLOOKUP($A134,RAIZ!$A$3:$X$1500,MATCH('Suc. Sanblas'!$F$1,RAIZ!$A$2:$X$2,0),FALSE),0)</f>
        <v>0</v>
      </c>
      <c r="D134" s="18">
        <v>2</v>
      </c>
      <c r="E134" s="185"/>
      <c r="F134" s="185">
        <f t="shared" si="20"/>
        <v>2</v>
      </c>
      <c r="G134" s="185"/>
    </row>
    <row r="135" spans="1:7" ht="18.75" customHeight="1" thickBot="1" x14ac:dyDescent="0.4">
      <c r="A135" s="95" t="s">
        <v>1030</v>
      </c>
      <c r="B135" s="194" t="s">
        <v>1143</v>
      </c>
      <c r="C135" s="187">
        <f>+IFERROR(VLOOKUP($A135,RAIZ!$A$3:$X$1500,MATCH('Suc. Sanblas'!$F$1,RAIZ!$A$2:$X$2,0),FALSE),0)</f>
        <v>3</v>
      </c>
      <c r="D135" s="18">
        <v>6</v>
      </c>
      <c r="E135" s="185"/>
      <c r="F135" s="185">
        <f t="shared" si="20"/>
        <v>3</v>
      </c>
      <c r="G135" s="185"/>
    </row>
    <row r="136" spans="1:7" ht="18.75" customHeight="1" thickBot="1" x14ac:dyDescent="0.4">
      <c r="A136" s="95" t="s">
        <v>253</v>
      </c>
      <c r="B136" s="194" t="s">
        <v>1135</v>
      </c>
      <c r="C136" s="187">
        <f>+IFERROR(VLOOKUP($A136,RAIZ!$A$3:$X$1500,MATCH('Suc. Sanblas'!$F$1,RAIZ!$A$2:$X$2,0),FALSE),0)</f>
        <v>2</v>
      </c>
      <c r="D136" s="18">
        <v>2</v>
      </c>
      <c r="E136" s="185"/>
      <c r="F136" s="185">
        <f t="shared" si="20"/>
        <v>0</v>
      </c>
      <c r="G136" s="185"/>
    </row>
    <row r="137" spans="1:7" ht="18.75" customHeight="1" thickBot="1" x14ac:dyDescent="0.4">
      <c r="A137" s="95" t="s">
        <v>240</v>
      </c>
      <c r="B137" s="194" t="s">
        <v>1139</v>
      </c>
      <c r="C137" s="187">
        <f>+IFERROR(VLOOKUP($A137,RAIZ!$A$3:$X$1500,MATCH('Suc. Sanblas'!$F$1,RAIZ!$A$2:$X$2,0),FALSE),0)</f>
        <v>0</v>
      </c>
      <c r="D137" s="18">
        <v>0</v>
      </c>
      <c r="E137" s="185"/>
      <c r="F137" s="185">
        <f t="shared" si="20"/>
        <v>0</v>
      </c>
      <c r="G137" s="185"/>
    </row>
    <row r="138" spans="1:7" ht="18.75" customHeight="1" thickBot="1" x14ac:dyDescent="0.4">
      <c r="A138" s="95" t="s">
        <v>204</v>
      </c>
      <c r="B138" s="194" t="s">
        <v>1106</v>
      </c>
      <c r="C138" s="187">
        <f>+IFERROR(VLOOKUP($A138,RAIZ!$A$3:$X$1500,MATCH('Suc. Sanblas'!$F$1,RAIZ!$A$2:$X$2,0),FALSE),0)</f>
        <v>0</v>
      </c>
      <c r="D138" s="18">
        <v>0</v>
      </c>
      <c r="E138" s="185"/>
      <c r="F138" s="185">
        <f t="shared" si="20"/>
        <v>0</v>
      </c>
      <c r="G138" s="185"/>
    </row>
    <row r="139" spans="1:7" ht="18.75" customHeight="1" thickBot="1" x14ac:dyDescent="0.4">
      <c r="A139" s="95" t="s">
        <v>1132</v>
      </c>
      <c r="B139" s="194" t="s">
        <v>1141</v>
      </c>
      <c r="C139" s="187">
        <f>+IFERROR(VLOOKUP($A139,RAIZ!$A$3:$X$1500,MATCH('Suc. Sanblas'!$F$1,RAIZ!$A$2:$X$2,0),FALSE),0)</f>
        <v>0</v>
      </c>
      <c r="D139" s="18">
        <v>1</v>
      </c>
      <c r="E139" s="185"/>
      <c r="F139" s="185">
        <f t="shared" si="20"/>
        <v>1</v>
      </c>
      <c r="G139" s="185"/>
    </row>
    <row r="140" spans="1:7" ht="18.75" customHeight="1" thickBot="1" x14ac:dyDescent="0.4">
      <c r="A140" s="95" t="s">
        <v>914</v>
      </c>
      <c r="B140" s="194" t="s">
        <v>1133</v>
      </c>
      <c r="C140" s="187">
        <f>+IFERROR(VLOOKUP($A140,RAIZ!$A$3:$X$1500,MATCH('Suc. Sanblas'!$F$1,RAIZ!$A$2:$X$2,0),FALSE),0)</f>
        <v>1</v>
      </c>
      <c r="D140" s="18">
        <v>1</v>
      </c>
      <c r="E140" s="185"/>
      <c r="F140" s="185">
        <f t="shared" si="20"/>
        <v>0</v>
      </c>
      <c r="G140" s="185"/>
    </row>
    <row r="141" spans="1:7" ht="18.75" customHeight="1" thickBot="1" x14ac:dyDescent="0.4">
      <c r="A141" s="243" t="s">
        <v>1120</v>
      </c>
      <c r="B141" s="194" t="s">
        <v>1159</v>
      </c>
      <c r="C141" s="187">
        <f>+IFERROR(VLOOKUP($A141,RAIZ!$A$3:$X$1500,MATCH('Suc. Sanblas'!$F$1,RAIZ!$A$2:$X$2,0),FALSE),0)</f>
        <v>0</v>
      </c>
      <c r="D141" s="18"/>
      <c r="E141" s="185"/>
      <c r="F141" s="185">
        <f t="shared" si="20"/>
        <v>0</v>
      </c>
      <c r="G141" s="185"/>
    </row>
    <row r="142" spans="1:7" ht="18.75" customHeight="1" thickBot="1" x14ac:dyDescent="0.4">
      <c r="A142" s="95"/>
      <c r="B142" s="194"/>
      <c r="C142" s="187">
        <f>+IFERROR(VLOOKUP($A142,RAIZ!$A$3:$X$1500,MATCH('Suc. Sanblas'!$F$1,RAIZ!$A$2:$X$2,0),FALSE),0)</f>
        <v>0</v>
      </c>
      <c r="D142" s="18"/>
      <c r="E142" s="185"/>
      <c r="F142" s="185"/>
      <c r="G142" s="185"/>
    </row>
    <row r="143" spans="1:7" ht="18.75" customHeight="1" thickBot="1" x14ac:dyDescent="0.4">
      <c r="A143" s="95"/>
      <c r="B143" s="193"/>
      <c r="C143" s="187">
        <f>+IFERROR(VLOOKUP($A143,RAIZ!$A$3:$X$1500,MATCH('Suc. Sanblas'!$F$1,RAIZ!$A$2:$X$2,0),FALSE),0)</f>
        <v>0</v>
      </c>
      <c r="D143" s="18"/>
      <c r="E143" s="185"/>
      <c r="F143" s="185"/>
      <c r="G143" s="185"/>
    </row>
    <row r="144" spans="1:7" ht="18.75" customHeight="1" thickBot="1" x14ac:dyDescent="0.4">
      <c r="A144" s="95"/>
      <c r="B144" s="194"/>
      <c r="C144" s="187">
        <f>+IFERROR(VLOOKUP($A144,RAIZ!$A$3:$X$1500,MATCH('Suc. Sanblas'!$F$1,RAIZ!$A$2:$X$2,0),FALSE),0)</f>
        <v>0</v>
      </c>
      <c r="D144" s="18"/>
      <c r="E144" s="185"/>
      <c r="F144" s="185"/>
      <c r="G144" s="185"/>
    </row>
    <row r="145" spans="1:7" ht="18.75" customHeight="1" thickBot="1" x14ac:dyDescent="0.4">
      <c r="A145" s="95"/>
      <c r="B145" s="192"/>
      <c r="C145" s="187">
        <f>+IFERROR(VLOOKUP($A145,RAIZ!$A$3:$X$1500,MATCH('Suc. Sanblas'!$F$1,RAIZ!$A$2:$X$2,0),FALSE),0)</f>
        <v>0</v>
      </c>
      <c r="D145" s="18"/>
      <c r="E145" s="185"/>
      <c r="F145" s="185"/>
      <c r="G145" s="185"/>
    </row>
    <row r="146" spans="1:7" ht="18.75" customHeight="1" thickBot="1" x14ac:dyDescent="0.4">
      <c r="A146" s="95"/>
      <c r="B146" s="194"/>
      <c r="C146" s="187">
        <f>+IFERROR(VLOOKUP($A146,RAIZ!$A$3:$X$1500,MATCH('Suc. Sanblas'!$F$1,RAIZ!$A$2:$X$2,0),FALSE),0)</f>
        <v>0</v>
      </c>
      <c r="D146" s="18"/>
      <c r="E146" s="185"/>
      <c r="F146" s="185"/>
      <c r="G146" s="185"/>
    </row>
    <row r="147" spans="1:7" ht="18.75" customHeight="1" thickBot="1" x14ac:dyDescent="0.4">
      <c r="A147" s="95"/>
      <c r="B147" s="193"/>
      <c r="C147" s="187">
        <f>+IFERROR(VLOOKUP($A147,RAIZ!$A$3:$X$1500,MATCH('Suc. Sanblas'!$F$1,RAIZ!$A$2:$X$2,0),FALSE),0)</f>
        <v>0</v>
      </c>
      <c r="D147" s="14"/>
      <c r="E147" s="185"/>
      <c r="F147" s="185"/>
      <c r="G147" s="185"/>
    </row>
    <row r="148" spans="1:7" ht="18.75" customHeight="1" thickBot="1" x14ac:dyDescent="0.4">
      <c r="A148" s="95"/>
      <c r="B148" s="193"/>
      <c r="C148" s="188">
        <f>+IFERROR(VLOOKUP($A148,RAIZ!$A$3:$X$1500,MATCH('Suc. Sanblas'!$F$1,RAIZ!$A$2:$X$2,0),FALSE),0)</f>
        <v>0</v>
      </c>
      <c r="D148" s="14"/>
      <c r="E148" s="185"/>
      <c r="F148" s="185"/>
      <c r="G148" s="185"/>
    </row>
    <row r="149" spans="1:7" ht="18.75" customHeight="1" thickBot="1" x14ac:dyDescent="0.4">
      <c r="A149" s="173"/>
      <c r="B149" s="109"/>
      <c r="C149" s="182">
        <f>SUM(C118:C127,)</f>
        <v>7</v>
      </c>
      <c r="D149" s="182">
        <f>SUM(D118:D127,)</f>
        <v>27</v>
      </c>
      <c r="E149" s="182">
        <f>SUM(E118:E127,)</f>
        <v>0</v>
      </c>
      <c r="F149" s="182">
        <f>SUM(F118:F127,)</f>
        <v>21</v>
      </c>
      <c r="G149" s="182">
        <f>SUM(G118:G148,)</f>
        <v>0</v>
      </c>
    </row>
    <row r="150" spans="1:7" ht="18.75" customHeight="1" thickBot="1" x14ac:dyDescent="0.4">
      <c r="A150" s="110" t="s">
        <v>86</v>
      </c>
      <c r="B150" s="111"/>
      <c r="C150" s="83">
        <f>C149+C117</f>
        <v>166</v>
      </c>
      <c r="D150" s="83">
        <f>D149+D117</f>
        <v>262</v>
      </c>
      <c r="E150" s="83">
        <f>E149+E117</f>
        <v>5</v>
      </c>
      <c r="F150" s="83">
        <f>F149+F117</f>
        <v>105</v>
      </c>
      <c r="G150" s="83">
        <f>G149+G117</f>
        <v>0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ACAFF29-C0EB-4CEA-B0AF-D6D4E4B7B87A}">
          <x14:formula1>
            <xm:f>Hoja1!$C$2:$C$9</xm:f>
          </x14:formula1>
          <xm:sqref>H2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28E33-54C1-40C2-807A-E3B64AEB221F}">
  <sheetPr>
    <tabColor rgb="FF003300"/>
  </sheetPr>
  <dimension ref="A1:L150"/>
  <sheetViews>
    <sheetView zoomScale="80" zoomScaleNormal="80" workbookViewId="0">
      <pane xSplit="2" ySplit="2" topLeftCell="C127" activePane="bottomRight" state="frozen"/>
      <selection activeCell="I134" sqref="I134"/>
      <selection pane="topRight" activeCell="I134" sqref="I134"/>
      <selection pane="bottomLeft" activeCell="I134" sqref="I134"/>
      <selection pane="bottomRight" activeCell="I134" sqref="I134"/>
    </sheetView>
  </sheetViews>
  <sheetFormatPr baseColWidth="10" defaultRowHeight="18" x14ac:dyDescent="0.35"/>
  <cols>
    <col min="1" max="1" width="55.6640625" customWidth="1"/>
    <col min="2" max="2" width="7.6640625" style="91" bestFit="1" customWidth="1"/>
    <col min="3" max="3" width="14" bestFit="1" customWidth="1"/>
    <col min="4" max="5" width="15" style="84" customWidth="1"/>
    <col min="6" max="6" width="14.5546875" customWidth="1"/>
    <col min="9" max="9" width="11.88671875" style="84" bestFit="1" customWidth="1"/>
  </cols>
  <sheetData>
    <row r="1" spans="1:12" ht="18.600000000000001" thickBot="1" x14ac:dyDescent="0.4">
      <c r="A1" s="1">
        <f>RAIZ!B1</f>
        <v>46301</v>
      </c>
      <c r="C1" s="2"/>
      <c r="D1" s="2" t="s">
        <v>702</v>
      </c>
      <c r="E1" s="2"/>
      <c r="F1" s="2" t="s">
        <v>858</v>
      </c>
      <c r="H1" t="s">
        <v>859</v>
      </c>
      <c r="K1" s="85"/>
      <c r="L1" s="85"/>
    </row>
    <row r="2" spans="1:12" ht="31.8" thickBot="1" x14ac:dyDescent="0.35">
      <c r="A2" s="90" t="s">
        <v>0</v>
      </c>
      <c r="B2" s="92" t="s">
        <v>755</v>
      </c>
      <c r="C2" s="39" t="s">
        <v>703</v>
      </c>
      <c r="D2" s="40" t="s">
        <v>704</v>
      </c>
      <c r="E2" s="88" t="s">
        <v>726</v>
      </c>
      <c r="F2" s="41" t="s">
        <v>705</v>
      </c>
      <c r="G2" s="62" t="s">
        <v>725</v>
      </c>
      <c r="H2" s="87"/>
      <c r="K2" s="86"/>
      <c r="L2" s="85"/>
    </row>
    <row r="3" spans="1:12" ht="18.75" customHeight="1" x14ac:dyDescent="0.35">
      <c r="A3" s="93" t="s">
        <v>1</v>
      </c>
      <c r="B3" s="112" t="s">
        <v>756</v>
      </c>
      <c r="C3" s="5">
        <f>+IFERROR(VLOOKUP($A3,RAIZ!$A$3:$X$1500,MATCH('Suc. Varas'!$F$1,RAIZ!$A$2:$X$2,0),FALSE),0)</f>
        <v>1</v>
      </c>
      <c r="D3" s="4">
        <v>1</v>
      </c>
      <c r="E3" s="5"/>
      <c r="F3" s="5">
        <f>IF(D3-C3&gt;=0,D3-C3,0)</f>
        <v>0</v>
      </c>
      <c r="G3" s="5"/>
      <c r="K3" s="86"/>
      <c r="L3" s="85"/>
    </row>
    <row r="4" spans="1:12" ht="18.75" customHeight="1" x14ac:dyDescent="0.35">
      <c r="A4" s="93" t="s">
        <v>2</v>
      </c>
      <c r="B4" s="112" t="s">
        <v>865</v>
      </c>
      <c r="C4" s="5">
        <f>+IFERROR(VLOOKUP($A4,RAIZ!$A$3:$X$1500,MATCH('Suc. Varas'!$F$1,RAIZ!$A$2:$X$2,0),FALSE),0)</f>
        <v>1</v>
      </c>
      <c r="D4" s="4">
        <v>2</v>
      </c>
      <c r="E4" s="5"/>
      <c r="F4" s="5">
        <f>IF(D4-C4&gt;=0,D4-C4,0)</f>
        <v>1</v>
      </c>
      <c r="G4" s="5"/>
      <c r="K4" s="86"/>
      <c r="L4" s="85"/>
    </row>
    <row r="5" spans="1:12" ht="18.75" customHeight="1" x14ac:dyDescent="0.35">
      <c r="A5" s="93" t="s">
        <v>3</v>
      </c>
      <c r="B5" s="112" t="s">
        <v>757</v>
      </c>
      <c r="C5" s="5">
        <f>+IFERROR(VLOOKUP($A5,RAIZ!$A$3:$X$1500,MATCH('Suc. Varas'!$F$1,RAIZ!$A$2:$X$2,0),FALSE),0)</f>
        <v>0</v>
      </c>
      <c r="D5" s="7">
        <v>2</v>
      </c>
      <c r="E5" s="5"/>
      <c r="F5" s="5">
        <f t="shared" ref="F5:F10" si="0">IF(D5-C5&gt;=0,D5-C5,0)</f>
        <v>2</v>
      </c>
      <c r="G5" s="5"/>
      <c r="K5" s="86"/>
      <c r="L5" s="85"/>
    </row>
    <row r="6" spans="1:12" ht="18.75" customHeight="1" x14ac:dyDescent="0.35">
      <c r="A6" s="93" t="s">
        <v>4</v>
      </c>
      <c r="B6" s="112" t="s">
        <v>758</v>
      </c>
      <c r="C6" s="5">
        <f>+IFERROR(VLOOKUP($A6,RAIZ!$A$3:$X$1500,MATCH('Suc. Varas'!$F$1,RAIZ!$A$2:$X$2,0),FALSE),0)</f>
        <v>1</v>
      </c>
      <c r="D6" s="7">
        <v>4</v>
      </c>
      <c r="E6" s="5"/>
      <c r="F6" s="5">
        <f t="shared" si="0"/>
        <v>3</v>
      </c>
      <c r="G6" s="5"/>
      <c r="K6" s="86"/>
      <c r="L6" s="85"/>
    </row>
    <row r="7" spans="1:12" ht="18.75" customHeight="1" x14ac:dyDescent="0.35">
      <c r="A7" s="93" t="s">
        <v>5</v>
      </c>
      <c r="B7" s="112" t="s">
        <v>759</v>
      </c>
      <c r="C7" s="5">
        <f>+IFERROR(VLOOKUP($A7,RAIZ!$A$3:$X$1500,MATCH('Suc. Varas'!$F$1,RAIZ!$A$2:$X$2,0),FALSE),0)</f>
        <v>0</v>
      </c>
      <c r="D7" s="7">
        <v>2</v>
      </c>
      <c r="E7" s="5"/>
      <c r="F7" s="5">
        <f t="shared" si="0"/>
        <v>2</v>
      </c>
      <c r="G7" s="5"/>
      <c r="K7" s="86"/>
      <c r="L7" s="85"/>
    </row>
    <row r="8" spans="1:12" ht="18.75" customHeight="1" x14ac:dyDescent="0.35">
      <c r="A8" s="93" t="s">
        <v>6</v>
      </c>
      <c r="B8" s="112" t="s">
        <v>760</v>
      </c>
      <c r="C8" s="5">
        <f>+IFERROR(VLOOKUP($A8,RAIZ!$A$3:$X$1500,MATCH('Suc. Varas'!$F$1,RAIZ!$A$2:$X$2,0),FALSE),0)</f>
        <v>2</v>
      </c>
      <c r="D8" s="7">
        <v>4</v>
      </c>
      <c r="E8" s="5"/>
      <c r="F8" s="5">
        <f t="shared" si="0"/>
        <v>2</v>
      </c>
      <c r="G8" s="5"/>
      <c r="K8" s="86"/>
      <c r="L8" s="85"/>
    </row>
    <row r="9" spans="1:12" ht="18.75" customHeight="1" x14ac:dyDescent="0.35">
      <c r="A9" s="93" t="s">
        <v>7</v>
      </c>
      <c r="B9" s="112" t="s">
        <v>761</v>
      </c>
      <c r="C9" s="5">
        <f>+IFERROR(VLOOKUP($A9,RAIZ!$A$3:$X$1500,MATCH('Suc. Varas'!$F$1,RAIZ!$A$2:$X$2,0),FALSE),0)</f>
        <v>1</v>
      </c>
      <c r="D9" s="7">
        <v>2</v>
      </c>
      <c r="E9" s="5"/>
      <c r="F9" s="5">
        <f t="shared" si="0"/>
        <v>1</v>
      </c>
      <c r="G9" s="5"/>
      <c r="K9" s="86"/>
      <c r="L9" s="85"/>
    </row>
    <row r="10" spans="1:12" ht="18.75" customHeight="1" x14ac:dyDescent="0.35">
      <c r="A10" s="93" t="s">
        <v>8</v>
      </c>
      <c r="B10" s="112" t="s">
        <v>762</v>
      </c>
      <c r="C10" s="5">
        <f>+IFERROR(VLOOKUP($A10,RAIZ!$A$3:$X$1500,MATCH('Suc. Varas'!$F$1,RAIZ!$A$2:$X$2,0),FALSE),0)</f>
        <v>3</v>
      </c>
      <c r="D10" s="7">
        <v>3</v>
      </c>
      <c r="E10" s="5"/>
      <c r="F10" s="5">
        <f t="shared" si="0"/>
        <v>0</v>
      </c>
      <c r="G10" s="5"/>
      <c r="K10" s="86"/>
      <c r="L10" s="85"/>
    </row>
    <row r="11" spans="1:12" ht="18.75" customHeight="1" x14ac:dyDescent="0.35">
      <c r="A11" s="93" t="s">
        <v>9</v>
      </c>
      <c r="B11" s="112" t="s">
        <v>763</v>
      </c>
      <c r="C11" s="5">
        <f>+IFERROR(VLOOKUP($A11,RAIZ!$A$3:$X$1500,MATCH('Suc. Varas'!$F$1,RAIZ!$A$2:$X$2,0),FALSE),0)</f>
        <v>0</v>
      </c>
      <c r="D11" s="9">
        <v>1</v>
      </c>
      <c r="E11" s="5"/>
      <c r="F11" s="5">
        <f t="shared" ref="F11:F12" si="1">IF(D11-C11&gt;=0,D11-C11,0)</f>
        <v>1</v>
      </c>
      <c r="G11" s="5"/>
      <c r="K11" s="86"/>
      <c r="L11" s="85"/>
    </row>
    <row r="12" spans="1:12" ht="18.75" customHeight="1" x14ac:dyDescent="0.35">
      <c r="A12" s="93"/>
      <c r="B12" s="112"/>
      <c r="C12" s="5">
        <f>+IFERROR(VLOOKUP($A12,RAIZ!$A$3:$X$1500,MATCH('Suc. Varas'!$F$1,RAIZ!$A$2:$X$2,0),FALSE),0)</f>
        <v>0</v>
      </c>
      <c r="D12" s="20"/>
      <c r="E12" s="5"/>
      <c r="F12" s="5">
        <f t="shared" si="1"/>
        <v>0</v>
      </c>
      <c r="G12" s="5"/>
    </row>
    <row r="13" spans="1:12" ht="18.75" customHeight="1" x14ac:dyDescent="0.35">
      <c r="A13" s="93"/>
      <c r="B13" s="112"/>
      <c r="C13" s="5">
        <f>+IFERROR(VLOOKUP($A13,RAIZ!$A$3:$X$1500,MATCH('Suc. Varas'!$F$1,RAIZ!$A$2:$X$2,0),FALSE),0)</f>
        <v>0</v>
      </c>
      <c r="D13" s="20"/>
      <c r="E13" s="5"/>
      <c r="F13" s="5">
        <f t="shared" ref="F13:F17" si="2">IF(D13-C13&gt;=0,D13-C13,0)</f>
        <v>0</v>
      </c>
      <c r="G13" s="5"/>
    </row>
    <row r="14" spans="1:12" ht="18.75" customHeight="1" x14ac:dyDescent="0.35">
      <c r="A14" s="93"/>
      <c r="B14" s="112"/>
      <c r="C14" s="5">
        <f>+IFERROR(VLOOKUP($A14,RAIZ!$A$3:$X$1500,MATCH('Suc. Varas'!$F$1,RAIZ!$A$2:$X$2,0),FALSE),0)</f>
        <v>0</v>
      </c>
      <c r="D14" s="20"/>
      <c r="E14" s="5"/>
      <c r="F14" s="5">
        <f>IF(D14-C14&gt;=0,D14-C14,0)</f>
        <v>0</v>
      </c>
      <c r="G14" s="5"/>
    </row>
    <row r="15" spans="1:12" ht="18.75" customHeight="1" x14ac:dyDescent="0.35">
      <c r="A15" s="93"/>
      <c r="B15" s="112"/>
      <c r="C15" s="5">
        <f>+IFERROR(VLOOKUP($A15,RAIZ!$A$3:$X$1500,MATCH('Suc. Varas'!$F$1,RAIZ!$A$2:$X$2,0),FALSE),0)</f>
        <v>0</v>
      </c>
      <c r="D15" s="9"/>
      <c r="E15" s="5"/>
      <c r="F15" s="5">
        <f t="shared" si="2"/>
        <v>0</v>
      </c>
      <c r="G15" s="5"/>
      <c r="K15" s="86"/>
      <c r="L15" s="85"/>
    </row>
    <row r="16" spans="1:12" ht="18.75" customHeight="1" x14ac:dyDescent="0.35">
      <c r="A16" s="93"/>
      <c r="B16" s="112"/>
      <c r="C16" s="5">
        <f>+IFERROR(VLOOKUP($A16,RAIZ!$A$3:$X$1500,MATCH('Suc. Varas'!$F$1,RAIZ!$A$2:$X$2,0),FALSE),0)</f>
        <v>0</v>
      </c>
      <c r="D16" s="9"/>
      <c r="E16" s="5"/>
      <c r="F16" s="5">
        <f t="shared" si="2"/>
        <v>0</v>
      </c>
      <c r="G16" s="5"/>
      <c r="K16" s="86"/>
      <c r="L16" s="85"/>
    </row>
    <row r="17" spans="1:12" ht="18.75" customHeight="1" thickBot="1" x14ac:dyDescent="0.4">
      <c r="A17" s="93"/>
      <c r="B17" s="112"/>
      <c r="C17" s="5">
        <f>+IFERROR(VLOOKUP($A17,RAIZ!$A$3:$X$1500,MATCH('Suc. Varas'!$F$1,RAIZ!$A$2:$X$2,0),FALSE),0)</f>
        <v>0</v>
      </c>
      <c r="D17" s="9"/>
      <c r="E17" s="5"/>
      <c r="F17" s="5">
        <f t="shared" si="2"/>
        <v>0</v>
      </c>
      <c r="G17" s="5"/>
      <c r="K17" s="86"/>
      <c r="L17" s="85"/>
    </row>
    <row r="18" spans="1:12" ht="18.75" customHeight="1" thickBot="1" x14ac:dyDescent="0.4">
      <c r="A18" s="96" t="s">
        <v>10</v>
      </c>
      <c r="B18" s="111"/>
      <c r="C18" s="75">
        <f>SUM(C3:C17)</f>
        <v>9</v>
      </c>
      <c r="D18" s="44">
        <f>SUM(D3:D17)</f>
        <v>21</v>
      </c>
      <c r="E18" s="44">
        <f>SUM(E3:E17)</f>
        <v>0</v>
      </c>
      <c r="F18" s="63">
        <f>SUM(F3:F17)</f>
        <v>12</v>
      </c>
      <c r="G18" s="44">
        <f>SUM(G3:G17)</f>
        <v>0</v>
      </c>
      <c r="K18" s="86"/>
      <c r="L18" s="85"/>
    </row>
    <row r="19" spans="1:12" ht="18.75" customHeight="1" x14ac:dyDescent="0.35">
      <c r="A19" s="97" t="s">
        <v>676</v>
      </c>
      <c r="B19" s="112" t="s">
        <v>764</v>
      </c>
      <c r="C19" s="5">
        <f>+IFERROR(VLOOKUP($A19,RAIZ!$A$3:$X$1500,MATCH('Suc. Varas'!$F$1,RAIZ!$A$2:$X$2,0),FALSE),0)</f>
        <v>0</v>
      </c>
      <c r="D19" s="12">
        <v>2</v>
      </c>
      <c r="E19" s="5"/>
      <c r="F19" s="5">
        <f t="shared" ref="F19:F22" si="3">IF(D19-C19&gt;=0,D19-C19,0)</f>
        <v>2</v>
      </c>
      <c r="G19" s="5"/>
      <c r="K19" s="86"/>
      <c r="L19" s="85"/>
    </row>
    <row r="20" spans="1:12" ht="18.75" customHeight="1" x14ac:dyDescent="0.35">
      <c r="A20" s="97" t="s">
        <v>11</v>
      </c>
      <c r="B20" s="112" t="s">
        <v>827</v>
      </c>
      <c r="C20" s="5">
        <f>+IFERROR(VLOOKUP($A20,RAIZ!$A$3:$X$1500,MATCH('Suc. Varas'!$F$1,RAIZ!$A$2:$X$2,0),FALSE),0)</f>
        <v>0</v>
      </c>
      <c r="D20" s="14">
        <v>4</v>
      </c>
      <c r="E20" s="5"/>
      <c r="F20" s="5">
        <f t="shared" si="3"/>
        <v>4</v>
      </c>
      <c r="G20" s="5"/>
      <c r="K20" s="86"/>
      <c r="L20" s="85"/>
    </row>
    <row r="21" spans="1:12" ht="18.75" customHeight="1" x14ac:dyDescent="0.35">
      <c r="A21" s="97" t="s">
        <v>344</v>
      </c>
      <c r="B21" s="112" t="s">
        <v>765</v>
      </c>
      <c r="C21" s="5">
        <f>+IFERROR(VLOOKUP($A21,RAIZ!$A$3:$X$1500,MATCH('Suc. Varas'!$F$1,RAIZ!$A$2:$X$2,0),FALSE),0)</f>
        <v>0</v>
      </c>
      <c r="D21" s="14">
        <v>2</v>
      </c>
      <c r="E21" s="5"/>
      <c r="F21" s="5">
        <f t="shared" si="3"/>
        <v>2</v>
      </c>
      <c r="G21" s="5"/>
      <c r="K21" s="86"/>
      <c r="L21" s="85"/>
    </row>
    <row r="22" spans="1:12" ht="18.75" customHeight="1" x14ac:dyDescent="0.35">
      <c r="A22" s="97" t="s">
        <v>832</v>
      </c>
      <c r="B22" s="112" t="s">
        <v>833</v>
      </c>
      <c r="C22" s="5">
        <f>+IFERROR(VLOOKUP($A22,RAIZ!$A$3:$X$1500,MATCH('Suc. Varas'!$F$1,RAIZ!$A$2:$X$2,0),FALSE),0)</f>
        <v>0</v>
      </c>
      <c r="D22" s="14">
        <v>1</v>
      </c>
      <c r="E22" s="5"/>
      <c r="F22" s="5">
        <f t="shared" si="3"/>
        <v>1</v>
      </c>
      <c r="G22" s="5"/>
      <c r="K22" s="86"/>
      <c r="L22" s="85"/>
    </row>
    <row r="23" spans="1:12" ht="18.75" customHeight="1" x14ac:dyDescent="0.35">
      <c r="A23" s="97" t="s">
        <v>12</v>
      </c>
      <c r="B23" s="112" t="s">
        <v>766</v>
      </c>
      <c r="C23" s="5">
        <f>+IFERROR(VLOOKUP($A23,RAIZ!$A$3:$X$1500,MATCH('Suc. Varas'!$F$1,RAIZ!$A$2:$X$2,0),FALSE),0)</f>
        <v>3</v>
      </c>
      <c r="D23" s="14">
        <v>3</v>
      </c>
      <c r="E23" s="5"/>
      <c r="F23" s="5">
        <f t="shared" ref="F23:F31" si="4">IF(D23-C23&gt;=0,D23-C23,0)</f>
        <v>0</v>
      </c>
      <c r="G23" s="5"/>
      <c r="K23" s="86"/>
      <c r="L23" s="85"/>
    </row>
    <row r="24" spans="1:12" ht="18.75" customHeight="1" x14ac:dyDescent="0.35">
      <c r="A24" s="97" t="s">
        <v>432</v>
      </c>
      <c r="B24" s="112" t="s">
        <v>767</v>
      </c>
      <c r="C24" s="5">
        <f>+IFERROR(VLOOKUP($A24,RAIZ!$A$3:$X$1500,MATCH('Suc. Varas'!$F$1,RAIZ!$A$2:$X$2,0),FALSE),0)</f>
        <v>1</v>
      </c>
      <c r="D24" s="14">
        <v>2</v>
      </c>
      <c r="E24" s="5"/>
      <c r="F24" s="5">
        <f t="shared" si="4"/>
        <v>1</v>
      </c>
      <c r="G24" s="5"/>
      <c r="K24" s="86"/>
      <c r="L24" s="85"/>
    </row>
    <row r="25" spans="1:12" ht="18.75" customHeight="1" x14ac:dyDescent="0.35">
      <c r="A25" s="97" t="s">
        <v>468</v>
      </c>
      <c r="B25" s="112" t="s">
        <v>768</v>
      </c>
      <c r="C25" s="5">
        <f>+IFERROR(VLOOKUP($A25,RAIZ!$A$3:$X$1500,MATCH('Suc. Varas'!$F$1,RAIZ!$A$2:$X$2,0),FALSE),0)</f>
        <v>0</v>
      </c>
      <c r="D25" s="16">
        <v>4</v>
      </c>
      <c r="E25" s="5"/>
      <c r="F25" s="5">
        <f t="shared" si="4"/>
        <v>4</v>
      </c>
      <c r="G25" s="5"/>
      <c r="K25" s="86"/>
      <c r="L25" s="85"/>
    </row>
    <row r="26" spans="1:12" ht="18.75" customHeight="1" x14ac:dyDescent="0.35">
      <c r="A26" s="97"/>
      <c r="B26" s="112"/>
      <c r="C26" s="5">
        <f>+IFERROR(VLOOKUP($A26,RAIZ!$A$3:$X$1500,MATCH('Suc. Varas'!$F$1,RAIZ!$A$2:$X$2,0),FALSE),0)</f>
        <v>0</v>
      </c>
      <c r="D26" s="20"/>
      <c r="E26" s="5"/>
      <c r="F26" s="5">
        <f t="shared" si="4"/>
        <v>0</v>
      </c>
      <c r="G26" s="5"/>
    </row>
    <row r="27" spans="1:12" ht="18.75" customHeight="1" x14ac:dyDescent="0.35">
      <c r="A27" s="97"/>
      <c r="B27" s="112"/>
      <c r="C27" s="5">
        <f>+IFERROR(VLOOKUP($A27,RAIZ!$A$3:$X$1500,MATCH('Suc. Varas'!$F$1,RAIZ!$A$2:$X$2,0),FALSE),0)</f>
        <v>0</v>
      </c>
      <c r="D27" s="16"/>
      <c r="E27" s="5"/>
      <c r="F27" s="5">
        <f>IF(D27-C27&gt;=0,D27-C27,0)</f>
        <v>0</v>
      </c>
      <c r="G27" s="5"/>
      <c r="K27" s="86"/>
      <c r="L27" s="85"/>
    </row>
    <row r="28" spans="1:12" ht="18.75" customHeight="1" x14ac:dyDescent="0.35">
      <c r="A28" s="97"/>
      <c r="B28" s="112"/>
      <c r="C28" s="5">
        <f>+IFERROR(VLOOKUP($A28,RAIZ!$A$3:$X$1500,MATCH('Suc. Varas'!$F$1,RAIZ!$A$2:$X$2,0),FALSE),0)</f>
        <v>0</v>
      </c>
      <c r="D28" s="16"/>
      <c r="E28" s="5"/>
      <c r="F28" s="5">
        <f t="shared" si="4"/>
        <v>0</v>
      </c>
      <c r="G28" s="5"/>
      <c r="K28" s="86"/>
      <c r="L28" s="85"/>
    </row>
    <row r="29" spans="1:12" ht="18.75" customHeight="1" x14ac:dyDescent="0.35">
      <c r="A29" s="97"/>
      <c r="B29" s="112"/>
      <c r="C29" s="5">
        <f>+IFERROR(VLOOKUP($A29,RAIZ!$A$3:$X$1500,MATCH('Suc. Varas'!$F$1,RAIZ!$A$2:$X$2,0),FALSE),0)</f>
        <v>0</v>
      </c>
      <c r="D29" s="16"/>
      <c r="E29" s="5"/>
      <c r="F29" s="5">
        <f t="shared" si="4"/>
        <v>0</v>
      </c>
      <c r="G29" s="5"/>
      <c r="K29" s="86"/>
      <c r="L29" s="85"/>
    </row>
    <row r="30" spans="1:12" ht="18.75" customHeight="1" x14ac:dyDescent="0.35">
      <c r="A30" s="97"/>
      <c r="B30" s="112"/>
      <c r="C30" s="5">
        <f>+IFERROR(VLOOKUP($A30,RAIZ!$A$3:$X$1500,MATCH('Suc. Varas'!$F$1,RAIZ!$A$2:$X$2,0),FALSE),0)</f>
        <v>0</v>
      </c>
      <c r="D30" s="16"/>
      <c r="E30" s="5"/>
      <c r="F30" s="5">
        <f t="shared" si="4"/>
        <v>0</v>
      </c>
      <c r="G30" s="5"/>
      <c r="K30" s="86"/>
      <c r="L30" s="85"/>
    </row>
    <row r="31" spans="1:12" ht="18.75" customHeight="1" thickBot="1" x14ac:dyDescent="0.4">
      <c r="A31" s="97"/>
      <c r="B31" s="112"/>
      <c r="C31" s="5">
        <f>+IFERROR(VLOOKUP($A31,RAIZ!$A$3:$X$1500,MATCH('Suc. Varas'!$F$1,RAIZ!$A$2:$X$2,0),FALSE),0)</f>
        <v>0</v>
      </c>
      <c r="D31" s="16"/>
      <c r="E31" s="5"/>
      <c r="F31" s="5">
        <f t="shared" si="4"/>
        <v>0</v>
      </c>
      <c r="G31" s="5"/>
      <c r="K31" s="86"/>
      <c r="L31" s="85"/>
    </row>
    <row r="32" spans="1:12" ht="18.75" customHeight="1" thickBot="1" x14ac:dyDescent="0.4">
      <c r="A32" s="98" t="s">
        <v>13</v>
      </c>
      <c r="B32" s="111"/>
      <c r="C32" s="76">
        <f>SUM(C19:C31)</f>
        <v>4</v>
      </c>
      <c r="D32" s="46">
        <f>SUM(D19:D31)</f>
        <v>18</v>
      </c>
      <c r="E32" s="46">
        <f>SUM(E19:E31)</f>
        <v>0</v>
      </c>
      <c r="F32" s="64">
        <f>SUM(F19:F31)</f>
        <v>14</v>
      </c>
      <c r="G32" s="46">
        <f>SUM(G19:G31)</f>
        <v>0</v>
      </c>
      <c r="K32" s="86"/>
      <c r="L32" s="85"/>
    </row>
    <row r="33" spans="1:12" ht="18.75" customHeight="1" x14ac:dyDescent="0.35">
      <c r="A33" s="97" t="s">
        <v>14</v>
      </c>
      <c r="B33" s="112" t="s">
        <v>769</v>
      </c>
      <c r="C33" s="5">
        <f>+IFERROR(VLOOKUP($A33,RAIZ!$A$3:$X$1500,MATCH('Suc. Varas'!$F$1,RAIZ!$A$2:$X$2,0),FALSE),0)</f>
        <v>0</v>
      </c>
      <c r="D33" s="4">
        <v>0</v>
      </c>
      <c r="E33" s="5"/>
      <c r="F33" s="5">
        <f t="shared" ref="F33:F48" si="5">IF(D33-C33&gt;=0,D33-C33,0)</f>
        <v>0</v>
      </c>
      <c r="G33" s="5"/>
      <c r="K33" s="86"/>
      <c r="L33" s="85"/>
    </row>
    <row r="34" spans="1:12" ht="18.75" customHeight="1" x14ac:dyDescent="0.35">
      <c r="A34" s="97" t="s">
        <v>15</v>
      </c>
      <c r="B34" s="112" t="s">
        <v>770</v>
      </c>
      <c r="C34" s="5">
        <f>+IFERROR(VLOOKUP($A34,RAIZ!$A$3:$X$1500,MATCH('Suc. Varas'!$F$1,RAIZ!$A$2:$X$2,0),FALSE),0)</f>
        <v>2</v>
      </c>
      <c r="D34" s="7">
        <v>2</v>
      </c>
      <c r="E34" s="5"/>
      <c r="F34" s="5">
        <f t="shared" si="5"/>
        <v>0</v>
      </c>
      <c r="G34" s="5"/>
      <c r="K34" s="86"/>
      <c r="L34" s="85"/>
    </row>
    <row r="35" spans="1:12" ht="18.75" customHeight="1" x14ac:dyDescent="0.35">
      <c r="A35" s="97" t="s">
        <v>16</v>
      </c>
      <c r="B35" s="112" t="s">
        <v>771</v>
      </c>
      <c r="C35" s="5">
        <f>+IFERROR(VLOOKUP($A35,RAIZ!$A$3:$X$1500,MATCH('Suc. Varas'!$F$1,RAIZ!$A$2:$X$2,0),FALSE),0)</f>
        <v>0</v>
      </c>
      <c r="D35" s="7">
        <v>1</v>
      </c>
      <c r="E35" s="5"/>
      <c r="F35" s="5">
        <f t="shared" si="5"/>
        <v>1</v>
      </c>
      <c r="G35" s="5"/>
      <c r="K35" s="86"/>
      <c r="L35" s="85"/>
    </row>
    <row r="36" spans="1:12" ht="18.75" customHeight="1" x14ac:dyDescent="0.35">
      <c r="A36" s="97" t="s">
        <v>17</v>
      </c>
      <c r="B36" s="112" t="s">
        <v>772</v>
      </c>
      <c r="C36" s="5">
        <f>+IFERROR(VLOOKUP($A36,RAIZ!$A$3:$X$1500,MATCH('Suc. Varas'!$F$1,RAIZ!$A$2:$X$2,0),FALSE),0)</f>
        <v>1</v>
      </c>
      <c r="D36" s="7">
        <v>2</v>
      </c>
      <c r="E36" s="5"/>
      <c r="F36" s="5">
        <f t="shared" si="5"/>
        <v>1</v>
      </c>
      <c r="G36" s="5"/>
      <c r="K36" s="86"/>
      <c r="L36" s="85"/>
    </row>
    <row r="37" spans="1:12" ht="18.75" customHeight="1" x14ac:dyDescent="0.35">
      <c r="A37" s="97" t="s">
        <v>18</v>
      </c>
      <c r="B37" s="112" t="s">
        <v>773</v>
      </c>
      <c r="C37" s="5">
        <f>+IFERROR(VLOOKUP($A37,RAIZ!$A$3:$X$1500,MATCH('Suc. Varas'!$F$1,RAIZ!$A$2:$X$2,0),FALSE),0)</f>
        <v>1</v>
      </c>
      <c r="D37" s="7">
        <v>4</v>
      </c>
      <c r="E37" s="5"/>
      <c r="F37" s="5">
        <f t="shared" si="5"/>
        <v>3</v>
      </c>
      <c r="G37" s="5"/>
      <c r="K37" s="86"/>
      <c r="L37" s="85"/>
    </row>
    <row r="38" spans="1:12" ht="18.75" customHeight="1" x14ac:dyDescent="0.35">
      <c r="A38" s="97" t="s">
        <v>22</v>
      </c>
      <c r="B38" s="112" t="s">
        <v>774</v>
      </c>
      <c r="C38" s="5">
        <f>+IFERROR(VLOOKUP($A38,RAIZ!$A$3:$X$1500,MATCH('Suc. Varas'!$F$1,RAIZ!$A$2:$X$2,0),FALSE),0)</f>
        <v>3</v>
      </c>
      <c r="D38" s="18">
        <v>4</v>
      </c>
      <c r="E38" s="5"/>
      <c r="F38" s="5">
        <f t="shared" si="5"/>
        <v>1</v>
      </c>
      <c r="G38" s="5"/>
      <c r="K38" s="86"/>
      <c r="L38" s="85"/>
    </row>
    <row r="39" spans="1:12" ht="18.75" customHeight="1" x14ac:dyDescent="0.35">
      <c r="A39" s="97" t="s">
        <v>23</v>
      </c>
      <c r="B39" s="112" t="s">
        <v>775</v>
      </c>
      <c r="C39" s="5">
        <f>+IFERROR(VLOOKUP($A39,RAIZ!$A$3:$X$1500,MATCH('Suc. Varas'!$F$1,RAIZ!$A$2:$X$2,0),FALSE),0)</f>
        <v>0</v>
      </c>
      <c r="D39" s="18">
        <v>2</v>
      </c>
      <c r="E39" s="5"/>
      <c r="F39" s="5">
        <f t="shared" si="5"/>
        <v>2</v>
      </c>
      <c r="G39" s="5"/>
      <c r="K39" s="86"/>
      <c r="L39" s="85"/>
    </row>
    <row r="40" spans="1:12" ht="18.75" customHeight="1" x14ac:dyDescent="0.35">
      <c r="A40" s="97" t="s">
        <v>24</v>
      </c>
      <c r="B40" s="112" t="s">
        <v>776</v>
      </c>
      <c r="C40" s="5">
        <f>+IFERROR(VLOOKUP($A40,RAIZ!$A$3:$X$1500,MATCH('Suc. Varas'!$F$1,RAIZ!$A$2:$X$2,0),FALSE),0)</f>
        <v>2</v>
      </c>
      <c r="D40" s="7">
        <v>3</v>
      </c>
      <c r="E40" s="5"/>
      <c r="F40" s="5">
        <f t="shared" si="5"/>
        <v>1</v>
      </c>
      <c r="G40" s="5"/>
      <c r="K40" s="86"/>
      <c r="L40" s="85"/>
    </row>
    <row r="41" spans="1:12" ht="18.75" customHeight="1" x14ac:dyDescent="0.35">
      <c r="A41" s="97" t="s">
        <v>25</v>
      </c>
      <c r="B41" s="112" t="s">
        <v>777</v>
      </c>
      <c r="C41" s="5">
        <f>+IFERROR(VLOOKUP($A41,RAIZ!$A$3:$X$1500,MATCH('Suc. Varas'!$F$1,RAIZ!$A$2:$X$2,0),FALSE),0)</f>
        <v>1</v>
      </c>
      <c r="D41" s="18">
        <v>2</v>
      </c>
      <c r="E41" s="5"/>
      <c r="F41" s="5">
        <f t="shared" si="5"/>
        <v>1</v>
      </c>
      <c r="G41" s="5"/>
      <c r="K41" s="86"/>
      <c r="L41" s="85"/>
    </row>
    <row r="42" spans="1:12" ht="18.75" customHeight="1" x14ac:dyDescent="0.35">
      <c r="A42" s="97"/>
      <c r="B42" s="112"/>
      <c r="C42" s="5">
        <f>+IFERROR(VLOOKUP($A42,RAIZ!$A$3:$X$1500,MATCH('Suc. Varas'!$F$1,RAIZ!$A$2:$X$2,0),FALSE),0)</f>
        <v>0</v>
      </c>
      <c r="D42" s="20"/>
      <c r="E42" s="5"/>
      <c r="F42" s="5">
        <f t="shared" si="5"/>
        <v>0</v>
      </c>
      <c r="G42" s="5"/>
    </row>
    <row r="43" spans="1:12" ht="18.75" customHeight="1" x14ac:dyDescent="0.35">
      <c r="A43" s="97"/>
      <c r="B43" s="112"/>
      <c r="C43" s="5">
        <f>+IFERROR(VLOOKUP($A43,RAIZ!$A$3:$X$1500,MATCH('Suc. Varas'!$F$1,RAIZ!$A$2:$X$2,0),FALSE),0)</f>
        <v>0</v>
      </c>
      <c r="D43" s="18"/>
      <c r="E43" s="5"/>
      <c r="F43" s="5">
        <f t="shared" si="5"/>
        <v>0</v>
      </c>
      <c r="G43" s="5"/>
      <c r="K43" s="86"/>
      <c r="L43" s="85"/>
    </row>
    <row r="44" spans="1:12" ht="18.75" customHeight="1" x14ac:dyDescent="0.35">
      <c r="A44" s="97"/>
      <c r="B44" s="112"/>
      <c r="C44" s="5">
        <f>+IFERROR(VLOOKUP($A44,RAIZ!$A$3:$X$1500,MATCH('Suc. Varas'!$F$1,RAIZ!$A$2:$X$2,0),FALSE),0)</f>
        <v>0</v>
      </c>
      <c r="D44" s="18"/>
      <c r="E44" s="5"/>
      <c r="F44" s="5">
        <f t="shared" si="5"/>
        <v>0</v>
      </c>
      <c r="G44" s="5"/>
      <c r="K44" s="86"/>
      <c r="L44" s="85"/>
    </row>
    <row r="45" spans="1:12" ht="18.75" customHeight="1" x14ac:dyDescent="0.35">
      <c r="A45" s="97"/>
      <c r="B45" s="112"/>
      <c r="C45" s="5">
        <f>+IFERROR(VLOOKUP($A45,RAIZ!$A$3:$X$1500,MATCH('Suc. Varas'!$F$1,RAIZ!$A$2:$X$2,0),FALSE),0)</f>
        <v>0</v>
      </c>
      <c r="D45" s="18"/>
      <c r="E45" s="5"/>
      <c r="F45" s="5">
        <f t="shared" si="5"/>
        <v>0</v>
      </c>
      <c r="G45" s="5"/>
      <c r="K45" s="86"/>
      <c r="L45" s="85"/>
    </row>
    <row r="46" spans="1:12" ht="18.75" customHeight="1" x14ac:dyDescent="0.35">
      <c r="A46" s="97"/>
      <c r="B46" s="112"/>
      <c r="C46" s="5">
        <f>+IFERROR(VLOOKUP($A46,RAIZ!$A$3:$X$1500,MATCH('Suc. Varas'!$F$1,RAIZ!$A$2:$X$2,0),FALSE),0)</f>
        <v>0</v>
      </c>
      <c r="D46" s="18"/>
      <c r="E46" s="5"/>
      <c r="F46" s="5">
        <f t="shared" si="5"/>
        <v>0</v>
      </c>
      <c r="G46" s="5"/>
      <c r="K46" s="86"/>
      <c r="L46" s="85"/>
    </row>
    <row r="47" spans="1:12" ht="18.75" customHeight="1" x14ac:dyDescent="0.35">
      <c r="A47" s="97"/>
      <c r="B47" s="112"/>
      <c r="C47" s="5">
        <f>+IFERROR(VLOOKUP($A47,RAIZ!$A$3:$X$1500,MATCH('Suc. Varas'!$F$1,RAIZ!$A$2:$X$2,0),FALSE),0)</f>
        <v>0</v>
      </c>
      <c r="D47" s="18"/>
      <c r="E47" s="5"/>
      <c r="F47" s="5">
        <f t="shared" si="5"/>
        <v>0</v>
      </c>
      <c r="G47" s="5"/>
      <c r="K47" s="86"/>
      <c r="L47" s="85"/>
    </row>
    <row r="48" spans="1:12" ht="18.75" customHeight="1" thickBot="1" x14ac:dyDescent="0.4">
      <c r="A48" s="97"/>
      <c r="B48" s="112"/>
      <c r="C48" s="5">
        <f>+IFERROR(VLOOKUP($A48,RAIZ!$A$3:$X$1500,MATCH('Suc. Varas'!$F$1,RAIZ!$A$2:$X$2,0),FALSE),0)</f>
        <v>0</v>
      </c>
      <c r="D48" s="18"/>
      <c r="E48" s="5"/>
      <c r="F48" s="5">
        <f t="shared" si="5"/>
        <v>0</v>
      </c>
      <c r="G48" s="5"/>
      <c r="K48" s="86"/>
      <c r="L48" s="85"/>
    </row>
    <row r="49" spans="1:12" ht="18.75" customHeight="1" thickBot="1" x14ac:dyDescent="0.4">
      <c r="A49" s="99" t="s">
        <v>29</v>
      </c>
      <c r="B49" s="111"/>
      <c r="C49" s="77">
        <f>SUM(C33:C48)</f>
        <v>10</v>
      </c>
      <c r="D49" s="48">
        <f>SUM(D33:D48)</f>
        <v>20</v>
      </c>
      <c r="E49" s="48">
        <f>SUM(E33:E48)</f>
        <v>0</v>
      </c>
      <c r="F49" s="65">
        <f>SUM(F33:F48)</f>
        <v>10</v>
      </c>
      <c r="G49" s="48">
        <f>SUM(G33:G48)</f>
        <v>0</v>
      </c>
      <c r="K49" s="86"/>
      <c r="L49" s="85"/>
    </row>
    <row r="50" spans="1:12" ht="18.75" customHeight="1" x14ac:dyDescent="0.35">
      <c r="A50" s="93" t="s">
        <v>30</v>
      </c>
      <c r="B50" s="112" t="s">
        <v>778</v>
      </c>
      <c r="C50" s="5">
        <f>+IFERROR(VLOOKUP($A50,RAIZ!$A$3:$X$1500,MATCH('Suc. Varas'!$F$1,RAIZ!$A$2:$X$2,0),FALSE),0)</f>
        <v>0</v>
      </c>
      <c r="D50" s="4">
        <v>8</v>
      </c>
      <c r="E50" s="5"/>
      <c r="F50" s="5">
        <f>IF(D50-C50&gt;=0,D50-C50,0)</f>
        <v>8</v>
      </c>
      <c r="G50" s="5"/>
      <c r="K50" s="86"/>
      <c r="L50" s="85"/>
    </row>
    <row r="51" spans="1:12" ht="18.75" customHeight="1" thickBot="1" x14ac:dyDescent="0.4">
      <c r="A51" s="95" t="s">
        <v>31</v>
      </c>
      <c r="B51" s="112" t="s">
        <v>779</v>
      </c>
      <c r="C51" s="5">
        <f>+IFERROR(VLOOKUP($A51,RAIZ!$A$3:$X$1500,MATCH('Suc. Varas'!$F$1,RAIZ!$A$2:$X$2,0),FALSE),0)</f>
        <v>3</v>
      </c>
      <c r="D51" s="20">
        <v>8</v>
      </c>
      <c r="E51" s="5"/>
      <c r="F51" s="5">
        <f t="shared" ref="F51" si="6">IF(D51-C51&gt;=0,D51-C51,0)</f>
        <v>5</v>
      </c>
      <c r="G51" s="5"/>
      <c r="K51" s="86"/>
      <c r="L51" s="85"/>
    </row>
    <row r="52" spans="1:12" ht="18.75" customHeight="1" thickBot="1" x14ac:dyDescent="0.4">
      <c r="A52" s="100" t="s">
        <v>32</v>
      </c>
      <c r="B52" s="111"/>
      <c r="C52" s="78">
        <f>SUM(C50:C51)</f>
        <v>3</v>
      </c>
      <c r="D52" s="50">
        <f t="shared" ref="D52:E52" si="7">SUM(D50:D51)</f>
        <v>16</v>
      </c>
      <c r="E52" s="50">
        <f t="shared" si="7"/>
        <v>0</v>
      </c>
      <c r="F52" s="66">
        <f t="shared" ref="F52:G52" si="8">SUM(F50:F51)</f>
        <v>13</v>
      </c>
      <c r="G52" s="50">
        <f t="shared" si="8"/>
        <v>0</v>
      </c>
      <c r="K52" s="86"/>
      <c r="L52" s="85"/>
    </row>
    <row r="53" spans="1:12" ht="18.75" customHeight="1" x14ac:dyDescent="0.35">
      <c r="A53" s="93" t="s">
        <v>33</v>
      </c>
      <c r="B53" s="112" t="s">
        <v>780</v>
      </c>
      <c r="C53" s="5">
        <f>+IFERROR(VLOOKUP($A53,RAIZ!$A$3:$X$1500,MATCH('Suc. Varas'!$F$1,RAIZ!$A$2:$X$2,0),FALSE),0)</f>
        <v>2</v>
      </c>
      <c r="D53" s="4">
        <v>10</v>
      </c>
      <c r="E53" s="5"/>
      <c r="F53" s="5">
        <f t="shared" ref="F53:F54" si="9">IF(D53-C53&gt;=0,D53-C53,0)</f>
        <v>8</v>
      </c>
      <c r="G53" s="5"/>
      <c r="K53" s="86"/>
      <c r="L53" s="85"/>
    </row>
    <row r="54" spans="1:12" ht="18.75" customHeight="1" thickBot="1" x14ac:dyDescent="0.4">
      <c r="A54" s="95" t="s">
        <v>34</v>
      </c>
      <c r="B54" s="112" t="s">
        <v>781</v>
      </c>
      <c r="C54" s="5">
        <f>+IFERROR(VLOOKUP($A54,RAIZ!$A$3:$X$1500,MATCH('Suc. Varas'!$F$1,RAIZ!$A$2:$X$2,0),FALSE),0)</f>
        <v>2</v>
      </c>
      <c r="D54" s="20">
        <v>12</v>
      </c>
      <c r="E54" s="5"/>
      <c r="F54" s="5">
        <f t="shared" si="9"/>
        <v>10</v>
      </c>
      <c r="G54" s="5"/>
      <c r="K54" s="86"/>
      <c r="L54" s="85"/>
    </row>
    <row r="55" spans="1:12" ht="18.75" customHeight="1" thickBot="1" x14ac:dyDescent="0.4">
      <c r="A55" s="99" t="s">
        <v>35</v>
      </c>
      <c r="B55" s="111"/>
      <c r="C55" s="77">
        <f>SUM(C53:C54)</f>
        <v>4</v>
      </c>
      <c r="D55" s="48">
        <f t="shared" ref="D55:E55" si="10">SUM(D53:D54)</f>
        <v>22</v>
      </c>
      <c r="E55" s="48">
        <f t="shared" si="10"/>
        <v>0</v>
      </c>
      <c r="F55" s="65">
        <f t="shared" ref="F55:G55" si="11">SUM(F53:F54)</f>
        <v>18</v>
      </c>
      <c r="G55" s="48">
        <f t="shared" si="11"/>
        <v>0</v>
      </c>
      <c r="K55" s="86"/>
      <c r="L55" s="85"/>
    </row>
    <row r="56" spans="1:12" ht="18.75" customHeight="1" x14ac:dyDescent="0.35">
      <c r="A56" s="93" t="s">
        <v>36</v>
      </c>
      <c r="B56" s="112" t="s">
        <v>782</v>
      </c>
      <c r="C56" s="5">
        <f>+IFERROR(VLOOKUP($A56,RAIZ!$A$3:$X$1500,MATCH('Suc. Varas'!$F$1,RAIZ!$A$2:$X$2,0),FALSE),0)</f>
        <v>1</v>
      </c>
      <c r="D56" s="4">
        <v>4</v>
      </c>
      <c r="E56" s="5"/>
      <c r="F56" s="5">
        <f t="shared" ref="F56:F70" si="12">IF(D56-C56&gt;=0,D56-C56,0)</f>
        <v>3</v>
      </c>
      <c r="G56" s="5"/>
      <c r="K56" s="86"/>
      <c r="L56" s="85"/>
    </row>
    <row r="57" spans="1:12" ht="18.75" customHeight="1" x14ac:dyDescent="0.35">
      <c r="A57" s="93" t="s">
        <v>37</v>
      </c>
      <c r="B57" s="112" t="s">
        <v>783</v>
      </c>
      <c r="C57" s="5">
        <f>+IFERROR(VLOOKUP($A57,RAIZ!$A$3:$X$1500,MATCH('Suc. Varas'!$F$1,RAIZ!$A$2:$X$2,0),FALSE),0)</f>
        <v>1</v>
      </c>
      <c r="D57" s="7">
        <v>4</v>
      </c>
      <c r="E57" s="5"/>
      <c r="F57" s="5">
        <f t="shared" si="12"/>
        <v>3</v>
      </c>
      <c r="G57" s="5"/>
      <c r="K57" s="86"/>
      <c r="L57" s="85"/>
    </row>
    <row r="58" spans="1:12" ht="18.75" customHeight="1" x14ac:dyDescent="0.35">
      <c r="A58" s="93" t="s">
        <v>39</v>
      </c>
      <c r="B58" s="112" t="s">
        <v>784</v>
      </c>
      <c r="C58" s="5">
        <f>+IFERROR(VLOOKUP($A58,RAIZ!$A$3:$X$1500,MATCH('Suc. Varas'!$F$1,RAIZ!$A$2:$X$2,0),FALSE),0)</f>
        <v>0</v>
      </c>
      <c r="D58" s="7">
        <v>1</v>
      </c>
      <c r="E58" s="5"/>
      <c r="F58" s="5">
        <f t="shared" ref="F58" si="13">IF(D58-C58&gt;=0,D58-C58,0)</f>
        <v>1</v>
      </c>
      <c r="G58" s="5"/>
      <c r="K58" s="86"/>
      <c r="L58" s="85"/>
    </row>
    <row r="59" spans="1:12" ht="18.75" customHeight="1" x14ac:dyDescent="0.35">
      <c r="A59" s="93" t="s">
        <v>40</v>
      </c>
      <c r="B59" s="112" t="s">
        <v>785</v>
      </c>
      <c r="C59" s="5">
        <f>+IFERROR(VLOOKUP($A59,RAIZ!$A$3:$X$1500,MATCH('Suc. Varas'!$F$1,RAIZ!$A$2:$X$2,0),FALSE),0)</f>
        <v>0</v>
      </c>
      <c r="D59" s="7">
        <v>3</v>
      </c>
      <c r="E59" s="5"/>
      <c r="F59" s="5">
        <f t="shared" si="12"/>
        <v>3</v>
      </c>
      <c r="G59" s="5"/>
      <c r="K59" s="86"/>
      <c r="L59" s="85"/>
    </row>
    <row r="60" spans="1:12" ht="18.75" customHeight="1" x14ac:dyDescent="0.35">
      <c r="A60" s="93" t="s">
        <v>41</v>
      </c>
      <c r="B60" s="112" t="s">
        <v>786</v>
      </c>
      <c r="C60" s="5">
        <f>+IFERROR(VLOOKUP($A60,RAIZ!$A$3:$X$1500,MATCH('Suc. Varas'!$F$1,RAIZ!$A$2:$X$2,0),FALSE),0)</f>
        <v>1</v>
      </c>
      <c r="D60" s="7">
        <v>2</v>
      </c>
      <c r="E60" s="5"/>
      <c r="F60" s="5">
        <f t="shared" si="12"/>
        <v>1</v>
      </c>
      <c r="G60" s="5"/>
      <c r="K60" s="86"/>
      <c r="L60" s="85"/>
    </row>
    <row r="61" spans="1:12" ht="18.75" customHeight="1" x14ac:dyDescent="0.35">
      <c r="A61" s="101" t="s">
        <v>42</v>
      </c>
      <c r="B61" s="112" t="s">
        <v>787</v>
      </c>
      <c r="C61" s="5">
        <f>+IFERROR(VLOOKUP($A61,RAIZ!$A$3:$X$1500,MATCH('Suc. Varas'!$F$1,RAIZ!$A$2:$X$2,0),FALSE),0)</f>
        <v>0</v>
      </c>
      <c r="D61" s="4">
        <v>2</v>
      </c>
      <c r="E61" s="5"/>
      <c r="F61" s="5">
        <f t="shared" si="12"/>
        <v>2</v>
      </c>
      <c r="G61" s="5"/>
      <c r="K61" s="86"/>
      <c r="L61" s="85"/>
    </row>
    <row r="62" spans="1:12" ht="18.75" customHeight="1" x14ac:dyDescent="0.35">
      <c r="A62" s="102" t="s">
        <v>43</v>
      </c>
      <c r="B62" s="112" t="s">
        <v>788</v>
      </c>
      <c r="C62" s="5">
        <f>+IFERROR(VLOOKUP($A62,RAIZ!$A$3:$X$1500,MATCH('Suc. Varas'!$F$1,RAIZ!$A$2:$X$2,0),FALSE),0)</f>
        <v>1</v>
      </c>
      <c r="D62" s="7">
        <v>1</v>
      </c>
      <c r="E62" s="5"/>
      <c r="F62" s="5">
        <f t="shared" si="12"/>
        <v>0</v>
      </c>
      <c r="G62" s="5"/>
      <c r="K62" s="86"/>
      <c r="L62" s="85"/>
    </row>
    <row r="63" spans="1:12" ht="18.75" customHeight="1" x14ac:dyDescent="0.35">
      <c r="A63" s="93" t="s">
        <v>44</v>
      </c>
      <c r="B63" s="112" t="s">
        <v>789</v>
      </c>
      <c r="C63" s="5">
        <f>+IFERROR(VLOOKUP($A63,RAIZ!$A$3:$X$1500,MATCH('Suc. Varas'!$F$1,RAIZ!$A$2:$X$2,0),FALSE),0)</f>
        <v>2</v>
      </c>
      <c r="D63" s="7">
        <v>3</v>
      </c>
      <c r="E63" s="5"/>
      <c r="F63" s="5">
        <f t="shared" si="12"/>
        <v>1</v>
      </c>
      <c r="G63" s="5"/>
      <c r="K63" s="86"/>
      <c r="L63" s="85"/>
    </row>
    <row r="64" spans="1:12" ht="18.75" customHeight="1" x14ac:dyDescent="0.35">
      <c r="A64" s="93" t="s">
        <v>45</v>
      </c>
      <c r="B64" s="112" t="s">
        <v>790</v>
      </c>
      <c r="C64" s="5">
        <f>+IFERROR(VLOOKUP($A64,RAIZ!$A$3:$X$1500,MATCH('Suc. Varas'!$F$1,RAIZ!$A$2:$X$2,0),FALSE),0)</f>
        <v>4</v>
      </c>
      <c r="D64" s="4">
        <v>5</v>
      </c>
      <c r="E64" s="5"/>
      <c r="F64" s="5">
        <f t="shared" si="12"/>
        <v>1</v>
      </c>
      <c r="G64" s="5"/>
      <c r="K64" s="86"/>
      <c r="L64" s="85"/>
    </row>
    <row r="65" spans="1:12" ht="18.75" customHeight="1" x14ac:dyDescent="0.35">
      <c r="A65" s="93" t="s">
        <v>46</v>
      </c>
      <c r="B65" s="112" t="s">
        <v>791</v>
      </c>
      <c r="C65" s="5">
        <f>+IFERROR(VLOOKUP($A65,RAIZ!$A$3:$X$1500,MATCH('Suc. Varas'!$F$1,RAIZ!$A$2:$X$2,0),FALSE),0)</f>
        <v>3</v>
      </c>
      <c r="D65" s="7">
        <v>6</v>
      </c>
      <c r="E65" s="5"/>
      <c r="F65" s="5">
        <f t="shared" si="12"/>
        <v>3</v>
      </c>
      <c r="G65" s="5"/>
      <c r="K65" s="86"/>
      <c r="L65" s="85"/>
    </row>
    <row r="66" spans="1:12" ht="18.75" customHeight="1" x14ac:dyDescent="0.35">
      <c r="A66" s="93" t="s">
        <v>48</v>
      </c>
      <c r="B66" s="112" t="s">
        <v>792</v>
      </c>
      <c r="C66" s="5">
        <f>+IFERROR(VLOOKUP($A66,RAIZ!$A$3:$X$1500,MATCH('Suc. Varas'!$F$1,RAIZ!$A$2:$X$2,0),FALSE),0)</f>
        <v>0</v>
      </c>
      <c r="D66" s="7">
        <v>3</v>
      </c>
      <c r="E66" s="5"/>
      <c r="F66" s="5">
        <f t="shared" si="12"/>
        <v>3</v>
      </c>
      <c r="G66" s="5"/>
      <c r="K66" s="86"/>
      <c r="L66" s="85"/>
    </row>
    <row r="67" spans="1:12" ht="18.75" customHeight="1" x14ac:dyDescent="0.35">
      <c r="A67" s="93" t="s">
        <v>49</v>
      </c>
      <c r="B67" s="112" t="s">
        <v>793</v>
      </c>
      <c r="C67" s="5">
        <f>+IFERROR(VLOOKUP($A67,RAIZ!$A$3:$X$1500,MATCH('Suc. Varas'!$F$1,RAIZ!$A$2:$X$2,0),FALSE),0)</f>
        <v>0</v>
      </c>
      <c r="D67" s="7">
        <v>2</v>
      </c>
      <c r="E67" s="5"/>
      <c r="F67" s="5">
        <f t="shared" si="12"/>
        <v>2</v>
      </c>
      <c r="G67" s="5"/>
      <c r="K67" s="86"/>
      <c r="L67" s="85"/>
    </row>
    <row r="68" spans="1:12" ht="18.75" customHeight="1" x14ac:dyDescent="0.35">
      <c r="A68" s="93" t="s">
        <v>50</v>
      </c>
      <c r="B68" s="112" t="s">
        <v>794</v>
      </c>
      <c r="C68" s="5">
        <f>+IFERROR(VLOOKUP($A68,RAIZ!$A$3:$X$1500,MATCH('Suc. Varas'!$F$1,RAIZ!$A$2:$X$2,0),FALSE),0)</f>
        <v>1</v>
      </c>
      <c r="D68" s="4">
        <v>4</v>
      </c>
      <c r="E68" s="5"/>
      <c r="F68" s="5">
        <f t="shared" si="12"/>
        <v>3</v>
      </c>
      <c r="G68" s="5"/>
      <c r="K68" s="86"/>
      <c r="L68" s="85"/>
    </row>
    <row r="69" spans="1:12" ht="18.75" customHeight="1" x14ac:dyDescent="0.35">
      <c r="A69" s="93" t="s">
        <v>51</v>
      </c>
      <c r="B69" s="112" t="s">
        <v>795</v>
      </c>
      <c r="C69" s="5">
        <f>+IFERROR(VLOOKUP($A69,RAIZ!$A$3:$X$1500,MATCH('Suc. Varas'!$F$1,RAIZ!$A$2:$X$2,0),FALSE),0)</f>
        <v>0</v>
      </c>
      <c r="D69" s="7">
        <v>0</v>
      </c>
      <c r="E69" s="5"/>
      <c r="F69" s="5">
        <f t="shared" si="12"/>
        <v>0</v>
      </c>
      <c r="G69" s="5"/>
      <c r="K69" s="86"/>
      <c r="L69" s="85"/>
    </row>
    <row r="70" spans="1:12" ht="18.75" customHeight="1" x14ac:dyDescent="0.35">
      <c r="A70" s="93" t="s">
        <v>53</v>
      </c>
      <c r="B70" s="112" t="s">
        <v>796</v>
      </c>
      <c r="C70" s="5">
        <f>+IFERROR(VLOOKUP($A70,RAIZ!$A$3:$X$1500,MATCH('Suc. Varas'!$F$1,RAIZ!$A$2:$X$2,0),FALSE),0)</f>
        <v>1</v>
      </c>
      <c r="D70" s="20">
        <v>4</v>
      </c>
      <c r="E70" s="5"/>
      <c r="F70" s="5">
        <f t="shared" si="12"/>
        <v>3</v>
      </c>
      <c r="G70" s="5"/>
      <c r="K70" s="86"/>
      <c r="L70" s="85"/>
    </row>
    <row r="71" spans="1:12" ht="18.75" customHeight="1" x14ac:dyDescent="0.35">
      <c r="A71" s="93" t="s">
        <v>47</v>
      </c>
      <c r="B71" s="112" t="s">
        <v>873</v>
      </c>
      <c r="C71" s="5">
        <f>+IFERROR(VLOOKUP($A71,RAIZ!$A$3:$X$1500,MATCH('Suc. Varas'!$F$1,RAIZ!$A$2:$X$2,0),FALSE),0)</f>
        <v>2</v>
      </c>
      <c r="D71" s="20">
        <v>4</v>
      </c>
      <c r="E71" s="5"/>
      <c r="F71" s="5">
        <f t="shared" ref="F71:F77" si="14">IF(D71-C71&gt;=0,D71-C71,0)</f>
        <v>2</v>
      </c>
      <c r="G71" s="5"/>
      <c r="K71" s="86"/>
      <c r="L71" s="85"/>
    </row>
    <row r="72" spans="1:12" ht="18.75" hidden="1" customHeight="1" x14ac:dyDescent="0.35">
      <c r="A72" s="86" t="s">
        <v>1089</v>
      </c>
      <c r="B72" s="112" t="s">
        <v>1090</v>
      </c>
      <c r="C72" s="5">
        <f>+IFERROR(VLOOKUP($A72,RAIZ!$A$3:$X$1500,MATCH('Suc. Varas'!$F$1,RAIZ!$A$2:$X$2,0),FALSE),0)</f>
        <v>0</v>
      </c>
      <c r="D72" s="20">
        <v>0</v>
      </c>
      <c r="E72" s="5"/>
      <c r="F72" s="5">
        <f>IF(D72-C72&gt;=0,D72-C72,0)</f>
        <v>0</v>
      </c>
      <c r="G72" s="5"/>
    </row>
    <row r="73" spans="1:12" ht="18.75" customHeight="1" x14ac:dyDescent="0.35">
      <c r="A73" s="93"/>
      <c r="B73" s="112"/>
      <c r="C73" s="5">
        <f>+IFERROR(VLOOKUP($A73,RAIZ!$A$3:$X$1500,MATCH('Suc. Varas'!$F$1,RAIZ!$A$2:$X$2,0),FALSE),0)</f>
        <v>0</v>
      </c>
      <c r="D73" s="20"/>
      <c r="E73" s="5"/>
      <c r="F73" s="5">
        <f t="shared" si="14"/>
        <v>0</v>
      </c>
      <c r="G73" s="5"/>
      <c r="K73" s="86"/>
      <c r="L73" s="85"/>
    </row>
    <row r="74" spans="1:12" ht="18.75" customHeight="1" x14ac:dyDescent="0.35">
      <c r="A74" s="93"/>
      <c r="B74" s="112"/>
      <c r="C74" s="5">
        <f>+IFERROR(VLOOKUP($A74,RAIZ!$A$3:$X$1500,MATCH('Suc. Varas'!$F$1,RAIZ!$A$2:$X$2,0),FALSE),0)</f>
        <v>0</v>
      </c>
      <c r="D74" s="20"/>
      <c r="E74" s="5"/>
      <c r="F74" s="5">
        <f t="shared" si="14"/>
        <v>0</v>
      </c>
      <c r="G74" s="5"/>
      <c r="K74" s="86"/>
      <c r="L74" s="85"/>
    </row>
    <row r="75" spans="1:12" ht="18.75" customHeight="1" x14ac:dyDescent="0.35">
      <c r="A75" s="93"/>
      <c r="B75" s="112"/>
      <c r="C75" s="5">
        <f>+IFERROR(VLOOKUP($A75,RAIZ!$A$3:$X$1500,MATCH('Suc. Varas'!$F$1,RAIZ!$A$2:$X$2,0),FALSE),0)</f>
        <v>0</v>
      </c>
      <c r="D75" s="20"/>
      <c r="E75" s="5"/>
      <c r="F75" s="5">
        <f t="shared" si="14"/>
        <v>0</v>
      </c>
      <c r="G75" s="5"/>
      <c r="K75" s="86"/>
      <c r="L75" s="85"/>
    </row>
    <row r="76" spans="1:12" ht="18.75" customHeight="1" x14ac:dyDescent="0.35">
      <c r="A76" s="93"/>
      <c r="B76" s="112"/>
      <c r="C76" s="5">
        <f>+IFERROR(VLOOKUP($A76,RAIZ!$A$3:$X$1500,MATCH('Suc. Varas'!$F$1,RAIZ!$A$2:$X$2,0),FALSE),0)</f>
        <v>0</v>
      </c>
      <c r="D76" s="20"/>
      <c r="E76" s="5"/>
      <c r="F76" s="5">
        <f t="shared" si="14"/>
        <v>0</v>
      </c>
      <c r="G76" s="5"/>
      <c r="K76" s="86"/>
      <c r="L76" s="85"/>
    </row>
    <row r="77" spans="1:12" ht="18.75" customHeight="1" thickBot="1" x14ac:dyDescent="0.4">
      <c r="A77" s="93"/>
      <c r="B77" s="112"/>
      <c r="C77" s="5">
        <f>+IFERROR(VLOOKUP($A77,RAIZ!$A$3:$X$1500,MATCH('Suc. Varas'!$F$1,RAIZ!$A$2:$X$2,0),FALSE),0)</f>
        <v>0</v>
      </c>
      <c r="D77" s="20"/>
      <c r="E77" s="5"/>
      <c r="F77" s="5">
        <f t="shared" si="14"/>
        <v>0</v>
      </c>
      <c r="G77" s="5"/>
      <c r="K77" s="86"/>
      <c r="L77" s="85"/>
    </row>
    <row r="78" spans="1:12" ht="18.75" customHeight="1" thickBot="1" x14ac:dyDescent="0.4">
      <c r="A78" s="99" t="s">
        <v>54</v>
      </c>
      <c r="B78" s="111"/>
      <c r="C78" s="77">
        <f>SUM(C56:C77)</f>
        <v>17</v>
      </c>
      <c r="D78" s="48">
        <f>SUM(D56:D77)</f>
        <v>48</v>
      </c>
      <c r="E78" s="48">
        <f>SUM(E56:E77)</f>
        <v>0</v>
      </c>
      <c r="F78" s="65">
        <f>SUM(F56:F77)</f>
        <v>31</v>
      </c>
      <c r="G78" s="48">
        <f>SUM(G56:G77)</f>
        <v>0</v>
      </c>
      <c r="K78" s="86"/>
      <c r="L78" s="85"/>
    </row>
    <row r="79" spans="1:12" ht="18.75" customHeight="1" thickBot="1" x14ac:dyDescent="0.4">
      <c r="A79" s="103" t="s">
        <v>55</v>
      </c>
      <c r="B79" s="111"/>
      <c r="C79" s="79">
        <f>C18+C32+C49+C52+C55+C78</f>
        <v>47</v>
      </c>
      <c r="D79" s="52">
        <f>D18+D32+D49+D52+D55+D78</f>
        <v>145</v>
      </c>
      <c r="E79" s="52">
        <f>E18+E32+E49+E52+E55+E78</f>
        <v>0</v>
      </c>
      <c r="F79" s="67">
        <f>F18+F32+F49+F52+F55+F78</f>
        <v>98</v>
      </c>
      <c r="G79" s="52">
        <f>G18+G32+G49+G52+G55+G78</f>
        <v>0</v>
      </c>
      <c r="K79" s="86"/>
      <c r="L79" s="85"/>
    </row>
    <row r="80" spans="1:12" ht="18.75" customHeight="1" x14ac:dyDescent="0.35">
      <c r="A80" s="104" t="s">
        <v>56</v>
      </c>
      <c r="B80" s="111"/>
      <c r="C80" s="68"/>
      <c r="D80" s="26"/>
      <c r="E80" s="27"/>
      <c r="F80" s="27"/>
      <c r="G80" s="27"/>
      <c r="K80" s="86"/>
      <c r="L80" s="85"/>
    </row>
    <row r="81" spans="1:12" ht="18.75" customHeight="1" x14ac:dyDescent="0.35">
      <c r="A81" s="94" t="s">
        <v>57</v>
      </c>
      <c r="B81" s="112" t="s">
        <v>797</v>
      </c>
      <c r="C81" s="5">
        <f>+IFERROR(VLOOKUP($A81,RAIZ!$A$3:$X$1500,MATCH('Suc. Varas'!$F$1,RAIZ!$A$2:$X$2,0),FALSE),0)</f>
        <v>0</v>
      </c>
      <c r="D81" s="168">
        <v>0</v>
      </c>
      <c r="E81" s="5"/>
      <c r="F81" s="5">
        <f t="shared" ref="F81:F85" si="15">IF(D81-C81&gt;=0,D81-C81,0)</f>
        <v>0</v>
      </c>
      <c r="G81" s="5"/>
      <c r="K81" s="86"/>
      <c r="L81" s="85"/>
    </row>
    <row r="82" spans="1:12" ht="18.75" customHeight="1" x14ac:dyDescent="0.35">
      <c r="A82" s="94" t="s">
        <v>58</v>
      </c>
      <c r="B82" s="112" t="s">
        <v>867</v>
      </c>
      <c r="C82" s="5">
        <f>+IFERROR(VLOOKUP($A82,RAIZ!$A$3:$X$1500,MATCH('Suc. Varas'!$F$1,RAIZ!$A$2:$X$2,0),FALSE),0)</f>
        <v>0</v>
      </c>
      <c r="D82" s="168">
        <v>0</v>
      </c>
      <c r="E82" s="5"/>
      <c r="F82" s="5">
        <f t="shared" ref="F82" si="16">IF(D82-C82&gt;=0,D82-C82,0)</f>
        <v>0</v>
      </c>
      <c r="G82" s="5"/>
      <c r="K82" s="86"/>
      <c r="L82" s="85"/>
    </row>
    <row r="83" spans="1:12" ht="18.75" customHeight="1" x14ac:dyDescent="0.35">
      <c r="A83" s="94" t="s">
        <v>59</v>
      </c>
      <c r="B83" s="112" t="s">
        <v>798</v>
      </c>
      <c r="C83" s="5">
        <f>+IFERROR(VLOOKUP($A83,RAIZ!$A$3:$X$1500,MATCH('Suc. Varas'!$F$1,RAIZ!$A$2:$X$2,0),FALSE),0)</f>
        <v>0</v>
      </c>
      <c r="D83" s="169">
        <v>0</v>
      </c>
      <c r="E83" s="5"/>
      <c r="F83" s="5">
        <f t="shared" si="15"/>
        <v>0</v>
      </c>
      <c r="G83" s="5"/>
    </row>
    <row r="84" spans="1:12" ht="18.75" customHeight="1" x14ac:dyDescent="0.35">
      <c r="A84" s="94" t="s">
        <v>60</v>
      </c>
      <c r="B84" s="112" t="s">
        <v>799</v>
      </c>
      <c r="C84" s="5">
        <f>+IFERROR(VLOOKUP($A84,RAIZ!$A$3:$X$1500,MATCH('Suc. Varas'!$F$1,RAIZ!$A$2:$X$2,0),FALSE),0)</f>
        <v>0</v>
      </c>
      <c r="D84" s="169">
        <v>0</v>
      </c>
      <c r="E84" s="5"/>
      <c r="F84" s="5">
        <f t="shared" si="15"/>
        <v>0</v>
      </c>
      <c r="G84" s="5"/>
    </row>
    <row r="85" spans="1:12" ht="18.75" customHeight="1" x14ac:dyDescent="0.35">
      <c r="A85" s="94" t="s">
        <v>61</v>
      </c>
      <c r="B85" s="112" t="s">
        <v>800</v>
      </c>
      <c r="C85" s="5">
        <f>+IFERROR(VLOOKUP($A85,RAIZ!$A$3:$X$1500,MATCH('Suc. Varas'!$F$1,RAIZ!$A$2:$X$2,0),FALSE),0)</f>
        <v>0</v>
      </c>
      <c r="D85" s="7">
        <v>1</v>
      </c>
      <c r="E85" s="5"/>
      <c r="F85" s="5">
        <f t="shared" si="15"/>
        <v>1</v>
      </c>
      <c r="G85" s="5"/>
    </row>
    <row r="86" spans="1:12" ht="18.75" customHeight="1" x14ac:dyDescent="0.35">
      <c r="A86" s="94" t="s">
        <v>63</v>
      </c>
      <c r="B86" s="112" t="s">
        <v>801</v>
      </c>
      <c r="C86" s="5">
        <f>+IFERROR(VLOOKUP($A86,RAIZ!$A$3:$X$1500,MATCH('Suc. Varas'!$F$1,RAIZ!$A$2:$X$2,0),FALSE),0)</f>
        <v>0</v>
      </c>
      <c r="D86" s="7">
        <v>2</v>
      </c>
      <c r="E86" s="5"/>
      <c r="F86" s="5">
        <f t="shared" ref="F86:F90" si="17">IF(D86-C86&gt;=0,D86-C86,0)</f>
        <v>2</v>
      </c>
      <c r="G86" s="5"/>
    </row>
    <row r="87" spans="1:12" ht="18.75" customHeight="1" x14ac:dyDescent="0.35">
      <c r="A87" s="94"/>
      <c r="B87" s="112" t="s">
        <v>1091</v>
      </c>
      <c r="C87" s="5">
        <f>+IFERROR(VLOOKUP($A87,RAIZ!$A$3:$X$1500,MATCH('Suc. Varas'!$F$1,RAIZ!$A$2:$X$2,0),FALSE),0)</f>
        <v>0</v>
      </c>
      <c r="D87" s="20"/>
      <c r="E87" s="5"/>
      <c r="F87" s="5">
        <f>IF(D87-C87&gt;=0,D87-C87,0)</f>
        <v>0</v>
      </c>
      <c r="G87" s="5"/>
    </row>
    <row r="88" spans="1:12" ht="18.75" customHeight="1" x14ac:dyDescent="0.35">
      <c r="A88" s="94"/>
      <c r="B88" s="112" t="s">
        <v>1094</v>
      </c>
      <c r="C88" s="5">
        <f>+IFERROR(VLOOKUP($A88,RAIZ!$A$3:$X$1500,MATCH('Suc. Varas'!$F$1,RAIZ!$A$2:$X$2,0),FALSE),0)</f>
        <v>0</v>
      </c>
      <c r="D88" s="7"/>
      <c r="E88" s="5"/>
      <c r="F88" s="5">
        <f t="shared" si="17"/>
        <v>0</v>
      </c>
      <c r="G88" s="5"/>
    </row>
    <row r="89" spans="1:12" ht="18.75" customHeight="1" x14ac:dyDescent="0.35">
      <c r="A89" s="94"/>
      <c r="B89" s="112" t="s">
        <v>1095</v>
      </c>
      <c r="C89" s="5">
        <f>+IFERROR(VLOOKUP($A89,RAIZ!$A$3:$X$1500,MATCH('Suc. Varas'!$F$1,RAIZ!$A$2:$X$2,0),FALSE),0)</f>
        <v>0</v>
      </c>
      <c r="D89" s="7"/>
      <c r="E89" s="5"/>
      <c r="F89" s="5">
        <f t="shared" si="17"/>
        <v>0</v>
      </c>
      <c r="G89" s="5"/>
    </row>
    <row r="90" spans="1:12" ht="18.75" customHeight="1" thickBot="1" x14ac:dyDescent="0.4">
      <c r="A90" s="94"/>
      <c r="B90" s="112" t="s">
        <v>1093</v>
      </c>
      <c r="C90" s="5">
        <f>+IFERROR(VLOOKUP($A90,RAIZ!$A$3:$X$1500,MATCH('Suc. Varas'!$F$1,RAIZ!$A$2:$X$2,0),FALSE),0)</f>
        <v>0</v>
      </c>
      <c r="D90" s="7"/>
      <c r="E90" s="5"/>
      <c r="F90" s="5">
        <f t="shared" si="17"/>
        <v>0</v>
      </c>
      <c r="G90" s="5"/>
    </row>
    <row r="91" spans="1:12" ht="18.75" customHeight="1" thickBot="1" x14ac:dyDescent="0.4">
      <c r="A91" s="105" t="s">
        <v>55</v>
      </c>
      <c r="B91" s="111"/>
      <c r="C91" s="80">
        <f>SUM(C81:C90)</f>
        <v>0</v>
      </c>
      <c r="D91" s="54">
        <f>SUM(D81:D90)</f>
        <v>3</v>
      </c>
      <c r="E91" s="54">
        <f>SUM(E81:E90)</f>
        <v>0</v>
      </c>
      <c r="F91" s="69">
        <f>SUM(F81:F90)</f>
        <v>3</v>
      </c>
      <c r="G91" s="54">
        <f>SUM(G81:G90)</f>
        <v>0</v>
      </c>
    </row>
    <row r="92" spans="1:12" ht="18.75" customHeight="1" x14ac:dyDescent="0.35">
      <c r="A92" s="106" t="s">
        <v>64</v>
      </c>
      <c r="B92" s="111"/>
      <c r="C92" s="70"/>
      <c r="D92" s="30"/>
      <c r="E92" s="31"/>
      <c r="F92" s="31"/>
      <c r="G92" s="31"/>
    </row>
    <row r="93" spans="1:12" ht="18.75" customHeight="1" x14ac:dyDescent="0.35">
      <c r="A93" s="94" t="s">
        <v>65</v>
      </c>
      <c r="B93" s="112" t="s">
        <v>802</v>
      </c>
      <c r="C93" s="5">
        <f>+IFERROR(VLOOKUP($A93,RAIZ!$A$3:$X$1500,MATCH('Suc. Varas'!$F$1,RAIZ!$A$2:$X$2,0),FALSE),0)</f>
        <v>0</v>
      </c>
      <c r="D93" s="4">
        <v>2</v>
      </c>
      <c r="E93" s="5"/>
      <c r="F93" s="5">
        <f t="shared" ref="F93:F104" si="18">IF(D93-C93&gt;=0,D93-C93,0)</f>
        <v>2</v>
      </c>
      <c r="G93" s="5"/>
    </row>
    <row r="94" spans="1:12" ht="18.75" customHeight="1" x14ac:dyDescent="0.35">
      <c r="A94" s="94" t="s">
        <v>66</v>
      </c>
      <c r="B94" s="112" t="s">
        <v>803</v>
      </c>
      <c r="C94" s="5">
        <f>+IFERROR(VLOOKUP($A94,RAIZ!$A$3:$X$1500,MATCH('Suc. Varas'!$F$1,RAIZ!$A$2:$X$2,0),FALSE),0)</f>
        <v>1</v>
      </c>
      <c r="D94" s="7">
        <v>2</v>
      </c>
      <c r="E94" s="5"/>
      <c r="F94" s="5">
        <f t="shared" si="18"/>
        <v>1</v>
      </c>
      <c r="G94" s="5"/>
    </row>
    <row r="95" spans="1:12" ht="18.75" customHeight="1" x14ac:dyDescent="0.35">
      <c r="A95" s="94" t="s">
        <v>68</v>
      </c>
      <c r="B95" s="112" t="s">
        <v>805</v>
      </c>
      <c r="C95" s="5">
        <f>+IFERROR(VLOOKUP($A95,RAIZ!$A$3:$X$1500,MATCH('Suc. Varas'!$F$1,RAIZ!$A$2:$X$2,0),FALSE),0)</f>
        <v>0</v>
      </c>
      <c r="D95" s="7">
        <v>2</v>
      </c>
      <c r="E95" s="5"/>
      <c r="F95" s="5">
        <f t="shared" si="18"/>
        <v>2</v>
      </c>
      <c r="G95" s="5"/>
    </row>
    <row r="96" spans="1:12" ht="18.75" customHeight="1" x14ac:dyDescent="0.35">
      <c r="A96" s="94" t="s">
        <v>69</v>
      </c>
      <c r="B96" s="112" t="s">
        <v>806</v>
      </c>
      <c r="C96" s="5">
        <f>+IFERROR(VLOOKUP($A96,RAIZ!$A$3:$X$1500,MATCH('Suc. Varas'!$F$1,RAIZ!$A$2:$X$2,0),FALSE),0)</f>
        <v>0</v>
      </c>
      <c r="D96" s="7">
        <v>6</v>
      </c>
      <c r="E96" s="5"/>
      <c r="F96" s="5">
        <f t="shared" si="18"/>
        <v>6</v>
      </c>
      <c r="G96" s="5"/>
    </row>
    <row r="97" spans="1:7" ht="18.75" customHeight="1" x14ac:dyDescent="0.35">
      <c r="A97" s="94" t="s">
        <v>70</v>
      </c>
      <c r="B97" s="112" t="s">
        <v>807</v>
      </c>
      <c r="C97" s="5">
        <f>+IFERROR(VLOOKUP($A97,RAIZ!$A$3:$X$1500,MATCH('Suc. Varas'!$F$1,RAIZ!$A$2:$X$2,0),FALSE),0)</f>
        <v>0</v>
      </c>
      <c r="D97" s="7">
        <v>6</v>
      </c>
      <c r="E97" s="5"/>
      <c r="F97" s="5">
        <f t="shared" si="18"/>
        <v>6</v>
      </c>
      <c r="G97" s="5"/>
    </row>
    <row r="98" spans="1:7" ht="18.75" customHeight="1" x14ac:dyDescent="0.35">
      <c r="A98" s="94" t="s">
        <v>857</v>
      </c>
      <c r="B98" s="112" t="s">
        <v>808</v>
      </c>
      <c r="C98" s="5">
        <f>+IFERROR(VLOOKUP($A98,RAIZ!$A$3:$X$1500,MATCH('Suc. Varas'!$F$1,RAIZ!$A$2:$X$2,0),FALSE),0)</f>
        <v>0</v>
      </c>
      <c r="D98" s="7">
        <v>4</v>
      </c>
      <c r="E98" s="201">
        <v>10</v>
      </c>
      <c r="F98" s="5">
        <f t="shared" si="18"/>
        <v>4</v>
      </c>
      <c r="G98" s="5"/>
    </row>
    <row r="99" spans="1:7" ht="18.75" customHeight="1" x14ac:dyDescent="0.35">
      <c r="A99" s="94" t="s">
        <v>835</v>
      </c>
      <c r="B99" s="112" t="s">
        <v>836</v>
      </c>
      <c r="C99" s="5">
        <f>+IFERROR(VLOOKUP($A99,RAIZ!$A$3:$X$1500,MATCH('Suc. Varas'!$F$1,RAIZ!$A$2:$X$2,0),FALSE),0)</f>
        <v>0</v>
      </c>
      <c r="D99" s="7">
        <v>2</v>
      </c>
      <c r="E99" s="5"/>
      <c r="F99" s="5">
        <f t="shared" si="18"/>
        <v>2</v>
      </c>
      <c r="G99" s="5"/>
    </row>
    <row r="100" spans="1:7" ht="18.75" customHeight="1" x14ac:dyDescent="0.35">
      <c r="A100" s="94" t="s">
        <v>72</v>
      </c>
      <c r="B100" s="112" t="s">
        <v>834</v>
      </c>
      <c r="C100" s="5">
        <f>+IFERROR(VLOOKUP($A100,RAIZ!$A$3:$X$1500,MATCH('Suc. Varas'!$F$1,RAIZ!$A$2:$X$2,0),FALSE),0)</f>
        <v>0</v>
      </c>
      <c r="D100" s="7">
        <v>30</v>
      </c>
      <c r="E100" s="5"/>
      <c r="F100" s="5">
        <f t="shared" si="18"/>
        <v>30</v>
      </c>
      <c r="G100" s="5"/>
    </row>
    <row r="101" spans="1:7" ht="18.75" customHeight="1" x14ac:dyDescent="0.35">
      <c r="A101" s="94" t="s">
        <v>73</v>
      </c>
      <c r="B101" s="112" t="s">
        <v>809</v>
      </c>
      <c r="C101" s="5">
        <f>+IFERROR(VLOOKUP($A101,RAIZ!$A$3:$X$1500,MATCH('Suc. Varas'!$F$1,RAIZ!$A$2:$X$2,0),FALSE),0)</f>
        <v>0</v>
      </c>
      <c r="D101" s="7">
        <v>1</v>
      </c>
      <c r="E101" s="5"/>
      <c r="F101" s="5">
        <f t="shared" si="18"/>
        <v>1</v>
      </c>
      <c r="G101" s="5"/>
    </row>
    <row r="102" spans="1:7" ht="18.75" customHeight="1" x14ac:dyDescent="0.35">
      <c r="A102" s="94" t="s">
        <v>74</v>
      </c>
      <c r="B102" s="112" t="s">
        <v>810</v>
      </c>
      <c r="C102" s="5">
        <f>+IFERROR(VLOOKUP($A102,RAIZ!$A$3:$X$1500,MATCH('Suc. Varas'!$F$1,RAIZ!$A$2:$X$2,0),FALSE),0)</f>
        <v>0</v>
      </c>
      <c r="D102" s="7">
        <v>2</v>
      </c>
      <c r="E102" s="5"/>
      <c r="F102" s="5">
        <f t="shared" si="18"/>
        <v>2</v>
      </c>
      <c r="G102" s="5"/>
    </row>
    <row r="103" spans="1:7" ht="18.75" customHeight="1" x14ac:dyDescent="0.35">
      <c r="A103" s="94" t="s">
        <v>75</v>
      </c>
      <c r="B103" s="112" t="s">
        <v>811</v>
      </c>
      <c r="C103" s="5">
        <f>+IFERROR(VLOOKUP($A103,RAIZ!$A$3:$X$1500,MATCH('Suc. Varas'!$F$1,RAIZ!$A$2:$X$2,0),FALSE),0)</f>
        <v>2</v>
      </c>
      <c r="D103" s="20">
        <v>2</v>
      </c>
      <c r="E103" s="5"/>
      <c r="F103" s="5">
        <f t="shared" si="18"/>
        <v>0</v>
      </c>
      <c r="G103" s="5"/>
    </row>
    <row r="104" spans="1:7" ht="18.75" customHeight="1" thickBot="1" x14ac:dyDescent="0.4">
      <c r="A104" s="94"/>
      <c r="B104" s="112" t="s">
        <v>1096</v>
      </c>
      <c r="C104" s="5">
        <f>+IFERROR(VLOOKUP($A104,RAIZ!$A$3:$X$1500,MATCH('Suc. Varas'!$F$1,RAIZ!$A$2:$X$2,0),FALSE),0)</f>
        <v>0</v>
      </c>
      <c r="D104" s="7"/>
      <c r="E104" s="5"/>
      <c r="F104" s="5">
        <f t="shared" si="18"/>
        <v>0</v>
      </c>
      <c r="G104" s="5"/>
    </row>
    <row r="105" spans="1:7" ht="18.75" customHeight="1" thickBot="1" x14ac:dyDescent="0.4">
      <c r="A105" s="107" t="s">
        <v>55</v>
      </c>
      <c r="B105" s="111"/>
      <c r="C105" s="81">
        <f>SUM(C93:C104)</f>
        <v>3</v>
      </c>
      <c r="D105" s="56">
        <f>SUM(D93:D104)</f>
        <v>59</v>
      </c>
      <c r="E105" s="56">
        <f>SUM(E93:E104)</f>
        <v>10</v>
      </c>
      <c r="F105" s="71">
        <f>SUM(F93:F104)</f>
        <v>56</v>
      </c>
      <c r="G105" s="56">
        <f>SUM(G93:G104)</f>
        <v>0</v>
      </c>
    </row>
    <row r="106" spans="1:7" ht="18.75" customHeight="1" x14ac:dyDescent="0.35">
      <c r="A106" s="108" t="s">
        <v>76</v>
      </c>
      <c r="B106" s="111"/>
      <c r="C106" s="72"/>
      <c r="D106" s="34"/>
      <c r="E106" s="35"/>
      <c r="F106" s="35"/>
      <c r="G106" s="35"/>
    </row>
    <row r="107" spans="1:7" ht="18.75" customHeight="1" x14ac:dyDescent="0.35">
      <c r="A107" s="94" t="s">
        <v>77</v>
      </c>
      <c r="B107" s="112" t="s">
        <v>812</v>
      </c>
      <c r="C107" s="5">
        <f>+IFERROR(VLOOKUP($A107,RAIZ!$A$3:$X$1500,MATCH('Suc. Varas'!$F$1,RAIZ!$A$2:$X$2,0),FALSE),0)</f>
        <v>0</v>
      </c>
      <c r="D107" s="7">
        <v>2</v>
      </c>
      <c r="E107" s="5"/>
      <c r="F107" s="5">
        <f t="shared" ref="F107:F112" si="19">IF(D107-C107&gt;=0,D107-C107,0)</f>
        <v>2</v>
      </c>
      <c r="G107" s="5"/>
    </row>
    <row r="108" spans="1:7" ht="18.75" customHeight="1" x14ac:dyDescent="0.35">
      <c r="A108" s="94" t="s">
        <v>621</v>
      </c>
      <c r="B108" s="112" t="s">
        <v>813</v>
      </c>
      <c r="C108" s="5">
        <f>+IFERROR(VLOOKUP($A108,RAIZ!$A$3:$X$1500,MATCH('Suc. Varas'!$F$1,RAIZ!$A$2:$X$2,0),FALSE),0)</f>
        <v>0</v>
      </c>
      <c r="D108" s="7">
        <v>0</v>
      </c>
      <c r="E108" s="5"/>
      <c r="F108" s="5">
        <f t="shared" si="19"/>
        <v>0</v>
      </c>
      <c r="G108" s="5"/>
    </row>
    <row r="109" spans="1:7" ht="18.75" customHeight="1" x14ac:dyDescent="0.35">
      <c r="A109" s="94" t="s">
        <v>80</v>
      </c>
      <c r="B109" s="112" t="s">
        <v>815</v>
      </c>
      <c r="C109" s="5">
        <f>+IFERROR(VLOOKUP($A109,RAIZ!$A$3:$X$1500,MATCH('Suc. Varas'!$F$1,RAIZ!$A$2:$X$2,0),FALSE),0)</f>
        <v>14</v>
      </c>
      <c r="D109" s="7">
        <v>8</v>
      </c>
      <c r="E109" s="5"/>
      <c r="F109" s="5">
        <f t="shared" si="19"/>
        <v>0</v>
      </c>
      <c r="G109" s="5"/>
    </row>
    <row r="110" spans="1:7" ht="18.75" customHeight="1" x14ac:dyDescent="0.35">
      <c r="A110" s="94" t="s">
        <v>81</v>
      </c>
      <c r="B110" s="112" t="s">
        <v>816</v>
      </c>
      <c r="C110" s="5">
        <f>+IFERROR(VLOOKUP($A110,RAIZ!$A$3:$X$1500,MATCH('Suc. Varas'!$F$1,RAIZ!$A$2:$X$2,0),FALSE),0)</f>
        <v>5</v>
      </c>
      <c r="D110" s="7">
        <v>8</v>
      </c>
      <c r="E110" s="5"/>
      <c r="F110" s="5">
        <f t="shared" si="19"/>
        <v>3</v>
      </c>
      <c r="G110" s="5"/>
    </row>
    <row r="111" spans="1:7" ht="18.75" customHeight="1" x14ac:dyDescent="0.35">
      <c r="A111" s="95" t="s">
        <v>83</v>
      </c>
      <c r="B111" s="112" t="s">
        <v>818</v>
      </c>
      <c r="C111" s="5">
        <f>+IFERROR(VLOOKUP($A111,RAIZ!$A$3:$X$1500,MATCH('Suc. Varas'!$F$1,RAIZ!$A$2:$X$2,0),FALSE),0)</f>
        <v>0</v>
      </c>
      <c r="D111" s="20">
        <v>2</v>
      </c>
      <c r="E111" s="5"/>
      <c r="F111" s="5">
        <f t="shared" si="19"/>
        <v>2</v>
      </c>
      <c r="G111" s="5"/>
    </row>
    <row r="112" spans="1:7" ht="18.75" customHeight="1" thickBot="1" x14ac:dyDescent="0.4">
      <c r="A112" s="95"/>
      <c r="B112" s="112"/>
      <c r="C112" s="5">
        <f>+IFERROR(VLOOKUP($A112,RAIZ!$A$3:$X$1500,MATCH('Suc. Varas'!$F$1,RAIZ!$A$2:$X$2,0),FALSE),0)</f>
        <v>0</v>
      </c>
      <c r="D112" s="20"/>
      <c r="E112" s="5"/>
      <c r="F112" s="5">
        <f t="shared" si="19"/>
        <v>0</v>
      </c>
      <c r="G112" s="5"/>
    </row>
    <row r="113" spans="1:7" ht="18.75" customHeight="1" thickBot="1" x14ac:dyDescent="0.4">
      <c r="A113" s="109" t="s">
        <v>55</v>
      </c>
      <c r="B113" s="111"/>
      <c r="C113" s="82">
        <f>SUM(C107:C112,C114:C116)</f>
        <v>21</v>
      </c>
      <c r="D113" s="58">
        <f>SUM(D107:D112,D114:D116)</f>
        <v>26</v>
      </c>
      <c r="E113" s="58">
        <f>SUM(E107:E112,E114:E116)</f>
        <v>0</v>
      </c>
      <c r="F113" s="73">
        <f>SUM(F107:F112,F114:F116)</f>
        <v>11</v>
      </c>
      <c r="G113" s="58">
        <f>SUM(G107:G112,G114:G116)</f>
        <v>0</v>
      </c>
    </row>
    <row r="114" spans="1:7" ht="18.75" customHeight="1" x14ac:dyDescent="0.35">
      <c r="A114" s="93" t="s">
        <v>84</v>
      </c>
      <c r="B114" s="112" t="s">
        <v>819</v>
      </c>
      <c r="C114" s="5">
        <f>+IFERROR(VLOOKUP($A114,RAIZ!$A$3:$X$1500,MATCH('Suc. Varas'!$F$1,RAIZ!$A$2:$X$2,0),FALSE),0)</f>
        <v>1</v>
      </c>
      <c r="D114" s="4">
        <v>2</v>
      </c>
      <c r="E114" s="5"/>
      <c r="F114" s="5">
        <f t="shared" ref="F114" si="20">IF(D114-C114&gt;=0,D114-C114,0)</f>
        <v>1</v>
      </c>
      <c r="G114" s="5"/>
    </row>
    <row r="115" spans="1:7" ht="18.75" customHeight="1" x14ac:dyDescent="0.35">
      <c r="A115" s="95" t="s">
        <v>85</v>
      </c>
      <c r="B115" s="112" t="s">
        <v>820</v>
      </c>
      <c r="C115" s="5">
        <f>+IFERROR(VLOOKUP($A115,RAIZ!$A$3:$X$1500,MATCH('Suc. Varas'!$F$1,RAIZ!$A$2:$X$2,0),FALSE),0)</f>
        <v>1</v>
      </c>
      <c r="D115" s="20">
        <v>2</v>
      </c>
      <c r="E115" s="5"/>
      <c r="F115" s="5">
        <f t="shared" ref="F115:F141" si="21">IF(D115-C115&gt;=0,D115-C115,0)</f>
        <v>1</v>
      </c>
      <c r="G115" s="5"/>
    </row>
    <row r="116" spans="1:7" ht="18.75" customHeight="1" thickBot="1" x14ac:dyDescent="0.4">
      <c r="A116" s="95" t="s">
        <v>881</v>
      </c>
      <c r="B116" s="112" t="s">
        <v>882</v>
      </c>
      <c r="C116" s="5">
        <f>+IFERROR(VLOOKUP($A116,RAIZ!$A$3:$X$1500,MATCH('Suc. Varas'!$F$1,RAIZ!$A$2:$X$2,0),FALSE),0)</f>
        <v>0</v>
      </c>
      <c r="D116" s="20">
        <v>2</v>
      </c>
      <c r="E116" s="5"/>
      <c r="F116" s="5">
        <f t="shared" si="21"/>
        <v>2</v>
      </c>
      <c r="G116" s="5"/>
    </row>
    <row r="117" spans="1:7" ht="18.75" customHeight="1" thickBot="1" x14ac:dyDescent="0.4">
      <c r="A117" s="110" t="s">
        <v>86</v>
      </c>
      <c r="B117" s="111"/>
      <c r="C117" s="83">
        <f>C79+C91+C105+C113</f>
        <v>71</v>
      </c>
      <c r="D117" s="60">
        <f>D79+D91+D105+D113</f>
        <v>233</v>
      </c>
      <c r="E117" s="60">
        <f>E79+E91+E105+E113</f>
        <v>10</v>
      </c>
      <c r="F117" s="74">
        <f>F79+F91+F105+F113</f>
        <v>168</v>
      </c>
      <c r="G117" s="60">
        <f>G79+G91+G105+G113</f>
        <v>0</v>
      </c>
    </row>
    <row r="118" spans="1:7" ht="18.75" customHeight="1" x14ac:dyDescent="0.35">
      <c r="A118" s="95" t="s">
        <v>975</v>
      </c>
      <c r="B118" s="112" t="s">
        <v>976</v>
      </c>
      <c r="C118" s="5">
        <f>+IFERROR(VLOOKUP($A118,RAIZ!$A$3:$X$1500,MATCH('Suc. Varas'!$F$1,RAIZ!$A$2:$X$2,0),FALSE),0)</f>
        <v>0</v>
      </c>
      <c r="D118" s="20">
        <v>6</v>
      </c>
      <c r="E118" s="5"/>
      <c r="F118" s="5">
        <f>IF(D118-C118&gt;=0,D118-C118,0)</f>
        <v>6</v>
      </c>
      <c r="G118" s="5"/>
    </row>
    <row r="119" spans="1:7" ht="18.75" customHeight="1" x14ac:dyDescent="0.35">
      <c r="A119" s="95" t="s">
        <v>974</v>
      </c>
      <c r="B119" s="112" t="s">
        <v>977</v>
      </c>
      <c r="C119" s="5">
        <f>+IFERROR(VLOOKUP($A119,RAIZ!$A$3:$X$1500,MATCH('Suc. Varas'!$F$1,RAIZ!$A$2:$X$2,0),FALSE),0)</f>
        <v>0</v>
      </c>
      <c r="D119" s="20">
        <v>6</v>
      </c>
      <c r="E119" s="5"/>
      <c r="F119" s="5">
        <f t="shared" si="21"/>
        <v>6</v>
      </c>
      <c r="G119" s="5"/>
    </row>
    <row r="120" spans="1:7" ht="18.75" customHeight="1" thickBot="1" x14ac:dyDescent="0.4">
      <c r="A120" s="95" t="s">
        <v>1077</v>
      </c>
      <c r="B120" s="112" t="s">
        <v>817</v>
      </c>
      <c r="C120" s="5">
        <f>+IFERROR(VLOOKUP($A120,RAIZ!$A$3:$X$1500,MATCH('Suc. Varas'!$F$1,RAIZ!$A$2:$X$2,0),FALSE),0)</f>
        <v>0</v>
      </c>
      <c r="D120" s="20">
        <v>0</v>
      </c>
      <c r="E120" s="5"/>
      <c r="F120" s="5">
        <f t="shared" si="21"/>
        <v>0</v>
      </c>
      <c r="G120" s="5"/>
    </row>
    <row r="121" spans="1:7" ht="18.75" customHeight="1" thickBot="1" x14ac:dyDescent="0.4">
      <c r="A121" s="95" t="s">
        <v>1076</v>
      </c>
      <c r="B121" s="194" t="s">
        <v>1121</v>
      </c>
      <c r="C121" s="5">
        <f>+IFERROR(VLOOKUP($A121,RAIZ!$A$3:$X$1500,MATCH('Suc. Varas'!$F$1,RAIZ!$A$2:$X$2,0),FALSE),0)</f>
        <v>0</v>
      </c>
      <c r="D121" s="20">
        <v>0</v>
      </c>
      <c r="E121" s="5"/>
      <c r="F121" s="5">
        <f t="shared" si="21"/>
        <v>0</v>
      </c>
      <c r="G121" s="5"/>
    </row>
    <row r="122" spans="1:7" ht="18.75" customHeight="1" thickBot="1" x14ac:dyDescent="0.4">
      <c r="A122" s="95" t="s">
        <v>1014</v>
      </c>
      <c r="B122" s="194" t="s">
        <v>1010</v>
      </c>
      <c r="C122" s="5">
        <f>+IFERROR(VLOOKUP($A122,RAIZ!$A$3:$X$1500,MATCH('Suc. Varas'!$F$1,RAIZ!$A$2:$X$2,0),FALSE),0)</f>
        <v>4</v>
      </c>
      <c r="D122" s="20">
        <v>10</v>
      </c>
      <c r="E122" s="5"/>
      <c r="F122" s="5">
        <f t="shared" si="21"/>
        <v>6</v>
      </c>
      <c r="G122" s="5"/>
    </row>
    <row r="123" spans="1:7" ht="18.75" customHeight="1" thickBot="1" x14ac:dyDescent="0.4">
      <c r="A123" s="95" t="s">
        <v>1015</v>
      </c>
      <c r="B123" s="194" t="s">
        <v>1011</v>
      </c>
      <c r="C123" s="147">
        <f>+IFERROR(VLOOKUP($A123,RAIZ!$A$3:$X$1500,MATCH('Suc. Varas'!$F$1,RAIZ!$A$2:$X$2,0),FALSE),0)</f>
        <v>14</v>
      </c>
      <c r="D123" s="20">
        <v>5</v>
      </c>
      <c r="E123" s="5"/>
      <c r="F123" s="5">
        <f t="shared" si="21"/>
        <v>0</v>
      </c>
      <c r="G123" s="5"/>
    </row>
    <row r="124" spans="1:7" ht="18.75" customHeight="1" thickBot="1" x14ac:dyDescent="0.4">
      <c r="A124" s="95" t="s">
        <v>1016</v>
      </c>
      <c r="B124" s="194" t="s">
        <v>1012</v>
      </c>
      <c r="C124" s="147">
        <f>+IFERROR(VLOOKUP($A124,RAIZ!$A$3:$X$1500,MATCH('Suc. Varas'!$F$1,RAIZ!$A$2:$X$2,0),FALSE),0)</f>
        <v>0</v>
      </c>
      <c r="D124" s="20">
        <v>10</v>
      </c>
      <c r="E124" s="5"/>
      <c r="F124" s="5">
        <f t="shared" si="21"/>
        <v>10</v>
      </c>
      <c r="G124" s="5"/>
    </row>
    <row r="125" spans="1:7" ht="18.75" customHeight="1" thickBot="1" x14ac:dyDescent="0.4">
      <c r="A125" s="95" t="s">
        <v>1017</v>
      </c>
      <c r="B125" s="194" t="s">
        <v>1013</v>
      </c>
      <c r="C125" s="147">
        <f>+IFERROR(VLOOKUP($A125,RAIZ!$A$3:$X$1500,MATCH('Suc. Varas'!$F$1,RAIZ!$A$2:$X$2,0),FALSE),0)</f>
        <v>2</v>
      </c>
      <c r="D125" s="18">
        <v>10</v>
      </c>
      <c r="E125" s="5"/>
      <c r="F125" s="5">
        <f t="shared" si="21"/>
        <v>8</v>
      </c>
      <c r="G125" s="5"/>
    </row>
    <row r="126" spans="1:7" ht="18.75" customHeight="1" thickBot="1" x14ac:dyDescent="0.4">
      <c r="A126" s="95" t="s">
        <v>1125</v>
      </c>
      <c r="B126" s="194" t="s">
        <v>1127</v>
      </c>
      <c r="C126" s="147">
        <f>+IFERROR(VLOOKUP($A126,RAIZ!$A$3:$X$1500,MATCH('Suc. Varas'!$F$1,RAIZ!$A$2:$X$2,0),FALSE),0)</f>
        <v>1</v>
      </c>
      <c r="D126" s="20"/>
      <c r="E126" s="5"/>
      <c r="F126" s="5">
        <f t="shared" si="21"/>
        <v>0</v>
      </c>
      <c r="G126" s="5"/>
    </row>
    <row r="127" spans="1:7" ht="18.75" customHeight="1" thickBot="1" x14ac:dyDescent="0.4">
      <c r="A127" s="95" t="s">
        <v>1126</v>
      </c>
      <c r="B127" s="194" t="s">
        <v>1128</v>
      </c>
      <c r="C127" s="147">
        <f>+IFERROR(VLOOKUP($A127,RAIZ!$A$3:$X$1500,MATCH('Suc. Varas'!$F$1,RAIZ!$A$2:$X$2,0),FALSE),0)</f>
        <v>0</v>
      </c>
      <c r="D127" s="18"/>
      <c r="E127" s="184"/>
      <c r="F127" s="184">
        <f t="shared" si="21"/>
        <v>0</v>
      </c>
      <c r="G127" s="181"/>
    </row>
    <row r="128" spans="1:7" ht="18.75" customHeight="1" thickBot="1" x14ac:dyDescent="0.4">
      <c r="A128" s="95" t="s">
        <v>568</v>
      </c>
      <c r="B128" s="194" t="s">
        <v>1131</v>
      </c>
      <c r="C128" s="186">
        <f>+IFERROR(VLOOKUP($A128,RAIZ!$A$3:$X$1500,MATCH('Suc. Varas'!$F$1,RAIZ!$A$2:$X$2,0),FALSE),0)</f>
        <v>0</v>
      </c>
      <c r="D128" s="18">
        <v>3</v>
      </c>
      <c r="E128" s="185"/>
      <c r="F128" s="185">
        <f t="shared" si="21"/>
        <v>3</v>
      </c>
      <c r="G128" s="185"/>
    </row>
    <row r="129" spans="1:7" ht="18.75" customHeight="1" thickBot="1" x14ac:dyDescent="0.4">
      <c r="A129" s="95" t="s">
        <v>565</v>
      </c>
      <c r="B129" s="194" t="s">
        <v>1142</v>
      </c>
      <c r="C129" s="187">
        <f>+IFERROR(VLOOKUP($A129,RAIZ!$A$3:$X$1500,MATCH('Suc. Varas'!$F$1,RAIZ!$A$2:$X$2,0),FALSE),0)</f>
        <v>1</v>
      </c>
      <c r="D129" s="18">
        <v>2</v>
      </c>
      <c r="E129" s="185"/>
      <c r="F129" s="185">
        <f t="shared" si="21"/>
        <v>1</v>
      </c>
      <c r="G129" s="185"/>
    </row>
    <row r="130" spans="1:7" ht="18.75" customHeight="1" thickBot="1" x14ac:dyDescent="0.4">
      <c r="A130" s="95" t="s">
        <v>912</v>
      </c>
      <c r="B130" s="194" t="s">
        <v>1136</v>
      </c>
      <c r="C130" s="187">
        <f>+IFERROR(VLOOKUP($A130,RAIZ!$A$3:$X$1500,MATCH('Suc. Varas'!$F$1,RAIZ!$A$2:$X$2,0),FALSE),0)</f>
        <v>1</v>
      </c>
      <c r="D130" s="18">
        <v>2</v>
      </c>
      <c r="E130" s="185"/>
      <c r="F130" s="185">
        <f t="shared" si="21"/>
        <v>1</v>
      </c>
      <c r="G130" s="185"/>
    </row>
    <row r="131" spans="1:7" ht="18.75" customHeight="1" thickBot="1" x14ac:dyDescent="0.4">
      <c r="A131" s="95" t="s">
        <v>557</v>
      </c>
      <c r="B131" s="194" t="s">
        <v>1137</v>
      </c>
      <c r="C131" s="187">
        <f>+IFERROR(VLOOKUP($A131,RAIZ!$A$3:$X$1500,MATCH('Suc. Varas'!$F$1,RAIZ!$A$2:$X$2,0),FALSE),0)</f>
        <v>1</v>
      </c>
      <c r="D131" s="18">
        <v>2</v>
      </c>
      <c r="E131" s="185"/>
      <c r="F131" s="185">
        <f t="shared" si="21"/>
        <v>1</v>
      </c>
      <c r="G131" s="185"/>
    </row>
    <row r="132" spans="1:7" ht="18.75" customHeight="1" thickBot="1" x14ac:dyDescent="0.4">
      <c r="A132" s="95" t="s">
        <v>573</v>
      </c>
      <c r="B132" s="194" t="s">
        <v>1138</v>
      </c>
      <c r="C132" s="187">
        <f>+IFERROR(VLOOKUP($A132,RAIZ!$A$3:$X$1500,MATCH('Suc. Varas'!$F$1,RAIZ!$A$2:$X$2,0),FALSE),0)</f>
        <v>1</v>
      </c>
      <c r="D132" s="18">
        <v>1</v>
      </c>
      <c r="E132" s="185"/>
      <c r="F132" s="185">
        <f t="shared" si="21"/>
        <v>0</v>
      </c>
      <c r="G132" s="185"/>
    </row>
    <row r="133" spans="1:7" ht="18.75" customHeight="1" thickBot="1" x14ac:dyDescent="0.4">
      <c r="A133" s="95" t="s">
        <v>421</v>
      </c>
      <c r="B133" s="194" t="s">
        <v>1140</v>
      </c>
      <c r="C133" s="187">
        <f>+IFERROR(VLOOKUP($A133,RAIZ!$A$3:$X$1500,MATCH('Suc. Varas'!$F$1,RAIZ!$A$2:$X$2,0),FALSE),0)</f>
        <v>2</v>
      </c>
      <c r="D133" s="18">
        <v>2</v>
      </c>
      <c r="E133" s="185"/>
      <c r="F133" s="185">
        <f t="shared" si="21"/>
        <v>0</v>
      </c>
      <c r="G133" s="185"/>
    </row>
    <row r="134" spans="1:7" ht="18.75" customHeight="1" thickBot="1" x14ac:dyDescent="0.4">
      <c r="A134" s="95" t="s">
        <v>249</v>
      </c>
      <c r="B134" s="194" t="s">
        <v>1134</v>
      </c>
      <c r="C134" s="187">
        <f>+IFERROR(VLOOKUP($A134,RAIZ!$A$3:$X$1500,MATCH('Suc. Varas'!$F$1,RAIZ!$A$2:$X$2,0),FALSE),0)</f>
        <v>2</v>
      </c>
      <c r="D134" s="18">
        <v>2</v>
      </c>
      <c r="E134" s="185"/>
      <c r="F134" s="185">
        <f t="shared" si="21"/>
        <v>0</v>
      </c>
      <c r="G134" s="185"/>
    </row>
    <row r="135" spans="1:7" ht="18.75" customHeight="1" thickBot="1" x14ac:dyDescent="0.4">
      <c r="A135" s="95" t="s">
        <v>1030</v>
      </c>
      <c r="B135" s="194" t="s">
        <v>1143</v>
      </c>
      <c r="C135" s="187">
        <f>+IFERROR(VLOOKUP($A135,RAIZ!$A$3:$X$1500,MATCH('Suc. Varas'!$F$1,RAIZ!$A$2:$X$2,0),FALSE),0)</f>
        <v>5</v>
      </c>
      <c r="D135" s="18">
        <v>6</v>
      </c>
      <c r="E135" s="185"/>
      <c r="F135" s="185">
        <f t="shared" si="21"/>
        <v>1</v>
      </c>
      <c r="G135" s="185"/>
    </row>
    <row r="136" spans="1:7" ht="18.75" customHeight="1" thickBot="1" x14ac:dyDescent="0.4">
      <c r="A136" s="95" t="s">
        <v>253</v>
      </c>
      <c r="B136" s="194" t="s">
        <v>1135</v>
      </c>
      <c r="C136" s="187">
        <f>+IFERROR(VLOOKUP($A136,RAIZ!$A$3:$X$1500,MATCH('Suc. Varas'!$F$1,RAIZ!$A$2:$X$2,0),FALSE),0)</f>
        <v>0</v>
      </c>
      <c r="D136" s="18">
        <v>2</v>
      </c>
      <c r="E136" s="185"/>
      <c r="F136" s="185">
        <f t="shared" si="21"/>
        <v>2</v>
      </c>
      <c r="G136" s="185"/>
    </row>
    <row r="137" spans="1:7" ht="18.75" customHeight="1" thickBot="1" x14ac:dyDescent="0.4">
      <c r="A137" s="95" t="s">
        <v>240</v>
      </c>
      <c r="B137" s="194" t="s">
        <v>1139</v>
      </c>
      <c r="C137" s="187">
        <f>+IFERROR(VLOOKUP($A137,RAIZ!$A$3:$X$1500,MATCH('Suc. Varas'!$F$1,RAIZ!$A$2:$X$2,0),FALSE),0)</f>
        <v>0</v>
      </c>
      <c r="D137" s="18">
        <v>0</v>
      </c>
      <c r="E137" s="185"/>
      <c r="F137" s="185">
        <f t="shared" si="21"/>
        <v>0</v>
      </c>
      <c r="G137" s="185"/>
    </row>
    <row r="138" spans="1:7" ht="18.75" customHeight="1" thickBot="1" x14ac:dyDescent="0.4">
      <c r="A138" s="95" t="s">
        <v>204</v>
      </c>
      <c r="B138" s="194" t="s">
        <v>1106</v>
      </c>
      <c r="C138" s="187">
        <f>+IFERROR(VLOOKUP($A138,RAIZ!$A$3:$X$1500,MATCH('Suc. Varas'!$F$1,RAIZ!$A$2:$X$2,0),FALSE),0)</f>
        <v>0</v>
      </c>
      <c r="D138" s="18">
        <v>0</v>
      </c>
      <c r="E138" s="185"/>
      <c r="F138" s="185">
        <f t="shared" si="21"/>
        <v>0</v>
      </c>
      <c r="G138" s="185"/>
    </row>
    <row r="139" spans="1:7" ht="18.75" customHeight="1" thickBot="1" x14ac:dyDescent="0.4">
      <c r="A139" s="95" t="s">
        <v>1132</v>
      </c>
      <c r="B139" s="194" t="s">
        <v>1141</v>
      </c>
      <c r="C139" s="187">
        <f>+IFERROR(VLOOKUP($A139,RAIZ!$A$3:$X$1500,MATCH('Suc. Varas'!$F$1,RAIZ!$A$2:$X$2,0),FALSE),0)</f>
        <v>0</v>
      </c>
      <c r="D139" s="18">
        <v>1</v>
      </c>
      <c r="E139" s="185"/>
      <c r="F139" s="185">
        <f t="shared" si="21"/>
        <v>1</v>
      </c>
      <c r="G139" s="185"/>
    </row>
    <row r="140" spans="1:7" ht="18.75" customHeight="1" thickBot="1" x14ac:dyDescent="0.4">
      <c r="A140" s="95" t="s">
        <v>914</v>
      </c>
      <c r="B140" s="194" t="s">
        <v>1133</v>
      </c>
      <c r="C140" s="187">
        <f>+IFERROR(VLOOKUP($A140,RAIZ!$A$3:$X$1500,MATCH('Suc. Varas'!$F$1,RAIZ!$A$2:$X$2,0),FALSE),0)</f>
        <v>1</v>
      </c>
      <c r="D140" s="18">
        <v>1</v>
      </c>
      <c r="E140" s="185"/>
      <c r="F140" s="185">
        <f t="shared" si="21"/>
        <v>0</v>
      </c>
      <c r="G140" s="185"/>
    </row>
    <row r="141" spans="1:7" ht="18.75" customHeight="1" thickBot="1" x14ac:dyDescent="0.4">
      <c r="A141" s="243" t="s">
        <v>1120</v>
      </c>
      <c r="B141" s="194" t="s">
        <v>1159</v>
      </c>
      <c r="C141" s="187">
        <f>+IFERROR(VLOOKUP($A141,RAIZ!$A$3:$X$1500,MATCH('Suc. Varas'!$F$1,RAIZ!$A$2:$X$2,0),FALSE),0)</f>
        <v>0</v>
      </c>
      <c r="D141" s="18"/>
      <c r="E141" s="185"/>
      <c r="F141" s="185">
        <f t="shared" si="21"/>
        <v>0</v>
      </c>
      <c r="G141" s="185"/>
    </row>
    <row r="142" spans="1:7" ht="18.75" customHeight="1" thickBot="1" x14ac:dyDescent="0.4">
      <c r="A142" s="95"/>
      <c r="B142" s="194"/>
      <c r="C142" s="187">
        <f>+IFERROR(VLOOKUP($A142,RAIZ!$A$3:$X$1500,MATCH('Suc. Varas'!$F$1,RAIZ!$A$2:$X$2,0),FALSE),0)</f>
        <v>0</v>
      </c>
      <c r="D142" s="18"/>
      <c r="E142" s="185"/>
      <c r="F142" s="185"/>
      <c r="G142" s="185"/>
    </row>
    <row r="143" spans="1:7" ht="18.75" customHeight="1" thickBot="1" x14ac:dyDescent="0.4">
      <c r="A143" s="95"/>
      <c r="B143" s="193"/>
      <c r="C143" s="187">
        <f>+IFERROR(VLOOKUP($A143,RAIZ!$A$3:$X$1500,MATCH('Suc. Varas'!$F$1,RAIZ!$A$2:$X$2,0),FALSE),0)</f>
        <v>0</v>
      </c>
      <c r="D143" s="18"/>
      <c r="E143" s="185"/>
      <c r="F143" s="185"/>
      <c r="G143" s="185"/>
    </row>
    <row r="144" spans="1:7" ht="18.75" customHeight="1" thickBot="1" x14ac:dyDescent="0.4">
      <c r="A144" s="95"/>
      <c r="B144" s="194"/>
      <c r="C144" s="187">
        <f>+IFERROR(VLOOKUP($A144,RAIZ!$A$3:$X$1500,MATCH('Suc. Varas'!$F$1,RAIZ!$A$2:$X$2,0),FALSE),0)</f>
        <v>0</v>
      </c>
      <c r="D144" s="18"/>
      <c r="E144" s="185"/>
      <c r="F144" s="185"/>
      <c r="G144" s="185"/>
    </row>
    <row r="145" spans="1:7" ht="18.75" customHeight="1" thickBot="1" x14ac:dyDescent="0.4">
      <c r="A145" s="95"/>
      <c r="B145" s="192"/>
      <c r="C145" s="187">
        <f>+IFERROR(VLOOKUP($A145,RAIZ!$A$3:$X$1500,MATCH('Suc. Varas'!$F$1,RAIZ!$A$2:$X$2,0),FALSE),0)</f>
        <v>0</v>
      </c>
      <c r="D145" s="18"/>
      <c r="E145" s="185"/>
      <c r="F145" s="185"/>
      <c r="G145" s="185"/>
    </row>
    <row r="146" spans="1:7" ht="18.75" customHeight="1" thickBot="1" x14ac:dyDescent="0.4">
      <c r="A146" s="95"/>
      <c r="B146" s="194"/>
      <c r="C146" s="187">
        <f>+IFERROR(VLOOKUP($A146,RAIZ!$A$3:$X$1500,MATCH('Suc. Varas'!$F$1,RAIZ!$A$2:$X$2,0),FALSE),0)</f>
        <v>0</v>
      </c>
      <c r="D146" s="18"/>
      <c r="E146" s="185"/>
      <c r="F146" s="185"/>
      <c r="G146" s="185"/>
    </row>
    <row r="147" spans="1:7" ht="18.75" customHeight="1" thickBot="1" x14ac:dyDescent="0.4">
      <c r="A147" s="95"/>
      <c r="B147" s="193"/>
      <c r="C147" s="187">
        <f>+IFERROR(VLOOKUP($A147,RAIZ!$A$3:$X$1500,MATCH('Suc. Varas'!$F$1,RAIZ!$A$2:$X$2,0),FALSE),0)</f>
        <v>0</v>
      </c>
      <c r="D147" s="14"/>
      <c r="E147" s="185"/>
      <c r="F147" s="185"/>
      <c r="G147" s="185"/>
    </row>
    <row r="148" spans="1:7" ht="18.75" customHeight="1" thickBot="1" x14ac:dyDescent="0.4">
      <c r="A148" s="95"/>
      <c r="B148" s="193"/>
      <c r="C148" s="188">
        <f>+IFERROR(VLOOKUP($A148,RAIZ!$A$3:$X$1500,MATCH('Suc. Varas'!$F$1,RAIZ!$A$2:$X$2,0),FALSE),0)</f>
        <v>0</v>
      </c>
      <c r="D148" s="14"/>
      <c r="E148" s="185"/>
      <c r="F148" s="185"/>
      <c r="G148" s="185"/>
    </row>
    <row r="149" spans="1:7" ht="18.75" customHeight="1" thickBot="1" x14ac:dyDescent="0.4">
      <c r="A149" s="173"/>
      <c r="B149" s="109"/>
      <c r="C149" s="182">
        <f>SUM(C118:C127,)</f>
        <v>21</v>
      </c>
      <c r="D149" s="182">
        <f>SUM(D118:D127,)</f>
        <v>47</v>
      </c>
      <c r="E149" s="182">
        <f>SUM(E118:E127,)</f>
        <v>0</v>
      </c>
      <c r="F149" s="182">
        <f>SUM(F118:F127,)</f>
        <v>36</v>
      </c>
      <c r="G149" s="182">
        <f>SUM(G118:G148,)</f>
        <v>0</v>
      </c>
    </row>
    <row r="150" spans="1:7" ht="18.75" customHeight="1" thickBot="1" x14ac:dyDescent="0.4">
      <c r="A150" s="110" t="s">
        <v>86</v>
      </c>
      <c r="B150" s="111"/>
      <c r="C150" s="83">
        <f>C149+C117</f>
        <v>92</v>
      </c>
      <c r="D150" s="83">
        <f>D149+D117</f>
        <v>280</v>
      </c>
      <c r="E150" s="83">
        <f>E149+E117</f>
        <v>10</v>
      </c>
      <c r="F150" s="83">
        <f>F149+F117</f>
        <v>204</v>
      </c>
      <c r="G150" s="83">
        <f>G149+G117</f>
        <v>0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BAD373F-463E-4154-9241-A8D29D6CBA61}">
          <x14:formula1>
            <xm:f>Hoja1!$C$2:$C$9</xm:f>
          </x14:formula1>
          <xm:sqref>H2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28A25-4025-4607-A6DA-7B7DB0DCDB52}">
  <sheetPr filterMode="1">
    <tabColor rgb="FFFFFF00"/>
  </sheetPr>
  <dimension ref="A1:L150"/>
  <sheetViews>
    <sheetView zoomScale="80" zoomScaleNormal="80" workbookViewId="0">
      <pane xSplit="2" ySplit="2" topLeftCell="G41" activePane="bottomRight" state="frozen"/>
      <selection activeCell="I134" sqref="I134"/>
      <selection pane="topRight" activeCell="I134" sqref="I134"/>
      <selection pane="bottomLeft" activeCell="I134" sqref="I134"/>
      <selection pane="bottomRight" activeCell="A2" sqref="A2:XFD2"/>
    </sheetView>
  </sheetViews>
  <sheetFormatPr baseColWidth="10" defaultRowHeight="18" x14ac:dyDescent="0.35"/>
  <cols>
    <col min="1" max="1" width="55.6640625" customWidth="1"/>
    <col min="2" max="2" width="7.6640625" style="91" bestFit="1" customWidth="1"/>
    <col min="3" max="3" width="14" bestFit="1" customWidth="1"/>
    <col min="4" max="5" width="15" style="84" customWidth="1"/>
    <col min="6" max="6" width="14.5546875" customWidth="1"/>
    <col min="9" max="9" width="11.88671875" style="84" bestFit="1" customWidth="1"/>
  </cols>
  <sheetData>
    <row r="1" spans="1:12" ht="18.600000000000001" thickBot="1" x14ac:dyDescent="0.4">
      <c r="A1" s="1">
        <f>RAIZ!B1</f>
        <v>46301</v>
      </c>
      <c r="C1" s="2"/>
      <c r="D1" s="2" t="s">
        <v>702</v>
      </c>
      <c r="E1" s="2"/>
      <c r="F1" s="2" t="s">
        <v>940</v>
      </c>
      <c r="H1" t="s">
        <v>941</v>
      </c>
      <c r="K1" s="85"/>
      <c r="L1" s="85"/>
    </row>
    <row r="2" spans="1:12" ht="31.8" thickBot="1" x14ac:dyDescent="0.35">
      <c r="A2" s="90" t="s">
        <v>0</v>
      </c>
      <c r="B2" s="92" t="s">
        <v>755</v>
      </c>
      <c r="C2" s="39" t="s">
        <v>703</v>
      </c>
      <c r="D2" s="40" t="s">
        <v>704</v>
      </c>
      <c r="E2" s="88" t="s">
        <v>726</v>
      </c>
      <c r="F2" s="41" t="s">
        <v>705</v>
      </c>
      <c r="G2" s="62" t="s">
        <v>725</v>
      </c>
      <c r="H2" s="87"/>
      <c r="K2" s="86"/>
      <c r="L2" s="85"/>
    </row>
    <row r="3" spans="1:12" ht="18.75" hidden="1" customHeight="1" x14ac:dyDescent="0.35">
      <c r="A3" s="93" t="s">
        <v>1</v>
      </c>
      <c r="B3" s="112" t="s">
        <v>756</v>
      </c>
      <c r="C3" s="5">
        <f>+IFERROR(VLOOKUP($A3,RAIZ!$A$3:$X$1500,MATCH('Suc. Santa María del Oro'!$F$1,RAIZ!$A$2:$X$2,0),FALSE),0)</f>
        <v>0</v>
      </c>
      <c r="D3" s="168">
        <v>0</v>
      </c>
      <c r="E3" s="4"/>
      <c r="F3" s="5">
        <f>IF(D3-C3&gt;=0,D3-C3,0)</f>
        <v>0</v>
      </c>
      <c r="G3" s="5"/>
      <c r="K3" s="86"/>
      <c r="L3" s="85"/>
    </row>
    <row r="4" spans="1:12" ht="18.75" hidden="1" customHeight="1" x14ac:dyDescent="0.35">
      <c r="A4" s="93" t="s">
        <v>2</v>
      </c>
      <c r="B4" s="112" t="s">
        <v>865</v>
      </c>
      <c r="C4" s="5">
        <f>+IFERROR(VLOOKUP($A4,RAIZ!$A$3:$X$1500,MATCH('Suc. Santa María del Oro'!$F$1,RAIZ!$A$2:$X$2,0),FALSE),0)</f>
        <v>1</v>
      </c>
      <c r="D4" s="4">
        <v>2</v>
      </c>
      <c r="E4" s="4"/>
      <c r="F4" s="5">
        <f>IF(D4-C4&gt;=0,D4-C4,0)</f>
        <v>1</v>
      </c>
      <c r="G4" s="5"/>
      <c r="K4" s="86"/>
      <c r="L4" s="85"/>
    </row>
    <row r="5" spans="1:12" ht="18.75" hidden="1" customHeight="1" x14ac:dyDescent="0.35">
      <c r="A5" s="93" t="s">
        <v>3</v>
      </c>
      <c r="B5" s="112" t="s">
        <v>757</v>
      </c>
      <c r="C5" s="5">
        <f>+IFERROR(VLOOKUP($A5,RAIZ!$A$3:$X$1500,MATCH('Suc. Santa María del Oro'!$F$1,RAIZ!$A$2:$X$2,0),FALSE),0)</f>
        <v>1</v>
      </c>
      <c r="D5" s="7">
        <v>2</v>
      </c>
      <c r="E5" s="4"/>
      <c r="F5" s="5">
        <f t="shared" ref="F5:F10" si="0">IF(D5-C5&gt;=0,D5-C5,0)</f>
        <v>1</v>
      </c>
      <c r="G5" s="5"/>
      <c r="K5" s="86"/>
      <c r="L5" s="85"/>
    </row>
    <row r="6" spans="1:12" ht="18.75" hidden="1" customHeight="1" x14ac:dyDescent="0.35">
      <c r="A6" s="93" t="s">
        <v>4</v>
      </c>
      <c r="B6" s="112" t="s">
        <v>758</v>
      </c>
      <c r="C6" s="5">
        <f>+IFERROR(VLOOKUP($A6,RAIZ!$A$3:$X$1500,MATCH('Suc. Santa María del Oro'!$F$1,RAIZ!$A$2:$X$2,0),FALSE),0)</f>
        <v>2</v>
      </c>
      <c r="D6" s="7">
        <v>3</v>
      </c>
      <c r="E6" s="4"/>
      <c r="F6" s="5">
        <f t="shared" si="0"/>
        <v>1</v>
      </c>
      <c r="G6" s="5"/>
      <c r="K6" s="86"/>
      <c r="L6" s="85"/>
    </row>
    <row r="7" spans="1:12" ht="18.75" customHeight="1" x14ac:dyDescent="0.35">
      <c r="A7" s="93" t="s">
        <v>5</v>
      </c>
      <c r="B7" s="112" t="s">
        <v>759</v>
      </c>
      <c r="C7" s="5">
        <f>+IFERROR(VLOOKUP($A7,RAIZ!$A$3:$X$1500,MATCH('Suc. Santa María del Oro'!$F$1,RAIZ!$A$2:$X$2,0),FALSE),0)</f>
        <v>0</v>
      </c>
      <c r="D7" s="7">
        <v>2</v>
      </c>
      <c r="E7" s="4"/>
      <c r="F7" s="5">
        <f t="shared" si="0"/>
        <v>2</v>
      </c>
      <c r="G7" s="5">
        <v>1</v>
      </c>
      <c r="K7" s="86"/>
      <c r="L7" s="85"/>
    </row>
    <row r="8" spans="1:12" ht="18.75" customHeight="1" x14ac:dyDescent="0.35">
      <c r="A8" s="93" t="s">
        <v>6</v>
      </c>
      <c r="B8" s="112" t="s">
        <v>760</v>
      </c>
      <c r="C8" s="5">
        <f>+IFERROR(VLOOKUP($A8,RAIZ!$A$3:$X$1500,MATCH('Suc. Santa María del Oro'!$F$1,RAIZ!$A$2:$X$2,0),FALSE),0)</f>
        <v>1</v>
      </c>
      <c r="D8" s="7">
        <v>3</v>
      </c>
      <c r="E8" s="4"/>
      <c r="F8" s="5">
        <f t="shared" si="0"/>
        <v>2</v>
      </c>
      <c r="G8" s="5">
        <v>1</v>
      </c>
      <c r="K8" s="86"/>
      <c r="L8" s="85"/>
    </row>
    <row r="9" spans="1:12" ht="18.75" hidden="1" customHeight="1" x14ac:dyDescent="0.35">
      <c r="A9" s="93" t="s">
        <v>7</v>
      </c>
      <c r="B9" s="112" t="s">
        <v>761</v>
      </c>
      <c r="C9" s="5">
        <f>+IFERROR(VLOOKUP($A9,RAIZ!$A$3:$X$1500,MATCH('Suc. Santa María del Oro'!$F$1,RAIZ!$A$2:$X$2,0),FALSE),0)</f>
        <v>1</v>
      </c>
      <c r="D9" s="7">
        <v>2</v>
      </c>
      <c r="E9" s="4"/>
      <c r="F9" s="5">
        <f t="shared" si="0"/>
        <v>1</v>
      </c>
      <c r="G9" s="5"/>
      <c r="K9" s="86"/>
      <c r="L9" s="85"/>
    </row>
    <row r="10" spans="1:12" ht="18.75" customHeight="1" thickBot="1" x14ac:dyDescent="0.4">
      <c r="A10" s="93" t="s">
        <v>8</v>
      </c>
      <c r="B10" s="112" t="s">
        <v>762</v>
      </c>
      <c r="C10" s="5">
        <f>+IFERROR(VLOOKUP($A10,RAIZ!$A$3:$X$1500,MATCH('Suc. Santa María del Oro'!$F$1,RAIZ!$A$2:$X$2,0),FALSE),0)</f>
        <v>1</v>
      </c>
      <c r="D10" s="7">
        <v>3</v>
      </c>
      <c r="E10" s="4"/>
      <c r="F10" s="5">
        <f t="shared" si="0"/>
        <v>2</v>
      </c>
      <c r="G10" s="5">
        <v>1</v>
      </c>
      <c r="K10" s="86"/>
      <c r="L10" s="85"/>
    </row>
    <row r="11" spans="1:12" ht="18.75" hidden="1" customHeight="1" x14ac:dyDescent="0.35">
      <c r="A11" s="93" t="s">
        <v>9</v>
      </c>
      <c r="B11" s="112" t="s">
        <v>763</v>
      </c>
      <c r="C11" s="5">
        <f>+IFERROR(VLOOKUP($A11,RAIZ!$A$3:$X$1500,MATCH('Suc. Santa María del Oro'!$F$1,RAIZ!$A$2:$X$2,0),FALSE),0)</f>
        <v>0</v>
      </c>
      <c r="D11" s="178">
        <v>0</v>
      </c>
      <c r="E11" s="4"/>
      <c r="F11" s="5">
        <f t="shared" ref="F11:F12" si="1">IF(D11-C11&gt;=0,D11-C11,0)</f>
        <v>0</v>
      </c>
      <c r="G11" s="5"/>
      <c r="K11" s="86"/>
      <c r="L11" s="85"/>
    </row>
    <row r="12" spans="1:12" ht="18.75" hidden="1" customHeight="1" x14ac:dyDescent="0.35">
      <c r="A12" s="93"/>
      <c r="B12" s="112"/>
      <c r="C12" s="5">
        <f>+IFERROR(VLOOKUP($A12,RAIZ!$A$3:$X$1500,MATCH('Suc. Santa María del Oro'!$F$1,RAIZ!$A$2:$X$2,0),FALSE),0)</f>
        <v>0</v>
      </c>
      <c r="D12" s="20"/>
      <c r="E12" s="148"/>
      <c r="F12" s="5">
        <f t="shared" si="1"/>
        <v>0</v>
      </c>
      <c r="G12" s="5"/>
    </row>
    <row r="13" spans="1:12" ht="18.75" hidden="1" customHeight="1" x14ac:dyDescent="0.35">
      <c r="A13" s="93"/>
      <c r="B13" s="112"/>
      <c r="C13" s="5">
        <f>+IFERROR(VLOOKUP($A13,RAIZ!$A$3:$X$1500,MATCH('Suc. Santa María del Oro'!$F$1,RAIZ!$A$2:$X$2,0),FALSE),0)</f>
        <v>0</v>
      </c>
      <c r="D13" s="146"/>
      <c r="E13" s="148"/>
      <c r="F13" s="147">
        <f t="shared" ref="F13:F17" si="2">IF(D13-C13&gt;=0,D13-C13,0)</f>
        <v>0</v>
      </c>
      <c r="G13" s="5"/>
    </row>
    <row r="14" spans="1:12" ht="18.75" hidden="1" customHeight="1" x14ac:dyDescent="0.35">
      <c r="A14" s="93"/>
      <c r="B14" s="112"/>
      <c r="C14" s="5">
        <f>+IFERROR(VLOOKUP($A14,RAIZ!$A$3:$X$1500,MATCH('Suc. Santa María del Oro'!$F$1,RAIZ!$A$2:$X$2,0),FALSE),0)</f>
        <v>0</v>
      </c>
      <c r="D14" s="146"/>
      <c r="E14" s="148"/>
      <c r="F14" s="147">
        <f>IF(D14-C14&gt;=0,D14-C14,0)</f>
        <v>0</v>
      </c>
      <c r="G14" s="5"/>
    </row>
    <row r="15" spans="1:12" ht="18.75" hidden="1" customHeight="1" x14ac:dyDescent="0.35">
      <c r="A15" s="93"/>
      <c r="B15" s="112"/>
      <c r="C15" s="5">
        <f>+IFERROR(VLOOKUP($A15,RAIZ!$A$3:$X$1500,MATCH('Suc. Santa María del Oro'!$F$1,RAIZ!$A$2:$X$2,0),FALSE),0)</f>
        <v>0</v>
      </c>
      <c r="D15" s="9"/>
      <c r="E15" s="148"/>
      <c r="F15" s="5">
        <f t="shared" si="2"/>
        <v>0</v>
      </c>
      <c r="G15" s="5"/>
      <c r="K15" s="86"/>
      <c r="L15" s="85"/>
    </row>
    <row r="16" spans="1:12" ht="18.75" hidden="1" customHeight="1" x14ac:dyDescent="0.35">
      <c r="A16" s="93"/>
      <c r="B16" s="112"/>
      <c r="C16" s="5">
        <f>+IFERROR(VLOOKUP($A16,RAIZ!$A$3:$X$1500,MATCH('Suc. Santa María del Oro'!$F$1,RAIZ!$A$2:$X$2,0),FALSE),0)</f>
        <v>0</v>
      </c>
      <c r="D16" s="9"/>
      <c r="E16" s="148"/>
      <c r="F16" s="5">
        <f t="shared" si="2"/>
        <v>0</v>
      </c>
      <c r="G16" s="5"/>
      <c r="K16" s="86"/>
      <c r="L16" s="85"/>
    </row>
    <row r="17" spans="1:12" ht="18.75" hidden="1" customHeight="1" thickBot="1" x14ac:dyDescent="0.4">
      <c r="A17" s="93"/>
      <c r="B17" s="112"/>
      <c r="C17" s="5">
        <f>+IFERROR(VLOOKUP($A17,RAIZ!$A$3:$X$1500,MATCH('Suc. Santa María del Oro'!$F$1,RAIZ!$A$2:$X$2,0),FALSE),0)</f>
        <v>0</v>
      </c>
      <c r="D17" s="9"/>
      <c r="E17" s="4"/>
      <c r="F17" s="5">
        <f t="shared" si="2"/>
        <v>0</v>
      </c>
      <c r="G17" s="5"/>
      <c r="K17" s="86"/>
      <c r="L17" s="85"/>
    </row>
    <row r="18" spans="1:12" ht="18.75" customHeight="1" thickBot="1" x14ac:dyDescent="0.4">
      <c r="A18" s="96" t="s">
        <v>10</v>
      </c>
      <c r="B18" s="111"/>
      <c r="C18" s="75">
        <f>SUM(C3:C17)</f>
        <v>7</v>
      </c>
      <c r="D18" s="44">
        <f>SUM(D3:D17)</f>
        <v>17</v>
      </c>
      <c r="E18" s="44">
        <f>SUM(E3:E17)</f>
        <v>0</v>
      </c>
      <c r="F18" s="63">
        <f>SUM(F3:F17)</f>
        <v>10</v>
      </c>
      <c r="G18" s="44">
        <f>SUM(G3:G17)</f>
        <v>3</v>
      </c>
      <c r="K18" s="86"/>
      <c r="L18" s="85"/>
    </row>
    <row r="19" spans="1:12" ht="18.75" customHeight="1" x14ac:dyDescent="0.35">
      <c r="A19" s="97" t="s">
        <v>676</v>
      </c>
      <c r="B19" s="112" t="s">
        <v>764</v>
      </c>
      <c r="C19" s="5">
        <f>+IFERROR(VLOOKUP($A19,RAIZ!$A$3:$X$1500,MATCH('Suc. Santa María del Oro'!$F$1,RAIZ!$A$2:$X$2,0),FALSE),0)</f>
        <v>1</v>
      </c>
      <c r="D19" s="12">
        <v>2</v>
      </c>
      <c r="E19" s="4"/>
      <c r="F19" s="5">
        <f t="shared" ref="F19:F22" si="3">IF(D19-C19&gt;=0,D19-C19,0)</f>
        <v>1</v>
      </c>
      <c r="G19" s="5">
        <v>2</v>
      </c>
      <c r="K19" s="86"/>
      <c r="L19" s="85"/>
    </row>
    <row r="20" spans="1:12" ht="18.75" customHeight="1" x14ac:dyDescent="0.35">
      <c r="A20" s="97" t="s">
        <v>11</v>
      </c>
      <c r="B20" s="112" t="s">
        <v>827</v>
      </c>
      <c r="C20" s="5">
        <f>+IFERROR(VLOOKUP($A20,RAIZ!$A$3:$X$1500,MATCH('Suc. Santa María del Oro'!$F$1,RAIZ!$A$2:$X$2,0),FALSE),0)</f>
        <v>1</v>
      </c>
      <c r="D20" s="14">
        <v>2</v>
      </c>
      <c r="E20" s="4"/>
      <c r="F20" s="5">
        <f t="shared" si="3"/>
        <v>1</v>
      </c>
      <c r="G20" s="5">
        <v>3</v>
      </c>
      <c r="K20" s="86"/>
      <c r="L20" s="85"/>
    </row>
    <row r="21" spans="1:12" ht="18.75" customHeight="1" x14ac:dyDescent="0.35">
      <c r="A21" s="97" t="s">
        <v>344</v>
      </c>
      <c r="B21" s="112" t="s">
        <v>765</v>
      </c>
      <c r="C21" s="5">
        <f>+IFERROR(VLOOKUP($A21,RAIZ!$A$3:$X$1500,MATCH('Suc. Santa María del Oro'!$F$1,RAIZ!$A$2:$X$2,0),FALSE),0)</f>
        <v>2</v>
      </c>
      <c r="D21" s="14">
        <v>2</v>
      </c>
      <c r="E21" s="4"/>
      <c r="F21" s="5">
        <f t="shared" si="3"/>
        <v>0</v>
      </c>
      <c r="G21" s="5">
        <v>1</v>
      </c>
      <c r="K21" s="86"/>
      <c r="L21" s="85"/>
    </row>
    <row r="22" spans="1:12" ht="18.75" hidden="1" customHeight="1" x14ac:dyDescent="0.35">
      <c r="A22" s="97" t="s">
        <v>832</v>
      </c>
      <c r="B22" s="112" t="s">
        <v>833</v>
      </c>
      <c r="C22" s="5">
        <f>+IFERROR(VLOOKUP($A22,RAIZ!$A$3:$X$1500,MATCH('Suc. Santa María del Oro'!$F$1,RAIZ!$A$2:$X$2,0),FALSE),0)</f>
        <v>0</v>
      </c>
      <c r="D22" s="179">
        <v>0</v>
      </c>
      <c r="E22" s="4"/>
      <c r="F22" s="5">
        <f t="shared" si="3"/>
        <v>0</v>
      </c>
      <c r="G22" s="5"/>
      <c r="K22" s="86"/>
      <c r="L22" s="85"/>
    </row>
    <row r="23" spans="1:12" ht="18.75" hidden="1" customHeight="1" x14ac:dyDescent="0.35">
      <c r="A23" s="97" t="s">
        <v>12</v>
      </c>
      <c r="B23" s="112" t="s">
        <v>766</v>
      </c>
      <c r="C23" s="5">
        <f>+IFERROR(VLOOKUP($A23,RAIZ!$A$3:$X$1500,MATCH('Suc. Santa María del Oro'!$F$1,RAIZ!$A$2:$X$2,0),FALSE),0)</f>
        <v>3</v>
      </c>
      <c r="D23" s="14">
        <v>2</v>
      </c>
      <c r="E23" s="4"/>
      <c r="F23" s="5">
        <f t="shared" ref="F23:F31" si="4">IF(D23-C23&gt;=0,D23-C23,0)</f>
        <v>0</v>
      </c>
      <c r="G23" s="5"/>
      <c r="K23" s="86"/>
      <c r="L23" s="85"/>
    </row>
    <row r="24" spans="1:12" ht="18.75" hidden="1" customHeight="1" x14ac:dyDescent="0.35">
      <c r="A24" s="97" t="s">
        <v>432</v>
      </c>
      <c r="B24" s="112" t="s">
        <v>767</v>
      </c>
      <c r="C24" s="5">
        <f>+IFERROR(VLOOKUP($A24,RAIZ!$A$3:$X$1500,MATCH('Suc. Santa María del Oro'!$F$1,RAIZ!$A$2:$X$2,0),FALSE),0)</f>
        <v>0</v>
      </c>
      <c r="D24" s="14">
        <v>1</v>
      </c>
      <c r="E24" s="4"/>
      <c r="F24" s="5">
        <f t="shared" si="4"/>
        <v>1</v>
      </c>
      <c r="G24" s="5"/>
      <c r="K24" s="86"/>
      <c r="L24" s="85"/>
    </row>
    <row r="25" spans="1:12" ht="18.75" customHeight="1" thickBot="1" x14ac:dyDescent="0.4">
      <c r="A25" s="97" t="s">
        <v>468</v>
      </c>
      <c r="B25" s="112" t="s">
        <v>768</v>
      </c>
      <c r="C25" s="5">
        <f>+IFERROR(VLOOKUP($A25,RAIZ!$A$3:$X$1500,MATCH('Suc. Santa María del Oro'!$F$1,RAIZ!$A$2:$X$2,0),FALSE),0)</f>
        <v>0</v>
      </c>
      <c r="D25" s="16">
        <v>3</v>
      </c>
      <c r="E25" s="4"/>
      <c r="F25" s="5">
        <f t="shared" si="4"/>
        <v>3</v>
      </c>
      <c r="G25" s="5">
        <v>3</v>
      </c>
      <c r="K25" s="86"/>
      <c r="L25" s="85"/>
    </row>
    <row r="26" spans="1:12" ht="18.75" hidden="1" customHeight="1" x14ac:dyDescent="0.35">
      <c r="A26" s="97"/>
      <c r="B26" s="112"/>
      <c r="C26" s="5">
        <f>+IFERROR(VLOOKUP($A26,RAIZ!$A$3:$X$1500,MATCH('Suc. Santa María del Oro'!$F$1,RAIZ!$A$2:$X$2,0),FALSE),0)</f>
        <v>0</v>
      </c>
      <c r="D26" s="20"/>
      <c r="E26" s="4"/>
      <c r="F26" s="5">
        <f t="shared" si="4"/>
        <v>0</v>
      </c>
      <c r="G26" s="5"/>
    </row>
    <row r="27" spans="1:12" ht="18.75" hidden="1" customHeight="1" x14ac:dyDescent="0.35">
      <c r="A27" s="97"/>
      <c r="B27" s="112"/>
      <c r="C27" s="5">
        <f>+IFERROR(VLOOKUP($A27,RAIZ!$A$3:$X$1500,MATCH('Suc. Santa María del Oro'!$F$1,RAIZ!$A$2:$X$2,0),FALSE),0)</f>
        <v>0</v>
      </c>
      <c r="D27" s="16"/>
      <c r="E27" s="4"/>
      <c r="F27" s="5">
        <f>IF(D27-C27&gt;=0,D27-C27,0)</f>
        <v>0</v>
      </c>
      <c r="G27" s="5"/>
      <c r="K27" s="86"/>
      <c r="L27" s="85"/>
    </row>
    <row r="28" spans="1:12" ht="18.75" hidden="1" customHeight="1" x14ac:dyDescent="0.35">
      <c r="A28" s="97"/>
      <c r="B28" s="112"/>
      <c r="C28" s="5">
        <f>+IFERROR(VLOOKUP($A28,RAIZ!$A$3:$X$1500,MATCH('Suc. Santa María del Oro'!$F$1,RAIZ!$A$2:$X$2,0),FALSE),0)</f>
        <v>0</v>
      </c>
      <c r="D28" s="16"/>
      <c r="E28" s="4"/>
      <c r="F28" s="5">
        <f t="shared" si="4"/>
        <v>0</v>
      </c>
      <c r="G28" s="5"/>
      <c r="K28" s="86"/>
      <c r="L28" s="85"/>
    </row>
    <row r="29" spans="1:12" ht="18.75" hidden="1" customHeight="1" x14ac:dyDescent="0.35">
      <c r="A29" s="97"/>
      <c r="B29" s="112"/>
      <c r="C29" s="5">
        <f>+IFERROR(VLOOKUP($A29,RAIZ!$A$3:$X$1500,MATCH('Suc. Santa María del Oro'!$F$1,RAIZ!$A$2:$X$2,0),FALSE),0)</f>
        <v>0</v>
      </c>
      <c r="D29" s="16"/>
      <c r="E29" s="4"/>
      <c r="F29" s="5">
        <f t="shared" si="4"/>
        <v>0</v>
      </c>
      <c r="G29" s="5"/>
      <c r="K29" s="86"/>
      <c r="L29" s="85"/>
    </row>
    <row r="30" spans="1:12" ht="18.75" hidden="1" customHeight="1" x14ac:dyDescent="0.35">
      <c r="A30" s="97"/>
      <c r="B30" s="112"/>
      <c r="C30" s="5">
        <f>+IFERROR(VLOOKUP($A30,RAIZ!$A$3:$X$1500,MATCH('Suc. Santa María del Oro'!$F$1,RAIZ!$A$2:$X$2,0),FALSE),0)</f>
        <v>0</v>
      </c>
      <c r="D30" s="16"/>
      <c r="E30" s="4"/>
      <c r="F30" s="5">
        <f t="shared" si="4"/>
        <v>0</v>
      </c>
      <c r="G30" s="5"/>
      <c r="K30" s="86"/>
      <c r="L30" s="85"/>
    </row>
    <row r="31" spans="1:12" ht="18.75" hidden="1" customHeight="1" thickBot="1" x14ac:dyDescent="0.4">
      <c r="A31" s="97"/>
      <c r="B31" s="112"/>
      <c r="C31" s="5">
        <f>+IFERROR(VLOOKUP($A31,RAIZ!$A$3:$X$1500,MATCH('Suc. Santa María del Oro'!$F$1,RAIZ!$A$2:$X$2,0),FALSE),0)</f>
        <v>0</v>
      </c>
      <c r="D31" s="16"/>
      <c r="E31" s="4"/>
      <c r="F31" s="5">
        <f t="shared" si="4"/>
        <v>0</v>
      </c>
      <c r="G31" s="5"/>
      <c r="K31" s="86"/>
      <c r="L31" s="85"/>
    </row>
    <row r="32" spans="1:12" ht="18.75" customHeight="1" thickBot="1" x14ac:dyDescent="0.4">
      <c r="A32" s="98" t="s">
        <v>13</v>
      </c>
      <c r="B32" s="111"/>
      <c r="C32" s="76">
        <f>SUM(C19:C31)</f>
        <v>7</v>
      </c>
      <c r="D32" s="46">
        <f>SUM(D19:D31)</f>
        <v>12</v>
      </c>
      <c r="E32" s="46">
        <f>SUM(E19:E31)</f>
        <v>0</v>
      </c>
      <c r="F32" s="64">
        <f>SUM(F19:F31)</f>
        <v>6</v>
      </c>
      <c r="G32" s="46">
        <f>SUM(G19:G31)</f>
        <v>9</v>
      </c>
      <c r="K32" s="86"/>
      <c r="L32" s="85"/>
    </row>
    <row r="33" spans="1:12" ht="18.75" hidden="1" customHeight="1" x14ac:dyDescent="0.35">
      <c r="A33" s="97" t="s">
        <v>14</v>
      </c>
      <c r="B33" s="112" t="s">
        <v>769</v>
      </c>
      <c r="C33" s="5">
        <f>+IFERROR(VLOOKUP($A33,RAIZ!$A$3:$X$1500,MATCH('Suc. Santa María del Oro'!$F$1,RAIZ!$A$2:$X$2,0),FALSE),0)</f>
        <v>0</v>
      </c>
      <c r="D33" s="168">
        <v>0</v>
      </c>
      <c r="E33" s="4"/>
      <c r="F33" s="5">
        <f t="shared" ref="F33:F48" si="5">IF(D33-C33&gt;=0,D33-C33,0)</f>
        <v>0</v>
      </c>
      <c r="G33" s="5"/>
      <c r="K33" s="86"/>
      <c r="L33" s="85"/>
    </row>
    <row r="34" spans="1:12" ht="18.75" customHeight="1" x14ac:dyDescent="0.35">
      <c r="A34" s="97" t="s">
        <v>15</v>
      </c>
      <c r="B34" s="112" t="s">
        <v>770</v>
      </c>
      <c r="C34" s="5">
        <f>+IFERROR(VLOOKUP($A34,RAIZ!$A$3:$X$1500,MATCH('Suc. Santa María del Oro'!$F$1,RAIZ!$A$2:$X$2,0),FALSE),0)</f>
        <v>0</v>
      </c>
      <c r="D34" s="7">
        <v>2</v>
      </c>
      <c r="E34" s="4"/>
      <c r="F34" s="5">
        <f t="shared" si="5"/>
        <v>2</v>
      </c>
      <c r="G34" s="5">
        <v>3</v>
      </c>
      <c r="K34" s="86"/>
      <c r="L34" s="85"/>
    </row>
    <row r="35" spans="1:12" ht="18.75" hidden="1" customHeight="1" x14ac:dyDescent="0.35">
      <c r="A35" s="97" t="s">
        <v>16</v>
      </c>
      <c r="B35" s="112" t="s">
        <v>771</v>
      </c>
      <c r="C35" s="5">
        <f>+IFERROR(VLOOKUP($A35,RAIZ!$A$3:$X$1500,MATCH('Suc. Santa María del Oro'!$F$1,RAIZ!$A$2:$X$2,0),FALSE),0)</f>
        <v>2</v>
      </c>
      <c r="D35" s="7">
        <v>2</v>
      </c>
      <c r="E35" s="4"/>
      <c r="F35" s="5">
        <f t="shared" si="5"/>
        <v>0</v>
      </c>
      <c r="G35" s="5"/>
      <c r="K35" s="86"/>
      <c r="L35" s="85"/>
    </row>
    <row r="36" spans="1:12" ht="18.75" customHeight="1" x14ac:dyDescent="0.35">
      <c r="A36" s="97" t="s">
        <v>17</v>
      </c>
      <c r="B36" s="112" t="s">
        <v>772</v>
      </c>
      <c r="C36" s="5">
        <f>+IFERROR(VLOOKUP($A36,RAIZ!$A$3:$X$1500,MATCH('Suc. Santa María del Oro'!$F$1,RAIZ!$A$2:$X$2,0),FALSE),0)</f>
        <v>0</v>
      </c>
      <c r="D36" s="7">
        <v>2</v>
      </c>
      <c r="E36" s="4"/>
      <c r="F36" s="5">
        <f t="shared" si="5"/>
        <v>2</v>
      </c>
      <c r="G36" s="5">
        <v>2</v>
      </c>
      <c r="K36" s="86"/>
      <c r="L36" s="85"/>
    </row>
    <row r="37" spans="1:12" ht="18.75" hidden="1" customHeight="1" x14ac:dyDescent="0.35">
      <c r="A37" s="97" t="s">
        <v>18</v>
      </c>
      <c r="B37" s="112" t="s">
        <v>773</v>
      </c>
      <c r="C37" s="5">
        <f>+IFERROR(VLOOKUP($A37,RAIZ!$A$3:$X$1500,MATCH('Suc. Santa María del Oro'!$F$1,RAIZ!$A$2:$X$2,0),FALSE),0)</f>
        <v>3</v>
      </c>
      <c r="D37" s="7">
        <v>2</v>
      </c>
      <c r="E37" s="4"/>
      <c r="F37" s="5">
        <f t="shared" si="5"/>
        <v>0</v>
      </c>
      <c r="G37" s="5"/>
      <c r="K37" s="86"/>
      <c r="L37" s="85"/>
    </row>
    <row r="38" spans="1:12" ht="18.75" customHeight="1" x14ac:dyDescent="0.35">
      <c r="A38" s="97" t="s">
        <v>22</v>
      </c>
      <c r="B38" s="112" t="s">
        <v>774</v>
      </c>
      <c r="C38" s="5">
        <f>+IFERROR(VLOOKUP($A38,RAIZ!$A$3:$X$1500,MATCH('Suc. Santa María del Oro'!$F$1,RAIZ!$A$2:$X$2,0),FALSE),0)</f>
        <v>2</v>
      </c>
      <c r="D38" s="18">
        <v>2</v>
      </c>
      <c r="E38" s="4"/>
      <c r="F38" s="5">
        <f t="shared" si="5"/>
        <v>0</v>
      </c>
      <c r="G38" s="5">
        <v>2</v>
      </c>
      <c r="K38" s="86"/>
      <c r="L38" s="85"/>
    </row>
    <row r="39" spans="1:12" ht="18.75" customHeight="1" x14ac:dyDescent="0.35">
      <c r="A39" s="97" t="s">
        <v>23</v>
      </c>
      <c r="B39" s="112" t="s">
        <v>775</v>
      </c>
      <c r="C39" s="5">
        <f>+IFERROR(VLOOKUP($A39,RAIZ!$A$3:$X$1500,MATCH('Suc. Santa María del Oro'!$F$1,RAIZ!$A$2:$X$2,0),FALSE),0)</f>
        <v>0</v>
      </c>
      <c r="D39" s="18">
        <v>1</v>
      </c>
      <c r="E39" s="4"/>
      <c r="F39" s="5">
        <f t="shared" si="5"/>
        <v>1</v>
      </c>
      <c r="G39" s="5">
        <v>3</v>
      </c>
      <c r="K39" s="86"/>
      <c r="L39" s="85"/>
    </row>
    <row r="40" spans="1:12" ht="18.75" customHeight="1" x14ac:dyDescent="0.35">
      <c r="A40" s="97" t="s">
        <v>24</v>
      </c>
      <c r="B40" s="112" t="s">
        <v>776</v>
      </c>
      <c r="C40" s="5">
        <f>+IFERROR(VLOOKUP($A40,RAIZ!$A$3:$X$1500,MATCH('Suc. Santa María del Oro'!$F$1,RAIZ!$A$2:$X$2,0),FALSE),0)</f>
        <v>2</v>
      </c>
      <c r="D40" s="7">
        <v>2</v>
      </c>
      <c r="E40" s="4"/>
      <c r="F40" s="5">
        <f t="shared" si="5"/>
        <v>0</v>
      </c>
      <c r="G40" s="5">
        <v>1</v>
      </c>
      <c r="K40" s="86"/>
      <c r="L40" s="85"/>
    </row>
    <row r="41" spans="1:12" ht="18.75" customHeight="1" thickBot="1" x14ac:dyDescent="0.4">
      <c r="A41" s="97" t="s">
        <v>25</v>
      </c>
      <c r="B41" s="112" t="s">
        <v>777</v>
      </c>
      <c r="C41" s="5">
        <f>+IFERROR(VLOOKUP($A41,RAIZ!$A$3:$X$1500,MATCH('Suc. Santa María del Oro'!$F$1,RAIZ!$A$2:$X$2,0),FALSE),0)</f>
        <v>0</v>
      </c>
      <c r="D41" s="180">
        <v>0</v>
      </c>
      <c r="E41" s="4"/>
      <c r="F41" s="5">
        <f t="shared" si="5"/>
        <v>0</v>
      </c>
      <c r="G41" s="5">
        <v>1</v>
      </c>
      <c r="K41" s="86"/>
      <c r="L41" s="85"/>
    </row>
    <row r="42" spans="1:12" ht="18.75" hidden="1" customHeight="1" x14ac:dyDescent="0.35">
      <c r="A42" s="97"/>
      <c r="B42" s="112"/>
      <c r="C42" s="5">
        <f>+IFERROR(VLOOKUP($A42,RAIZ!$A$3:$X$1500,MATCH('Suc. Santa María del Oro'!$F$1,RAIZ!$A$2:$X$2,0),FALSE),0)</f>
        <v>0</v>
      </c>
      <c r="D42" s="20"/>
      <c r="E42" s="4"/>
      <c r="F42" s="5">
        <f t="shared" si="5"/>
        <v>0</v>
      </c>
      <c r="G42" s="5"/>
    </row>
    <row r="43" spans="1:12" ht="18.75" hidden="1" customHeight="1" x14ac:dyDescent="0.35">
      <c r="A43" s="97"/>
      <c r="B43" s="112"/>
      <c r="C43" s="5">
        <f>+IFERROR(VLOOKUP($A43,RAIZ!$A$3:$X$1500,MATCH('Suc. Santa María del Oro'!$F$1,RAIZ!$A$2:$X$2,0),FALSE),0)</f>
        <v>0</v>
      </c>
      <c r="D43" s="18"/>
      <c r="E43" s="4"/>
      <c r="F43" s="5">
        <f t="shared" si="5"/>
        <v>0</v>
      </c>
      <c r="G43" s="5"/>
      <c r="K43" s="86"/>
      <c r="L43" s="85"/>
    </row>
    <row r="44" spans="1:12" ht="18.75" hidden="1" customHeight="1" x14ac:dyDescent="0.35">
      <c r="A44" s="97"/>
      <c r="B44" s="112"/>
      <c r="C44" s="5">
        <f>+IFERROR(VLOOKUP($A44,RAIZ!$A$3:$X$1500,MATCH('Suc. Santa María del Oro'!$F$1,RAIZ!$A$2:$X$2,0),FALSE),0)</f>
        <v>0</v>
      </c>
      <c r="D44" s="18"/>
      <c r="E44" s="4"/>
      <c r="F44" s="5">
        <f t="shared" si="5"/>
        <v>0</v>
      </c>
      <c r="G44" s="5"/>
      <c r="K44" s="86"/>
      <c r="L44" s="85"/>
    </row>
    <row r="45" spans="1:12" ht="18.75" hidden="1" customHeight="1" x14ac:dyDescent="0.35">
      <c r="A45" s="97"/>
      <c r="B45" s="112"/>
      <c r="C45" s="5">
        <f>+IFERROR(VLOOKUP($A45,RAIZ!$A$3:$X$1500,MATCH('Suc. Santa María del Oro'!$F$1,RAIZ!$A$2:$X$2,0),FALSE),0)</f>
        <v>0</v>
      </c>
      <c r="D45" s="18"/>
      <c r="E45" s="4"/>
      <c r="F45" s="5">
        <f t="shared" si="5"/>
        <v>0</v>
      </c>
      <c r="G45" s="5"/>
      <c r="K45" s="86"/>
      <c r="L45" s="85"/>
    </row>
    <row r="46" spans="1:12" ht="18.75" hidden="1" customHeight="1" x14ac:dyDescent="0.35">
      <c r="A46" s="97"/>
      <c r="B46" s="112"/>
      <c r="C46" s="5">
        <f>+IFERROR(VLOOKUP($A46,RAIZ!$A$3:$X$1500,MATCH('Suc. Santa María del Oro'!$F$1,RAIZ!$A$2:$X$2,0),FALSE),0)</f>
        <v>0</v>
      </c>
      <c r="D46" s="18"/>
      <c r="E46" s="4"/>
      <c r="F46" s="5">
        <f t="shared" si="5"/>
        <v>0</v>
      </c>
      <c r="G46" s="5"/>
      <c r="K46" s="86"/>
      <c r="L46" s="85"/>
    </row>
    <row r="47" spans="1:12" ht="18.75" hidden="1" customHeight="1" x14ac:dyDescent="0.35">
      <c r="A47" s="97"/>
      <c r="B47" s="112"/>
      <c r="C47" s="5">
        <f>+IFERROR(VLOOKUP($A47,RAIZ!$A$3:$X$1500,MATCH('Suc. Santa María del Oro'!$F$1,RAIZ!$A$2:$X$2,0),FALSE),0)</f>
        <v>0</v>
      </c>
      <c r="D47" s="18"/>
      <c r="E47" s="4"/>
      <c r="F47" s="5">
        <f t="shared" si="5"/>
        <v>0</v>
      </c>
      <c r="G47" s="5"/>
      <c r="K47" s="86"/>
      <c r="L47" s="85"/>
    </row>
    <row r="48" spans="1:12" ht="18.75" hidden="1" customHeight="1" thickBot="1" x14ac:dyDescent="0.4">
      <c r="A48" s="97"/>
      <c r="B48" s="112"/>
      <c r="C48" s="5">
        <f>+IFERROR(VLOOKUP($A48,RAIZ!$A$3:$X$1500,MATCH('Suc. Santa María del Oro'!$F$1,RAIZ!$A$2:$X$2,0),FALSE),0)</f>
        <v>0</v>
      </c>
      <c r="D48" s="18"/>
      <c r="E48" s="4"/>
      <c r="F48" s="5">
        <f t="shared" si="5"/>
        <v>0</v>
      </c>
      <c r="G48" s="5"/>
      <c r="K48" s="86"/>
      <c r="L48" s="85"/>
    </row>
    <row r="49" spans="1:12" ht="18.75" customHeight="1" thickBot="1" x14ac:dyDescent="0.4">
      <c r="A49" s="99" t="s">
        <v>29</v>
      </c>
      <c r="B49" s="111"/>
      <c r="C49" s="77">
        <f>SUM(C33:C48)</f>
        <v>9</v>
      </c>
      <c r="D49" s="48">
        <f>SUM(D33:D48)</f>
        <v>13</v>
      </c>
      <c r="E49" s="48">
        <f>SUM(E33:E48)</f>
        <v>0</v>
      </c>
      <c r="F49" s="65">
        <f>SUM(F33:F48)</f>
        <v>5</v>
      </c>
      <c r="G49" s="48">
        <f>SUM(G33:G48)</f>
        <v>12</v>
      </c>
      <c r="K49" s="86"/>
      <c r="L49" s="85"/>
    </row>
    <row r="50" spans="1:12" ht="18.75" hidden="1" customHeight="1" x14ac:dyDescent="0.35">
      <c r="A50" s="93" t="s">
        <v>30</v>
      </c>
      <c r="B50" s="112" t="s">
        <v>778</v>
      </c>
      <c r="C50" s="5">
        <f>+IFERROR(VLOOKUP($A50,RAIZ!$A$3:$X$1500,MATCH('Suc. Santa María del Oro'!$F$1,RAIZ!$A$2:$X$2,0),FALSE),0)</f>
        <v>6</v>
      </c>
      <c r="D50" s="4">
        <v>10</v>
      </c>
      <c r="E50" s="4"/>
      <c r="F50" s="5">
        <f>IF(D50-C50&gt;=0,D50-C50,0)</f>
        <v>4</v>
      </c>
      <c r="G50" s="5"/>
      <c r="K50" s="86"/>
      <c r="L50" s="85"/>
    </row>
    <row r="51" spans="1:12" ht="18.75" hidden="1" customHeight="1" thickBot="1" x14ac:dyDescent="0.4">
      <c r="A51" s="95" t="s">
        <v>31</v>
      </c>
      <c r="B51" s="112" t="s">
        <v>779</v>
      </c>
      <c r="C51" s="5">
        <f>+IFERROR(VLOOKUP($A51,RAIZ!$A$3:$X$1500,MATCH('Suc. Santa María del Oro'!$F$1,RAIZ!$A$2:$X$2,0),FALSE),0)</f>
        <v>5</v>
      </c>
      <c r="D51" s="20">
        <v>10</v>
      </c>
      <c r="E51" s="4"/>
      <c r="F51" s="5">
        <f t="shared" ref="F51" si="6">IF(D51-C51&gt;=0,D51-C51,0)</f>
        <v>5</v>
      </c>
      <c r="G51" s="5"/>
      <c r="K51" s="86"/>
      <c r="L51" s="85"/>
    </row>
    <row r="52" spans="1:12" ht="18.75" hidden="1" customHeight="1" thickBot="1" x14ac:dyDescent="0.4">
      <c r="A52" s="100" t="s">
        <v>32</v>
      </c>
      <c r="B52" s="111"/>
      <c r="C52" s="78">
        <f>SUM(C50:C51)</f>
        <v>11</v>
      </c>
      <c r="D52" s="50">
        <f t="shared" ref="D52:G52" si="7">SUM(D50:D51)</f>
        <v>20</v>
      </c>
      <c r="E52" s="50">
        <f t="shared" si="7"/>
        <v>0</v>
      </c>
      <c r="F52" s="66">
        <f t="shared" si="7"/>
        <v>9</v>
      </c>
      <c r="G52" s="50">
        <f t="shared" si="7"/>
        <v>0</v>
      </c>
      <c r="K52" s="86"/>
      <c r="L52" s="85"/>
    </row>
    <row r="53" spans="1:12" ht="18.75" customHeight="1" thickBot="1" x14ac:dyDescent="0.4">
      <c r="A53" s="93" t="s">
        <v>33</v>
      </c>
      <c r="B53" s="112" t="s">
        <v>780</v>
      </c>
      <c r="C53" s="5">
        <f>+IFERROR(VLOOKUP($A53,RAIZ!$A$3:$X$1500,MATCH('Suc. Santa María del Oro'!$F$1,RAIZ!$A$2:$X$2,0),FALSE),0)</f>
        <v>2</v>
      </c>
      <c r="D53" s="4">
        <v>10</v>
      </c>
      <c r="E53" s="4"/>
      <c r="F53" s="5">
        <f t="shared" ref="F53:F54" si="8">IF(D53-C53&gt;=0,D53-C53,0)</f>
        <v>8</v>
      </c>
      <c r="G53" s="5">
        <v>3</v>
      </c>
      <c r="K53" s="86"/>
      <c r="L53" s="85"/>
    </row>
    <row r="54" spans="1:12" ht="18.75" hidden="1" customHeight="1" thickBot="1" x14ac:dyDescent="0.4">
      <c r="A54" s="95" t="s">
        <v>34</v>
      </c>
      <c r="B54" s="112" t="s">
        <v>781</v>
      </c>
      <c r="C54" s="5">
        <f>+IFERROR(VLOOKUP($A54,RAIZ!$A$3:$X$1500,MATCH('Suc. Santa María del Oro'!$F$1,RAIZ!$A$2:$X$2,0),FALSE),0)</f>
        <v>5</v>
      </c>
      <c r="D54" s="20">
        <v>10</v>
      </c>
      <c r="E54" s="4"/>
      <c r="F54" s="5">
        <f t="shared" si="8"/>
        <v>5</v>
      </c>
      <c r="G54" s="5"/>
      <c r="K54" s="86"/>
      <c r="L54" s="85"/>
    </row>
    <row r="55" spans="1:12" ht="18.75" customHeight="1" thickBot="1" x14ac:dyDescent="0.4">
      <c r="A55" s="99" t="s">
        <v>35</v>
      </c>
      <c r="B55" s="111"/>
      <c r="C55" s="77">
        <f>SUM(C53:C54)</f>
        <v>7</v>
      </c>
      <c r="D55" s="48">
        <f t="shared" ref="D55:G55" si="9">SUM(D53:D54)</f>
        <v>20</v>
      </c>
      <c r="E55" s="48">
        <f t="shared" si="9"/>
        <v>0</v>
      </c>
      <c r="F55" s="65">
        <f t="shared" si="9"/>
        <v>13</v>
      </c>
      <c r="G55" s="48">
        <f t="shared" si="9"/>
        <v>3</v>
      </c>
      <c r="K55" s="86"/>
      <c r="L55" s="85"/>
    </row>
    <row r="56" spans="1:12" ht="18.75" hidden="1" customHeight="1" x14ac:dyDescent="0.35">
      <c r="A56" s="93" t="s">
        <v>36</v>
      </c>
      <c r="B56" s="112" t="s">
        <v>782</v>
      </c>
      <c r="C56" s="5">
        <f>+IFERROR(VLOOKUP($A56,RAIZ!$A$3:$X$1500,MATCH('Suc. Santa María del Oro'!$F$1,RAIZ!$A$2:$X$2,0),FALSE),0)</f>
        <v>0</v>
      </c>
      <c r="D56" s="4">
        <v>1</v>
      </c>
      <c r="E56" s="4"/>
      <c r="F56" s="5">
        <f t="shared" ref="F56:F70" si="10">IF(D56-C56&gt;=0,D56-C56,0)</f>
        <v>1</v>
      </c>
      <c r="G56" s="5"/>
      <c r="K56" s="86"/>
      <c r="L56" s="85"/>
    </row>
    <row r="57" spans="1:12" ht="18.75" hidden="1" customHeight="1" x14ac:dyDescent="0.35">
      <c r="A57" s="93" t="s">
        <v>37</v>
      </c>
      <c r="B57" s="112" t="s">
        <v>783</v>
      </c>
      <c r="C57" s="5">
        <f>+IFERROR(VLOOKUP($A57,RAIZ!$A$3:$X$1500,MATCH('Suc. Santa María del Oro'!$F$1,RAIZ!$A$2:$X$2,0),FALSE),0)</f>
        <v>1</v>
      </c>
      <c r="D57" s="7">
        <v>1</v>
      </c>
      <c r="E57" s="4"/>
      <c r="F57" s="5">
        <f t="shared" si="10"/>
        <v>0</v>
      </c>
      <c r="G57" s="5"/>
      <c r="K57" s="86"/>
      <c r="L57" s="85"/>
    </row>
    <row r="58" spans="1:12" ht="18.75" hidden="1" customHeight="1" x14ac:dyDescent="0.35">
      <c r="A58" s="93" t="s">
        <v>39</v>
      </c>
      <c r="B58" s="112" t="s">
        <v>784</v>
      </c>
      <c r="C58" s="5">
        <f>+IFERROR(VLOOKUP($A58,RAIZ!$A$3:$X$1500,MATCH('Suc. Santa María del Oro'!$F$1,RAIZ!$A$2:$X$2,0),FALSE),0)</f>
        <v>1</v>
      </c>
      <c r="D58" s="7">
        <v>1</v>
      </c>
      <c r="E58" s="4"/>
      <c r="F58" s="5">
        <f t="shared" si="10"/>
        <v>0</v>
      </c>
      <c r="G58" s="5"/>
      <c r="K58" s="86"/>
      <c r="L58" s="85"/>
    </row>
    <row r="59" spans="1:12" ht="18.75" hidden="1" customHeight="1" x14ac:dyDescent="0.35">
      <c r="A59" s="93" t="s">
        <v>40</v>
      </c>
      <c r="B59" s="112" t="s">
        <v>785</v>
      </c>
      <c r="C59" s="5">
        <f>+IFERROR(VLOOKUP($A59,RAIZ!$A$3:$X$1500,MATCH('Suc. Santa María del Oro'!$F$1,RAIZ!$A$2:$X$2,0),FALSE),0)</f>
        <v>0</v>
      </c>
      <c r="D59" s="7">
        <v>1</v>
      </c>
      <c r="E59" s="4"/>
      <c r="F59" s="5">
        <f t="shared" si="10"/>
        <v>1</v>
      </c>
      <c r="G59" s="5"/>
      <c r="K59" s="86"/>
      <c r="L59" s="85"/>
    </row>
    <row r="60" spans="1:12" ht="18.75" hidden="1" customHeight="1" x14ac:dyDescent="0.35">
      <c r="A60" s="93" t="s">
        <v>41</v>
      </c>
      <c r="B60" s="112" t="s">
        <v>786</v>
      </c>
      <c r="C60" s="5">
        <f>+IFERROR(VLOOKUP($A60,RAIZ!$A$3:$X$1500,MATCH('Suc. Santa María del Oro'!$F$1,RAIZ!$A$2:$X$2,0),FALSE),0)</f>
        <v>0</v>
      </c>
      <c r="D60" s="7">
        <v>1</v>
      </c>
      <c r="E60" s="4"/>
      <c r="F60" s="5">
        <f t="shared" si="10"/>
        <v>1</v>
      </c>
      <c r="G60" s="5"/>
      <c r="K60" s="86"/>
      <c r="L60" s="85"/>
    </row>
    <row r="61" spans="1:12" ht="18.75" hidden="1" customHeight="1" x14ac:dyDescent="0.35">
      <c r="A61" s="101" t="s">
        <v>42</v>
      </c>
      <c r="B61" s="112" t="s">
        <v>787</v>
      </c>
      <c r="C61" s="5">
        <f>+IFERROR(VLOOKUP($A61,RAIZ!$A$3:$X$1500,MATCH('Suc. Santa María del Oro'!$F$1,RAIZ!$A$2:$X$2,0),FALSE),0)</f>
        <v>1</v>
      </c>
      <c r="D61" s="4">
        <v>1</v>
      </c>
      <c r="E61" s="4"/>
      <c r="F61" s="5">
        <f t="shared" si="10"/>
        <v>0</v>
      </c>
      <c r="G61" s="5"/>
      <c r="K61" s="86"/>
      <c r="L61" s="85"/>
    </row>
    <row r="62" spans="1:12" ht="18.75" hidden="1" customHeight="1" x14ac:dyDescent="0.35">
      <c r="A62" s="102" t="s">
        <v>43</v>
      </c>
      <c r="B62" s="112" t="s">
        <v>788</v>
      </c>
      <c r="C62" s="5">
        <f>+IFERROR(VLOOKUP($A62,RAIZ!$A$3:$X$1500,MATCH('Suc. Santa María del Oro'!$F$1,RAIZ!$A$2:$X$2,0),FALSE),0)</f>
        <v>3</v>
      </c>
      <c r="D62" s="7">
        <v>1</v>
      </c>
      <c r="E62" s="4"/>
      <c r="F62" s="5">
        <f t="shared" si="10"/>
        <v>0</v>
      </c>
      <c r="G62" s="5"/>
      <c r="K62" s="86"/>
      <c r="L62" s="85"/>
    </row>
    <row r="63" spans="1:12" ht="18.75" hidden="1" customHeight="1" x14ac:dyDescent="0.35">
      <c r="A63" s="93" t="s">
        <v>44</v>
      </c>
      <c r="B63" s="112" t="s">
        <v>789</v>
      </c>
      <c r="C63" s="5">
        <f>+IFERROR(VLOOKUP($A63,RAIZ!$A$3:$X$1500,MATCH('Suc. Santa María del Oro'!$F$1,RAIZ!$A$2:$X$2,0),FALSE),0)</f>
        <v>0</v>
      </c>
      <c r="D63" s="169">
        <v>0</v>
      </c>
      <c r="E63" s="4"/>
      <c r="F63" s="5">
        <f t="shared" si="10"/>
        <v>0</v>
      </c>
      <c r="G63" s="5"/>
      <c r="K63" s="86"/>
      <c r="L63" s="85"/>
    </row>
    <row r="64" spans="1:12" ht="18.75" hidden="1" customHeight="1" x14ac:dyDescent="0.35">
      <c r="A64" s="93" t="s">
        <v>45</v>
      </c>
      <c r="B64" s="112" t="s">
        <v>790</v>
      </c>
      <c r="C64" s="5">
        <f>+IFERROR(VLOOKUP($A64,RAIZ!$A$3:$X$1500,MATCH('Suc. Santa María del Oro'!$F$1,RAIZ!$A$2:$X$2,0),FALSE),0)</f>
        <v>3</v>
      </c>
      <c r="D64" s="4">
        <v>2</v>
      </c>
      <c r="E64" s="4"/>
      <c r="F64" s="5">
        <f t="shared" si="10"/>
        <v>0</v>
      </c>
      <c r="G64" s="5"/>
      <c r="K64" s="86"/>
      <c r="L64" s="85"/>
    </row>
    <row r="65" spans="1:12" ht="18.75" hidden="1" customHeight="1" x14ac:dyDescent="0.35">
      <c r="A65" s="93" t="s">
        <v>46</v>
      </c>
      <c r="B65" s="112" t="s">
        <v>791</v>
      </c>
      <c r="C65" s="5">
        <f>+IFERROR(VLOOKUP($A65,RAIZ!$A$3:$X$1500,MATCH('Suc. Santa María del Oro'!$F$1,RAIZ!$A$2:$X$2,0),FALSE),0)</f>
        <v>2</v>
      </c>
      <c r="D65" s="7">
        <v>5</v>
      </c>
      <c r="E65" s="4"/>
      <c r="F65" s="5">
        <f t="shared" si="10"/>
        <v>3</v>
      </c>
      <c r="G65" s="5"/>
      <c r="K65" s="86"/>
      <c r="L65" s="85"/>
    </row>
    <row r="66" spans="1:12" ht="18.75" hidden="1" customHeight="1" x14ac:dyDescent="0.35">
      <c r="A66" s="93" t="s">
        <v>48</v>
      </c>
      <c r="B66" s="112" t="s">
        <v>792</v>
      </c>
      <c r="C66" s="5">
        <f>+IFERROR(VLOOKUP($A66,RAIZ!$A$3:$X$1500,MATCH('Suc. Santa María del Oro'!$F$1,RAIZ!$A$2:$X$2,0),FALSE),0)</f>
        <v>1</v>
      </c>
      <c r="D66" s="7">
        <v>1</v>
      </c>
      <c r="E66" s="4"/>
      <c r="F66" s="5">
        <f t="shared" si="10"/>
        <v>0</v>
      </c>
      <c r="G66" s="5"/>
      <c r="K66" s="86"/>
      <c r="L66" s="85"/>
    </row>
    <row r="67" spans="1:12" ht="18.75" customHeight="1" x14ac:dyDescent="0.35">
      <c r="A67" s="93" t="s">
        <v>49</v>
      </c>
      <c r="B67" s="112" t="s">
        <v>793</v>
      </c>
      <c r="C67" s="5">
        <f>+IFERROR(VLOOKUP($A67,RAIZ!$A$3:$X$1500,MATCH('Suc. Santa María del Oro'!$F$1,RAIZ!$A$2:$X$2,0),FALSE),0)</f>
        <v>1</v>
      </c>
      <c r="D67" s="7">
        <v>1</v>
      </c>
      <c r="E67" s="4"/>
      <c r="F67" s="5">
        <f t="shared" si="10"/>
        <v>0</v>
      </c>
      <c r="G67" s="5">
        <v>1</v>
      </c>
      <c r="K67" s="86"/>
      <c r="L67" s="85"/>
    </row>
    <row r="68" spans="1:12" ht="18.75" hidden="1" customHeight="1" x14ac:dyDescent="0.35">
      <c r="A68" s="93" t="s">
        <v>50</v>
      </c>
      <c r="B68" s="112" t="s">
        <v>794</v>
      </c>
      <c r="C68" s="5">
        <f>+IFERROR(VLOOKUP($A68,RAIZ!$A$3:$X$1500,MATCH('Suc. Santa María del Oro'!$F$1,RAIZ!$A$2:$X$2,0),FALSE),0)</f>
        <v>1</v>
      </c>
      <c r="D68" s="4">
        <v>5</v>
      </c>
      <c r="E68" s="4"/>
      <c r="F68" s="5">
        <f t="shared" si="10"/>
        <v>4</v>
      </c>
      <c r="G68" s="5"/>
      <c r="K68" s="86"/>
      <c r="L68" s="85"/>
    </row>
    <row r="69" spans="1:12" ht="18.75" customHeight="1" thickBot="1" x14ac:dyDescent="0.4">
      <c r="A69" s="93" t="s">
        <v>51</v>
      </c>
      <c r="B69" s="112" t="s">
        <v>795</v>
      </c>
      <c r="C69" s="5">
        <f>+IFERROR(VLOOKUP($A69,RAIZ!$A$3:$X$1500,MATCH('Suc. Santa María del Oro'!$F$1,RAIZ!$A$2:$X$2,0),FALSE),0)</f>
        <v>0</v>
      </c>
      <c r="D69" s="7">
        <v>2</v>
      </c>
      <c r="E69" s="148"/>
      <c r="F69" s="5">
        <f t="shared" si="10"/>
        <v>2</v>
      </c>
      <c r="G69" s="5">
        <v>1</v>
      </c>
      <c r="K69" s="86"/>
      <c r="L69" s="85"/>
    </row>
    <row r="70" spans="1:12" ht="18.75" hidden="1" customHeight="1" thickBot="1" x14ac:dyDescent="0.4">
      <c r="A70" s="93" t="s">
        <v>53</v>
      </c>
      <c r="B70" s="112" t="s">
        <v>796</v>
      </c>
      <c r="C70" s="149">
        <f>+IFERROR(VLOOKUP($A70,RAIZ!$A$3:$X$1500,MATCH('Suc. Santa María del Oro'!$F$1,RAIZ!$A$2:$X$2,0),FALSE),0)</f>
        <v>5</v>
      </c>
      <c r="D70" s="152">
        <v>3</v>
      </c>
      <c r="E70" s="154" t="s">
        <v>947</v>
      </c>
      <c r="F70" s="5">
        <f t="shared" si="10"/>
        <v>0</v>
      </c>
      <c r="G70" s="5"/>
      <c r="K70" s="86"/>
      <c r="L70" s="85"/>
    </row>
    <row r="71" spans="1:12" s="150" customFormat="1" ht="18.75" hidden="1" customHeight="1" x14ac:dyDescent="0.35">
      <c r="A71" s="93" t="s">
        <v>47</v>
      </c>
      <c r="B71" s="112" t="s">
        <v>873</v>
      </c>
      <c r="C71" s="149">
        <f>+IFERROR(VLOOKUP($A71,RAIZ!$A$3:$X$1500,MATCH('Suc. Santa María del Oro'!$F$1,RAIZ!$A$2:$X$2,0),FALSE),0)</f>
        <v>2</v>
      </c>
      <c r="D71" s="20">
        <v>2</v>
      </c>
      <c r="E71" s="4"/>
      <c r="F71" s="153">
        <f t="shared" ref="F71:F77" si="11">IF(D71-C71&gt;=0,D71-C71,0)</f>
        <v>0</v>
      </c>
      <c r="G71" s="149"/>
      <c r="K71" s="151"/>
      <c r="L71" s="151"/>
    </row>
    <row r="72" spans="1:12" ht="18.75" hidden="1" customHeight="1" x14ac:dyDescent="0.35">
      <c r="A72" s="86" t="s">
        <v>1089</v>
      </c>
      <c r="B72" s="112" t="s">
        <v>1090</v>
      </c>
      <c r="C72" s="149">
        <f>+IFERROR(VLOOKUP($A72,RAIZ!$A$3:$X$1500,MATCH('Suc. Santa María del Oro'!$F$1,RAIZ!$A$2:$X$2,0),FALSE),0)</f>
        <v>0</v>
      </c>
      <c r="D72" s="20">
        <v>0</v>
      </c>
      <c r="E72" s="4"/>
      <c r="F72" s="5">
        <f>IF(D72-C72&gt;=0,D72-C72,0)</f>
        <v>0</v>
      </c>
      <c r="G72" s="5"/>
    </row>
    <row r="73" spans="1:12" ht="18.75" hidden="1" customHeight="1" x14ac:dyDescent="0.35">
      <c r="A73" s="93"/>
      <c r="B73" s="112"/>
      <c r="C73" s="5">
        <f>+IFERROR(VLOOKUP($A73,RAIZ!$A$3:$X$1500,MATCH('Suc. Santa María del Oro'!$F$1,RAIZ!$A$2:$X$2,0),FALSE),0)</f>
        <v>0</v>
      </c>
      <c r="D73" s="20"/>
      <c r="E73" s="4"/>
      <c r="F73" s="5">
        <f t="shared" si="11"/>
        <v>0</v>
      </c>
      <c r="G73" s="5"/>
      <c r="K73" s="86"/>
      <c r="L73" s="85"/>
    </row>
    <row r="74" spans="1:12" ht="18.75" hidden="1" customHeight="1" x14ac:dyDescent="0.35">
      <c r="A74" s="93"/>
      <c r="B74" s="112"/>
      <c r="C74" s="5">
        <f>+IFERROR(VLOOKUP($A74,RAIZ!$A$3:$X$1500,MATCH('Suc. Santa María del Oro'!$F$1,RAIZ!$A$2:$X$2,0),FALSE),0)</f>
        <v>0</v>
      </c>
      <c r="D74" s="20"/>
      <c r="E74" s="4"/>
      <c r="F74" s="5">
        <f t="shared" si="11"/>
        <v>0</v>
      </c>
      <c r="G74" s="5"/>
      <c r="K74" s="86"/>
      <c r="L74" s="85"/>
    </row>
    <row r="75" spans="1:12" ht="18.75" hidden="1" customHeight="1" x14ac:dyDescent="0.35">
      <c r="A75" s="93"/>
      <c r="B75" s="112"/>
      <c r="C75" s="5">
        <f>+IFERROR(VLOOKUP($A75,RAIZ!$A$3:$X$1500,MATCH('Suc. Santa María del Oro'!$F$1,RAIZ!$A$2:$X$2,0),FALSE),0)</f>
        <v>0</v>
      </c>
      <c r="D75" s="20"/>
      <c r="E75" s="4"/>
      <c r="F75" s="5">
        <f t="shared" si="11"/>
        <v>0</v>
      </c>
      <c r="G75" s="5"/>
      <c r="K75" s="86"/>
      <c r="L75" s="85"/>
    </row>
    <row r="76" spans="1:12" ht="18.75" hidden="1" customHeight="1" x14ac:dyDescent="0.35">
      <c r="A76" s="93"/>
      <c r="B76" s="112"/>
      <c r="C76" s="5">
        <f>+IFERROR(VLOOKUP($A76,RAIZ!$A$3:$X$1500,MATCH('Suc. Santa María del Oro'!$F$1,RAIZ!$A$2:$X$2,0),FALSE),0)</f>
        <v>0</v>
      </c>
      <c r="D76" s="20"/>
      <c r="E76" s="4"/>
      <c r="F76" s="5">
        <f t="shared" si="11"/>
        <v>0</v>
      </c>
      <c r="G76" s="5"/>
      <c r="K76" s="86"/>
      <c r="L76" s="85"/>
    </row>
    <row r="77" spans="1:12" ht="18.75" hidden="1" customHeight="1" thickBot="1" x14ac:dyDescent="0.4">
      <c r="A77" s="93"/>
      <c r="B77" s="112"/>
      <c r="C77" s="5">
        <f>+IFERROR(VLOOKUP($A77,RAIZ!$A$3:$X$1500,MATCH('Suc. Santa María del Oro'!$F$1,RAIZ!$A$2:$X$2,0),FALSE),0)</f>
        <v>0</v>
      </c>
      <c r="D77" s="20"/>
      <c r="E77" s="4"/>
      <c r="F77" s="5">
        <f t="shared" si="11"/>
        <v>0</v>
      </c>
      <c r="G77" s="5"/>
      <c r="K77" s="86"/>
      <c r="L77" s="85"/>
    </row>
    <row r="78" spans="1:12" ht="18.75" customHeight="1" thickBot="1" x14ac:dyDescent="0.4">
      <c r="A78" s="99" t="s">
        <v>54</v>
      </c>
      <c r="B78" s="111"/>
      <c r="C78" s="77">
        <f>SUM(C56:C77)</f>
        <v>21</v>
      </c>
      <c r="D78" s="48">
        <f>SUM(D56:D77)</f>
        <v>28</v>
      </c>
      <c r="E78" s="48">
        <f>SUM(E56:E77)</f>
        <v>0</v>
      </c>
      <c r="F78" s="65">
        <f>SUM(F56:F77)</f>
        <v>12</v>
      </c>
      <c r="G78" s="48">
        <f>SUM(G56:G77)</f>
        <v>2</v>
      </c>
      <c r="K78" s="86"/>
      <c r="L78" s="85"/>
    </row>
    <row r="79" spans="1:12" ht="18.75" customHeight="1" thickBot="1" x14ac:dyDescent="0.4">
      <c r="A79" s="103" t="s">
        <v>55</v>
      </c>
      <c r="B79" s="111"/>
      <c r="C79" s="79">
        <f>C18+C32+C49+C52+C55+C78</f>
        <v>62</v>
      </c>
      <c r="D79" s="52">
        <f>D18+D32+D49+D52+D55+D78</f>
        <v>110</v>
      </c>
      <c r="E79" s="52">
        <f>E18+E32+E49+E52+E55+E78</f>
        <v>0</v>
      </c>
      <c r="F79" s="67">
        <f>F18+F32+F49+F52+F55+F78</f>
        <v>55</v>
      </c>
      <c r="G79" s="52">
        <f>G18+G32+G49+G52+G55+G78</f>
        <v>29</v>
      </c>
      <c r="K79" s="86"/>
      <c r="L79" s="85"/>
    </row>
    <row r="80" spans="1:12" ht="18.75" hidden="1" customHeight="1" x14ac:dyDescent="0.35">
      <c r="A80" s="104" t="s">
        <v>56</v>
      </c>
      <c r="B80" s="111"/>
      <c r="C80" s="68"/>
      <c r="D80" s="26"/>
      <c r="E80" s="26"/>
      <c r="F80" s="27"/>
      <c r="G80" s="27"/>
      <c r="K80" s="86"/>
      <c r="L80" s="85"/>
    </row>
    <row r="81" spans="1:12" ht="18.75" hidden="1" customHeight="1" x14ac:dyDescent="0.35">
      <c r="A81" s="94" t="s">
        <v>57</v>
      </c>
      <c r="B81" s="112" t="s">
        <v>797</v>
      </c>
      <c r="C81" s="5">
        <f>+IFERROR(VLOOKUP($A81,RAIZ!$A$3:$X$1500,MATCH('Suc. Santa María del Oro'!$F$1,RAIZ!$A$2:$X$2,0),FALSE),0)</f>
        <v>0</v>
      </c>
      <c r="D81" s="168">
        <v>0</v>
      </c>
      <c r="E81" s="4"/>
      <c r="F81" s="5">
        <f t="shared" ref="F81:F85" si="12">IF(D81-C81&gt;=0,D81-C81,0)</f>
        <v>0</v>
      </c>
      <c r="G81" s="5"/>
      <c r="K81" s="86"/>
      <c r="L81" s="85"/>
    </row>
    <row r="82" spans="1:12" ht="18.75" hidden="1" customHeight="1" x14ac:dyDescent="0.35">
      <c r="A82" s="94" t="s">
        <v>58</v>
      </c>
      <c r="B82" s="112" t="s">
        <v>867</v>
      </c>
      <c r="C82" s="5">
        <f>+IFERROR(VLOOKUP($A82,RAIZ!$A$3:$X$1500,MATCH('Suc. Santa María del Oro'!$F$1,RAIZ!$A$2:$X$2,0),FALSE),0)</f>
        <v>0</v>
      </c>
      <c r="D82" s="168">
        <v>0</v>
      </c>
      <c r="E82" s="4"/>
      <c r="F82" s="5">
        <f t="shared" si="12"/>
        <v>0</v>
      </c>
      <c r="G82" s="5"/>
      <c r="K82" s="86"/>
      <c r="L82" s="85"/>
    </row>
    <row r="83" spans="1:12" ht="18.75" hidden="1" customHeight="1" x14ac:dyDescent="0.35">
      <c r="A83" s="94" t="s">
        <v>59</v>
      </c>
      <c r="B83" s="112" t="s">
        <v>798</v>
      </c>
      <c r="C83" s="5">
        <f>+IFERROR(VLOOKUP($A83,RAIZ!$A$3:$X$1500,MATCH('Suc. Santa María del Oro'!$F$1,RAIZ!$A$2:$X$2,0),FALSE),0)</f>
        <v>0</v>
      </c>
      <c r="D83" s="169">
        <v>0</v>
      </c>
      <c r="E83" s="4"/>
      <c r="F83" s="5">
        <f t="shared" si="12"/>
        <v>0</v>
      </c>
      <c r="G83" s="5"/>
    </row>
    <row r="84" spans="1:12" ht="18.75" hidden="1" customHeight="1" thickBot="1" x14ac:dyDescent="0.4">
      <c r="A84" s="94" t="s">
        <v>60</v>
      </c>
      <c r="B84" s="112" t="s">
        <v>799</v>
      </c>
      <c r="C84" s="5">
        <f>+IFERROR(VLOOKUP($A84,RAIZ!$A$3:$X$1500,MATCH('Suc. Santa María del Oro'!$F$1,RAIZ!$A$2:$X$2,0),FALSE),0)</f>
        <v>0</v>
      </c>
      <c r="D84" s="169">
        <v>0</v>
      </c>
      <c r="E84" s="148"/>
      <c r="F84" s="5">
        <f t="shared" si="12"/>
        <v>0</v>
      </c>
      <c r="G84" s="5"/>
    </row>
    <row r="85" spans="1:12" ht="18.75" hidden="1" customHeight="1" thickBot="1" x14ac:dyDescent="0.4">
      <c r="A85" s="94" t="s">
        <v>61</v>
      </c>
      <c r="B85" s="112" t="s">
        <v>800</v>
      </c>
      <c r="C85" s="149">
        <f>+IFERROR(VLOOKUP($A85,RAIZ!$A$3:$X$1500,MATCH('Suc. Santa María del Oro'!$F$1,RAIZ!$A$2:$X$2,0),FALSE),0)</f>
        <v>0</v>
      </c>
      <c r="D85" s="177">
        <v>0</v>
      </c>
      <c r="E85" s="154" t="s">
        <v>948</v>
      </c>
      <c r="F85" s="153">
        <f t="shared" si="12"/>
        <v>0</v>
      </c>
      <c r="G85" s="149"/>
    </row>
    <row r="86" spans="1:12" ht="18.75" hidden="1" customHeight="1" x14ac:dyDescent="0.35">
      <c r="A86" s="94" t="s">
        <v>63</v>
      </c>
      <c r="B86" s="112" t="s">
        <v>801</v>
      </c>
      <c r="C86" s="5">
        <f>+IFERROR(VLOOKUP($A86,RAIZ!$A$3:$X$1500,MATCH('Suc. Santa María del Oro'!$F$1,RAIZ!$A$2:$X$2,0),FALSE),0)</f>
        <v>0</v>
      </c>
      <c r="D86" s="169">
        <v>0</v>
      </c>
      <c r="E86" s="4"/>
      <c r="F86" s="5">
        <f t="shared" ref="F86:F90" si="13">IF(D86-C86&gt;=0,D86-C86,0)</f>
        <v>0</v>
      </c>
      <c r="G86" s="5"/>
    </row>
    <row r="87" spans="1:12" ht="18.75" hidden="1" customHeight="1" x14ac:dyDescent="0.35">
      <c r="A87" s="94"/>
      <c r="B87" s="112" t="s">
        <v>1091</v>
      </c>
      <c r="C87" s="5">
        <f>+IFERROR(VLOOKUP($A87,RAIZ!$A$3:$X$1500,MATCH('Suc. Santa María del Oro'!$F$1,RAIZ!$A$2:$X$2,0),FALSE),0)</f>
        <v>0</v>
      </c>
      <c r="D87" s="20"/>
      <c r="E87" s="4"/>
      <c r="F87" s="5">
        <f>IF(D87-C87&gt;=0,D87-C87,0)</f>
        <v>0</v>
      </c>
      <c r="G87" s="5"/>
    </row>
    <row r="88" spans="1:12" ht="18.75" hidden="1" customHeight="1" x14ac:dyDescent="0.35">
      <c r="A88" s="94"/>
      <c r="B88" s="112" t="s">
        <v>1094</v>
      </c>
      <c r="C88" s="5">
        <f>+IFERROR(VLOOKUP($A88,RAIZ!$A$3:$X$1500,MATCH('Suc. Santa María del Oro'!$F$1,RAIZ!$A$2:$X$2,0),FALSE),0)</f>
        <v>0</v>
      </c>
      <c r="D88" s="7"/>
      <c r="E88" s="4"/>
      <c r="F88" s="5">
        <f t="shared" si="13"/>
        <v>0</v>
      </c>
      <c r="G88" s="5"/>
    </row>
    <row r="89" spans="1:12" ht="18.75" hidden="1" customHeight="1" x14ac:dyDescent="0.35">
      <c r="A89" s="94"/>
      <c r="B89" s="112" t="s">
        <v>1095</v>
      </c>
      <c r="C89" s="5">
        <f>+IFERROR(VLOOKUP($A89,RAIZ!$A$3:$X$1500,MATCH('Suc. Santa María del Oro'!$F$1,RAIZ!$A$2:$X$2,0),FALSE),0)</f>
        <v>0</v>
      </c>
      <c r="D89" s="7"/>
      <c r="E89" s="4"/>
      <c r="F89" s="5">
        <f t="shared" si="13"/>
        <v>0</v>
      </c>
      <c r="G89" s="5"/>
    </row>
    <row r="90" spans="1:12" ht="18.75" hidden="1" customHeight="1" thickBot="1" x14ac:dyDescent="0.4">
      <c r="A90" s="94"/>
      <c r="B90" s="112" t="s">
        <v>1093</v>
      </c>
      <c r="C90" s="5">
        <f>+IFERROR(VLOOKUP($A90,RAIZ!$A$3:$X$1500,MATCH('Suc. Santa María del Oro'!$F$1,RAIZ!$A$2:$X$2,0),FALSE),0)</f>
        <v>0</v>
      </c>
      <c r="D90" s="7"/>
      <c r="E90" s="4"/>
      <c r="F90" s="5">
        <f t="shared" si="13"/>
        <v>0</v>
      </c>
      <c r="G90" s="5"/>
    </row>
    <row r="91" spans="1:12" ht="18.75" hidden="1" customHeight="1" thickBot="1" x14ac:dyDescent="0.4">
      <c r="A91" s="105" t="s">
        <v>55</v>
      </c>
      <c r="B91" s="111"/>
      <c r="C91" s="80">
        <f>SUM(C81:C90)</f>
        <v>0</v>
      </c>
      <c r="D91" s="54">
        <f>SUM(D81:D90)</f>
        <v>0</v>
      </c>
      <c r="E91" s="54">
        <f>SUM(E81:E90)</f>
        <v>0</v>
      </c>
      <c r="F91" s="69">
        <f>SUM(F81:F90)</f>
        <v>0</v>
      </c>
      <c r="G91" s="54">
        <f>SUM(G81:G90)</f>
        <v>0</v>
      </c>
    </row>
    <row r="92" spans="1:12" ht="18.75" hidden="1" customHeight="1" x14ac:dyDescent="0.35">
      <c r="A92" s="106" t="s">
        <v>64</v>
      </c>
      <c r="B92" s="111"/>
      <c r="C92" s="70"/>
      <c r="D92" s="30"/>
      <c r="E92" s="30"/>
      <c r="F92" s="31"/>
      <c r="G92" s="31"/>
    </row>
    <row r="93" spans="1:12" ht="18.75" hidden="1" customHeight="1" x14ac:dyDescent="0.35">
      <c r="A93" s="94" t="s">
        <v>65</v>
      </c>
      <c r="B93" s="112" t="s">
        <v>802</v>
      </c>
      <c r="C93" s="5">
        <f>+IFERROR(VLOOKUP($A93,RAIZ!$A$3:$X$1500,MATCH('Suc. Santa María del Oro'!$F$1,RAIZ!$A$2:$X$2,0),FALSE),0)</f>
        <v>1</v>
      </c>
      <c r="D93" s="168">
        <v>0</v>
      </c>
      <c r="E93" s="4"/>
      <c r="F93" s="5">
        <f t="shared" ref="F93:F104" si="14">IF(D93-C93&gt;=0,D93-C93,0)</f>
        <v>0</v>
      </c>
      <c r="G93" s="5"/>
    </row>
    <row r="94" spans="1:12" ht="18.75" hidden="1" customHeight="1" x14ac:dyDescent="0.35">
      <c r="A94" s="94" t="s">
        <v>66</v>
      </c>
      <c r="B94" s="112" t="s">
        <v>803</v>
      </c>
      <c r="C94" s="5">
        <f>+IFERROR(VLOOKUP($A94,RAIZ!$A$3:$X$1500,MATCH('Suc. Santa María del Oro'!$F$1,RAIZ!$A$2:$X$2,0),FALSE),0)</f>
        <v>0</v>
      </c>
      <c r="D94" s="169">
        <v>0</v>
      </c>
      <c r="E94" s="4"/>
      <c r="F94" s="5">
        <f t="shared" si="14"/>
        <v>0</v>
      </c>
      <c r="G94" s="5"/>
    </row>
    <row r="95" spans="1:12" ht="18.75" hidden="1" customHeight="1" x14ac:dyDescent="0.35">
      <c r="A95" s="94" t="s">
        <v>68</v>
      </c>
      <c r="B95" s="112" t="s">
        <v>805</v>
      </c>
      <c r="C95" s="5">
        <f>+IFERROR(VLOOKUP($A95,RAIZ!$A$3:$X$1500,MATCH('Suc. Santa María del Oro'!$F$1,RAIZ!$A$2:$X$2,0),FALSE),0)</f>
        <v>0</v>
      </c>
      <c r="D95" s="7">
        <v>1</v>
      </c>
      <c r="E95" s="4"/>
      <c r="F95" s="5">
        <f t="shared" si="14"/>
        <v>1</v>
      </c>
      <c r="G95" s="5"/>
    </row>
    <row r="96" spans="1:12" ht="18.75" hidden="1" customHeight="1" x14ac:dyDescent="0.35">
      <c r="A96" s="94" t="s">
        <v>69</v>
      </c>
      <c r="B96" s="112" t="s">
        <v>806</v>
      </c>
      <c r="C96" s="5">
        <f>+IFERROR(VLOOKUP($A96,RAIZ!$A$3:$X$1500,MATCH('Suc. Santa María del Oro'!$F$1,RAIZ!$A$2:$X$2,0),FALSE),0)</f>
        <v>8</v>
      </c>
      <c r="D96" s="7">
        <v>15</v>
      </c>
      <c r="E96" s="4"/>
      <c r="F96" s="5">
        <f t="shared" si="14"/>
        <v>7</v>
      </c>
      <c r="G96" s="5"/>
    </row>
    <row r="97" spans="1:7" ht="18.75" hidden="1" customHeight="1" x14ac:dyDescent="0.35">
      <c r="A97" s="94" t="s">
        <v>70</v>
      </c>
      <c r="B97" s="112" t="s">
        <v>807</v>
      </c>
      <c r="C97" s="5">
        <f>+IFERROR(VLOOKUP($A97,RAIZ!$A$3:$X$1500,MATCH('Suc. Santa María del Oro'!$F$1,RAIZ!$A$2:$X$2,0),FALSE),0)</f>
        <v>4</v>
      </c>
      <c r="D97" s="7">
        <v>10</v>
      </c>
      <c r="E97" s="4"/>
      <c r="F97" s="5">
        <f t="shared" si="14"/>
        <v>6</v>
      </c>
      <c r="G97" s="5"/>
    </row>
    <row r="98" spans="1:7" ht="18.75" hidden="1" customHeight="1" x14ac:dyDescent="0.35">
      <c r="A98" s="94" t="s">
        <v>857</v>
      </c>
      <c r="B98" s="112" t="s">
        <v>808</v>
      </c>
      <c r="C98" s="5">
        <f>+IFERROR(VLOOKUP($A98,RAIZ!$A$3:$X$1500,MATCH('Suc. Santa María del Oro'!$F$1,RAIZ!$A$2:$X$2,0),FALSE),0)</f>
        <v>7</v>
      </c>
      <c r="D98" s="7">
        <v>3</v>
      </c>
      <c r="E98" s="202">
        <v>7</v>
      </c>
      <c r="F98" s="5">
        <f t="shared" si="14"/>
        <v>0</v>
      </c>
      <c r="G98" s="5"/>
    </row>
    <row r="99" spans="1:7" ht="18.75" hidden="1" customHeight="1" x14ac:dyDescent="0.35">
      <c r="A99" s="94" t="s">
        <v>835</v>
      </c>
      <c r="B99" s="112" t="s">
        <v>836</v>
      </c>
      <c r="C99" s="5">
        <f>+IFERROR(VLOOKUP($A99,RAIZ!$A$3:$X$1500,MATCH('Suc. Santa María del Oro'!$F$1,RAIZ!$A$2:$X$2,0),FALSE),0)</f>
        <v>3</v>
      </c>
      <c r="D99" s="7">
        <v>2</v>
      </c>
      <c r="E99" s="4"/>
      <c r="F99" s="5">
        <f t="shared" si="14"/>
        <v>0</v>
      </c>
      <c r="G99" s="5"/>
    </row>
    <row r="100" spans="1:7" ht="18.75" customHeight="1" x14ac:dyDescent="0.35">
      <c r="A100" s="94" t="s">
        <v>72</v>
      </c>
      <c r="B100" s="112" t="s">
        <v>834</v>
      </c>
      <c r="C100" s="5">
        <f>+IFERROR(VLOOKUP($A100,RAIZ!$A$3:$X$1500,MATCH('Suc. Santa María del Oro'!$F$1,RAIZ!$A$2:$X$2,0),FALSE),0)</f>
        <v>25</v>
      </c>
      <c r="D100" s="7">
        <v>30</v>
      </c>
      <c r="E100" s="4"/>
      <c r="F100" s="5">
        <f t="shared" si="14"/>
        <v>5</v>
      </c>
      <c r="G100" s="5">
        <v>5</v>
      </c>
    </row>
    <row r="101" spans="1:7" ht="18.75" hidden="1" customHeight="1" x14ac:dyDescent="0.35">
      <c r="A101" s="94" t="s">
        <v>73</v>
      </c>
      <c r="B101" s="112" t="s">
        <v>809</v>
      </c>
      <c r="C101" s="5">
        <f>+IFERROR(VLOOKUP($A101,RAIZ!$A$3:$X$1500,MATCH('Suc. Santa María del Oro'!$F$1,RAIZ!$A$2:$X$2,0),FALSE),0)</f>
        <v>3</v>
      </c>
      <c r="D101" s="7">
        <v>2</v>
      </c>
      <c r="E101" s="4"/>
      <c r="F101" s="5">
        <f t="shared" si="14"/>
        <v>0</v>
      </c>
      <c r="G101" s="5"/>
    </row>
    <row r="102" spans="1:7" ht="18.75" customHeight="1" x14ac:dyDescent="0.35">
      <c r="A102" s="94" t="s">
        <v>74</v>
      </c>
      <c r="B102" s="112" t="s">
        <v>810</v>
      </c>
      <c r="C102" s="5">
        <f>+IFERROR(VLOOKUP($A102,RAIZ!$A$3:$X$1500,MATCH('Suc. Santa María del Oro'!$F$1,RAIZ!$A$2:$X$2,0),FALSE),0)</f>
        <v>0</v>
      </c>
      <c r="D102" s="7">
        <v>2</v>
      </c>
      <c r="E102" s="4"/>
      <c r="F102" s="5">
        <f t="shared" si="14"/>
        <v>2</v>
      </c>
      <c r="G102" s="5">
        <v>2</v>
      </c>
    </row>
    <row r="103" spans="1:7" ht="18.75" customHeight="1" thickBot="1" x14ac:dyDescent="0.4">
      <c r="A103" s="94" t="s">
        <v>75</v>
      </c>
      <c r="B103" s="112" t="s">
        <v>811</v>
      </c>
      <c r="C103" s="5">
        <f>+IFERROR(VLOOKUP($A103,RAIZ!$A$3:$X$1500,MATCH('Suc. Santa María del Oro'!$F$1,RAIZ!$A$2:$X$2,0),FALSE),0)</f>
        <v>1</v>
      </c>
      <c r="D103" s="20">
        <v>4</v>
      </c>
      <c r="E103" s="4"/>
      <c r="F103" s="5">
        <f t="shared" si="14"/>
        <v>3</v>
      </c>
      <c r="G103" s="5">
        <v>4</v>
      </c>
    </row>
    <row r="104" spans="1:7" ht="18.75" hidden="1" customHeight="1" thickBot="1" x14ac:dyDescent="0.4">
      <c r="A104" s="94"/>
      <c r="B104" s="112" t="s">
        <v>1096</v>
      </c>
      <c r="C104" s="5">
        <f>+IFERROR(VLOOKUP($A104,RAIZ!$A$3:$X$1500,MATCH('Suc. Santa María del Oro'!$F$1,RAIZ!$A$2:$X$2,0),FALSE),0)</f>
        <v>0</v>
      </c>
      <c r="D104" s="7"/>
      <c r="E104" s="4"/>
      <c r="F104" s="5">
        <f t="shared" si="14"/>
        <v>0</v>
      </c>
      <c r="G104" s="5"/>
    </row>
    <row r="105" spans="1:7" ht="18.75" customHeight="1" thickBot="1" x14ac:dyDescent="0.4">
      <c r="A105" s="107" t="s">
        <v>55</v>
      </c>
      <c r="B105" s="111"/>
      <c r="C105" s="81">
        <f>SUM(C93:C104)</f>
        <v>52</v>
      </c>
      <c r="D105" s="56">
        <f>SUM(D93:D104)</f>
        <v>69</v>
      </c>
      <c r="E105" s="56">
        <f>SUM(E93:E104)</f>
        <v>7</v>
      </c>
      <c r="F105" s="71">
        <f>SUM(F93:F104)</f>
        <v>24</v>
      </c>
      <c r="G105" s="56">
        <f>SUM(G93:G104)</f>
        <v>11</v>
      </c>
    </row>
    <row r="106" spans="1:7" ht="18.75" hidden="1" customHeight="1" x14ac:dyDescent="0.35">
      <c r="A106" s="108" t="s">
        <v>76</v>
      </c>
      <c r="B106" s="111"/>
      <c r="C106" s="72"/>
      <c r="D106" s="34"/>
      <c r="E106" s="34"/>
      <c r="F106" s="35"/>
      <c r="G106" s="35"/>
    </row>
    <row r="107" spans="1:7" ht="18.75" hidden="1" customHeight="1" x14ac:dyDescent="0.35">
      <c r="A107" s="94" t="s">
        <v>77</v>
      </c>
      <c r="B107" s="112" t="s">
        <v>812</v>
      </c>
      <c r="C107" s="5">
        <f>+IFERROR(VLOOKUP($A107,RAIZ!$A$3:$X$1500,MATCH('Suc. Santa María del Oro'!$F$1,RAIZ!$A$2:$X$2,0),FALSE),0)</f>
        <v>1</v>
      </c>
      <c r="D107" s="7">
        <v>4</v>
      </c>
      <c r="E107" s="4"/>
      <c r="F107" s="5">
        <f t="shared" ref="F107:F112" si="15">IF(D107-C107&gt;=0,D107-C107,0)</f>
        <v>3</v>
      </c>
      <c r="G107" s="5"/>
    </row>
    <row r="108" spans="1:7" ht="18.75" hidden="1" customHeight="1" x14ac:dyDescent="0.35">
      <c r="A108" s="94" t="s">
        <v>621</v>
      </c>
      <c r="B108" s="112" t="s">
        <v>813</v>
      </c>
      <c r="C108" s="5">
        <f>+IFERROR(VLOOKUP($A108,RAIZ!$A$3:$X$1500,MATCH('Suc. Santa María del Oro'!$F$1,RAIZ!$A$2:$X$2,0),FALSE),0)</f>
        <v>0</v>
      </c>
      <c r="D108" s="7">
        <v>0</v>
      </c>
      <c r="E108" s="4"/>
      <c r="F108" s="5">
        <f t="shared" si="15"/>
        <v>0</v>
      </c>
      <c r="G108" s="5"/>
    </row>
    <row r="109" spans="1:7" ht="18.75" hidden="1" customHeight="1" x14ac:dyDescent="0.35">
      <c r="A109" s="94" t="s">
        <v>80</v>
      </c>
      <c r="B109" s="112" t="s">
        <v>815</v>
      </c>
      <c r="C109" s="5">
        <f>+IFERROR(VLOOKUP($A109,RAIZ!$A$3:$X$1500,MATCH('Suc. Santa María del Oro'!$F$1,RAIZ!$A$2:$X$2,0),FALSE),0)</f>
        <v>8</v>
      </c>
      <c r="D109" s="7">
        <v>15</v>
      </c>
      <c r="E109" s="4"/>
      <c r="F109" s="5">
        <f t="shared" si="15"/>
        <v>7</v>
      </c>
      <c r="G109" s="5"/>
    </row>
    <row r="110" spans="1:7" ht="18.75" hidden="1" customHeight="1" x14ac:dyDescent="0.35">
      <c r="A110" s="94" t="s">
        <v>81</v>
      </c>
      <c r="B110" s="112" t="s">
        <v>816</v>
      </c>
      <c r="C110" s="5">
        <f>+IFERROR(VLOOKUP($A110,RAIZ!$A$3:$X$1500,MATCH('Suc. Santa María del Oro'!$F$1,RAIZ!$A$2:$X$2,0),FALSE),0)</f>
        <v>10</v>
      </c>
      <c r="D110" s="7">
        <v>15</v>
      </c>
      <c r="E110" s="4"/>
      <c r="F110" s="5">
        <f t="shared" si="15"/>
        <v>5</v>
      </c>
      <c r="G110" s="5"/>
    </row>
    <row r="111" spans="1:7" ht="18.75" hidden="1" customHeight="1" x14ac:dyDescent="0.35">
      <c r="A111" s="95" t="s">
        <v>83</v>
      </c>
      <c r="B111" s="112" t="s">
        <v>818</v>
      </c>
      <c r="C111" s="5">
        <f>+IFERROR(VLOOKUP($A111,RAIZ!$A$3:$X$1500,MATCH('Suc. Santa María del Oro'!$F$1,RAIZ!$A$2:$X$2,0),FALSE),0)</f>
        <v>0</v>
      </c>
      <c r="D111" s="20">
        <v>4</v>
      </c>
      <c r="E111" s="4"/>
      <c r="F111" s="5">
        <f t="shared" si="15"/>
        <v>4</v>
      </c>
      <c r="G111" s="5"/>
    </row>
    <row r="112" spans="1:7" ht="18.75" hidden="1" customHeight="1" thickBot="1" x14ac:dyDescent="0.4">
      <c r="A112" s="95"/>
      <c r="B112" s="112"/>
      <c r="C112" s="5">
        <f>+IFERROR(VLOOKUP($A112,RAIZ!$A$3:$X$1500,MATCH('Suc. Santa María del Oro'!$F$1,RAIZ!$A$2:$X$2,0),FALSE),0)</f>
        <v>0</v>
      </c>
      <c r="D112" s="20"/>
      <c r="E112" s="4"/>
      <c r="F112" s="5">
        <f t="shared" si="15"/>
        <v>0</v>
      </c>
      <c r="G112" s="5"/>
    </row>
    <row r="113" spans="1:7" ht="18.75" hidden="1" customHeight="1" thickBot="1" x14ac:dyDescent="0.4">
      <c r="A113" s="109" t="s">
        <v>55</v>
      </c>
      <c r="B113" s="111"/>
      <c r="C113" s="82">
        <f>SUM(C107:C112,C114:C116)</f>
        <v>28</v>
      </c>
      <c r="D113" s="58">
        <f>SUM(D107:D112,D114:D116)</f>
        <v>52</v>
      </c>
      <c r="E113" s="58">
        <f>SUM(E107:E112,E114:E116)</f>
        <v>0</v>
      </c>
      <c r="F113" s="73">
        <f>SUM(F107:F112,F114:F116)</f>
        <v>24</v>
      </c>
      <c r="G113" s="58">
        <f>SUM(G107:G112,G114:G116)</f>
        <v>0</v>
      </c>
    </row>
    <row r="114" spans="1:7" ht="18.75" hidden="1" customHeight="1" x14ac:dyDescent="0.35">
      <c r="A114" s="93" t="s">
        <v>84</v>
      </c>
      <c r="B114" s="112" t="s">
        <v>819</v>
      </c>
      <c r="C114" s="5">
        <f>+IFERROR(VLOOKUP($A114,RAIZ!$A$3:$X$1500,MATCH('Suc. Santa María del Oro'!$F$1,RAIZ!$A$2:$X$2,0),FALSE),0)</f>
        <v>2</v>
      </c>
      <c r="D114" s="4">
        <v>5</v>
      </c>
      <c r="E114" s="4"/>
      <c r="F114" s="5">
        <f t="shared" ref="F114" si="16">IF(D114-C114&gt;=0,D114-C114,0)</f>
        <v>3</v>
      </c>
      <c r="G114" s="5"/>
    </row>
    <row r="115" spans="1:7" ht="18.75" hidden="1" customHeight="1" x14ac:dyDescent="0.35">
      <c r="A115" s="95" t="s">
        <v>85</v>
      </c>
      <c r="B115" s="112" t="s">
        <v>820</v>
      </c>
      <c r="C115" s="5">
        <f>+IFERROR(VLOOKUP($A115,RAIZ!$A$3:$X$1500,MATCH('Suc. Santa María del Oro'!$F$1,RAIZ!$A$2:$X$2,0),FALSE),0)</f>
        <v>3</v>
      </c>
      <c r="D115" s="20">
        <v>5</v>
      </c>
      <c r="E115" s="4"/>
      <c r="F115" s="5">
        <f t="shared" ref="F115:F141" si="17">IF(D115-C115&gt;=0,D115-C115,0)</f>
        <v>2</v>
      </c>
      <c r="G115" s="5"/>
    </row>
    <row r="116" spans="1:7" ht="18.75" hidden="1" customHeight="1" thickBot="1" x14ac:dyDescent="0.4">
      <c r="A116" s="95" t="s">
        <v>881</v>
      </c>
      <c r="B116" s="112" t="s">
        <v>882</v>
      </c>
      <c r="C116" s="5">
        <f>+IFERROR(VLOOKUP($A116,RAIZ!$A$3:$X$1500,MATCH('Suc. Santa María del Oro'!$F$1,RAIZ!$A$2:$X$2,0),FALSE),0)</f>
        <v>4</v>
      </c>
      <c r="D116" s="20">
        <v>4</v>
      </c>
      <c r="E116" s="4"/>
      <c r="F116" s="5">
        <f t="shared" si="17"/>
        <v>0</v>
      </c>
      <c r="G116" s="5"/>
    </row>
    <row r="117" spans="1:7" ht="18.75" customHeight="1" thickBot="1" x14ac:dyDescent="0.4">
      <c r="A117" s="110" t="s">
        <v>86</v>
      </c>
      <c r="B117" s="111"/>
      <c r="C117" s="83">
        <f>C79+C91+C105+C113</f>
        <v>142</v>
      </c>
      <c r="D117" s="60">
        <f>D79+D91+D105+D113</f>
        <v>231</v>
      </c>
      <c r="E117" s="60">
        <f>E79+E91+E105+E113</f>
        <v>7</v>
      </c>
      <c r="F117" s="74">
        <f>F79+F91+F105+F113</f>
        <v>103</v>
      </c>
      <c r="G117" s="60">
        <f>G79+G91+G105+G113</f>
        <v>40</v>
      </c>
    </row>
    <row r="118" spans="1:7" ht="18.75" hidden="1" customHeight="1" x14ac:dyDescent="0.35">
      <c r="A118" s="95" t="s">
        <v>975</v>
      </c>
      <c r="B118" s="112" t="s">
        <v>976</v>
      </c>
      <c r="C118" s="5">
        <f>+IFERROR(VLOOKUP($A118,RAIZ!$A$3:$X$1500,MATCH('Suc. Santa María del Oro'!$F$1,RAIZ!$A$2:$X$2,0),FALSE),0)</f>
        <v>0</v>
      </c>
      <c r="D118" s="20">
        <v>3</v>
      </c>
      <c r="E118" s="4"/>
      <c r="F118" s="5">
        <f>IF(D118-C118&gt;=0,D118-C118,0)</f>
        <v>3</v>
      </c>
      <c r="G118" s="5"/>
    </row>
    <row r="119" spans="1:7" ht="18.75" hidden="1" customHeight="1" x14ac:dyDescent="0.35">
      <c r="A119" s="95" t="s">
        <v>974</v>
      </c>
      <c r="B119" s="112" t="s">
        <v>977</v>
      </c>
      <c r="C119" s="5">
        <f>+IFERROR(VLOOKUP($A119,RAIZ!$A$3:$X$1500,MATCH('Suc. Santa María del Oro'!$F$1,RAIZ!$A$2:$X$2,0),FALSE),0)</f>
        <v>4</v>
      </c>
      <c r="D119" s="20">
        <v>3</v>
      </c>
      <c r="E119" s="4"/>
      <c r="F119" s="5">
        <f t="shared" si="17"/>
        <v>0</v>
      </c>
      <c r="G119" s="5"/>
    </row>
    <row r="120" spans="1:7" ht="18.75" hidden="1" customHeight="1" thickBot="1" x14ac:dyDescent="0.4">
      <c r="A120" s="95" t="s">
        <v>1077</v>
      </c>
      <c r="B120" s="112" t="s">
        <v>817</v>
      </c>
      <c r="C120" s="5">
        <f>+IFERROR(VLOOKUP($A120,RAIZ!$A$3:$X$1500,MATCH('Suc. Santa María del Oro'!$F$1,RAIZ!$A$2:$X$2,0),FALSE),0)</f>
        <v>1</v>
      </c>
      <c r="D120" s="20">
        <v>0</v>
      </c>
      <c r="E120" s="4"/>
      <c r="F120" s="5">
        <f t="shared" si="17"/>
        <v>0</v>
      </c>
      <c r="G120" s="5"/>
    </row>
    <row r="121" spans="1:7" ht="18.75" hidden="1" customHeight="1" thickBot="1" x14ac:dyDescent="0.4">
      <c r="A121" s="95" t="s">
        <v>1076</v>
      </c>
      <c r="B121" s="194" t="s">
        <v>1121</v>
      </c>
      <c r="C121" s="5">
        <f>+IFERROR(VLOOKUP($A121,RAIZ!$A$3:$X$1500,MATCH('Suc. Santa María del Oro'!$F$1,RAIZ!$A$2:$X$2,0),FALSE),0)</f>
        <v>0</v>
      </c>
      <c r="D121" s="20">
        <v>0</v>
      </c>
      <c r="E121" s="4"/>
      <c r="F121" s="5">
        <f t="shared" si="17"/>
        <v>0</v>
      </c>
      <c r="G121" s="5"/>
    </row>
    <row r="122" spans="1:7" ht="18.75" hidden="1" customHeight="1" thickBot="1" x14ac:dyDescent="0.4">
      <c r="A122" s="95" t="s">
        <v>1014</v>
      </c>
      <c r="B122" s="194" t="s">
        <v>1010</v>
      </c>
      <c r="C122" s="5">
        <f>+IFERROR(VLOOKUP($A122,RAIZ!$A$3:$X$1500,MATCH('Suc. Santa María del Oro'!$F$1,RAIZ!$A$2:$X$2,0),FALSE),0)</f>
        <v>0</v>
      </c>
      <c r="D122" s="20">
        <v>10</v>
      </c>
      <c r="E122" s="4"/>
      <c r="F122" s="5">
        <f t="shared" si="17"/>
        <v>10</v>
      </c>
      <c r="G122" s="5"/>
    </row>
    <row r="123" spans="1:7" ht="18.75" hidden="1" customHeight="1" thickBot="1" x14ac:dyDescent="0.4">
      <c r="A123" s="95" t="s">
        <v>1015</v>
      </c>
      <c r="B123" s="194" t="s">
        <v>1011</v>
      </c>
      <c r="C123" s="147">
        <f>+IFERROR(VLOOKUP($A123,RAIZ!$A$3:$X$1500,MATCH('Suc. Santa María del Oro'!$F$1,RAIZ!$A$2:$X$2,0),FALSE),0)</f>
        <v>7</v>
      </c>
      <c r="D123" s="20">
        <v>5</v>
      </c>
      <c r="E123" s="4"/>
      <c r="F123" s="5">
        <f t="shared" si="17"/>
        <v>0</v>
      </c>
      <c r="G123" s="5"/>
    </row>
    <row r="124" spans="1:7" ht="18.75" hidden="1" customHeight="1" thickBot="1" x14ac:dyDescent="0.4">
      <c r="A124" s="95" t="s">
        <v>1016</v>
      </c>
      <c r="B124" s="194" t="s">
        <v>1012</v>
      </c>
      <c r="C124" s="147">
        <f>+IFERROR(VLOOKUP($A124,RAIZ!$A$3:$X$1500,MATCH('Suc. Santa María del Oro'!$F$1,RAIZ!$A$2:$X$2,0),FALSE),0)</f>
        <v>6</v>
      </c>
      <c r="D124" s="20">
        <v>10</v>
      </c>
      <c r="E124" s="4"/>
      <c r="F124" s="5">
        <f t="shared" si="17"/>
        <v>4</v>
      </c>
      <c r="G124" s="5"/>
    </row>
    <row r="125" spans="1:7" ht="18.75" hidden="1" customHeight="1" thickBot="1" x14ac:dyDescent="0.4">
      <c r="A125" s="95" t="s">
        <v>1017</v>
      </c>
      <c r="B125" s="194" t="s">
        <v>1013</v>
      </c>
      <c r="C125" s="147">
        <f>+IFERROR(VLOOKUP($A125,RAIZ!$A$3:$X$1500,MATCH('Suc. Santa María del Oro'!$F$1,RAIZ!$A$2:$X$2,0),FALSE),0)</f>
        <v>1</v>
      </c>
      <c r="D125" s="18">
        <v>10</v>
      </c>
      <c r="E125" s="4"/>
      <c r="F125" s="5">
        <f t="shared" si="17"/>
        <v>9</v>
      </c>
      <c r="G125" s="5"/>
    </row>
    <row r="126" spans="1:7" ht="18.75" hidden="1" customHeight="1" thickBot="1" x14ac:dyDescent="0.4">
      <c r="A126" s="95" t="s">
        <v>1125</v>
      </c>
      <c r="B126" s="194" t="s">
        <v>1127</v>
      </c>
      <c r="C126" s="147">
        <f>+IFERROR(VLOOKUP($A126,RAIZ!$A$3:$X$1500,MATCH('Suc. Santa María del Oro'!$F$1,RAIZ!$A$2:$X$2,0),FALSE),0)</f>
        <v>0</v>
      </c>
      <c r="D126" s="20"/>
      <c r="E126" s="4"/>
      <c r="F126" s="5">
        <f t="shared" si="17"/>
        <v>0</v>
      </c>
      <c r="G126" s="5"/>
    </row>
    <row r="127" spans="1:7" ht="18.75" hidden="1" customHeight="1" thickBot="1" x14ac:dyDescent="0.4">
      <c r="A127" s="95" t="s">
        <v>1126</v>
      </c>
      <c r="B127" s="194" t="s">
        <v>1128</v>
      </c>
      <c r="C127" s="147">
        <f>+IFERROR(VLOOKUP($A127,RAIZ!$A$3:$X$1500,MATCH('Suc. Santa María del Oro'!$F$1,RAIZ!$A$2:$X$2,0),FALSE),0)</f>
        <v>0</v>
      </c>
      <c r="D127" s="18"/>
      <c r="E127" s="18"/>
      <c r="F127" s="184">
        <f t="shared" si="17"/>
        <v>0</v>
      </c>
      <c r="G127" s="181"/>
    </row>
    <row r="128" spans="1:7" ht="18.75" customHeight="1" thickBot="1" x14ac:dyDescent="0.4">
      <c r="A128" s="95" t="s">
        <v>568</v>
      </c>
      <c r="B128" s="194" t="s">
        <v>1131</v>
      </c>
      <c r="C128" s="186">
        <f>+IFERROR(VLOOKUP($A128,RAIZ!$A$3:$X$1500,MATCH('Suc. Santa María del Oro'!$F$1,RAIZ!$A$2:$X$2,0),FALSE),0)</f>
        <v>0</v>
      </c>
      <c r="D128" s="18">
        <v>3</v>
      </c>
      <c r="E128" s="14"/>
      <c r="F128" s="185">
        <f t="shared" si="17"/>
        <v>3</v>
      </c>
      <c r="G128" s="185">
        <v>3</v>
      </c>
    </row>
    <row r="129" spans="1:7" ht="18.75" customHeight="1" thickBot="1" x14ac:dyDescent="0.4">
      <c r="A129" s="95" t="s">
        <v>565</v>
      </c>
      <c r="B129" s="194" t="s">
        <v>1142</v>
      </c>
      <c r="C129" s="187">
        <f>+IFERROR(VLOOKUP($A129,RAIZ!$A$3:$X$1500,MATCH('Suc. Santa María del Oro'!$F$1,RAIZ!$A$2:$X$2,0),FALSE),0)</f>
        <v>0</v>
      </c>
      <c r="D129" s="18">
        <v>2</v>
      </c>
      <c r="E129" s="14"/>
      <c r="F129" s="185">
        <f t="shared" si="17"/>
        <v>2</v>
      </c>
      <c r="G129" s="185">
        <v>1</v>
      </c>
    </row>
    <row r="130" spans="1:7" ht="18.75" customHeight="1" thickBot="1" x14ac:dyDescent="0.4">
      <c r="A130" s="95" t="s">
        <v>912</v>
      </c>
      <c r="B130" s="194" t="s">
        <v>1136</v>
      </c>
      <c r="C130" s="187">
        <f>+IFERROR(VLOOKUP($A130,RAIZ!$A$3:$X$1500,MATCH('Suc. Santa María del Oro'!$F$1,RAIZ!$A$2:$X$2,0),FALSE),0)</f>
        <v>0</v>
      </c>
      <c r="D130" s="18">
        <v>2</v>
      </c>
      <c r="E130" s="14"/>
      <c r="F130" s="185">
        <f t="shared" si="17"/>
        <v>2</v>
      </c>
      <c r="G130" s="185">
        <v>2</v>
      </c>
    </row>
    <row r="131" spans="1:7" ht="18.75" customHeight="1" thickBot="1" x14ac:dyDescent="0.4">
      <c r="A131" s="95" t="s">
        <v>557</v>
      </c>
      <c r="B131" s="194" t="s">
        <v>1137</v>
      </c>
      <c r="C131" s="187">
        <f>+IFERROR(VLOOKUP($A131,RAIZ!$A$3:$X$1500,MATCH('Suc. Santa María del Oro'!$F$1,RAIZ!$A$2:$X$2,0),FALSE),0)</f>
        <v>0</v>
      </c>
      <c r="D131" s="18">
        <v>2</v>
      </c>
      <c r="E131" s="14"/>
      <c r="F131" s="185">
        <f t="shared" si="17"/>
        <v>2</v>
      </c>
      <c r="G131" s="185">
        <v>2</v>
      </c>
    </row>
    <row r="132" spans="1:7" ht="18.75" hidden="1" customHeight="1" thickBot="1" x14ac:dyDescent="0.4">
      <c r="A132" s="95" t="s">
        <v>573</v>
      </c>
      <c r="B132" s="194" t="s">
        <v>1138</v>
      </c>
      <c r="C132" s="187">
        <f>+IFERROR(VLOOKUP($A132,RAIZ!$A$3:$X$1500,MATCH('Suc. Santa María del Oro'!$F$1,RAIZ!$A$2:$X$2,0),FALSE),0)</f>
        <v>0</v>
      </c>
      <c r="D132" s="18">
        <v>1</v>
      </c>
      <c r="E132" s="14"/>
      <c r="F132" s="185">
        <f t="shared" si="17"/>
        <v>1</v>
      </c>
      <c r="G132" s="185"/>
    </row>
    <row r="133" spans="1:7" ht="18.75" hidden="1" customHeight="1" thickBot="1" x14ac:dyDescent="0.4">
      <c r="A133" s="95" t="s">
        <v>421</v>
      </c>
      <c r="B133" s="194" t="s">
        <v>1140</v>
      </c>
      <c r="C133" s="187">
        <f>+IFERROR(VLOOKUP($A133,RAIZ!$A$3:$X$1500,MATCH('Suc. Santa María del Oro'!$F$1,RAIZ!$A$2:$X$2,0),FALSE),0)</f>
        <v>2</v>
      </c>
      <c r="D133" s="18">
        <v>2</v>
      </c>
      <c r="E133" s="14"/>
      <c r="F133" s="185">
        <f t="shared" si="17"/>
        <v>0</v>
      </c>
      <c r="G133" s="185"/>
    </row>
    <row r="134" spans="1:7" ht="18.75" customHeight="1" thickBot="1" x14ac:dyDescent="0.4">
      <c r="A134" s="95" t="s">
        <v>249</v>
      </c>
      <c r="B134" s="194" t="s">
        <v>1134</v>
      </c>
      <c r="C134" s="187">
        <f>+IFERROR(VLOOKUP($A134,RAIZ!$A$3:$X$1500,MATCH('Suc. Santa María del Oro'!$F$1,RAIZ!$A$2:$X$2,0),FALSE),0)</f>
        <v>0</v>
      </c>
      <c r="D134" s="18">
        <v>2</v>
      </c>
      <c r="E134" s="14"/>
      <c r="F134" s="185">
        <f t="shared" si="17"/>
        <v>2</v>
      </c>
      <c r="G134" s="185">
        <v>2</v>
      </c>
    </row>
    <row r="135" spans="1:7" ht="18.75" hidden="1" customHeight="1" thickBot="1" x14ac:dyDescent="0.4">
      <c r="A135" s="95" t="s">
        <v>1030</v>
      </c>
      <c r="B135" s="194" t="s">
        <v>1143</v>
      </c>
      <c r="C135" s="187">
        <f>+IFERROR(VLOOKUP($A135,RAIZ!$A$3:$X$1500,MATCH('Suc. Santa María del Oro'!$F$1,RAIZ!$A$2:$X$2,0),FALSE),0)</f>
        <v>4</v>
      </c>
      <c r="D135" s="18">
        <v>6</v>
      </c>
      <c r="E135" s="14"/>
      <c r="F135" s="185">
        <f t="shared" si="17"/>
        <v>2</v>
      </c>
      <c r="G135" s="185"/>
    </row>
    <row r="136" spans="1:7" ht="18.75" hidden="1" customHeight="1" thickBot="1" x14ac:dyDescent="0.4">
      <c r="A136" s="95" t="s">
        <v>253</v>
      </c>
      <c r="B136" s="194" t="s">
        <v>1135</v>
      </c>
      <c r="C136" s="187">
        <f>+IFERROR(VLOOKUP($A136,RAIZ!$A$3:$X$1500,MATCH('Suc. Santa María del Oro'!$F$1,RAIZ!$A$2:$X$2,0),FALSE),0)</f>
        <v>4</v>
      </c>
      <c r="D136" s="18">
        <v>2</v>
      </c>
      <c r="E136" s="14"/>
      <c r="F136" s="185">
        <f t="shared" si="17"/>
        <v>0</v>
      </c>
      <c r="G136" s="185"/>
    </row>
    <row r="137" spans="1:7" ht="18.75" hidden="1" customHeight="1" thickBot="1" x14ac:dyDescent="0.4">
      <c r="A137" s="95" t="s">
        <v>240</v>
      </c>
      <c r="B137" s="194" t="s">
        <v>1139</v>
      </c>
      <c r="C137" s="187">
        <f>+IFERROR(VLOOKUP($A137,RAIZ!$A$3:$X$1500,MATCH('Suc. Santa María del Oro'!$F$1,RAIZ!$A$2:$X$2,0),FALSE),0)</f>
        <v>0</v>
      </c>
      <c r="D137" s="18">
        <v>0</v>
      </c>
      <c r="E137" s="14"/>
      <c r="F137" s="185">
        <f t="shared" si="17"/>
        <v>0</v>
      </c>
      <c r="G137" s="185"/>
    </row>
    <row r="138" spans="1:7" ht="18.75" hidden="1" customHeight="1" thickBot="1" x14ac:dyDescent="0.4">
      <c r="A138" s="95" t="s">
        <v>204</v>
      </c>
      <c r="B138" s="194" t="s">
        <v>1106</v>
      </c>
      <c r="C138" s="187">
        <f>+IFERROR(VLOOKUP($A138,RAIZ!$A$3:$X$1500,MATCH('Suc. Santa María del Oro'!$F$1,RAIZ!$A$2:$X$2,0),FALSE),0)</f>
        <v>0</v>
      </c>
      <c r="D138" s="18">
        <v>0</v>
      </c>
      <c r="E138" s="14"/>
      <c r="F138" s="185">
        <f t="shared" si="17"/>
        <v>0</v>
      </c>
      <c r="G138" s="185"/>
    </row>
    <row r="139" spans="1:7" ht="18.75" customHeight="1" thickBot="1" x14ac:dyDescent="0.4">
      <c r="A139" s="95" t="s">
        <v>1132</v>
      </c>
      <c r="B139" s="194" t="s">
        <v>1141</v>
      </c>
      <c r="C139" s="187">
        <f>+IFERROR(VLOOKUP($A139,RAIZ!$A$3:$X$1500,MATCH('Suc. Santa María del Oro'!$F$1,RAIZ!$A$2:$X$2,0),FALSE),0)</f>
        <v>0</v>
      </c>
      <c r="D139" s="18">
        <v>1</v>
      </c>
      <c r="E139" s="14"/>
      <c r="F139" s="185">
        <f t="shared" si="17"/>
        <v>1</v>
      </c>
      <c r="G139" s="185">
        <v>1</v>
      </c>
    </row>
    <row r="140" spans="1:7" ht="18.75" hidden="1" customHeight="1" thickBot="1" x14ac:dyDescent="0.4">
      <c r="A140" s="95" t="s">
        <v>914</v>
      </c>
      <c r="B140" s="194" t="s">
        <v>1133</v>
      </c>
      <c r="C140" s="187">
        <f>+IFERROR(VLOOKUP($A140,RAIZ!$A$3:$X$1500,MATCH('Suc. Santa María del Oro'!$F$1,RAIZ!$A$2:$X$2,0),FALSE),0)</f>
        <v>0</v>
      </c>
      <c r="D140" s="18">
        <v>1</v>
      </c>
      <c r="E140" s="14"/>
      <c r="F140" s="185">
        <f t="shared" si="17"/>
        <v>1</v>
      </c>
      <c r="G140" s="185"/>
    </row>
    <row r="141" spans="1:7" ht="18.75" hidden="1" customHeight="1" thickBot="1" x14ac:dyDescent="0.4">
      <c r="A141" s="243" t="s">
        <v>1120</v>
      </c>
      <c r="B141" s="194" t="s">
        <v>1159</v>
      </c>
      <c r="C141" s="187">
        <f>+IFERROR(VLOOKUP($A141,RAIZ!$A$3:$X$1500,MATCH('Suc. Santa María del Oro'!$F$1,RAIZ!$A$2:$X$2,0),FALSE),0)</f>
        <v>0</v>
      </c>
      <c r="D141" s="18"/>
      <c r="E141" s="14"/>
      <c r="F141" s="185">
        <f t="shared" si="17"/>
        <v>0</v>
      </c>
      <c r="G141" s="185"/>
    </row>
    <row r="142" spans="1:7" ht="18.75" hidden="1" customHeight="1" thickBot="1" x14ac:dyDescent="0.4">
      <c r="A142" s="95"/>
      <c r="B142" s="194"/>
      <c r="C142" s="187">
        <f>+IFERROR(VLOOKUP($A142,RAIZ!$A$3:$X$1500,MATCH('Suc. Santa María del Oro'!$F$1,RAIZ!$A$2:$X$2,0),FALSE),0)</f>
        <v>0</v>
      </c>
      <c r="D142" s="18"/>
      <c r="E142" s="14"/>
      <c r="F142" s="185"/>
      <c r="G142" s="185"/>
    </row>
    <row r="143" spans="1:7" ht="18.75" hidden="1" customHeight="1" thickBot="1" x14ac:dyDescent="0.4">
      <c r="A143" s="95"/>
      <c r="B143" s="193"/>
      <c r="C143" s="187">
        <f>+IFERROR(VLOOKUP($A143,RAIZ!$A$3:$X$1500,MATCH('Suc. Santa María del Oro'!$F$1,RAIZ!$A$2:$X$2,0),FALSE),0)</f>
        <v>0</v>
      </c>
      <c r="D143" s="18"/>
      <c r="E143" s="14"/>
      <c r="F143" s="185"/>
      <c r="G143" s="185"/>
    </row>
    <row r="144" spans="1:7" ht="18.75" hidden="1" customHeight="1" thickBot="1" x14ac:dyDescent="0.4">
      <c r="A144" s="95"/>
      <c r="B144" s="194"/>
      <c r="C144" s="187">
        <f>+IFERROR(VLOOKUP($A144,RAIZ!$A$3:$X$1500,MATCH('Suc. Santa María del Oro'!$F$1,RAIZ!$A$2:$X$2,0),FALSE),0)</f>
        <v>0</v>
      </c>
      <c r="D144" s="18"/>
      <c r="E144" s="14"/>
      <c r="F144" s="185"/>
      <c r="G144" s="185"/>
    </row>
    <row r="145" spans="1:7" ht="18.75" hidden="1" customHeight="1" thickBot="1" x14ac:dyDescent="0.4">
      <c r="A145" s="95"/>
      <c r="B145" s="192"/>
      <c r="C145" s="187">
        <f>+IFERROR(VLOOKUP($A145,RAIZ!$A$3:$X$1500,MATCH('Suc. Santa María del Oro'!$F$1,RAIZ!$A$2:$X$2,0),FALSE),0)</f>
        <v>0</v>
      </c>
      <c r="D145" s="18"/>
      <c r="E145" s="14"/>
      <c r="F145" s="185"/>
      <c r="G145" s="185"/>
    </row>
    <row r="146" spans="1:7" ht="18.75" hidden="1" customHeight="1" thickBot="1" x14ac:dyDescent="0.4">
      <c r="A146" s="95"/>
      <c r="B146" s="194"/>
      <c r="C146" s="187">
        <f>+IFERROR(VLOOKUP($A146,RAIZ!$A$3:$X$1500,MATCH('Suc. Santa María del Oro'!$F$1,RAIZ!$A$2:$X$2,0),FALSE),0)</f>
        <v>0</v>
      </c>
      <c r="D146" s="18"/>
      <c r="E146" s="14"/>
      <c r="F146" s="185"/>
      <c r="G146" s="185"/>
    </row>
    <row r="147" spans="1:7" ht="18.75" hidden="1" customHeight="1" thickBot="1" x14ac:dyDescent="0.4">
      <c r="A147" s="95"/>
      <c r="B147" s="193"/>
      <c r="C147" s="187">
        <f>+IFERROR(VLOOKUP($A147,RAIZ!$A$3:$X$1500,MATCH('Suc. Santa María del Oro'!$F$1,RAIZ!$A$2:$X$2,0),FALSE),0)</f>
        <v>0</v>
      </c>
      <c r="D147" s="14"/>
      <c r="E147" s="14"/>
      <c r="F147" s="185"/>
      <c r="G147" s="185"/>
    </row>
    <row r="148" spans="1:7" ht="18.75" hidden="1" customHeight="1" thickBot="1" x14ac:dyDescent="0.4">
      <c r="A148" s="95"/>
      <c r="B148" s="193"/>
      <c r="C148" s="188">
        <f>+IFERROR(VLOOKUP($A148,RAIZ!$A$3:$X$1500,MATCH('Suc. Santa María del Oro'!$F$1,RAIZ!$A$2:$X$2,0),FALSE),0)</f>
        <v>0</v>
      </c>
      <c r="D148" s="14"/>
      <c r="E148" s="14"/>
      <c r="F148" s="185"/>
      <c r="G148" s="185"/>
    </row>
    <row r="149" spans="1:7" ht="18.75" customHeight="1" thickBot="1" x14ac:dyDescent="0.4">
      <c r="A149" s="173"/>
      <c r="B149" s="109"/>
      <c r="C149" s="182">
        <f>SUM(C118:C127,)</f>
        <v>19</v>
      </c>
      <c r="D149" s="182">
        <f>SUM(D118:D127,)</f>
        <v>41</v>
      </c>
      <c r="E149" s="182">
        <f>SUM(E118:E127,)</f>
        <v>0</v>
      </c>
      <c r="F149" s="182">
        <f>SUM(F118:F127,)</f>
        <v>26</v>
      </c>
      <c r="G149" s="182">
        <f>SUM(G118:G148,)</f>
        <v>11</v>
      </c>
    </row>
    <row r="150" spans="1:7" ht="18.75" customHeight="1" thickBot="1" x14ac:dyDescent="0.4">
      <c r="A150" s="110" t="s">
        <v>86</v>
      </c>
      <c r="B150" s="111"/>
      <c r="C150" s="83">
        <f>C149+C117</f>
        <v>161</v>
      </c>
      <c r="D150" s="83">
        <f>D149+D117</f>
        <v>272</v>
      </c>
      <c r="E150" s="83">
        <f>E149+E117</f>
        <v>7</v>
      </c>
      <c r="F150" s="83">
        <f>F149+F117</f>
        <v>129</v>
      </c>
      <c r="G150" s="83">
        <f>G149+G117</f>
        <v>51</v>
      </c>
    </row>
  </sheetData>
  <autoFilter ref="A2:L150" xr:uid="{83B28A25-4025-4607-A6DA-7B7DB0DCDB52}">
    <filterColumn colId="6">
      <filters>
        <filter val="1"/>
        <filter val="11"/>
        <filter val="12"/>
        <filter val="2"/>
        <filter val="29"/>
        <filter val="3"/>
        <filter val="4"/>
        <filter val="40"/>
        <filter val="5"/>
        <filter val="51"/>
        <filter val="9"/>
      </filters>
    </filterColumn>
  </autoFilter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F505448-C08E-4E8B-A253-55B69A85535D}">
          <x14:formula1>
            <xm:f>Hoja1!$C$2:$C$9</xm:f>
          </x14:formula1>
          <xm:sqref>H2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3D8C4-F091-4D2C-97EC-BD804A11FB38}">
  <sheetPr>
    <tabColor rgb="FF003300"/>
  </sheetPr>
  <dimension ref="A1:L150"/>
  <sheetViews>
    <sheetView zoomScale="80" zoomScaleNormal="80" workbookViewId="0">
      <pane xSplit="2" ySplit="2" topLeftCell="C122" activePane="bottomRight" state="frozen"/>
      <selection activeCell="I134" sqref="I134"/>
      <selection pane="topRight" activeCell="I134" sqref="I134"/>
      <selection pane="bottomLeft" activeCell="I134" sqref="I134"/>
      <selection pane="bottomRight" activeCell="G1" sqref="G1:G1048576"/>
    </sheetView>
  </sheetViews>
  <sheetFormatPr baseColWidth="10" defaultRowHeight="18" x14ac:dyDescent="0.35"/>
  <cols>
    <col min="1" max="1" width="55.6640625" customWidth="1"/>
    <col min="2" max="2" width="7.6640625" style="91" bestFit="1" customWidth="1"/>
    <col min="3" max="3" width="14" bestFit="1" customWidth="1"/>
    <col min="4" max="5" width="15" style="84" customWidth="1"/>
    <col min="6" max="6" width="14.5546875" customWidth="1"/>
    <col min="9" max="9" width="11.88671875" style="84" bestFit="1" customWidth="1"/>
  </cols>
  <sheetData>
    <row r="1" spans="1:12" ht="18.600000000000001" thickBot="1" x14ac:dyDescent="0.4">
      <c r="A1" s="1">
        <f>RAIZ!B1</f>
        <v>46301</v>
      </c>
      <c r="C1" s="2"/>
      <c r="D1" s="2" t="s">
        <v>702</v>
      </c>
      <c r="E1" s="2"/>
      <c r="F1" s="2" t="s">
        <v>990</v>
      </c>
      <c r="H1" t="s">
        <v>990</v>
      </c>
      <c r="K1" s="85"/>
      <c r="L1" s="85"/>
    </row>
    <row r="2" spans="1:12" ht="31.8" thickBot="1" x14ac:dyDescent="0.35">
      <c r="A2" s="90" t="s">
        <v>0</v>
      </c>
      <c r="B2" s="92" t="s">
        <v>755</v>
      </c>
      <c r="C2" s="39" t="s">
        <v>703</v>
      </c>
      <c r="D2" s="40" t="s">
        <v>704</v>
      </c>
      <c r="E2" s="88" t="s">
        <v>726</v>
      </c>
      <c r="F2" s="41" t="s">
        <v>705</v>
      </c>
      <c r="G2" s="62" t="s">
        <v>725</v>
      </c>
      <c r="H2" s="87"/>
      <c r="K2" s="86"/>
      <c r="L2" s="85"/>
    </row>
    <row r="3" spans="1:12" ht="18.75" customHeight="1" x14ac:dyDescent="0.35">
      <c r="A3" s="93" t="s">
        <v>1</v>
      </c>
      <c r="B3" s="112" t="s">
        <v>756</v>
      </c>
      <c r="C3" s="5">
        <f>+IFERROR(VLOOKUP($A3,RAIZ!$A$3:$X$1500,MATCH('Suc. Villa Hidalgo'!$F$1,RAIZ!$A$2:$X$2,0),FALSE),0)</f>
        <v>1</v>
      </c>
      <c r="D3" s="4">
        <v>1</v>
      </c>
      <c r="E3" s="4"/>
      <c r="F3" s="5">
        <f>IF(D3-C3&gt;=0,D3-C3,0)</f>
        <v>0</v>
      </c>
      <c r="G3" s="5"/>
      <c r="K3" s="86"/>
      <c r="L3" s="85"/>
    </row>
    <row r="4" spans="1:12" ht="18.75" customHeight="1" x14ac:dyDescent="0.35">
      <c r="A4" s="93" t="s">
        <v>2</v>
      </c>
      <c r="B4" s="112" t="s">
        <v>865</v>
      </c>
      <c r="C4" s="5">
        <f>+IFERROR(VLOOKUP($A4,RAIZ!$A$3:$X$1500,MATCH('Suc. Villa Hidalgo'!$F$1,RAIZ!$A$2:$X$2,0),FALSE),0)</f>
        <v>1</v>
      </c>
      <c r="D4" s="4">
        <v>1</v>
      </c>
      <c r="E4" s="4"/>
      <c r="F4" s="5">
        <f>IF(D4-C4&gt;=0,D4-C4,0)</f>
        <v>0</v>
      </c>
      <c r="G4" s="5"/>
      <c r="K4" s="86"/>
      <c r="L4" s="85"/>
    </row>
    <row r="5" spans="1:12" ht="18.75" customHeight="1" x14ac:dyDescent="0.35">
      <c r="A5" s="93" t="s">
        <v>3</v>
      </c>
      <c r="B5" s="112" t="s">
        <v>757</v>
      </c>
      <c r="C5" s="5">
        <f>+IFERROR(VLOOKUP($A5,RAIZ!$A$3:$X$1500,MATCH('Suc. Villa Hidalgo'!$F$1,RAIZ!$A$2:$X$2,0),FALSE),0)</f>
        <v>1</v>
      </c>
      <c r="D5" s="7">
        <v>1</v>
      </c>
      <c r="E5" s="4"/>
      <c r="F5" s="5">
        <f t="shared" ref="F5:F17" si="0">IF(D5-C5&gt;=0,D5-C5,0)</f>
        <v>0</v>
      </c>
      <c r="G5" s="5"/>
      <c r="K5" s="86"/>
      <c r="L5" s="85"/>
    </row>
    <row r="6" spans="1:12" ht="18.75" customHeight="1" x14ac:dyDescent="0.35">
      <c r="A6" s="93" t="s">
        <v>4</v>
      </c>
      <c r="B6" s="112" t="s">
        <v>758</v>
      </c>
      <c r="C6" s="5">
        <f>+IFERROR(VLOOKUP($A6,RAIZ!$A$3:$X$1500,MATCH('Suc. Villa Hidalgo'!$F$1,RAIZ!$A$2:$X$2,0),FALSE),0)</f>
        <v>1</v>
      </c>
      <c r="D6" s="7">
        <v>2</v>
      </c>
      <c r="E6" s="4"/>
      <c r="F6" s="5">
        <f t="shared" si="0"/>
        <v>1</v>
      </c>
      <c r="G6" s="5"/>
      <c r="K6" s="86"/>
      <c r="L6" s="85"/>
    </row>
    <row r="7" spans="1:12" ht="18.75" customHeight="1" x14ac:dyDescent="0.35">
      <c r="A7" s="93" t="s">
        <v>5</v>
      </c>
      <c r="B7" s="112" t="s">
        <v>759</v>
      </c>
      <c r="C7" s="5">
        <f>+IFERROR(VLOOKUP($A7,RAIZ!$A$3:$X$1500,MATCH('Suc. Villa Hidalgo'!$F$1,RAIZ!$A$2:$X$2,0),FALSE),0)</f>
        <v>1</v>
      </c>
      <c r="D7" s="7">
        <v>1</v>
      </c>
      <c r="E7" s="4"/>
      <c r="F7" s="5">
        <f t="shared" si="0"/>
        <v>0</v>
      </c>
      <c r="G7" s="5"/>
      <c r="K7" s="86"/>
      <c r="L7" s="85"/>
    </row>
    <row r="8" spans="1:12" ht="18.75" customHeight="1" x14ac:dyDescent="0.35">
      <c r="A8" s="93" t="s">
        <v>6</v>
      </c>
      <c r="B8" s="112" t="s">
        <v>760</v>
      </c>
      <c r="C8" s="5">
        <f>+IFERROR(VLOOKUP($A8,RAIZ!$A$3:$X$1500,MATCH('Suc. Villa Hidalgo'!$F$1,RAIZ!$A$2:$X$2,0),FALSE),0)</f>
        <v>3</v>
      </c>
      <c r="D8" s="7">
        <v>2</v>
      </c>
      <c r="E8" s="4"/>
      <c r="F8" s="5">
        <f t="shared" si="0"/>
        <v>0</v>
      </c>
      <c r="G8" s="5"/>
      <c r="K8" s="86"/>
      <c r="L8" s="85"/>
    </row>
    <row r="9" spans="1:12" ht="18.75" customHeight="1" x14ac:dyDescent="0.35">
      <c r="A9" s="93" t="s">
        <v>7</v>
      </c>
      <c r="B9" s="112" t="s">
        <v>761</v>
      </c>
      <c r="C9" s="5">
        <f>+IFERROR(VLOOKUP($A9,RAIZ!$A$3:$X$1500,MATCH('Suc. Villa Hidalgo'!$F$1,RAIZ!$A$2:$X$2,0),FALSE),0)</f>
        <v>2</v>
      </c>
      <c r="D9" s="7">
        <v>1</v>
      </c>
      <c r="E9" s="4"/>
      <c r="F9" s="5">
        <f t="shared" si="0"/>
        <v>0</v>
      </c>
      <c r="G9" s="5"/>
      <c r="K9" s="86"/>
      <c r="L9" s="85"/>
    </row>
    <row r="10" spans="1:12" ht="18.75" customHeight="1" x14ac:dyDescent="0.35">
      <c r="A10" s="93" t="s">
        <v>8</v>
      </c>
      <c r="B10" s="112" t="s">
        <v>762</v>
      </c>
      <c r="C10" s="5">
        <f>+IFERROR(VLOOKUP($A10,RAIZ!$A$3:$X$1500,MATCH('Suc. Villa Hidalgo'!$F$1,RAIZ!$A$2:$X$2,0),FALSE),0)</f>
        <v>2</v>
      </c>
      <c r="D10" s="7">
        <v>2</v>
      </c>
      <c r="E10" s="4"/>
      <c r="F10" s="5">
        <f t="shared" si="0"/>
        <v>0</v>
      </c>
      <c r="G10" s="5"/>
      <c r="K10" s="86"/>
      <c r="L10" s="85"/>
    </row>
    <row r="11" spans="1:12" ht="18.75" customHeight="1" x14ac:dyDescent="0.35">
      <c r="A11" s="93" t="s">
        <v>9</v>
      </c>
      <c r="B11" s="112" t="s">
        <v>763</v>
      </c>
      <c r="C11" s="5">
        <f>+IFERROR(VLOOKUP($A11,RAIZ!$A$3:$X$1500,MATCH('Suc. Villa Hidalgo'!$F$1,RAIZ!$A$2:$X$2,0),FALSE),0)</f>
        <v>1</v>
      </c>
      <c r="D11" s="9">
        <v>1</v>
      </c>
      <c r="E11" s="4"/>
      <c r="F11" s="5">
        <f t="shared" si="0"/>
        <v>0</v>
      </c>
      <c r="G11" s="5"/>
      <c r="K11" s="86"/>
      <c r="L11" s="85"/>
    </row>
    <row r="12" spans="1:12" ht="18.75" customHeight="1" x14ac:dyDescent="0.35">
      <c r="A12" s="93"/>
      <c r="B12" s="112"/>
      <c r="C12" s="5">
        <f>+IFERROR(VLOOKUP($A12,RAIZ!$A$3:$X$1500,MATCH('Suc. Villa Hidalgo'!$F$1,RAIZ!$A$2:$X$2,0),FALSE),0)</f>
        <v>0</v>
      </c>
      <c r="D12" s="20"/>
      <c r="E12" s="4"/>
      <c r="F12" s="5">
        <f t="shared" si="0"/>
        <v>0</v>
      </c>
      <c r="G12" s="5"/>
    </row>
    <row r="13" spans="1:12" ht="18.75" customHeight="1" x14ac:dyDescent="0.35">
      <c r="A13" s="93"/>
      <c r="B13" s="112"/>
      <c r="C13" s="5">
        <f>+IFERROR(VLOOKUP($A13,RAIZ!$A$3:$X$1500,MATCH('Suc. Villa Hidalgo'!$F$1,RAIZ!$A$2:$X$2,0),FALSE),0)</f>
        <v>0</v>
      </c>
      <c r="D13" s="146"/>
      <c r="E13" s="4"/>
      <c r="F13" s="147">
        <f t="shared" si="0"/>
        <v>0</v>
      </c>
      <c r="G13" s="5"/>
    </row>
    <row r="14" spans="1:12" ht="18.75" customHeight="1" x14ac:dyDescent="0.35">
      <c r="A14" s="93"/>
      <c r="B14" s="112"/>
      <c r="C14" s="5">
        <f>+IFERROR(VLOOKUP($A14,RAIZ!$A$3:$X$1500,MATCH('Suc. Villa Hidalgo'!$F$1,RAIZ!$A$2:$X$2,0),FALSE),0)</f>
        <v>0</v>
      </c>
      <c r="D14" s="146"/>
      <c r="E14" s="4"/>
      <c r="F14" s="147">
        <f>IF(D14-C14&gt;=0,D14-C14,0)</f>
        <v>0</v>
      </c>
      <c r="G14" s="5"/>
    </row>
    <row r="15" spans="1:12" ht="18.75" customHeight="1" x14ac:dyDescent="0.35">
      <c r="A15" s="93"/>
      <c r="B15" s="112"/>
      <c r="C15" s="5">
        <f>+IFERROR(VLOOKUP($A15,RAIZ!$A$3:$X$1500,MATCH('Suc. Villa Hidalgo'!$F$1,RAIZ!$A$2:$X$2,0),FALSE),0)</f>
        <v>0</v>
      </c>
      <c r="D15" s="9"/>
      <c r="E15" s="4"/>
      <c r="F15" s="5">
        <f t="shared" si="0"/>
        <v>0</v>
      </c>
      <c r="G15" s="5"/>
      <c r="K15" s="86"/>
      <c r="L15" s="85"/>
    </row>
    <row r="16" spans="1:12" ht="18.75" customHeight="1" x14ac:dyDescent="0.35">
      <c r="A16" s="93"/>
      <c r="B16" s="112"/>
      <c r="C16" s="5">
        <f>+IFERROR(VLOOKUP($A16,RAIZ!$A$3:$X$1500,MATCH('Suc. Villa Hidalgo'!$F$1,RAIZ!$A$2:$X$2,0),FALSE),0)</f>
        <v>0</v>
      </c>
      <c r="D16" s="9"/>
      <c r="E16" s="4"/>
      <c r="F16" s="5">
        <f t="shared" si="0"/>
        <v>0</v>
      </c>
      <c r="G16" s="5"/>
      <c r="K16" s="86"/>
      <c r="L16" s="85"/>
    </row>
    <row r="17" spans="1:12" ht="18.75" customHeight="1" thickBot="1" x14ac:dyDescent="0.4">
      <c r="A17" s="93"/>
      <c r="B17" s="112"/>
      <c r="C17" s="5">
        <f>+IFERROR(VLOOKUP($A17,RAIZ!$A$3:$X$1500,MATCH('Suc. Villa Hidalgo'!$F$1,RAIZ!$A$2:$X$2,0),FALSE),0)</f>
        <v>0</v>
      </c>
      <c r="D17" s="9"/>
      <c r="E17" s="4"/>
      <c r="F17" s="5">
        <f t="shared" si="0"/>
        <v>0</v>
      </c>
      <c r="G17" s="5"/>
      <c r="K17" s="86"/>
      <c r="L17" s="85"/>
    </row>
    <row r="18" spans="1:12" ht="18.75" customHeight="1" thickBot="1" x14ac:dyDescent="0.4">
      <c r="A18" s="96" t="s">
        <v>10</v>
      </c>
      <c r="B18" s="111"/>
      <c r="C18" s="75">
        <f>SUM(C3:C17)</f>
        <v>13</v>
      </c>
      <c r="D18" s="44">
        <f>SUM(D3:D17)</f>
        <v>12</v>
      </c>
      <c r="E18" s="44">
        <f>SUM(E3:E17)</f>
        <v>0</v>
      </c>
      <c r="F18" s="63">
        <f>SUM(F3:F17)</f>
        <v>1</v>
      </c>
      <c r="G18" s="44">
        <f>SUM(G3:G17)</f>
        <v>0</v>
      </c>
      <c r="K18" s="86"/>
      <c r="L18" s="85"/>
    </row>
    <row r="19" spans="1:12" ht="18.75" customHeight="1" x14ac:dyDescent="0.35">
      <c r="A19" s="97" t="s">
        <v>676</v>
      </c>
      <c r="B19" s="112" t="s">
        <v>764</v>
      </c>
      <c r="C19" s="5">
        <f>+IFERROR(VLOOKUP($A19,RAIZ!$A$3:$X$1500,MATCH('Suc. Villa Hidalgo'!$F$1,RAIZ!$A$2:$X$2,0),FALSE),0)</f>
        <v>2</v>
      </c>
      <c r="D19" s="12">
        <v>2</v>
      </c>
      <c r="E19" s="4"/>
      <c r="F19" s="5">
        <f t="shared" ref="F19:F31" si="1">IF(D19-C19&gt;=0,D19-C19,0)</f>
        <v>0</v>
      </c>
      <c r="G19" s="5"/>
      <c r="K19" s="86"/>
      <c r="L19" s="85"/>
    </row>
    <row r="20" spans="1:12" ht="18.75" customHeight="1" x14ac:dyDescent="0.35">
      <c r="A20" s="97" t="s">
        <v>11</v>
      </c>
      <c r="B20" s="112" t="s">
        <v>827</v>
      </c>
      <c r="C20" s="5">
        <f>+IFERROR(VLOOKUP($A20,RAIZ!$A$3:$X$1500,MATCH('Suc. Villa Hidalgo'!$F$1,RAIZ!$A$2:$X$2,0),FALSE),0)</f>
        <v>3</v>
      </c>
      <c r="D20" s="14">
        <v>2</v>
      </c>
      <c r="E20" s="4"/>
      <c r="F20" s="5">
        <f t="shared" si="1"/>
        <v>0</v>
      </c>
      <c r="G20" s="5"/>
      <c r="K20" s="86"/>
      <c r="L20" s="85"/>
    </row>
    <row r="21" spans="1:12" ht="18.75" customHeight="1" x14ac:dyDescent="0.35">
      <c r="A21" s="97" t="s">
        <v>344</v>
      </c>
      <c r="B21" s="112" t="s">
        <v>765</v>
      </c>
      <c r="C21" s="5">
        <f>+IFERROR(VLOOKUP($A21,RAIZ!$A$3:$X$1500,MATCH('Suc. Villa Hidalgo'!$F$1,RAIZ!$A$2:$X$2,0),FALSE),0)</f>
        <v>3</v>
      </c>
      <c r="D21" s="14">
        <v>2</v>
      </c>
      <c r="E21" s="4"/>
      <c r="F21" s="5">
        <f t="shared" si="1"/>
        <v>0</v>
      </c>
      <c r="G21" s="5"/>
      <c r="K21" s="86"/>
      <c r="L21" s="85"/>
    </row>
    <row r="22" spans="1:12" ht="18.75" customHeight="1" x14ac:dyDescent="0.35">
      <c r="A22" s="97" t="s">
        <v>832</v>
      </c>
      <c r="B22" s="112" t="s">
        <v>833</v>
      </c>
      <c r="C22" s="5">
        <f>+IFERROR(VLOOKUP($A22,RAIZ!$A$3:$X$1500,MATCH('Suc. Villa Hidalgo'!$F$1,RAIZ!$A$2:$X$2,0),FALSE),0)</f>
        <v>2</v>
      </c>
      <c r="D22" s="14">
        <v>2</v>
      </c>
      <c r="E22" s="4"/>
      <c r="F22" s="5">
        <f t="shared" si="1"/>
        <v>0</v>
      </c>
      <c r="G22" s="5"/>
      <c r="K22" s="86"/>
      <c r="L22" s="85"/>
    </row>
    <row r="23" spans="1:12" ht="18.75" customHeight="1" x14ac:dyDescent="0.35">
      <c r="A23" s="97" t="s">
        <v>12</v>
      </c>
      <c r="B23" s="112" t="s">
        <v>766</v>
      </c>
      <c r="C23" s="5">
        <f>+IFERROR(VLOOKUP($A23,RAIZ!$A$3:$X$1500,MATCH('Suc. Villa Hidalgo'!$F$1,RAIZ!$A$2:$X$2,0),FALSE),0)</f>
        <v>2</v>
      </c>
      <c r="D23" s="14">
        <v>2</v>
      </c>
      <c r="E23" s="4"/>
      <c r="F23" s="5">
        <f t="shared" si="1"/>
        <v>0</v>
      </c>
      <c r="G23" s="5"/>
      <c r="K23" s="86"/>
      <c r="L23" s="85"/>
    </row>
    <row r="24" spans="1:12" ht="18.75" customHeight="1" x14ac:dyDescent="0.35">
      <c r="A24" s="97" t="s">
        <v>432</v>
      </c>
      <c r="B24" s="112" t="s">
        <v>767</v>
      </c>
      <c r="C24" s="5">
        <f>+IFERROR(VLOOKUP($A24,RAIZ!$A$3:$X$1500,MATCH('Suc. Villa Hidalgo'!$F$1,RAIZ!$A$2:$X$2,0),FALSE),0)</f>
        <v>0</v>
      </c>
      <c r="D24" s="14">
        <v>2</v>
      </c>
      <c r="E24" s="4"/>
      <c r="F24" s="5">
        <f t="shared" si="1"/>
        <v>2</v>
      </c>
      <c r="G24" s="5"/>
      <c r="K24" s="86"/>
      <c r="L24" s="85"/>
    </row>
    <row r="25" spans="1:12" ht="18.75" customHeight="1" x14ac:dyDescent="0.35">
      <c r="A25" s="97" t="s">
        <v>468</v>
      </c>
      <c r="B25" s="112" t="s">
        <v>768</v>
      </c>
      <c r="C25" s="5">
        <f>+IFERROR(VLOOKUP($A25,RAIZ!$A$3:$X$1500,MATCH('Suc. Villa Hidalgo'!$F$1,RAIZ!$A$2:$X$2,0),FALSE),0)</f>
        <v>2</v>
      </c>
      <c r="D25" s="16">
        <v>2</v>
      </c>
      <c r="E25" s="4"/>
      <c r="F25" s="5">
        <f t="shared" si="1"/>
        <v>0</v>
      </c>
      <c r="G25" s="5"/>
      <c r="K25" s="86"/>
      <c r="L25" s="85"/>
    </row>
    <row r="26" spans="1:12" ht="18.75" customHeight="1" x14ac:dyDescent="0.35">
      <c r="A26" s="97"/>
      <c r="B26" s="112"/>
      <c r="C26" s="5">
        <f>+IFERROR(VLOOKUP($A26,RAIZ!$A$3:$X$1500,MATCH('Suc. Villa Hidalgo'!$F$1,RAIZ!$A$2:$X$2,0),FALSE),0)</f>
        <v>0</v>
      </c>
      <c r="D26" s="20"/>
      <c r="E26" s="4"/>
      <c r="F26" s="5">
        <f t="shared" si="1"/>
        <v>0</v>
      </c>
      <c r="G26" s="5"/>
    </row>
    <row r="27" spans="1:12" ht="18.75" customHeight="1" x14ac:dyDescent="0.35">
      <c r="A27" s="97"/>
      <c r="B27" s="112"/>
      <c r="C27" s="5">
        <f>+IFERROR(VLOOKUP($A27,RAIZ!$A$3:$X$1500,MATCH('Suc. Villa Hidalgo'!$F$1,RAIZ!$A$2:$X$2,0),FALSE),0)</f>
        <v>0</v>
      </c>
      <c r="D27" s="16"/>
      <c r="E27" s="4"/>
      <c r="F27" s="5">
        <f>IF(D27-C27&gt;=0,D27-C27,0)</f>
        <v>0</v>
      </c>
      <c r="G27" s="5"/>
      <c r="K27" s="86"/>
      <c r="L27" s="85"/>
    </row>
    <row r="28" spans="1:12" ht="18.75" customHeight="1" x14ac:dyDescent="0.35">
      <c r="A28" s="97"/>
      <c r="B28" s="112"/>
      <c r="C28" s="5">
        <f>+IFERROR(VLOOKUP($A28,RAIZ!$A$3:$X$1500,MATCH('Suc. Villa Hidalgo'!$F$1,RAIZ!$A$2:$X$2,0),FALSE),0)</f>
        <v>0</v>
      </c>
      <c r="D28" s="16"/>
      <c r="E28" s="4"/>
      <c r="F28" s="5">
        <f t="shared" si="1"/>
        <v>0</v>
      </c>
      <c r="G28" s="5"/>
      <c r="K28" s="86"/>
      <c r="L28" s="85"/>
    </row>
    <row r="29" spans="1:12" ht="18.75" customHeight="1" x14ac:dyDescent="0.35">
      <c r="A29" s="97"/>
      <c r="B29" s="112"/>
      <c r="C29" s="5">
        <f>+IFERROR(VLOOKUP($A29,RAIZ!$A$3:$X$1500,MATCH('Suc. Villa Hidalgo'!$F$1,RAIZ!$A$2:$X$2,0),FALSE),0)</f>
        <v>0</v>
      </c>
      <c r="D29" s="16"/>
      <c r="E29" s="4"/>
      <c r="F29" s="5">
        <f t="shared" si="1"/>
        <v>0</v>
      </c>
      <c r="G29" s="5"/>
      <c r="K29" s="86"/>
      <c r="L29" s="85"/>
    </row>
    <row r="30" spans="1:12" ht="18.75" customHeight="1" x14ac:dyDescent="0.35">
      <c r="A30" s="97"/>
      <c r="B30" s="112"/>
      <c r="C30" s="5">
        <f>+IFERROR(VLOOKUP($A30,RAIZ!$A$3:$X$1500,MATCH('Suc. Villa Hidalgo'!$F$1,RAIZ!$A$2:$X$2,0),FALSE),0)</f>
        <v>0</v>
      </c>
      <c r="D30" s="16"/>
      <c r="E30" s="4"/>
      <c r="F30" s="5">
        <f t="shared" si="1"/>
        <v>0</v>
      </c>
      <c r="G30" s="5"/>
      <c r="K30" s="86"/>
      <c r="L30" s="85"/>
    </row>
    <row r="31" spans="1:12" ht="18.75" customHeight="1" thickBot="1" x14ac:dyDescent="0.4">
      <c r="A31" s="97"/>
      <c r="B31" s="112"/>
      <c r="C31" s="5">
        <f>+IFERROR(VLOOKUP($A31,RAIZ!$A$3:$X$1500,MATCH('Suc. Villa Hidalgo'!$F$1,RAIZ!$A$2:$X$2,0),FALSE),0)</f>
        <v>0</v>
      </c>
      <c r="D31" s="16"/>
      <c r="E31" s="4"/>
      <c r="F31" s="5">
        <f t="shared" si="1"/>
        <v>0</v>
      </c>
      <c r="G31" s="5"/>
      <c r="K31" s="86"/>
      <c r="L31" s="85"/>
    </row>
    <row r="32" spans="1:12" ht="18.75" customHeight="1" thickBot="1" x14ac:dyDescent="0.4">
      <c r="A32" s="98" t="s">
        <v>13</v>
      </c>
      <c r="B32" s="111"/>
      <c r="C32" s="76">
        <f>SUM(C19:C31)</f>
        <v>14</v>
      </c>
      <c r="D32" s="46">
        <f>SUM(D19:D31)</f>
        <v>14</v>
      </c>
      <c r="E32" s="46">
        <f>SUM(E19:E31)</f>
        <v>0</v>
      </c>
      <c r="F32" s="64">
        <f>SUM(F19:F31)</f>
        <v>2</v>
      </c>
      <c r="G32" s="46">
        <f>SUM(G19:G31)</f>
        <v>0</v>
      </c>
      <c r="K32" s="86"/>
      <c r="L32" s="85"/>
    </row>
    <row r="33" spans="1:12" ht="18.75" customHeight="1" x14ac:dyDescent="0.35">
      <c r="A33" s="97" t="s">
        <v>14</v>
      </c>
      <c r="B33" s="112" t="s">
        <v>769</v>
      </c>
      <c r="C33" s="5">
        <f>+IFERROR(VLOOKUP($A33,RAIZ!$A$3:$X$1500,MATCH('Suc. Villa Hidalgo'!$F$1,RAIZ!$A$2:$X$2,0),FALSE),0)</f>
        <v>1</v>
      </c>
      <c r="D33" s="4">
        <v>3</v>
      </c>
      <c r="E33" s="4"/>
      <c r="F33" s="5">
        <f t="shared" ref="F33:F48" si="2">IF(D33-C33&gt;=0,D33-C33,0)</f>
        <v>2</v>
      </c>
      <c r="G33" s="5"/>
      <c r="K33" s="86"/>
      <c r="L33" s="85"/>
    </row>
    <row r="34" spans="1:12" ht="18.75" customHeight="1" x14ac:dyDescent="0.35">
      <c r="A34" s="97" t="s">
        <v>15</v>
      </c>
      <c r="B34" s="112" t="s">
        <v>770</v>
      </c>
      <c r="C34" s="5">
        <f>+IFERROR(VLOOKUP($A34,RAIZ!$A$3:$X$1500,MATCH('Suc. Villa Hidalgo'!$F$1,RAIZ!$A$2:$X$2,0),FALSE),0)</f>
        <v>2</v>
      </c>
      <c r="D34" s="7">
        <v>3</v>
      </c>
      <c r="E34" s="4"/>
      <c r="F34" s="5">
        <f t="shared" si="2"/>
        <v>1</v>
      </c>
      <c r="G34" s="5"/>
      <c r="K34" s="86"/>
      <c r="L34" s="85"/>
    </row>
    <row r="35" spans="1:12" ht="18.75" customHeight="1" x14ac:dyDescent="0.35">
      <c r="A35" s="97" t="s">
        <v>16</v>
      </c>
      <c r="B35" s="112" t="s">
        <v>771</v>
      </c>
      <c r="C35" s="5">
        <f>+IFERROR(VLOOKUP($A35,RAIZ!$A$3:$X$1500,MATCH('Suc. Villa Hidalgo'!$F$1,RAIZ!$A$2:$X$2,0),FALSE),0)</f>
        <v>2</v>
      </c>
      <c r="D35" s="7">
        <v>3</v>
      </c>
      <c r="E35" s="4"/>
      <c r="F35" s="5">
        <f t="shared" si="2"/>
        <v>1</v>
      </c>
      <c r="G35" s="5"/>
      <c r="K35" s="86"/>
      <c r="L35" s="85"/>
    </row>
    <row r="36" spans="1:12" ht="18.75" customHeight="1" x14ac:dyDescent="0.35">
      <c r="A36" s="97" t="s">
        <v>17</v>
      </c>
      <c r="B36" s="112" t="s">
        <v>772</v>
      </c>
      <c r="C36" s="5">
        <f>+IFERROR(VLOOKUP($A36,RAIZ!$A$3:$X$1500,MATCH('Suc. Villa Hidalgo'!$F$1,RAIZ!$A$2:$X$2,0),FALSE),0)</f>
        <v>2</v>
      </c>
      <c r="D36" s="7">
        <v>3</v>
      </c>
      <c r="E36" s="4"/>
      <c r="F36" s="5">
        <f t="shared" si="2"/>
        <v>1</v>
      </c>
      <c r="G36" s="5"/>
      <c r="K36" s="86"/>
      <c r="L36" s="85"/>
    </row>
    <row r="37" spans="1:12" ht="18.75" customHeight="1" x14ac:dyDescent="0.35">
      <c r="A37" s="97" t="s">
        <v>18</v>
      </c>
      <c r="B37" s="112" t="s">
        <v>773</v>
      </c>
      <c r="C37" s="5">
        <f>+IFERROR(VLOOKUP($A37,RAIZ!$A$3:$X$1500,MATCH('Suc. Villa Hidalgo'!$F$1,RAIZ!$A$2:$X$2,0),FALSE),0)</f>
        <v>2</v>
      </c>
      <c r="D37" s="7">
        <v>4</v>
      </c>
      <c r="E37" s="4"/>
      <c r="F37" s="5">
        <f t="shared" si="2"/>
        <v>2</v>
      </c>
      <c r="G37" s="5"/>
      <c r="K37" s="86"/>
      <c r="L37" s="85"/>
    </row>
    <row r="38" spans="1:12" ht="18.75" customHeight="1" x14ac:dyDescent="0.35">
      <c r="A38" s="97" t="s">
        <v>22</v>
      </c>
      <c r="B38" s="112" t="s">
        <v>774</v>
      </c>
      <c r="C38" s="5">
        <f>+IFERROR(VLOOKUP($A38,RAIZ!$A$3:$X$1500,MATCH('Suc. Villa Hidalgo'!$F$1,RAIZ!$A$2:$X$2,0),FALSE),0)</f>
        <v>2</v>
      </c>
      <c r="D38" s="18">
        <v>4</v>
      </c>
      <c r="E38" s="4"/>
      <c r="F38" s="5">
        <f t="shared" si="2"/>
        <v>2</v>
      </c>
      <c r="G38" s="5"/>
      <c r="K38" s="86"/>
      <c r="L38" s="85"/>
    </row>
    <row r="39" spans="1:12" ht="18.75" customHeight="1" x14ac:dyDescent="0.35">
      <c r="A39" s="97" t="s">
        <v>23</v>
      </c>
      <c r="B39" s="112" t="s">
        <v>775</v>
      </c>
      <c r="C39" s="5">
        <f>+IFERROR(VLOOKUP($A39,RAIZ!$A$3:$X$1500,MATCH('Suc. Villa Hidalgo'!$F$1,RAIZ!$A$2:$X$2,0),FALSE),0)</f>
        <v>1</v>
      </c>
      <c r="D39" s="18">
        <v>3</v>
      </c>
      <c r="E39" s="4"/>
      <c r="F39" s="5">
        <f t="shared" si="2"/>
        <v>2</v>
      </c>
      <c r="G39" s="5"/>
      <c r="K39" s="86"/>
      <c r="L39" s="85"/>
    </row>
    <row r="40" spans="1:12" ht="18.75" customHeight="1" x14ac:dyDescent="0.35">
      <c r="A40" s="97" t="s">
        <v>24</v>
      </c>
      <c r="B40" s="112" t="s">
        <v>776</v>
      </c>
      <c r="C40" s="5">
        <f>+IFERROR(VLOOKUP($A40,RAIZ!$A$3:$X$1500,MATCH('Suc. Villa Hidalgo'!$F$1,RAIZ!$A$2:$X$2,0),FALSE),0)</f>
        <v>2</v>
      </c>
      <c r="D40" s="7">
        <v>4</v>
      </c>
      <c r="E40" s="4"/>
      <c r="F40" s="5">
        <f t="shared" si="2"/>
        <v>2</v>
      </c>
      <c r="G40" s="5"/>
      <c r="K40" s="86"/>
      <c r="L40" s="85"/>
    </row>
    <row r="41" spans="1:12" ht="18.75" customHeight="1" x14ac:dyDescent="0.35">
      <c r="A41" s="97" t="s">
        <v>25</v>
      </c>
      <c r="B41" s="112" t="s">
        <v>777</v>
      </c>
      <c r="C41" s="5">
        <f>+IFERROR(VLOOKUP($A41,RAIZ!$A$3:$X$1500,MATCH('Suc. Villa Hidalgo'!$F$1,RAIZ!$A$2:$X$2,0),FALSE),0)</f>
        <v>2</v>
      </c>
      <c r="D41" s="18">
        <v>3</v>
      </c>
      <c r="E41" s="4"/>
      <c r="F41" s="5">
        <f t="shared" si="2"/>
        <v>1</v>
      </c>
      <c r="G41" s="5"/>
      <c r="K41" s="86"/>
      <c r="L41" s="85"/>
    </row>
    <row r="42" spans="1:12" ht="18.75" customHeight="1" x14ac:dyDescent="0.35">
      <c r="A42" s="97"/>
      <c r="B42" s="112"/>
      <c r="C42" s="5">
        <f>+IFERROR(VLOOKUP($A42,RAIZ!$A$3:$X$1500,MATCH('Suc. Villa Hidalgo'!$F$1,RAIZ!$A$2:$X$2,0),FALSE),0)</f>
        <v>0</v>
      </c>
      <c r="D42" s="20"/>
      <c r="E42" s="4"/>
      <c r="F42" s="5">
        <f t="shared" si="2"/>
        <v>0</v>
      </c>
      <c r="G42" s="5"/>
    </row>
    <row r="43" spans="1:12" ht="18.75" customHeight="1" x14ac:dyDescent="0.35">
      <c r="A43" s="97"/>
      <c r="B43" s="112"/>
      <c r="C43" s="5">
        <f>+IFERROR(VLOOKUP($A43,RAIZ!$A$3:$X$1500,MATCH('Suc. Villa Hidalgo'!$F$1,RAIZ!$A$2:$X$2,0),FALSE),0)</f>
        <v>0</v>
      </c>
      <c r="D43" s="18">
        <v>0</v>
      </c>
      <c r="E43" s="4"/>
      <c r="F43" s="5">
        <f t="shared" si="2"/>
        <v>0</v>
      </c>
      <c r="G43" s="5"/>
      <c r="K43" s="86"/>
      <c r="L43" s="85"/>
    </row>
    <row r="44" spans="1:12" ht="18.75" customHeight="1" x14ac:dyDescent="0.35">
      <c r="A44" s="97"/>
      <c r="B44" s="112"/>
      <c r="C44" s="5">
        <f>+IFERROR(VLOOKUP($A44,RAIZ!$A$3:$X$1500,MATCH('Suc. Villa Hidalgo'!$F$1,RAIZ!$A$2:$X$2,0),FALSE),0)</f>
        <v>0</v>
      </c>
      <c r="D44" s="18"/>
      <c r="E44" s="4"/>
      <c r="F44" s="5">
        <f t="shared" si="2"/>
        <v>0</v>
      </c>
      <c r="G44" s="5"/>
      <c r="K44" s="86"/>
      <c r="L44" s="85"/>
    </row>
    <row r="45" spans="1:12" ht="18.75" customHeight="1" x14ac:dyDescent="0.35">
      <c r="A45" s="97"/>
      <c r="B45" s="112"/>
      <c r="C45" s="5">
        <f>+IFERROR(VLOOKUP($A45,RAIZ!$A$3:$X$1500,MATCH('Suc. Villa Hidalgo'!$F$1,RAIZ!$A$2:$X$2,0),FALSE),0)</f>
        <v>0</v>
      </c>
      <c r="D45" s="18"/>
      <c r="E45" s="4"/>
      <c r="F45" s="5">
        <f t="shared" si="2"/>
        <v>0</v>
      </c>
      <c r="G45" s="5"/>
      <c r="K45" s="86"/>
      <c r="L45" s="85"/>
    </row>
    <row r="46" spans="1:12" ht="18.75" customHeight="1" x14ac:dyDescent="0.35">
      <c r="A46" s="97"/>
      <c r="B46" s="112"/>
      <c r="C46" s="5">
        <f>+IFERROR(VLOOKUP($A46,RAIZ!$A$3:$X$1500,MATCH('Suc. Villa Hidalgo'!$F$1,RAIZ!$A$2:$X$2,0),FALSE),0)</f>
        <v>0</v>
      </c>
      <c r="D46" s="18"/>
      <c r="E46" s="4"/>
      <c r="F46" s="5">
        <f t="shared" si="2"/>
        <v>0</v>
      </c>
      <c r="G46" s="5"/>
      <c r="K46" s="86"/>
      <c r="L46" s="85"/>
    </row>
    <row r="47" spans="1:12" ht="18.75" customHeight="1" x14ac:dyDescent="0.35">
      <c r="A47" s="97"/>
      <c r="B47" s="112"/>
      <c r="C47" s="5">
        <f>+IFERROR(VLOOKUP($A47,RAIZ!$A$3:$X$1500,MATCH('Suc. Villa Hidalgo'!$F$1,RAIZ!$A$2:$X$2,0),FALSE),0)</f>
        <v>0</v>
      </c>
      <c r="D47" s="18"/>
      <c r="E47" s="4"/>
      <c r="F47" s="5">
        <f t="shared" si="2"/>
        <v>0</v>
      </c>
      <c r="G47" s="5"/>
      <c r="K47" s="86"/>
      <c r="L47" s="85"/>
    </row>
    <row r="48" spans="1:12" ht="18.75" customHeight="1" thickBot="1" x14ac:dyDescent="0.4">
      <c r="A48" s="97"/>
      <c r="B48" s="112"/>
      <c r="C48" s="5">
        <f>+IFERROR(VLOOKUP($A48,RAIZ!$A$3:$X$1500,MATCH('Suc. Villa Hidalgo'!$F$1,RAIZ!$A$2:$X$2,0),FALSE),0)</f>
        <v>0</v>
      </c>
      <c r="D48" s="18"/>
      <c r="E48" s="4"/>
      <c r="F48" s="5">
        <f t="shared" si="2"/>
        <v>0</v>
      </c>
      <c r="G48" s="5"/>
      <c r="K48" s="86"/>
      <c r="L48" s="85"/>
    </row>
    <row r="49" spans="1:12" ht="18.75" customHeight="1" thickBot="1" x14ac:dyDescent="0.4">
      <c r="A49" s="99" t="s">
        <v>29</v>
      </c>
      <c r="B49" s="111"/>
      <c r="C49" s="77">
        <f>SUM(C33:C48)</f>
        <v>16</v>
      </c>
      <c r="D49" s="48">
        <f>SUM(D33:D48)</f>
        <v>30</v>
      </c>
      <c r="E49" s="48">
        <f>SUM(E33:E48)</f>
        <v>0</v>
      </c>
      <c r="F49" s="65">
        <f>SUM(F33:F48)</f>
        <v>14</v>
      </c>
      <c r="G49" s="48">
        <f>SUM(G33:G48)</f>
        <v>0</v>
      </c>
      <c r="K49" s="86"/>
      <c r="L49" s="85"/>
    </row>
    <row r="50" spans="1:12" ht="18.75" customHeight="1" x14ac:dyDescent="0.35">
      <c r="A50" s="93" t="s">
        <v>30</v>
      </c>
      <c r="B50" s="112" t="s">
        <v>778</v>
      </c>
      <c r="C50" s="5">
        <f>+IFERROR(VLOOKUP($A50,RAIZ!$A$3:$X$1500,MATCH('Suc. Villa Hidalgo'!$F$1,RAIZ!$A$2:$X$2,0),FALSE),0)</f>
        <v>6</v>
      </c>
      <c r="D50" s="4">
        <v>15</v>
      </c>
      <c r="E50" s="4"/>
      <c r="F50" s="5">
        <f>IF(D50-C50&gt;=0,D50-C50,0)</f>
        <v>9</v>
      </c>
      <c r="G50" s="5"/>
      <c r="K50" s="86"/>
      <c r="L50" s="85"/>
    </row>
    <row r="51" spans="1:12" ht="18.75" customHeight="1" thickBot="1" x14ac:dyDescent="0.4">
      <c r="A51" s="95" t="s">
        <v>31</v>
      </c>
      <c r="B51" s="112" t="s">
        <v>779</v>
      </c>
      <c r="C51" s="5">
        <f>+IFERROR(VLOOKUP($A51,RAIZ!$A$3:$X$1500,MATCH('Suc. Villa Hidalgo'!$F$1,RAIZ!$A$2:$X$2,0),FALSE),0)</f>
        <v>3</v>
      </c>
      <c r="D51" s="20">
        <v>15</v>
      </c>
      <c r="E51" s="4"/>
      <c r="F51" s="5">
        <f t="shared" ref="F51" si="3">IF(D51-C51&gt;=0,D51-C51,0)</f>
        <v>12</v>
      </c>
      <c r="G51" s="5"/>
      <c r="K51" s="86"/>
      <c r="L51" s="85"/>
    </row>
    <row r="52" spans="1:12" ht="18.75" customHeight="1" thickBot="1" x14ac:dyDescent="0.4">
      <c r="A52" s="100" t="s">
        <v>32</v>
      </c>
      <c r="B52" s="111"/>
      <c r="C52" s="78">
        <f>SUM(C50:C51)</f>
        <v>9</v>
      </c>
      <c r="D52" s="50">
        <f t="shared" ref="D52:G52" si="4">SUM(D50:D51)</f>
        <v>30</v>
      </c>
      <c r="E52" s="50">
        <f t="shared" si="4"/>
        <v>0</v>
      </c>
      <c r="F52" s="66">
        <f t="shared" si="4"/>
        <v>21</v>
      </c>
      <c r="G52" s="50">
        <f t="shared" si="4"/>
        <v>0</v>
      </c>
      <c r="K52" s="86"/>
      <c r="L52" s="85"/>
    </row>
    <row r="53" spans="1:12" ht="18.75" customHeight="1" x14ac:dyDescent="0.35">
      <c r="A53" s="93" t="s">
        <v>33</v>
      </c>
      <c r="B53" s="112" t="s">
        <v>780</v>
      </c>
      <c r="C53" s="5">
        <f>+IFERROR(VLOOKUP($A53,RAIZ!$A$3:$X$1500,MATCH('Suc. Villa Hidalgo'!$F$1,RAIZ!$A$2:$X$2,0),FALSE),0)</f>
        <v>4</v>
      </c>
      <c r="D53" s="4">
        <v>15</v>
      </c>
      <c r="E53" s="4"/>
      <c r="F53" s="5">
        <f t="shared" ref="F53:F54" si="5">IF(D53-C53&gt;=0,D53-C53,0)</f>
        <v>11</v>
      </c>
      <c r="G53" s="5"/>
      <c r="K53" s="86"/>
      <c r="L53" s="85"/>
    </row>
    <row r="54" spans="1:12" ht="18.75" customHeight="1" thickBot="1" x14ac:dyDescent="0.4">
      <c r="A54" s="95" t="s">
        <v>34</v>
      </c>
      <c r="B54" s="112" t="s">
        <v>781</v>
      </c>
      <c r="C54" s="5">
        <f>+IFERROR(VLOOKUP($A54,RAIZ!$A$3:$X$1500,MATCH('Suc. Villa Hidalgo'!$F$1,RAIZ!$A$2:$X$2,0),FALSE),0)</f>
        <v>5</v>
      </c>
      <c r="D54" s="20">
        <v>15</v>
      </c>
      <c r="E54" s="4"/>
      <c r="F54" s="5">
        <f t="shared" si="5"/>
        <v>10</v>
      </c>
      <c r="G54" s="5"/>
      <c r="K54" s="86"/>
      <c r="L54" s="85"/>
    </row>
    <row r="55" spans="1:12" ht="18.75" customHeight="1" thickBot="1" x14ac:dyDescent="0.4">
      <c r="A55" s="99" t="s">
        <v>35</v>
      </c>
      <c r="B55" s="111"/>
      <c r="C55" s="77">
        <f>SUM(C53:C54)</f>
        <v>9</v>
      </c>
      <c r="D55" s="48">
        <f t="shared" ref="D55:G55" si="6">SUM(D53:D54)</f>
        <v>30</v>
      </c>
      <c r="E55" s="48">
        <f t="shared" si="6"/>
        <v>0</v>
      </c>
      <c r="F55" s="65">
        <f t="shared" si="6"/>
        <v>21</v>
      </c>
      <c r="G55" s="48">
        <f t="shared" si="6"/>
        <v>0</v>
      </c>
      <c r="K55" s="86"/>
      <c r="L55" s="85"/>
    </row>
    <row r="56" spans="1:12" ht="18.75" customHeight="1" x14ac:dyDescent="0.35">
      <c r="A56" s="93" t="s">
        <v>36</v>
      </c>
      <c r="B56" s="112" t="s">
        <v>782</v>
      </c>
      <c r="C56" s="5">
        <f>+IFERROR(VLOOKUP($A56,RAIZ!$A$3:$X$1500,MATCH('Suc. Villa Hidalgo'!$F$1,RAIZ!$A$2:$X$2,0),FALSE),0)</f>
        <v>1</v>
      </c>
      <c r="D56" s="4">
        <v>1</v>
      </c>
      <c r="E56" s="4"/>
      <c r="F56" s="5">
        <f t="shared" ref="F56:F77" si="7">IF(D56-C56&gt;=0,D56-C56,0)</f>
        <v>0</v>
      </c>
      <c r="G56" s="5"/>
      <c r="K56" s="86"/>
      <c r="L56" s="85"/>
    </row>
    <row r="57" spans="1:12" ht="18.75" customHeight="1" x14ac:dyDescent="0.35">
      <c r="A57" s="93" t="s">
        <v>37</v>
      </c>
      <c r="B57" s="112" t="s">
        <v>783</v>
      </c>
      <c r="C57" s="5">
        <f>+IFERROR(VLOOKUP($A57,RAIZ!$A$3:$X$1500,MATCH('Suc. Villa Hidalgo'!$F$1,RAIZ!$A$2:$X$2,0),FALSE),0)</f>
        <v>1</v>
      </c>
      <c r="D57" s="7">
        <v>2</v>
      </c>
      <c r="E57" s="4"/>
      <c r="F57" s="5">
        <f t="shared" si="7"/>
        <v>1</v>
      </c>
      <c r="G57" s="5"/>
      <c r="K57" s="86"/>
      <c r="L57" s="85"/>
    </row>
    <row r="58" spans="1:12" ht="18.75" customHeight="1" x14ac:dyDescent="0.35">
      <c r="A58" s="93" t="s">
        <v>39</v>
      </c>
      <c r="B58" s="112" t="s">
        <v>784</v>
      </c>
      <c r="C58" s="5">
        <f>+IFERROR(VLOOKUP($A58,RAIZ!$A$3:$X$1500,MATCH('Suc. Villa Hidalgo'!$F$1,RAIZ!$A$2:$X$2,0),FALSE),0)</f>
        <v>0</v>
      </c>
      <c r="D58" s="7">
        <v>2</v>
      </c>
      <c r="E58" s="4"/>
      <c r="F58" s="5">
        <f t="shared" si="7"/>
        <v>2</v>
      </c>
      <c r="G58" s="5"/>
      <c r="K58" s="86"/>
      <c r="L58" s="85"/>
    </row>
    <row r="59" spans="1:12" ht="18.75" customHeight="1" x14ac:dyDescent="0.35">
      <c r="A59" s="93" t="s">
        <v>40</v>
      </c>
      <c r="B59" s="112" t="s">
        <v>785</v>
      </c>
      <c r="C59" s="5">
        <f>+IFERROR(VLOOKUP($A59,RAIZ!$A$3:$X$1500,MATCH('Suc. Villa Hidalgo'!$F$1,RAIZ!$A$2:$X$2,0),FALSE),0)</f>
        <v>1</v>
      </c>
      <c r="D59" s="7">
        <v>1</v>
      </c>
      <c r="E59" s="4"/>
      <c r="F59" s="5">
        <f t="shared" si="7"/>
        <v>0</v>
      </c>
      <c r="G59" s="5"/>
      <c r="K59" s="86"/>
      <c r="L59" s="85"/>
    </row>
    <row r="60" spans="1:12" ht="18.75" customHeight="1" x14ac:dyDescent="0.35">
      <c r="A60" s="93" t="s">
        <v>41</v>
      </c>
      <c r="B60" s="112" t="s">
        <v>786</v>
      </c>
      <c r="C60" s="5">
        <f>+IFERROR(VLOOKUP($A60,RAIZ!$A$3:$X$1500,MATCH('Suc. Villa Hidalgo'!$F$1,RAIZ!$A$2:$X$2,0),FALSE),0)</f>
        <v>0</v>
      </c>
      <c r="D60" s="7">
        <v>2</v>
      </c>
      <c r="E60" s="4"/>
      <c r="F60" s="5">
        <f t="shared" si="7"/>
        <v>2</v>
      </c>
      <c r="G60" s="5"/>
      <c r="K60" s="86"/>
      <c r="L60" s="85"/>
    </row>
    <row r="61" spans="1:12" ht="18.75" customHeight="1" x14ac:dyDescent="0.35">
      <c r="A61" s="101" t="s">
        <v>42</v>
      </c>
      <c r="B61" s="112" t="s">
        <v>787</v>
      </c>
      <c r="C61" s="5">
        <f>+IFERROR(VLOOKUP($A61,RAIZ!$A$3:$X$1500,MATCH('Suc. Villa Hidalgo'!$F$1,RAIZ!$A$2:$X$2,0),FALSE),0)</f>
        <v>1</v>
      </c>
      <c r="D61" s="4">
        <v>1</v>
      </c>
      <c r="E61" s="4"/>
      <c r="F61" s="5">
        <f t="shared" si="7"/>
        <v>0</v>
      </c>
      <c r="G61" s="5"/>
      <c r="K61" s="86"/>
      <c r="L61" s="85"/>
    </row>
    <row r="62" spans="1:12" ht="18.75" customHeight="1" x14ac:dyDescent="0.35">
      <c r="A62" s="102" t="s">
        <v>43</v>
      </c>
      <c r="B62" s="112" t="s">
        <v>788</v>
      </c>
      <c r="C62" s="5">
        <f>+IFERROR(VLOOKUP($A62,RAIZ!$A$3:$X$1500,MATCH('Suc. Villa Hidalgo'!$F$1,RAIZ!$A$2:$X$2,0),FALSE),0)</f>
        <v>1</v>
      </c>
      <c r="D62" s="7">
        <v>2</v>
      </c>
      <c r="E62" s="4"/>
      <c r="F62" s="5">
        <f t="shared" si="7"/>
        <v>1</v>
      </c>
      <c r="G62" s="5"/>
      <c r="K62" s="86"/>
      <c r="L62" s="85"/>
    </row>
    <row r="63" spans="1:12" ht="18.75" customHeight="1" x14ac:dyDescent="0.35">
      <c r="A63" s="93" t="s">
        <v>44</v>
      </c>
      <c r="B63" s="112" t="s">
        <v>789</v>
      </c>
      <c r="C63" s="5">
        <f>+IFERROR(VLOOKUP($A63,RAIZ!$A$3:$X$1500,MATCH('Suc. Villa Hidalgo'!$F$1,RAIZ!$A$2:$X$2,0),FALSE),0)</f>
        <v>1</v>
      </c>
      <c r="D63" s="7">
        <v>1</v>
      </c>
      <c r="E63" s="4"/>
      <c r="F63" s="5">
        <f t="shared" si="7"/>
        <v>0</v>
      </c>
      <c r="G63" s="5"/>
      <c r="K63" s="86"/>
      <c r="L63" s="85"/>
    </row>
    <row r="64" spans="1:12" ht="18.75" customHeight="1" x14ac:dyDescent="0.35">
      <c r="A64" s="93" t="s">
        <v>45</v>
      </c>
      <c r="B64" s="112" t="s">
        <v>790</v>
      </c>
      <c r="C64" s="5">
        <f>+IFERROR(VLOOKUP($A64,RAIZ!$A$3:$X$1500,MATCH('Suc. Villa Hidalgo'!$F$1,RAIZ!$A$2:$X$2,0),FALSE),0)</f>
        <v>1</v>
      </c>
      <c r="D64" s="4">
        <v>3</v>
      </c>
      <c r="E64" s="4"/>
      <c r="F64" s="5">
        <f t="shared" si="7"/>
        <v>2</v>
      </c>
      <c r="G64" s="5"/>
      <c r="K64" s="86"/>
      <c r="L64" s="85"/>
    </row>
    <row r="65" spans="1:12" ht="18.75" customHeight="1" x14ac:dyDescent="0.35">
      <c r="A65" s="93" t="s">
        <v>46</v>
      </c>
      <c r="B65" s="112" t="s">
        <v>791</v>
      </c>
      <c r="C65" s="5">
        <f>+IFERROR(VLOOKUP($A65,RAIZ!$A$3:$X$1500,MATCH('Suc. Villa Hidalgo'!$F$1,RAIZ!$A$2:$X$2,0),FALSE),0)</f>
        <v>4</v>
      </c>
      <c r="D65" s="7">
        <v>7</v>
      </c>
      <c r="E65" s="4"/>
      <c r="F65" s="5">
        <f t="shared" si="7"/>
        <v>3</v>
      </c>
      <c r="G65" s="5"/>
      <c r="K65" s="86"/>
      <c r="L65" s="85"/>
    </row>
    <row r="66" spans="1:12" ht="18.75" customHeight="1" x14ac:dyDescent="0.35">
      <c r="A66" s="93" t="s">
        <v>48</v>
      </c>
      <c r="B66" s="112" t="s">
        <v>792</v>
      </c>
      <c r="C66" s="5">
        <f>+IFERROR(VLOOKUP($A66,RAIZ!$A$3:$X$1500,MATCH('Suc. Villa Hidalgo'!$F$1,RAIZ!$A$2:$X$2,0),FALSE),0)</f>
        <v>2</v>
      </c>
      <c r="D66" s="7">
        <v>1</v>
      </c>
      <c r="E66" s="4"/>
      <c r="F66" s="5">
        <f t="shared" si="7"/>
        <v>0</v>
      </c>
      <c r="G66" s="5"/>
      <c r="K66" s="86"/>
      <c r="L66" s="85"/>
    </row>
    <row r="67" spans="1:12" ht="18.75" customHeight="1" x14ac:dyDescent="0.35">
      <c r="A67" s="93" t="s">
        <v>49</v>
      </c>
      <c r="B67" s="112" t="s">
        <v>793</v>
      </c>
      <c r="C67" s="5">
        <f>+IFERROR(VLOOKUP($A67,RAIZ!$A$3:$X$1500,MATCH('Suc. Villa Hidalgo'!$F$1,RAIZ!$A$2:$X$2,0),FALSE),0)</f>
        <v>0</v>
      </c>
      <c r="D67" s="7">
        <v>1</v>
      </c>
      <c r="E67" s="4"/>
      <c r="F67" s="5">
        <f t="shared" si="7"/>
        <v>1</v>
      </c>
      <c r="G67" s="5"/>
      <c r="K67" s="86"/>
      <c r="L67" s="85"/>
    </row>
    <row r="68" spans="1:12" ht="18.75" customHeight="1" x14ac:dyDescent="0.35">
      <c r="A68" s="93" t="s">
        <v>50</v>
      </c>
      <c r="B68" s="112" t="s">
        <v>794</v>
      </c>
      <c r="C68" s="5">
        <f>+IFERROR(VLOOKUP($A68,RAIZ!$A$3:$X$1500,MATCH('Suc. Villa Hidalgo'!$F$1,RAIZ!$A$2:$X$2,0),FALSE),0)</f>
        <v>4</v>
      </c>
      <c r="D68" s="4">
        <v>7</v>
      </c>
      <c r="E68" s="4"/>
      <c r="F68" s="5">
        <f t="shared" si="7"/>
        <v>3</v>
      </c>
      <c r="G68" s="5"/>
      <c r="K68" s="86"/>
      <c r="L68" s="85"/>
    </row>
    <row r="69" spans="1:12" ht="18.75" customHeight="1" x14ac:dyDescent="0.35">
      <c r="A69" s="93" t="s">
        <v>51</v>
      </c>
      <c r="B69" s="112" t="s">
        <v>795</v>
      </c>
      <c r="C69" s="5">
        <f>+IFERROR(VLOOKUP($A69,RAIZ!$A$3:$X$1500,MATCH('Suc. Villa Hidalgo'!$F$1,RAIZ!$A$2:$X$2,0),FALSE),0)</f>
        <v>1</v>
      </c>
      <c r="D69" s="7">
        <v>1</v>
      </c>
      <c r="E69" s="4"/>
      <c r="F69" s="5">
        <f t="shared" si="7"/>
        <v>0</v>
      </c>
      <c r="G69" s="5"/>
      <c r="K69" s="86"/>
      <c r="L69" s="85"/>
    </row>
    <row r="70" spans="1:12" ht="18.75" customHeight="1" x14ac:dyDescent="0.35">
      <c r="A70" s="93" t="s">
        <v>53</v>
      </c>
      <c r="B70" s="112" t="s">
        <v>796</v>
      </c>
      <c r="C70" s="149">
        <f>+IFERROR(VLOOKUP($A70,RAIZ!$A$3:$X$1500,MATCH('Suc. Villa Hidalgo'!$F$1,RAIZ!$A$2:$X$2,0),FALSE),0)</f>
        <v>7</v>
      </c>
      <c r="D70" s="152">
        <v>6</v>
      </c>
      <c r="E70" s="4"/>
      <c r="F70" s="5">
        <f t="shared" si="7"/>
        <v>0</v>
      </c>
      <c r="G70" s="5"/>
      <c r="K70" s="86"/>
      <c r="L70" s="85"/>
    </row>
    <row r="71" spans="1:12" s="150" customFormat="1" ht="18.75" customHeight="1" x14ac:dyDescent="0.35">
      <c r="A71" s="93" t="s">
        <v>47</v>
      </c>
      <c r="B71" s="112" t="s">
        <v>873</v>
      </c>
      <c r="C71" s="149">
        <f>+IFERROR(VLOOKUP($A71,RAIZ!$A$3:$X$1500,MATCH('Suc. Villa Hidalgo'!$F$1,RAIZ!$A$2:$X$2,0),FALSE),0)</f>
        <v>1</v>
      </c>
      <c r="D71" s="20">
        <v>3</v>
      </c>
      <c r="E71" s="4"/>
      <c r="F71" s="153">
        <f t="shared" si="7"/>
        <v>2</v>
      </c>
      <c r="G71" s="149"/>
      <c r="K71" s="151"/>
      <c r="L71" s="151"/>
    </row>
    <row r="72" spans="1:12" ht="18.75" hidden="1" customHeight="1" x14ac:dyDescent="0.35">
      <c r="A72" s="86" t="s">
        <v>1089</v>
      </c>
      <c r="B72" s="112" t="s">
        <v>1090</v>
      </c>
      <c r="C72" s="149">
        <f>+IFERROR(VLOOKUP($A72,RAIZ!$A$3:$X$1500,MATCH('Suc. Villa Hidalgo'!$F$1,RAIZ!$A$2:$X$2,0),FALSE),0)</f>
        <v>0</v>
      </c>
      <c r="D72" s="20">
        <v>0</v>
      </c>
      <c r="E72" s="4"/>
      <c r="F72" s="5">
        <f>IF(D72-C72&gt;=0,D72-C72,0)</f>
        <v>0</v>
      </c>
      <c r="G72" s="5"/>
    </row>
    <row r="73" spans="1:12" ht="18.75" customHeight="1" x14ac:dyDescent="0.35">
      <c r="A73" s="93"/>
      <c r="B73" s="112"/>
      <c r="C73" s="5">
        <f>+IFERROR(VLOOKUP($A73,RAIZ!$A$3:$X$1500,MATCH('Suc. Villa Hidalgo'!$F$1,RAIZ!$A$2:$X$2,0),FALSE),0)</f>
        <v>0</v>
      </c>
      <c r="D73" s="20"/>
      <c r="E73" s="4"/>
      <c r="F73" s="5">
        <f t="shared" si="7"/>
        <v>0</v>
      </c>
      <c r="G73" s="5"/>
      <c r="K73" s="86"/>
      <c r="L73" s="85"/>
    </row>
    <row r="74" spans="1:12" ht="18.75" customHeight="1" x14ac:dyDescent="0.35">
      <c r="A74" s="93"/>
      <c r="B74" s="112"/>
      <c r="C74" s="5">
        <f>+IFERROR(VLOOKUP($A74,RAIZ!$A$3:$X$1500,MATCH('Suc. Villa Hidalgo'!$F$1,RAIZ!$A$2:$X$2,0),FALSE),0)</f>
        <v>0</v>
      </c>
      <c r="D74" s="20"/>
      <c r="E74" s="4"/>
      <c r="F74" s="5">
        <f t="shared" si="7"/>
        <v>0</v>
      </c>
      <c r="G74" s="5"/>
      <c r="K74" s="86"/>
      <c r="L74" s="85"/>
    </row>
    <row r="75" spans="1:12" ht="18.75" customHeight="1" x14ac:dyDescent="0.35">
      <c r="A75" s="93"/>
      <c r="B75" s="112"/>
      <c r="C75" s="5">
        <f>+IFERROR(VLOOKUP($A75,RAIZ!$A$3:$X$1500,MATCH('Suc. Villa Hidalgo'!$F$1,RAIZ!$A$2:$X$2,0),FALSE),0)</f>
        <v>0</v>
      </c>
      <c r="D75" s="20"/>
      <c r="E75" s="4"/>
      <c r="F75" s="5">
        <f t="shared" si="7"/>
        <v>0</v>
      </c>
      <c r="G75" s="5"/>
      <c r="K75" s="86"/>
      <c r="L75" s="85"/>
    </row>
    <row r="76" spans="1:12" ht="18.75" customHeight="1" x14ac:dyDescent="0.35">
      <c r="A76" s="93"/>
      <c r="B76" s="112"/>
      <c r="C76" s="5">
        <f>+IFERROR(VLOOKUP($A76,RAIZ!$A$3:$X$1500,MATCH('Suc. Villa Hidalgo'!$F$1,RAIZ!$A$2:$X$2,0),FALSE),0)</f>
        <v>0</v>
      </c>
      <c r="D76" s="20"/>
      <c r="E76" s="4"/>
      <c r="F76" s="5">
        <f t="shared" si="7"/>
        <v>0</v>
      </c>
      <c r="G76" s="5"/>
      <c r="K76" s="86"/>
      <c r="L76" s="85"/>
    </row>
    <row r="77" spans="1:12" ht="18.75" customHeight="1" thickBot="1" x14ac:dyDescent="0.4">
      <c r="A77" s="93"/>
      <c r="B77" s="112"/>
      <c r="C77" s="5">
        <f>+IFERROR(VLOOKUP($A77,RAIZ!$A$3:$X$1500,MATCH('Suc. Villa Hidalgo'!$F$1,RAIZ!$A$2:$X$2,0),FALSE),0)</f>
        <v>0</v>
      </c>
      <c r="D77" s="20"/>
      <c r="E77" s="4"/>
      <c r="F77" s="5">
        <f t="shared" si="7"/>
        <v>0</v>
      </c>
      <c r="G77" s="5"/>
      <c r="K77" s="86"/>
      <c r="L77" s="85"/>
    </row>
    <row r="78" spans="1:12" ht="18.75" customHeight="1" thickBot="1" x14ac:dyDescent="0.4">
      <c r="A78" s="99" t="s">
        <v>54</v>
      </c>
      <c r="B78" s="111"/>
      <c r="C78" s="77">
        <f>SUM(C56:C77)</f>
        <v>26</v>
      </c>
      <c r="D78" s="48">
        <f>SUM(D56:D77)</f>
        <v>41</v>
      </c>
      <c r="E78" s="48">
        <f>SUM(E56:E77)</f>
        <v>0</v>
      </c>
      <c r="F78" s="65">
        <f>SUM(F56:F77)</f>
        <v>17</v>
      </c>
      <c r="G78" s="48">
        <f>SUM(G56:G77)</f>
        <v>0</v>
      </c>
      <c r="K78" s="86"/>
      <c r="L78" s="85"/>
    </row>
    <row r="79" spans="1:12" ht="18.75" customHeight="1" thickBot="1" x14ac:dyDescent="0.4">
      <c r="A79" s="103" t="s">
        <v>55</v>
      </c>
      <c r="B79" s="111"/>
      <c r="C79" s="79">
        <f>C18+C32+C49+C52+C55+C78</f>
        <v>87</v>
      </c>
      <c r="D79" s="52">
        <f>D18+D32+D49+D52+D55+D78</f>
        <v>157</v>
      </c>
      <c r="E79" s="52">
        <f>E18+E32+E49+E52+E55+E78</f>
        <v>0</v>
      </c>
      <c r="F79" s="67">
        <f>F18+F32+F49+F52+F55+F78</f>
        <v>76</v>
      </c>
      <c r="G79" s="52">
        <f>G18+G32+G49+G52+G55+G78</f>
        <v>0</v>
      </c>
      <c r="K79" s="86"/>
      <c r="L79" s="85"/>
    </row>
    <row r="80" spans="1:12" ht="18.75" customHeight="1" x14ac:dyDescent="0.35">
      <c r="A80" s="104" t="s">
        <v>56</v>
      </c>
      <c r="B80" s="111"/>
      <c r="C80" s="68"/>
      <c r="D80" s="26"/>
      <c r="E80" s="26"/>
      <c r="F80" s="27"/>
      <c r="G80" s="27"/>
      <c r="K80" s="86"/>
      <c r="L80" s="85"/>
    </row>
    <row r="81" spans="1:12" ht="18.75" customHeight="1" x14ac:dyDescent="0.35">
      <c r="A81" s="94" t="s">
        <v>57</v>
      </c>
      <c r="B81" s="112" t="s">
        <v>797</v>
      </c>
      <c r="C81" s="5">
        <f>+IFERROR(VLOOKUP($A81,RAIZ!$A$3:$X$1500,MATCH('Suc. Villa Hidalgo'!$F$1,RAIZ!$A$2:$X$2,0),FALSE),0)</f>
        <v>0</v>
      </c>
      <c r="D81" s="4">
        <v>1</v>
      </c>
      <c r="E81" s="4"/>
      <c r="F81" s="5">
        <f t="shared" ref="F81:F90" si="8">IF(D81-C81&gt;=0,D81-C81,0)</f>
        <v>1</v>
      </c>
      <c r="G81" s="5"/>
      <c r="K81" s="86"/>
      <c r="L81" s="85"/>
    </row>
    <row r="82" spans="1:12" ht="18.75" customHeight="1" x14ac:dyDescent="0.35">
      <c r="A82" s="94" t="s">
        <v>58</v>
      </c>
      <c r="B82" s="112" t="s">
        <v>867</v>
      </c>
      <c r="C82" s="5">
        <f>+IFERROR(VLOOKUP($A82,RAIZ!$A$3:$X$1500,MATCH('Suc. Villa Hidalgo'!$F$1,RAIZ!$A$2:$X$2,0),FALSE),0)</f>
        <v>1</v>
      </c>
      <c r="D82" s="4">
        <v>1</v>
      </c>
      <c r="E82" s="4"/>
      <c r="F82" s="5">
        <f t="shared" si="8"/>
        <v>0</v>
      </c>
      <c r="G82" s="5"/>
      <c r="K82" s="86"/>
      <c r="L82" s="85"/>
    </row>
    <row r="83" spans="1:12" ht="18.75" customHeight="1" x14ac:dyDescent="0.35">
      <c r="A83" s="94" t="s">
        <v>59</v>
      </c>
      <c r="B83" s="112" t="s">
        <v>798</v>
      </c>
      <c r="C83" s="5">
        <f>+IFERROR(VLOOKUP($A83,RAIZ!$A$3:$X$1500,MATCH('Suc. Villa Hidalgo'!$F$1,RAIZ!$A$2:$X$2,0),FALSE),0)</f>
        <v>0</v>
      </c>
      <c r="D83" s="7">
        <v>1</v>
      </c>
      <c r="E83" s="4"/>
      <c r="F83" s="5">
        <f t="shared" si="8"/>
        <v>1</v>
      </c>
      <c r="G83" s="5"/>
    </row>
    <row r="84" spans="1:12" ht="18.75" customHeight="1" x14ac:dyDescent="0.35">
      <c r="A84" s="94" t="s">
        <v>60</v>
      </c>
      <c r="B84" s="112" t="s">
        <v>799</v>
      </c>
      <c r="C84" s="5">
        <f>+IFERROR(VLOOKUP($A84,RAIZ!$A$3:$X$1500,MATCH('Suc. Villa Hidalgo'!$F$1,RAIZ!$A$2:$X$2,0),FALSE),0)</f>
        <v>0</v>
      </c>
      <c r="D84" s="7">
        <v>1</v>
      </c>
      <c r="E84" s="148"/>
      <c r="F84" s="5">
        <f t="shared" si="8"/>
        <v>1</v>
      </c>
      <c r="G84" s="5"/>
    </row>
    <row r="85" spans="1:12" ht="18.75" customHeight="1" x14ac:dyDescent="0.35">
      <c r="A85" s="94" t="s">
        <v>61</v>
      </c>
      <c r="B85" s="112" t="s">
        <v>800</v>
      </c>
      <c r="C85" s="149">
        <f>+IFERROR(VLOOKUP($A85,RAIZ!$A$3:$X$1500,MATCH('Suc. Villa Hidalgo'!$F$1,RAIZ!$A$2:$X$2,0),FALSE),0)</f>
        <v>1</v>
      </c>
      <c r="D85" s="155">
        <v>1</v>
      </c>
      <c r="E85" s="148"/>
      <c r="F85" s="153">
        <f t="shared" si="8"/>
        <v>0</v>
      </c>
      <c r="G85" s="149"/>
    </row>
    <row r="86" spans="1:12" ht="18.75" customHeight="1" x14ac:dyDescent="0.35">
      <c r="A86" s="94" t="s">
        <v>63</v>
      </c>
      <c r="B86" s="112" t="s">
        <v>801</v>
      </c>
      <c r="C86" s="5">
        <f>+IFERROR(VLOOKUP($A86,RAIZ!$A$3:$X$1500,MATCH('Suc. Villa Hidalgo'!$F$1,RAIZ!$A$2:$X$2,0),FALSE),0)</f>
        <v>2</v>
      </c>
      <c r="D86" s="7">
        <v>5</v>
      </c>
      <c r="E86" s="148"/>
      <c r="F86" s="5">
        <f t="shared" si="8"/>
        <v>3</v>
      </c>
      <c r="G86" s="5"/>
    </row>
    <row r="87" spans="1:12" ht="18.75" customHeight="1" x14ac:dyDescent="0.35">
      <c r="A87" s="94"/>
      <c r="B87" s="112" t="s">
        <v>1091</v>
      </c>
      <c r="C87" s="5">
        <f>+IFERROR(VLOOKUP($A87,RAIZ!$A$3:$X$1500,MATCH('Suc. Villa Hidalgo'!$F$1,RAIZ!$A$2:$X$2,0),FALSE),0)</f>
        <v>0</v>
      </c>
      <c r="D87" s="20"/>
      <c r="E87" s="148"/>
      <c r="F87" s="5">
        <f>IF(D87-C87&gt;=0,D87-C87,0)</f>
        <v>0</v>
      </c>
      <c r="G87" s="5"/>
    </row>
    <row r="88" spans="1:12" ht="18.75" customHeight="1" x14ac:dyDescent="0.35">
      <c r="A88" s="94"/>
      <c r="B88" s="112" t="s">
        <v>1094</v>
      </c>
      <c r="C88" s="5">
        <f>+IFERROR(VLOOKUP($A88,RAIZ!$A$3:$X$1500,MATCH('Suc. Villa Hidalgo'!$F$1,RAIZ!$A$2:$X$2,0),FALSE),0)</f>
        <v>0</v>
      </c>
      <c r="D88" s="7">
        <v>0</v>
      </c>
      <c r="E88" s="4"/>
      <c r="F88" s="5">
        <f t="shared" si="8"/>
        <v>0</v>
      </c>
      <c r="G88" s="5"/>
    </row>
    <row r="89" spans="1:12" ht="18.75" customHeight="1" x14ac:dyDescent="0.35">
      <c r="A89" s="94"/>
      <c r="B89" s="112" t="s">
        <v>1095</v>
      </c>
      <c r="C89" s="5">
        <f>+IFERROR(VLOOKUP($A89,RAIZ!$A$3:$X$1500,MATCH('Suc. Villa Hidalgo'!$F$1,RAIZ!$A$2:$X$2,0),FALSE),0)</f>
        <v>0</v>
      </c>
      <c r="D89" s="7"/>
      <c r="E89" s="4"/>
      <c r="F89" s="5">
        <f t="shared" si="8"/>
        <v>0</v>
      </c>
      <c r="G89" s="5"/>
    </row>
    <row r="90" spans="1:12" ht="18.75" customHeight="1" thickBot="1" x14ac:dyDescent="0.4">
      <c r="A90" s="94"/>
      <c r="B90" s="112" t="s">
        <v>1093</v>
      </c>
      <c r="C90" s="5">
        <f>+IFERROR(VLOOKUP($A90,RAIZ!$A$3:$X$1500,MATCH('Suc. Villa Hidalgo'!$F$1,RAIZ!$A$2:$X$2,0),FALSE),0)</f>
        <v>0</v>
      </c>
      <c r="D90" s="7"/>
      <c r="E90" s="4"/>
      <c r="F90" s="5">
        <f t="shared" si="8"/>
        <v>0</v>
      </c>
      <c r="G90" s="5"/>
    </row>
    <row r="91" spans="1:12" ht="18.75" customHeight="1" thickBot="1" x14ac:dyDescent="0.4">
      <c r="A91" s="105" t="s">
        <v>55</v>
      </c>
      <c r="B91" s="111"/>
      <c r="C91" s="80">
        <f>SUM(C81:C90)</f>
        <v>4</v>
      </c>
      <c r="D91" s="54">
        <f>SUM(D81:D90)</f>
        <v>10</v>
      </c>
      <c r="E91" s="54">
        <f>SUM(E81:E90)</f>
        <v>0</v>
      </c>
      <c r="F91" s="69">
        <f>SUM(F81:F90)</f>
        <v>6</v>
      </c>
      <c r="G91" s="54">
        <f>SUM(G81:G90)</f>
        <v>0</v>
      </c>
    </row>
    <row r="92" spans="1:12" ht="18.75" customHeight="1" x14ac:dyDescent="0.35">
      <c r="A92" s="106" t="s">
        <v>64</v>
      </c>
      <c r="B92" s="111"/>
      <c r="C92" s="70"/>
      <c r="D92" s="30"/>
      <c r="E92" s="30"/>
      <c r="F92" s="31"/>
      <c r="G92" s="31"/>
    </row>
    <row r="93" spans="1:12" ht="18.75" customHeight="1" x14ac:dyDescent="0.35">
      <c r="A93" s="94" t="s">
        <v>65</v>
      </c>
      <c r="B93" s="112" t="s">
        <v>802</v>
      </c>
      <c r="C93" s="5">
        <f>+IFERROR(VLOOKUP($A93,RAIZ!$A$3:$X$1500,MATCH('Suc. Villa Hidalgo'!$F$1,RAIZ!$A$2:$X$2,0),FALSE),0)</f>
        <v>0</v>
      </c>
      <c r="D93" s="4">
        <v>1</v>
      </c>
      <c r="E93" s="4"/>
      <c r="F93" s="5">
        <f t="shared" ref="F93:F104" si="9">IF(D93-C93&gt;=0,D93-C93,0)</f>
        <v>1</v>
      </c>
      <c r="G93" s="5"/>
    </row>
    <row r="94" spans="1:12" ht="18.75" customHeight="1" x14ac:dyDescent="0.35">
      <c r="A94" s="94" t="s">
        <v>66</v>
      </c>
      <c r="B94" s="112" t="s">
        <v>803</v>
      </c>
      <c r="C94" s="5">
        <f>+IFERROR(VLOOKUP($A94,RAIZ!$A$3:$X$1500,MATCH('Suc. Villa Hidalgo'!$F$1,RAIZ!$A$2:$X$2,0),FALSE),0)</f>
        <v>0</v>
      </c>
      <c r="D94" s="7">
        <v>1</v>
      </c>
      <c r="E94" s="4"/>
      <c r="F94" s="5">
        <f t="shared" si="9"/>
        <v>1</v>
      </c>
      <c r="G94" s="5"/>
    </row>
    <row r="95" spans="1:12" ht="18.75" customHeight="1" x14ac:dyDescent="0.35">
      <c r="A95" s="94" t="s">
        <v>68</v>
      </c>
      <c r="B95" s="112" t="s">
        <v>805</v>
      </c>
      <c r="C95" s="5">
        <f>+IFERROR(VLOOKUP($A95,RAIZ!$A$3:$X$1500,MATCH('Suc. Villa Hidalgo'!$F$1,RAIZ!$A$2:$X$2,0),FALSE),0)</f>
        <v>0</v>
      </c>
      <c r="D95" s="7">
        <v>2</v>
      </c>
      <c r="E95" s="4"/>
      <c r="F95" s="5">
        <f t="shared" si="9"/>
        <v>2</v>
      </c>
      <c r="G95" s="5"/>
    </row>
    <row r="96" spans="1:12" ht="18.75" customHeight="1" x14ac:dyDescent="0.35">
      <c r="A96" s="94" t="s">
        <v>69</v>
      </c>
      <c r="B96" s="112" t="s">
        <v>806</v>
      </c>
      <c r="C96" s="5">
        <f>+IFERROR(VLOOKUP($A96,RAIZ!$A$3:$X$1500,MATCH('Suc. Villa Hidalgo'!$F$1,RAIZ!$A$2:$X$2,0),FALSE),0)</f>
        <v>3</v>
      </c>
      <c r="D96" s="7">
        <v>15</v>
      </c>
      <c r="E96" s="4"/>
      <c r="F96" s="5">
        <f t="shared" si="9"/>
        <v>12</v>
      </c>
      <c r="G96" s="5"/>
    </row>
    <row r="97" spans="1:7" ht="18.75" customHeight="1" x14ac:dyDescent="0.35">
      <c r="A97" s="94" t="s">
        <v>70</v>
      </c>
      <c r="B97" s="112" t="s">
        <v>807</v>
      </c>
      <c r="C97" s="5">
        <f>+IFERROR(VLOOKUP($A97,RAIZ!$A$3:$X$1500,MATCH('Suc. Villa Hidalgo'!$F$1,RAIZ!$A$2:$X$2,0),FALSE),0)</f>
        <v>4</v>
      </c>
      <c r="D97" s="7">
        <v>15</v>
      </c>
      <c r="E97" s="4"/>
      <c r="F97" s="5">
        <f t="shared" si="9"/>
        <v>11</v>
      </c>
      <c r="G97" s="5"/>
    </row>
    <row r="98" spans="1:7" ht="18.75" customHeight="1" x14ac:dyDescent="0.35">
      <c r="A98" s="94" t="s">
        <v>857</v>
      </c>
      <c r="B98" s="112" t="s">
        <v>808</v>
      </c>
      <c r="C98" s="5">
        <f>+IFERROR(VLOOKUP($A98,RAIZ!$A$3:$X$1500,MATCH('Suc. Villa Hidalgo'!$F$1,RAIZ!$A$2:$X$2,0),FALSE),0)</f>
        <v>8</v>
      </c>
      <c r="D98" s="7">
        <v>4</v>
      </c>
      <c r="E98" s="202">
        <v>7</v>
      </c>
      <c r="F98" s="5">
        <f t="shared" si="9"/>
        <v>0</v>
      </c>
      <c r="G98" s="5"/>
    </row>
    <row r="99" spans="1:7" ht="18.75" customHeight="1" x14ac:dyDescent="0.35">
      <c r="A99" s="94" t="s">
        <v>835</v>
      </c>
      <c r="B99" s="112" t="s">
        <v>836</v>
      </c>
      <c r="C99" s="5">
        <f>+IFERROR(VLOOKUP($A99,RAIZ!$A$3:$X$1500,MATCH('Suc. Villa Hidalgo'!$F$1,RAIZ!$A$2:$X$2,0),FALSE),0)</f>
        <v>2</v>
      </c>
      <c r="D99" s="7">
        <v>3</v>
      </c>
      <c r="E99" s="4"/>
      <c r="F99" s="5">
        <f t="shared" si="9"/>
        <v>1</v>
      </c>
      <c r="G99" s="5"/>
    </row>
    <row r="100" spans="1:7" ht="18.75" customHeight="1" x14ac:dyDescent="0.35">
      <c r="A100" s="94" t="s">
        <v>72</v>
      </c>
      <c r="B100" s="112" t="s">
        <v>834</v>
      </c>
      <c r="C100" s="5">
        <f>+IFERROR(VLOOKUP($A100,RAIZ!$A$3:$X$1500,MATCH('Suc. Villa Hidalgo'!$F$1,RAIZ!$A$2:$X$2,0),FALSE),0)</f>
        <v>25</v>
      </c>
      <c r="D100" s="7">
        <v>25</v>
      </c>
      <c r="E100" s="4"/>
      <c r="F100" s="5">
        <f t="shared" si="9"/>
        <v>0</v>
      </c>
      <c r="G100" s="5"/>
    </row>
    <row r="101" spans="1:7" ht="18.75" customHeight="1" x14ac:dyDescent="0.35">
      <c r="A101" s="94" t="s">
        <v>73</v>
      </c>
      <c r="B101" s="112" t="s">
        <v>809</v>
      </c>
      <c r="C101" s="5">
        <f>+IFERROR(VLOOKUP($A101,RAIZ!$A$3:$X$1500,MATCH('Suc. Villa Hidalgo'!$F$1,RAIZ!$A$2:$X$2,0),FALSE),0)</f>
        <v>1</v>
      </c>
      <c r="D101" s="7">
        <v>2</v>
      </c>
      <c r="E101" s="4"/>
      <c r="F101" s="5">
        <f t="shared" si="9"/>
        <v>1</v>
      </c>
      <c r="G101" s="5"/>
    </row>
    <row r="102" spans="1:7" ht="18.75" customHeight="1" x14ac:dyDescent="0.35">
      <c r="A102" s="94" t="s">
        <v>74</v>
      </c>
      <c r="B102" s="112" t="s">
        <v>810</v>
      </c>
      <c r="C102" s="5">
        <f>+IFERROR(VLOOKUP($A102,RAIZ!$A$3:$X$1500,MATCH('Suc. Villa Hidalgo'!$F$1,RAIZ!$A$2:$X$2,0),FALSE),0)</f>
        <v>1</v>
      </c>
      <c r="D102" s="7">
        <v>2</v>
      </c>
      <c r="E102" s="4"/>
      <c r="F102" s="5">
        <f t="shared" si="9"/>
        <v>1</v>
      </c>
      <c r="G102" s="5"/>
    </row>
    <row r="103" spans="1:7" ht="18.75" customHeight="1" x14ac:dyDescent="0.35">
      <c r="A103" s="94" t="s">
        <v>75</v>
      </c>
      <c r="B103" s="112" t="s">
        <v>811</v>
      </c>
      <c r="C103" s="5">
        <f>+IFERROR(VLOOKUP($A103,RAIZ!$A$3:$X$1500,MATCH('Suc. Villa Hidalgo'!$F$1,RAIZ!$A$2:$X$2,0),FALSE),0)</f>
        <v>2</v>
      </c>
      <c r="D103" s="20">
        <v>5</v>
      </c>
      <c r="E103" s="4"/>
      <c r="F103" s="5">
        <f t="shared" si="9"/>
        <v>3</v>
      </c>
      <c r="G103" s="5"/>
    </row>
    <row r="104" spans="1:7" ht="18.75" customHeight="1" thickBot="1" x14ac:dyDescent="0.4">
      <c r="A104" s="94"/>
      <c r="B104" s="112" t="s">
        <v>1096</v>
      </c>
      <c r="C104" s="5">
        <f>+IFERROR(VLOOKUP($A104,RAIZ!$A$3:$X$1500,MATCH('Suc. Villa Hidalgo'!$F$1,RAIZ!$A$2:$X$2,0),FALSE),0)</f>
        <v>0</v>
      </c>
      <c r="D104" s="7"/>
      <c r="E104" s="4"/>
      <c r="F104" s="5">
        <f t="shared" si="9"/>
        <v>0</v>
      </c>
      <c r="G104" s="5"/>
    </row>
    <row r="105" spans="1:7" ht="18.75" customHeight="1" thickBot="1" x14ac:dyDescent="0.4">
      <c r="A105" s="107" t="s">
        <v>55</v>
      </c>
      <c r="B105" s="111"/>
      <c r="C105" s="81">
        <f>SUM(C93:C104)</f>
        <v>46</v>
      </c>
      <c r="D105" s="56">
        <f>SUM(D93:D104)</f>
        <v>75</v>
      </c>
      <c r="E105" s="56">
        <f>SUM(E93:E104)</f>
        <v>7</v>
      </c>
      <c r="F105" s="71">
        <f>SUM(F93:F104)</f>
        <v>33</v>
      </c>
      <c r="G105" s="56">
        <f>SUM(G93:G104)</f>
        <v>0</v>
      </c>
    </row>
    <row r="106" spans="1:7" ht="18.75" customHeight="1" x14ac:dyDescent="0.35">
      <c r="A106" s="108" t="s">
        <v>76</v>
      </c>
      <c r="B106" s="111"/>
      <c r="C106" s="72"/>
      <c r="D106" s="34"/>
      <c r="E106" s="34"/>
      <c r="F106" s="35"/>
      <c r="G106" s="35"/>
    </row>
    <row r="107" spans="1:7" ht="18.75" customHeight="1" x14ac:dyDescent="0.35">
      <c r="A107" s="94" t="s">
        <v>77</v>
      </c>
      <c r="B107" s="112" t="s">
        <v>812</v>
      </c>
      <c r="C107" s="5">
        <f>+IFERROR(VLOOKUP($A107,RAIZ!$A$3:$X$1500,MATCH('Suc. Villa Hidalgo'!$F$1,RAIZ!$A$2:$X$2,0),FALSE),0)</f>
        <v>2</v>
      </c>
      <c r="D107" s="7">
        <v>5</v>
      </c>
      <c r="E107" s="4"/>
      <c r="F107" s="5">
        <f t="shared" ref="F107:F112" si="10">IF(D107-C107&gt;=0,D107-C107,0)</f>
        <v>3</v>
      </c>
      <c r="G107" s="5"/>
    </row>
    <row r="108" spans="1:7" ht="18.75" customHeight="1" x14ac:dyDescent="0.35">
      <c r="A108" s="94" t="s">
        <v>621</v>
      </c>
      <c r="B108" s="112" t="s">
        <v>813</v>
      </c>
      <c r="C108" s="5">
        <f>+IFERROR(VLOOKUP($A108,RAIZ!$A$3:$X$1500,MATCH('Suc. Villa Hidalgo'!$F$1,RAIZ!$A$2:$X$2,0),FALSE),0)</f>
        <v>0</v>
      </c>
      <c r="D108" s="7">
        <v>0</v>
      </c>
      <c r="E108" s="4"/>
      <c r="F108" s="5">
        <f t="shared" si="10"/>
        <v>0</v>
      </c>
      <c r="G108" s="5"/>
    </row>
    <row r="109" spans="1:7" ht="18.75" customHeight="1" x14ac:dyDescent="0.35">
      <c r="A109" s="94" t="s">
        <v>80</v>
      </c>
      <c r="B109" s="112" t="s">
        <v>815</v>
      </c>
      <c r="C109" s="5">
        <f>+IFERROR(VLOOKUP($A109,RAIZ!$A$3:$X$1500,MATCH('Suc. Villa Hidalgo'!$F$1,RAIZ!$A$2:$X$2,0),FALSE),0)</f>
        <v>8</v>
      </c>
      <c r="D109" s="7">
        <v>20</v>
      </c>
      <c r="E109" s="4"/>
      <c r="F109" s="5">
        <f t="shared" si="10"/>
        <v>12</v>
      </c>
      <c r="G109" s="5"/>
    </row>
    <row r="110" spans="1:7" ht="18.75" customHeight="1" x14ac:dyDescent="0.35">
      <c r="A110" s="94" t="s">
        <v>81</v>
      </c>
      <c r="B110" s="112" t="s">
        <v>816</v>
      </c>
      <c r="C110" s="5">
        <f>+IFERROR(VLOOKUP($A110,RAIZ!$A$3:$X$1500,MATCH('Suc. Villa Hidalgo'!$F$1,RAIZ!$A$2:$X$2,0),FALSE),0)</f>
        <v>6</v>
      </c>
      <c r="D110" s="7">
        <v>15</v>
      </c>
      <c r="E110" s="4"/>
      <c r="F110" s="5">
        <f t="shared" si="10"/>
        <v>9</v>
      </c>
      <c r="G110" s="5"/>
    </row>
    <row r="111" spans="1:7" ht="18.75" customHeight="1" x14ac:dyDescent="0.35">
      <c r="A111" s="95" t="s">
        <v>83</v>
      </c>
      <c r="B111" s="112" t="s">
        <v>818</v>
      </c>
      <c r="C111" s="5">
        <f>+IFERROR(VLOOKUP($A111,RAIZ!$A$3:$X$1500,MATCH('Suc. Villa Hidalgo'!$F$1,RAIZ!$A$2:$X$2,0),FALSE),0)</f>
        <v>1</v>
      </c>
      <c r="D111" s="20">
        <v>3</v>
      </c>
      <c r="E111" s="4"/>
      <c r="F111" s="5">
        <f t="shared" si="10"/>
        <v>2</v>
      </c>
      <c r="G111" s="5"/>
    </row>
    <row r="112" spans="1:7" ht="18.75" customHeight="1" thickBot="1" x14ac:dyDescent="0.4">
      <c r="A112" s="95"/>
      <c r="B112" s="112"/>
      <c r="C112" s="5">
        <f>+IFERROR(VLOOKUP($A112,RAIZ!$A$3:$X$1500,MATCH('Suc. Villa Hidalgo'!$F$1,RAIZ!$A$2:$X$2,0),FALSE),0)</f>
        <v>0</v>
      </c>
      <c r="D112" s="20"/>
      <c r="E112" s="4"/>
      <c r="F112" s="5">
        <f t="shared" si="10"/>
        <v>0</v>
      </c>
      <c r="G112" s="5"/>
    </row>
    <row r="113" spans="1:7" ht="18.75" customHeight="1" thickBot="1" x14ac:dyDescent="0.4">
      <c r="A113" s="109" t="s">
        <v>55</v>
      </c>
      <c r="B113" s="111"/>
      <c r="C113" s="82">
        <f>SUM(C107:C112,C114:C116)</f>
        <v>31</v>
      </c>
      <c r="D113" s="58">
        <f>SUM(D107:D112,D114:D116)</f>
        <v>58</v>
      </c>
      <c r="E113" s="58">
        <f>SUM(E107:E112,E114:E116)</f>
        <v>0</v>
      </c>
      <c r="F113" s="73">
        <f>SUM(F107:F112,F114:F116)</f>
        <v>28</v>
      </c>
      <c r="G113" s="58">
        <f>SUM(G107:G112,G114:G116)</f>
        <v>0</v>
      </c>
    </row>
    <row r="114" spans="1:7" ht="18.75" customHeight="1" x14ac:dyDescent="0.35">
      <c r="A114" s="93" t="s">
        <v>84</v>
      </c>
      <c r="B114" s="112" t="s">
        <v>819</v>
      </c>
      <c r="C114" s="5">
        <f>+IFERROR(VLOOKUP($A114,RAIZ!$A$3:$X$1500,MATCH('Suc. Villa Hidalgo'!$F$1,RAIZ!$A$2:$X$2,0),FALSE),0)</f>
        <v>3</v>
      </c>
      <c r="D114" s="4">
        <v>5</v>
      </c>
      <c r="E114" s="4"/>
      <c r="F114" s="5">
        <f t="shared" ref="F114:F141" si="11">IF(D114-C114&gt;=0,D114-C114,0)</f>
        <v>2</v>
      </c>
      <c r="G114" s="5"/>
    </row>
    <row r="115" spans="1:7" ht="18.75" customHeight="1" x14ac:dyDescent="0.35">
      <c r="A115" s="95" t="s">
        <v>85</v>
      </c>
      <c r="B115" s="112" t="s">
        <v>820</v>
      </c>
      <c r="C115" s="5">
        <f>+IFERROR(VLOOKUP($A115,RAIZ!$A$3:$X$1500,MATCH('Suc. Villa Hidalgo'!$F$1,RAIZ!$A$2:$X$2,0),FALSE),0)</f>
        <v>6</v>
      </c>
      <c r="D115" s="20">
        <v>5</v>
      </c>
      <c r="E115" s="4"/>
      <c r="F115" s="5">
        <f t="shared" si="11"/>
        <v>0</v>
      </c>
      <c r="G115" s="5"/>
    </row>
    <row r="116" spans="1:7" ht="18.75" customHeight="1" thickBot="1" x14ac:dyDescent="0.4">
      <c r="A116" s="95" t="s">
        <v>881</v>
      </c>
      <c r="B116" s="112" t="s">
        <v>882</v>
      </c>
      <c r="C116" s="5">
        <f>+IFERROR(VLOOKUP($A116,RAIZ!$A$3:$X$1500,MATCH('Suc. Villa Hidalgo'!$F$1,RAIZ!$A$2:$X$2,0),FALSE),0)</f>
        <v>5</v>
      </c>
      <c r="D116" s="20">
        <v>5</v>
      </c>
      <c r="E116" s="4"/>
      <c r="F116" s="5">
        <f t="shared" si="11"/>
        <v>0</v>
      </c>
      <c r="G116" s="5"/>
    </row>
    <row r="117" spans="1:7" ht="18.75" customHeight="1" thickBot="1" x14ac:dyDescent="0.4">
      <c r="A117" s="110" t="s">
        <v>86</v>
      </c>
      <c r="B117" s="111"/>
      <c r="C117" s="83">
        <f>C79+C91+C105+C113</f>
        <v>168</v>
      </c>
      <c r="D117" s="60">
        <f>D79+D91+D105+D113</f>
        <v>300</v>
      </c>
      <c r="E117" s="60">
        <f>E79+E91+E105+E113</f>
        <v>7</v>
      </c>
      <c r="F117" s="74">
        <f>F79+F91+F105+F113</f>
        <v>143</v>
      </c>
      <c r="G117" s="60">
        <f>G79+G91+G105+G113</f>
        <v>0</v>
      </c>
    </row>
    <row r="118" spans="1:7" ht="18.75" customHeight="1" x14ac:dyDescent="0.35">
      <c r="A118" s="95" t="s">
        <v>975</v>
      </c>
      <c r="B118" s="112" t="s">
        <v>976</v>
      </c>
      <c r="C118" s="5">
        <f>+IFERROR(VLOOKUP($A118,RAIZ!$A$3:$X$1500,MATCH('Suc. Villa Hidalgo'!$F$1,RAIZ!$A$2:$X$2,0),FALSE),0)</f>
        <v>3</v>
      </c>
      <c r="D118" s="20">
        <v>3</v>
      </c>
      <c r="E118" s="4"/>
      <c r="F118" s="5">
        <f>IF(D118-C118&gt;=0,D118-C118,0)</f>
        <v>0</v>
      </c>
      <c r="G118" s="5"/>
    </row>
    <row r="119" spans="1:7" ht="18.75" customHeight="1" x14ac:dyDescent="0.35">
      <c r="A119" s="95" t="s">
        <v>974</v>
      </c>
      <c r="B119" s="112" t="s">
        <v>977</v>
      </c>
      <c r="C119" s="5">
        <f>+IFERROR(VLOOKUP($A119,RAIZ!$A$3:$X$1500,MATCH('Suc. Villa Hidalgo'!$F$1,RAIZ!$A$2:$X$2,0),FALSE),0)</f>
        <v>6</v>
      </c>
      <c r="D119" s="20">
        <v>3</v>
      </c>
      <c r="E119" s="4"/>
      <c r="F119" s="5">
        <f t="shared" si="11"/>
        <v>0</v>
      </c>
      <c r="G119" s="5"/>
    </row>
    <row r="120" spans="1:7" ht="18.75" customHeight="1" thickBot="1" x14ac:dyDescent="0.4">
      <c r="A120" s="95" t="s">
        <v>1077</v>
      </c>
      <c r="B120" s="112" t="s">
        <v>817</v>
      </c>
      <c r="C120" s="5">
        <f>+IFERROR(VLOOKUP($A120,RAIZ!$A$3:$X$1500,MATCH('Suc. Villa Hidalgo'!$F$1,RAIZ!$A$2:$X$2,0),FALSE),0)</f>
        <v>0</v>
      </c>
      <c r="D120" s="20">
        <v>0</v>
      </c>
      <c r="E120" s="4"/>
      <c r="F120" s="5">
        <f t="shared" si="11"/>
        <v>0</v>
      </c>
      <c r="G120" s="5"/>
    </row>
    <row r="121" spans="1:7" ht="18.75" customHeight="1" thickBot="1" x14ac:dyDescent="0.4">
      <c r="A121" s="95" t="s">
        <v>1076</v>
      </c>
      <c r="B121" s="194" t="s">
        <v>1121</v>
      </c>
      <c r="C121" s="5">
        <f>+IFERROR(VLOOKUP($A121,RAIZ!$A$3:$X$1500,MATCH('Suc. Villa Hidalgo'!$F$1,RAIZ!$A$2:$X$2,0),FALSE),0)</f>
        <v>0</v>
      </c>
      <c r="D121" s="20">
        <v>0</v>
      </c>
      <c r="E121" s="4"/>
      <c r="F121" s="5">
        <f t="shared" si="11"/>
        <v>0</v>
      </c>
      <c r="G121" s="5"/>
    </row>
    <row r="122" spans="1:7" ht="18.75" customHeight="1" thickBot="1" x14ac:dyDescent="0.4">
      <c r="A122" s="95" t="s">
        <v>1014</v>
      </c>
      <c r="B122" s="194" t="s">
        <v>1010</v>
      </c>
      <c r="C122" s="5">
        <f>+IFERROR(VLOOKUP($A122,RAIZ!$A$3:$X$1500,MATCH('Suc. Villa Hidalgo'!$F$1,RAIZ!$A$2:$X$2,0),FALSE),0)</f>
        <v>2</v>
      </c>
      <c r="D122" s="20">
        <v>10</v>
      </c>
      <c r="E122" s="4"/>
      <c r="F122" s="5">
        <f t="shared" si="11"/>
        <v>8</v>
      </c>
      <c r="G122" s="5"/>
    </row>
    <row r="123" spans="1:7" ht="18.75" customHeight="1" thickBot="1" x14ac:dyDescent="0.4">
      <c r="A123" s="95" t="s">
        <v>1015</v>
      </c>
      <c r="B123" s="194" t="s">
        <v>1011</v>
      </c>
      <c r="C123" s="147">
        <f>+IFERROR(VLOOKUP($A123,RAIZ!$A$3:$X$1500,MATCH('Suc. Villa Hidalgo'!$F$1,RAIZ!$A$2:$X$2,0),FALSE),0)</f>
        <v>3</v>
      </c>
      <c r="D123" s="20">
        <v>5</v>
      </c>
      <c r="E123" s="4"/>
      <c r="F123" s="5">
        <f t="shared" si="11"/>
        <v>2</v>
      </c>
      <c r="G123" s="5"/>
    </row>
    <row r="124" spans="1:7" ht="18.75" customHeight="1" thickBot="1" x14ac:dyDescent="0.4">
      <c r="A124" s="95" t="s">
        <v>1016</v>
      </c>
      <c r="B124" s="194" t="s">
        <v>1012</v>
      </c>
      <c r="C124" s="147">
        <f>+IFERROR(VLOOKUP($A124,RAIZ!$A$3:$X$1500,MATCH('Suc. Villa Hidalgo'!$F$1,RAIZ!$A$2:$X$2,0),FALSE),0)</f>
        <v>1</v>
      </c>
      <c r="D124" s="20">
        <v>5</v>
      </c>
      <c r="E124" s="4"/>
      <c r="F124" s="5">
        <f t="shared" si="11"/>
        <v>4</v>
      </c>
      <c r="G124" s="5"/>
    </row>
    <row r="125" spans="1:7" ht="18.75" customHeight="1" thickBot="1" x14ac:dyDescent="0.4">
      <c r="A125" s="95" t="s">
        <v>1017</v>
      </c>
      <c r="B125" s="194" t="s">
        <v>1013</v>
      </c>
      <c r="C125" s="147">
        <f>+IFERROR(VLOOKUP($A125,RAIZ!$A$3:$X$1500,MATCH('Suc. Villa Hidalgo'!$F$1,RAIZ!$A$2:$X$2,0),FALSE),0)</f>
        <v>1</v>
      </c>
      <c r="D125" s="18">
        <v>10</v>
      </c>
      <c r="E125" s="4"/>
      <c r="F125" s="5">
        <f t="shared" si="11"/>
        <v>9</v>
      </c>
      <c r="G125" s="5"/>
    </row>
    <row r="126" spans="1:7" ht="18.75" customHeight="1" thickBot="1" x14ac:dyDescent="0.4">
      <c r="A126" s="95" t="s">
        <v>1125</v>
      </c>
      <c r="B126" s="194" t="s">
        <v>1127</v>
      </c>
      <c r="C126" s="147">
        <f>+IFERROR(VLOOKUP($A126,RAIZ!$A$3:$X$1500,MATCH('Suc. Villa Hidalgo'!$F$1,RAIZ!$A$2:$X$2,0),FALSE),0)</f>
        <v>1</v>
      </c>
      <c r="D126" s="20"/>
      <c r="E126" s="4"/>
      <c r="F126" s="5">
        <f t="shared" si="11"/>
        <v>0</v>
      </c>
      <c r="G126" s="5"/>
    </row>
    <row r="127" spans="1:7" ht="18.75" customHeight="1" thickBot="1" x14ac:dyDescent="0.4">
      <c r="A127" s="95" t="s">
        <v>1126</v>
      </c>
      <c r="B127" s="194" t="s">
        <v>1128</v>
      </c>
      <c r="C127" s="147">
        <f>+IFERROR(VLOOKUP($A127,RAIZ!$A$3:$X$1500,MATCH('Suc. Villa Hidalgo'!$F$1,RAIZ!$A$2:$X$2,0),FALSE),0)</f>
        <v>0</v>
      </c>
      <c r="D127" s="18"/>
      <c r="E127" s="18"/>
      <c r="F127" s="184">
        <f t="shared" si="11"/>
        <v>0</v>
      </c>
      <c r="G127" s="181"/>
    </row>
    <row r="128" spans="1:7" ht="18.75" customHeight="1" thickBot="1" x14ac:dyDescent="0.4">
      <c r="A128" s="95" t="s">
        <v>568</v>
      </c>
      <c r="B128" s="194" t="s">
        <v>1131</v>
      </c>
      <c r="C128" s="186">
        <f>+IFERROR(VLOOKUP($A128,RAIZ!$A$3:$X$1500,MATCH('Suc. Villa Hidalgo'!$F$1,RAIZ!$A$2:$X$2,0),FALSE),0)</f>
        <v>3</v>
      </c>
      <c r="D128" s="18">
        <v>3</v>
      </c>
      <c r="E128" s="14"/>
      <c r="F128" s="184">
        <f t="shared" si="11"/>
        <v>0</v>
      </c>
      <c r="G128" s="185"/>
    </row>
    <row r="129" spans="1:7" ht="18.75" customHeight="1" thickBot="1" x14ac:dyDescent="0.4">
      <c r="A129" s="95" t="s">
        <v>565</v>
      </c>
      <c r="B129" s="194" t="s">
        <v>1142</v>
      </c>
      <c r="C129" s="187">
        <f>+IFERROR(VLOOKUP($A129,RAIZ!$A$3:$X$1500,MATCH('Suc. Villa Hidalgo'!$F$1,RAIZ!$A$2:$X$2,0),FALSE),0)</f>
        <v>0</v>
      </c>
      <c r="D129" s="18">
        <v>2</v>
      </c>
      <c r="E129" s="14"/>
      <c r="F129" s="184">
        <f t="shared" si="11"/>
        <v>2</v>
      </c>
      <c r="G129" s="185"/>
    </row>
    <row r="130" spans="1:7" ht="18.75" customHeight="1" thickBot="1" x14ac:dyDescent="0.4">
      <c r="A130" s="95" t="s">
        <v>912</v>
      </c>
      <c r="B130" s="194" t="s">
        <v>1136</v>
      </c>
      <c r="C130" s="187">
        <f>+IFERROR(VLOOKUP($A130,RAIZ!$A$3:$X$1500,MATCH('Suc. Villa Hidalgo'!$F$1,RAIZ!$A$2:$X$2,0),FALSE),0)</f>
        <v>1</v>
      </c>
      <c r="D130" s="18">
        <v>2</v>
      </c>
      <c r="E130" s="14"/>
      <c r="F130" s="184">
        <f t="shared" si="11"/>
        <v>1</v>
      </c>
      <c r="G130" s="185"/>
    </row>
    <row r="131" spans="1:7" ht="18.75" customHeight="1" thickBot="1" x14ac:dyDescent="0.4">
      <c r="A131" s="95" t="s">
        <v>557</v>
      </c>
      <c r="B131" s="194" t="s">
        <v>1137</v>
      </c>
      <c r="C131" s="187">
        <f>+IFERROR(VLOOKUP($A131,RAIZ!$A$3:$X$1500,MATCH('Suc. Villa Hidalgo'!$F$1,RAIZ!$A$2:$X$2,0),FALSE),0)</f>
        <v>2</v>
      </c>
      <c r="D131" s="18">
        <v>2</v>
      </c>
      <c r="E131" s="14"/>
      <c r="F131" s="184">
        <f t="shared" si="11"/>
        <v>0</v>
      </c>
      <c r="G131" s="185"/>
    </row>
    <row r="132" spans="1:7" ht="18.75" customHeight="1" thickBot="1" x14ac:dyDescent="0.4">
      <c r="A132" s="95" t="s">
        <v>573</v>
      </c>
      <c r="B132" s="194" t="s">
        <v>1138</v>
      </c>
      <c r="C132" s="187">
        <f>+IFERROR(VLOOKUP($A132,RAIZ!$A$3:$X$1500,MATCH('Suc. Villa Hidalgo'!$F$1,RAIZ!$A$2:$X$2,0),FALSE),0)</f>
        <v>1</v>
      </c>
      <c r="D132" s="18">
        <v>1</v>
      </c>
      <c r="E132" s="14"/>
      <c r="F132" s="184">
        <f t="shared" si="11"/>
        <v>0</v>
      </c>
      <c r="G132" s="185"/>
    </row>
    <row r="133" spans="1:7" ht="18.75" customHeight="1" thickBot="1" x14ac:dyDescent="0.4">
      <c r="A133" s="95" t="s">
        <v>421</v>
      </c>
      <c r="B133" s="194" t="s">
        <v>1140</v>
      </c>
      <c r="C133" s="187">
        <f>+IFERROR(VLOOKUP($A133,RAIZ!$A$3:$X$1500,MATCH('Suc. Villa Hidalgo'!$F$1,RAIZ!$A$2:$X$2,0),FALSE),0)</f>
        <v>2</v>
      </c>
      <c r="D133" s="18">
        <v>2</v>
      </c>
      <c r="E133" s="14"/>
      <c r="F133" s="184">
        <f t="shared" si="11"/>
        <v>0</v>
      </c>
      <c r="G133" s="185"/>
    </row>
    <row r="134" spans="1:7" ht="18.75" customHeight="1" thickBot="1" x14ac:dyDescent="0.4">
      <c r="A134" s="95" t="s">
        <v>249</v>
      </c>
      <c r="B134" s="194" t="s">
        <v>1134</v>
      </c>
      <c r="C134" s="187">
        <f>+IFERROR(VLOOKUP($A134,RAIZ!$A$3:$X$1500,MATCH('Suc. Villa Hidalgo'!$F$1,RAIZ!$A$2:$X$2,0),FALSE),0)</f>
        <v>0</v>
      </c>
      <c r="D134" s="18">
        <v>2</v>
      </c>
      <c r="E134" s="14"/>
      <c r="F134" s="184">
        <f t="shared" si="11"/>
        <v>2</v>
      </c>
      <c r="G134" s="185"/>
    </row>
    <row r="135" spans="1:7" ht="18.75" customHeight="1" thickBot="1" x14ac:dyDescent="0.4">
      <c r="A135" s="95" t="s">
        <v>1030</v>
      </c>
      <c r="B135" s="194" t="s">
        <v>1143</v>
      </c>
      <c r="C135" s="187">
        <f>+IFERROR(VLOOKUP($A135,RAIZ!$A$3:$X$1500,MATCH('Suc. Villa Hidalgo'!$F$1,RAIZ!$A$2:$X$2,0),FALSE),0)</f>
        <v>1</v>
      </c>
      <c r="D135" s="18">
        <v>6</v>
      </c>
      <c r="E135" s="14"/>
      <c r="F135" s="184">
        <f t="shared" si="11"/>
        <v>5</v>
      </c>
      <c r="G135" s="185"/>
    </row>
    <row r="136" spans="1:7" ht="18.75" customHeight="1" thickBot="1" x14ac:dyDescent="0.4">
      <c r="A136" s="95" t="s">
        <v>253</v>
      </c>
      <c r="B136" s="194" t="s">
        <v>1135</v>
      </c>
      <c r="C136" s="187">
        <f>+IFERROR(VLOOKUP($A136,RAIZ!$A$3:$X$1500,MATCH('Suc. Villa Hidalgo'!$F$1,RAIZ!$A$2:$X$2,0),FALSE),0)</f>
        <v>2</v>
      </c>
      <c r="D136" s="18">
        <v>2</v>
      </c>
      <c r="E136" s="14"/>
      <c r="F136" s="184">
        <f t="shared" si="11"/>
        <v>0</v>
      </c>
      <c r="G136" s="185"/>
    </row>
    <row r="137" spans="1:7" ht="18.75" customHeight="1" thickBot="1" x14ac:dyDescent="0.4">
      <c r="A137" s="95" t="s">
        <v>240</v>
      </c>
      <c r="B137" s="194" t="s">
        <v>1139</v>
      </c>
      <c r="C137" s="187">
        <f>+IFERROR(VLOOKUP($A137,RAIZ!$A$3:$X$1500,MATCH('Suc. Villa Hidalgo'!$F$1,RAIZ!$A$2:$X$2,0),FALSE),0)</f>
        <v>0</v>
      </c>
      <c r="D137" s="18">
        <v>0</v>
      </c>
      <c r="E137" s="14"/>
      <c r="F137" s="184">
        <f t="shared" si="11"/>
        <v>0</v>
      </c>
      <c r="G137" s="185"/>
    </row>
    <row r="138" spans="1:7" ht="18.75" customHeight="1" thickBot="1" x14ac:dyDescent="0.4">
      <c r="A138" s="95" t="s">
        <v>204</v>
      </c>
      <c r="B138" s="194" t="s">
        <v>1106</v>
      </c>
      <c r="C138" s="187">
        <f>+IFERROR(VLOOKUP($A138,RAIZ!$A$3:$X$1500,MATCH('Suc. Villa Hidalgo'!$F$1,RAIZ!$A$2:$X$2,0),FALSE),0)</f>
        <v>0</v>
      </c>
      <c r="D138" s="18">
        <v>0</v>
      </c>
      <c r="E138" s="14"/>
      <c r="F138" s="184">
        <f t="shared" si="11"/>
        <v>0</v>
      </c>
      <c r="G138" s="185"/>
    </row>
    <row r="139" spans="1:7" ht="18.75" customHeight="1" thickBot="1" x14ac:dyDescent="0.4">
      <c r="A139" s="95" t="s">
        <v>1132</v>
      </c>
      <c r="B139" s="194" t="s">
        <v>1141</v>
      </c>
      <c r="C139" s="187">
        <f>+IFERROR(VLOOKUP($A139,RAIZ!$A$3:$X$1500,MATCH('Suc. Villa Hidalgo'!$F$1,RAIZ!$A$2:$X$2,0),FALSE),0)</f>
        <v>0</v>
      </c>
      <c r="D139" s="18">
        <v>1</v>
      </c>
      <c r="E139" s="14"/>
      <c r="F139" s="184">
        <f t="shared" si="11"/>
        <v>1</v>
      </c>
      <c r="G139" s="185"/>
    </row>
    <row r="140" spans="1:7" ht="18.75" customHeight="1" thickBot="1" x14ac:dyDescent="0.4">
      <c r="A140" s="95" t="s">
        <v>914</v>
      </c>
      <c r="B140" s="194" t="s">
        <v>1133</v>
      </c>
      <c r="C140" s="187">
        <f>+IFERROR(VLOOKUP($A140,RAIZ!$A$3:$X$1500,MATCH('Suc. Villa Hidalgo'!$F$1,RAIZ!$A$2:$X$2,0),FALSE),0)</f>
        <v>1</v>
      </c>
      <c r="D140" s="18">
        <v>1</v>
      </c>
      <c r="E140" s="14"/>
      <c r="F140" s="184">
        <f t="shared" si="11"/>
        <v>0</v>
      </c>
      <c r="G140" s="185"/>
    </row>
    <row r="141" spans="1:7" ht="18.75" customHeight="1" thickBot="1" x14ac:dyDescent="0.4">
      <c r="A141" s="243" t="s">
        <v>1120</v>
      </c>
      <c r="B141" s="194" t="s">
        <v>1159</v>
      </c>
      <c r="C141" s="187">
        <f>+IFERROR(VLOOKUP($A141,RAIZ!$A$3:$X$1500,MATCH('Suc. Villa Hidalgo'!$F$1,RAIZ!$A$2:$X$2,0),FALSE),0)</f>
        <v>0</v>
      </c>
      <c r="D141" s="18"/>
      <c r="E141" s="14"/>
      <c r="F141" s="184">
        <f t="shared" si="11"/>
        <v>0</v>
      </c>
      <c r="G141" s="185"/>
    </row>
    <row r="142" spans="1:7" ht="18.75" customHeight="1" thickBot="1" x14ac:dyDescent="0.4">
      <c r="A142" s="95"/>
      <c r="B142" s="194"/>
      <c r="C142" s="187">
        <f>+IFERROR(VLOOKUP($A142,RAIZ!$A$3:$X$1500,MATCH('Suc. Villa Hidalgo'!$F$1,RAIZ!$A$2:$X$2,0),FALSE),0)</f>
        <v>0</v>
      </c>
      <c r="D142" s="18"/>
      <c r="E142" s="14"/>
      <c r="F142" s="185"/>
      <c r="G142" s="185"/>
    </row>
    <row r="143" spans="1:7" ht="18.75" customHeight="1" thickBot="1" x14ac:dyDescent="0.4">
      <c r="A143" s="95"/>
      <c r="B143" s="193"/>
      <c r="C143" s="187">
        <f>+IFERROR(VLOOKUP($A143,RAIZ!$A$3:$X$1500,MATCH('Suc. Villa Hidalgo'!$F$1,RAIZ!$A$2:$X$2,0),FALSE),0)</f>
        <v>0</v>
      </c>
      <c r="D143" s="18"/>
      <c r="E143" s="14"/>
      <c r="F143" s="185"/>
      <c r="G143" s="185"/>
    </row>
    <row r="144" spans="1:7" ht="18.75" customHeight="1" thickBot="1" x14ac:dyDescent="0.4">
      <c r="A144" s="95"/>
      <c r="B144" s="194"/>
      <c r="C144" s="187">
        <f>+IFERROR(VLOOKUP($A144,RAIZ!$A$3:$X$1500,MATCH('Suc. Villa Hidalgo'!$F$1,RAIZ!$A$2:$X$2,0),FALSE),0)</f>
        <v>0</v>
      </c>
      <c r="D144" s="18"/>
      <c r="E144" s="14"/>
      <c r="F144" s="185"/>
      <c r="G144" s="185"/>
    </row>
    <row r="145" spans="1:7" ht="18.75" customHeight="1" thickBot="1" x14ac:dyDescent="0.4">
      <c r="A145" s="95"/>
      <c r="B145" s="192"/>
      <c r="C145" s="187">
        <f>+IFERROR(VLOOKUP($A145,RAIZ!$A$3:$X$1500,MATCH('Suc. Villa Hidalgo'!$F$1,RAIZ!$A$2:$X$2,0),FALSE),0)</f>
        <v>0</v>
      </c>
      <c r="D145" s="18"/>
      <c r="E145" s="14"/>
      <c r="F145" s="185"/>
      <c r="G145" s="185"/>
    </row>
    <row r="146" spans="1:7" ht="18.75" customHeight="1" thickBot="1" x14ac:dyDescent="0.4">
      <c r="A146" s="95"/>
      <c r="B146" s="194"/>
      <c r="C146" s="187">
        <f>+IFERROR(VLOOKUP($A146,RAIZ!$A$3:$X$1500,MATCH('Suc. Villa Hidalgo'!$F$1,RAIZ!$A$2:$X$2,0),FALSE),0)</f>
        <v>0</v>
      </c>
      <c r="D146" s="18"/>
      <c r="E146" s="14"/>
      <c r="F146" s="185"/>
      <c r="G146" s="185"/>
    </row>
    <row r="147" spans="1:7" ht="18.75" customHeight="1" thickBot="1" x14ac:dyDescent="0.4">
      <c r="A147" s="95"/>
      <c r="B147" s="193"/>
      <c r="C147" s="187">
        <f>+IFERROR(VLOOKUP($A147,RAIZ!$A$3:$X$1500,MATCH('Suc. Villa Hidalgo'!$F$1,RAIZ!$A$2:$X$2,0),FALSE),0)</f>
        <v>0</v>
      </c>
      <c r="D147" s="14"/>
      <c r="E147" s="14"/>
      <c r="F147" s="185"/>
      <c r="G147" s="185"/>
    </row>
    <row r="148" spans="1:7" ht="18.75" customHeight="1" thickBot="1" x14ac:dyDescent="0.4">
      <c r="A148" s="95"/>
      <c r="B148" s="193"/>
      <c r="C148" s="188">
        <f>+IFERROR(VLOOKUP($A148,RAIZ!$A$3:$X$1500,MATCH('Suc. Villa Hidalgo'!$F$1,RAIZ!$A$2:$X$2,0),FALSE),0)</f>
        <v>0</v>
      </c>
      <c r="D148" s="14"/>
      <c r="E148" s="14"/>
      <c r="F148" s="185"/>
      <c r="G148" s="185"/>
    </row>
    <row r="149" spans="1:7" ht="18.75" customHeight="1" thickBot="1" x14ac:dyDescent="0.4">
      <c r="A149" s="173"/>
      <c r="B149" s="109"/>
      <c r="C149" s="182">
        <f>SUM(C118:C127,)</f>
        <v>17</v>
      </c>
      <c r="D149" s="182">
        <f>SUM(D118:D127,)</f>
        <v>36</v>
      </c>
      <c r="E149" s="182">
        <f>SUM(E118:E127,)</f>
        <v>0</v>
      </c>
      <c r="F149" s="182">
        <f>SUM(F118:F127,)</f>
        <v>23</v>
      </c>
      <c r="G149" s="182">
        <f>SUM(G118:G148,)</f>
        <v>0</v>
      </c>
    </row>
    <row r="150" spans="1:7" ht="18.75" customHeight="1" thickBot="1" x14ac:dyDescent="0.4">
      <c r="A150" s="110" t="s">
        <v>86</v>
      </c>
      <c r="B150" s="111"/>
      <c r="C150" s="83">
        <f>C149+C117</f>
        <v>185</v>
      </c>
      <c r="D150" s="83">
        <f>D149+D117</f>
        <v>336</v>
      </c>
      <c r="E150" s="83">
        <f>E149+E117</f>
        <v>7</v>
      </c>
      <c r="F150" s="83">
        <f>F149+F117</f>
        <v>166</v>
      </c>
      <c r="G150" s="83">
        <f>G149+G117</f>
        <v>0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C25E22B-64F5-491B-8A17-33935B698B4A}">
          <x14:formula1>
            <xm:f>Hoja1!$C$2:$C$9</xm:f>
          </x14:formula1>
          <xm:sqref>H2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22981-5BE1-4AFA-9AB9-B2AFC2AA2EC5}">
  <sheetPr>
    <tabColor rgb="FF003300"/>
  </sheetPr>
  <dimension ref="A1:L150"/>
  <sheetViews>
    <sheetView zoomScale="80" zoomScaleNormal="80" workbookViewId="0">
      <pane xSplit="2" ySplit="2" topLeftCell="G3" activePane="bottomRight" state="frozen"/>
      <selection activeCell="I134" sqref="I134"/>
      <selection pane="topRight" activeCell="I134" sqref="I134"/>
      <selection pane="bottomLeft" activeCell="I134" sqref="I134"/>
      <selection pane="bottomRight" activeCell="K18" sqref="K18"/>
    </sheetView>
  </sheetViews>
  <sheetFormatPr baseColWidth="10" defaultRowHeight="18" x14ac:dyDescent="0.35"/>
  <cols>
    <col min="1" max="1" width="55.6640625" customWidth="1"/>
    <col min="2" max="2" width="7.6640625" style="91" bestFit="1" customWidth="1"/>
    <col min="3" max="3" width="14" bestFit="1" customWidth="1"/>
    <col min="4" max="5" width="15" style="84" customWidth="1"/>
    <col min="6" max="6" width="14.5546875" customWidth="1"/>
    <col min="9" max="9" width="11.88671875" style="84" bestFit="1" customWidth="1"/>
  </cols>
  <sheetData>
    <row r="1" spans="1:12" ht="18.600000000000001" thickBot="1" x14ac:dyDescent="0.4">
      <c r="A1" s="1">
        <f>RAIZ!B1</f>
        <v>46301</v>
      </c>
      <c r="C1" s="2"/>
      <c r="D1" s="2" t="s">
        <v>702</v>
      </c>
      <c r="E1" s="2"/>
      <c r="F1" s="85" t="s">
        <v>1064</v>
      </c>
      <c r="H1" s="85" t="s">
        <v>1032</v>
      </c>
      <c r="K1" s="85"/>
      <c r="L1" s="85"/>
    </row>
    <row r="2" spans="1:12" ht="31.8" thickBot="1" x14ac:dyDescent="0.35">
      <c r="A2" s="90" t="s">
        <v>0</v>
      </c>
      <c r="B2" s="92" t="s">
        <v>755</v>
      </c>
      <c r="C2" s="39" t="s">
        <v>703</v>
      </c>
      <c r="D2" s="40" t="s">
        <v>704</v>
      </c>
      <c r="E2" s="88" t="s">
        <v>726</v>
      </c>
      <c r="F2" s="41" t="s">
        <v>705</v>
      </c>
      <c r="G2" s="62" t="s">
        <v>725</v>
      </c>
      <c r="H2" s="87"/>
      <c r="K2" s="86"/>
      <c r="L2" s="85"/>
    </row>
    <row r="3" spans="1:12" ht="18.75" customHeight="1" x14ac:dyDescent="0.35">
      <c r="A3" s="93" t="s">
        <v>1</v>
      </c>
      <c r="B3" s="112" t="s">
        <v>756</v>
      </c>
      <c r="C3" s="5">
        <f>+IFERROR(VLOOKUP($A3,RAIZ!$A$3:$X$1500,MATCH('Suc. Peñita'!$F$1,RAIZ!$A$2:$X$2,0),FALSE),0)</f>
        <v>0</v>
      </c>
      <c r="D3" s="4">
        <v>0</v>
      </c>
      <c r="E3" s="4"/>
      <c r="F3" s="5">
        <f>IF(D3-C3&gt;=0,D3-C3,0)</f>
        <v>0</v>
      </c>
      <c r="G3" s="5"/>
      <c r="K3" s="86"/>
      <c r="L3" s="85"/>
    </row>
    <row r="4" spans="1:12" ht="18.75" customHeight="1" x14ac:dyDescent="0.35">
      <c r="A4" s="93" t="s">
        <v>2</v>
      </c>
      <c r="B4" s="112" t="s">
        <v>865</v>
      </c>
      <c r="C4" s="5">
        <f>+IFERROR(VLOOKUP($A4,RAIZ!$A$3:$X$1500,MATCH('Suc. Peñita'!$F$1,RAIZ!$A$2:$X$2,0),FALSE),0)</f>
        <v>2</v>
      </c>
      <c r="D4" s="4">
        <v>1</v>
      </c>
      <c r="E4" s="4"/>
      <c r="F4" s="5">
        <f>IF(D4-C4&gt;=0,D4-C4,0)</f>
        <v>0</v>
      </c>
      <c r="G4" s="5"/>
      <c r="K4" s="86"/>
      <c r="L4" s="85"/>
    </row>
    <row r="5" spans="1:12" ht="18.75" customHeight="1" x14ac:dyDescent="0.35">
      <c r="A5" s="93" t="s">
        <v>3</v>
      </c>
      <c r="B5" s="112" t="s">
        <v>757</v>
      </c>
      <c r="C5" s="5">
        <f>+IFERROR(VLOOKUP($A5,RAIZ!$A$3:$X$1500,MATCH('Suc. Peñita'!$F$1,RAIZ!$A$2:$X$2,0),FALSE),0)</f>
        <v>0</v>
      </c>
      <c r="D5" s="7">
        <v>2</v>
      </c>
      <c r="E5" s="4"/>
      <c r="F5" s="5">
        <f t="shared" ref="F5:F17" si="0">IF(D5-C5&gt;=0,D5-C5,0)</f>
        <v>2</v>
      </c>
      <c r="G5" s="5"/>
      <c r="K5" s="86"/>
      <c r="L5" s="85"/>
    </row>
    <row r="6" spans="1:12" ht="18.75" customHeight="1" x14ac:dyDescent="0.35">
      <c r="A6" s="93" t="s">
        <v>4</v>
      </c>
      <c r="B6" s="112" t="s">
        <v>758</v>
      </c>
      <c r="C6" s="5">
        <f>+IFERROR(VLOOKUP($A6,RAIZ!$A$3:$X$1500,MATCH('Suc. Peñita'!$F$1,RAIZ!$A$2:$X$2,0),FALSE),0)</f>
        <v>1</v>
      </c>
      <c r="D6" s="7">
        <v>3</v>
      </c>
      <c r="E6" s="4"/>
      <c r="F6" s="5">
        <f t="shared" si="0"/>
        <v>2</v>
      </c>
      <c r="G6" s="5"/>
      <c r="K6" s="86"/>
      <c r="L6" s="85"/>
    </row>
    <row r="7" spans="1:12" ht="18.75" customHeight="1" x14ac:dyDescent="0.35">
      <c r="A7" s="93" t="s">
        <v>5</v>
      </c>
      <c r="B7" s="112" t="s">
        <v>759</v>
      </c>
      <c r="C7" s="5">
        <f>+IFERROR(VLOOKUP($A7,RAIZ!$A$3:$X$1500,MATCH('Suc. Peñita'!$F$1,RAIZ!$A$2:$X$2,0),FALSE),0)</f>
        <v>1</v>
      </c>
      <c r="D7" s="7">
        <v>2</v>
      </c>
      <c r="E7" s="4"/>
      <c r="F7" s="5">
        <f t="shared" si="0"/>
        <v>1</v>
      </c>
      <c r="G7" s="5"/>
      <c r="K7" s="86"/>
      <c r="L7" s="85"/>
    </row>
    <row r="8" spans="1:12" ht="18.75" customHeight="1" x14ac:dyDescent="0.35">
      <c r="A8" s="93" t="s">
        <v>6</v>
      </c>
      <c r="B8" s="112" t="s">
        <v>760</v>
      </c>
      <c r="C8" s="5">
        <f>+IFERROR(VLOOKUP($A8,RAIZ!$A$3:$X$1500,MATCH('Suc. Peñita'!$F$1,RAIZ!$A$2:$X$2,0),FALSE),0)</f>
        <v>2</v>
      </c>
      <c r="D8" s="7">
        <v>3</v>
      </c>
      <c r="E8" s="4"/>
      <c r="F8" s="5">
        <f t="shared" si="0"/>
        <v>1</v>
      </c>
      <c r="G8" s="5"/>
      <c r="K8" s="86"/>
      <c r="L8" s="85"/>
    </row>
    <row r="9" spans="1:12" ht="18.75" customHeight="1" x14ac:dyDescent="0.35">
      <c r="A9" s="93" t="s">
        <v>7</v>
      </c>
      <c r="B9" s="112" t="s">
        <v>761</v>
      </c>
      <c r="C9" s="5">
        <f>+IFERROR(VLOOKUP($A9,RAIZ!$A$3:$X$1500,MATCH('Suc. Peñita'!$F$1,RAIZ!$A$2:$X$2,0),FALSE),0)</f>
        <v>1</v>
      </c>
      <c r="D9" s="7">
        <v>1</v>
      </c>
      <c r="E9" s="4"/>
      <c r="F9" s="5">
        <f t="shared" si="0"/>
        <v>0</v>
      </c>
      <c r="G9" s="5"/>
      <c r="K9" s="86"/>
      <c r="L9" s="85"/>
    </row>
    <row r="10" spans="1:12" ht="18.75" customHeight="1" x14ac:dyDescent="0.35">
      <c r="A10" s="93" t="s">
        <v>8</v>
      </c>
      <c r="B10" s="112" t="s">
        <v>762</v>
      </c>
      <c r="C10" s="5">
        <f>+IFERROR(VLOOKUP($A10,RAIZ!$A$3:$X$1500,MATCH('Suc. Peñita'!$F$1,RAIZ!$A$2:$X$2,0),FALSE),0)</f>
        <v>2</v>
      </c>
      <c r="D10" s="7">
        <v>2</v>
      </c>
      <c r="E10" s="4"/>
      <c r="F10" s="5">
        <f t="shared" si="0"/>
        <v>0</v>
      </c>
      <c r="G10" s="5"/>
      <c r="K10" s="86"/>
      <c r="L10" s="85"/>
    </row>
    <row r="11" spans="1:12" ht="18.75" customHeight="1" x14ac:dyDescent="0.35">
      <c r="A11" s="93" t="s">
        <v>9</v>
      </c>
      <c r="B11" s="112" t="s">
        <v>763</v>
      </c>
      <c r="C11" s="5">
        <f>+IFERROR(VLOOKUP($A11,RAIZ!$A$3:$X$1500,MATCH('Suc. Peñita'!$F$1,RAIZ!$A$2:$X$2,0),FALSE),0)</f>
        <v>2</v>
      </c>
      <c r="D11" s="9">
        <v>2</v>
      </c>
      <c r="E11" s="4"/>
      <c r="F11" s="5">
        <f t="shared" si="0"/>
        <v>0</v>
      </c>
      <c r="G11" s="5"/>
      <c r="K11" s="86"/>
      <c r="L11" s="85"/>
    </row>
    <row r="12" spans="1:12" ht="18.75" customHeight="1" x14ac:dyDescent="0.35">
      <c r="A12" s="93"/>
      <c r="B12" s="112"/>
      <c r="C12" s="5">
        <f>+IFERROR(VLOOKUP($A12,RAIZ!$A$3:$X$1500,MATCH('Suc. Peñita'!$F$1,RAIZ!$A$2:$X$2,0),FALSE),0)</f>
        <v>0</v>
      </c>
      <c r="D12" s="20"/>
      <c r="E12" s="4"/>
      <c r="F12" s="5">
        <f t="shared" si="0"/>
        <v>0</v>
      </c>
      <c r="G12" s="5"/>
    </row>
    <row r="13" spans="1:12" ht="18.75" customHeight="1" x14ac:dyDescent="0.35">
      <c r="A13" s="93"/>
      <c r="B13" s="112"/>
      <c r="C13" s="5">
        <f>+IFERROR(VLOOKUP($A13,RAIZ!$A$3:$X$1500,MATCH('Suc. Peñita'!$F$1,RAIZ!$A$2:$X$2,0),FALSE),0)</f>
        <v>0</v>
      </c>
      <c r="D13" s="146"/>
      <c r="E13" s="4"/>
      <c r="F13" s="147">
        <f t="shared" si="0"/>
        <v>0</v>
      </c>
      <c r="G13" s="5"/>
    </row>
    <row r="14" spans="1:12" ht="18.75" customHeight="1" x14ac:dyDescent="0.35">
      <c r="A14" s="93"/>
      <c r="B14" s="112"/>
      <c r="C14" s="5">
        <f>+IFERROR(VLOOKUP($A14,RAIZ!$A$3:$X$1500,MATCH('Suc. Peñita'!$F$1,RAIZ!$A$2:$X$2,0),FALSE),0)</f>
        <v>0</v>
      </c>
      <c r="D14" s="146"/>
      <c r="E14" s="4"/>
      <c r="F14" s="147">
        <f>IF(D14-C14&gt;=0,D14-C14,0)</f>
        <v>0</v>
      </c>
      <c r="G14" s="5"/>
    </row>
    <row r="15" spans="1:12" ht="18.75" customHeight="1" x14ac:dyDescent="0.35">
      <c r="A15" s="93"/>
      <c r="B15" s="112"/>
      <c r="C15" s="5">
        <f>+IFERROR(VLOOKUP($A15,RAIZ!$A$3:$X$1500,MATCH('Suc. Peñita'!$F$1,RAIZ!$A$2:$X$2,0),FALSE),0)</f>
        <v>0</v>
      </c>
      <c r="D15" s="9"/>
      <c r="E15" s="4"/>
      <c r="F15" s="5">
        <f t="shared" si="0"/>
        <v>0</v>
      </c>
      <c r="G15" s="5"/>
      <c r="K15" s="86"/>
      <c r="L15" s="85"/>
    </row>
    <row r="16" spans="1:12" ht="18.75" customHeight="1" x14ac:dyDescent="0.35">
      <c r="A16" s="93"/>
      <c r="B16" s="112"/>
      <c r="C16" s="5">
        <f>+IFERROR(VLOOKUP($A16,RAIZ!$A$3:$X$1500,MATCH('Suc. Peñita'!$F$1,RAIZ!$A$2:$X$2,0),FALSE),0)</f>
        <v>0</v>
      </c>
      <c r="D16" s="9"/>
      <c r="E16" s="4"/>
      <c r="F16" s="5">
        <f t="shared" si="0"/>
        <v>0</v>
      </c>
      <c r="G16" s="5"/>
      <c r="K16" s="86"/>
      <c r="L16" s="85"/>
    </row>
    <row r="17" spans="1:12" ht="18.75" customHeight="1" thickBot="1" x14ac:dyDescent="0.4">
      <c r="A17" s="93"/>
      <c r="B17" s="112"/>
      <c r="C17" s="5">
        <f>+IFERROR(VLOOKUP($A17,RAIZ!$A$3:$X$1500,MATCH('Suc. Peñita'!$F$1,RAIZ!$A$2:$X$2,0),FALSE),0)</f>
        <v>0</v>
      </c>
      <c r="D17" s="9"/>
      <c r="E17" s="4"/>
      <c r="F17" s="5">
        <f t="shared" si="0"/>
        <v>0</v>
      </c>
      <c r="G17" s="5"/>
      <c r="K17" s="86"/>
      <c r="L17" s="85"/>
    </row>
    <row r="18" spans="1:12" ht="18.75" customHeight="1" thickBot="1" x14ac:dyDescent="0.4">
      <c r="A18" s="96" t="s">
        <v>10</v>
      </c>
      <c r="B18" s="111"/>
      <c r="C18" s="75">
        <f>SUM(C3:C17)</f>
        <v>11</v>
      </c>
      <c r="D18" s="44">
        <f>SUM(D3:D17)</f>
        <v>16</v>
      </c>
      <c r="E18" s="44">
        <f>SUM(E3:E17)</f>
        <v>0</v>
      </c>
      <c r="F18" s="63">
        <f>SUM(F3:F17)</f>
        <v>6</v>
      </c>
      <c r="G18" s="44">
        <f>SUM(G3:G17)</f>
        <v>0</v>
      </c>
      <c r="K18" s="86"/>
      <c r="L18" s="85"/>
    </row>
    <row r="19" spans="1:12" ht="18.75" customHeight="1" x14ac:dyDescent="0.35">
      <c r="A19" s="97" t="s">
        <v>676</v>
      </c>
      <c r="B19" s="112" t="s">
        <v>764</v>
      </c>
      <c r="C19" s="5">
        <f>+IFERROR(VLOOKUP($A19,RAIZ!$A$3:$X$1500,MATCH('Suc. Peñita'!$F$1,RAIZ!$A$2:$X$2,0),FALSE),0)</f>
        <v>2</v>
      </c>
      <c r="D19" s="12">
        <v>1</v>
      </c>
      <c r="E19" s="4"/>
      <c r="F19" s="5">
        <f t="shared" ref="F19:F31" si="1">IF(D19-C19&gt;=0,D19-C19,0)</f>
        <v>0</v>
      </c>
      <c r="G19" s="5"/>
      <c r="K19" s="86"/>
      <c r="L19" s="85"/>
    </row>
    <row r="20" spans="1:12" ht="18.75" customHeight="1" x14ac:dyDescent="0.35">
      <c r="A20" s="97" t="s">
        <v>11</v>
      </c>
      <c r="B20" s="112" t="s">
        <v>827</v>
      </c>
      <c r="C20" s="5">
        <f>+IFERROR(VLOOKUP($A20,RAIZ!$A$3:$X$1500,MATCH('Suc. Peñita'!$F$1,RAIZ!$A$2:$X$2,0),FALSE),0)</f>
        <v>1</v>
      </c>
      <c r="D20" s="14">
        <v>3</v>
      </c>
      <c r="E20" s="4"/>
      <c r="F20" s="5">
        <f t="shared" si="1"/>
        <v>2</v>
      </c>
      <c r="G20" s="5"/>
      <c r="K20" s="86"/>
      <c r="L20" s="85"/>
    </row>
    <row r="21" spans="1:12" ht="18.75" customHeight="1" x14ac:dyDescent="0.35">
      <c r="A21" s="97" t="s">
        <v>344</v>
      </c>
      <c r="B21" s="112" t="s">
        <v>765</v>
      </c>
      <c r="C21" s="5">
        <f>+IFERROR(VLOOKUP($A21,RAIZ!$A$3:$X$1500,MATCH('Suc. Peñita'!$F$1,RAIZ!$A$2:$X$2,0),FALSE),0)</f>
        <v>3</v>
      </c>
      <c r="D21" s="14">
        <v>2</v>
      </c>
      <c r="E21" s="4"/>
      <c r="F21" s="5">
        <f t="shared" si="1"/>
        <v>0</v>
      </c>
      <c r="G21" s="5"/>
      <c r="K21" s="86"/>
      <c r="L21" s="85"/>
    </row>
    <row r="22" spans="1:12" ht="18.75" customHeight="1" x14ac:dyDescent="0.35">
      <c r="A22" s="97" t="s">
        <v>832</v>
      </c>
      <c r="B22" s="112" t="s">
        <v>833</v>
      </c>
      <c r="C22" s="5">
        <f>+IFERROR(VLOOKUP($A22,RAIZ!$A$3:$X$1500,MATCH('Suc. Peñita'!$F$1,RAIZ!$A$2:$X$2,0),FALSE),0)</f>
        <v>1</v>
      </c>
      <c r="D22" s="14">
        <v>0</v>
      </c>
      <c r="E22" s="4"/>
      <c r="F22" s="5">
        <f t="shared" si="1"/>
        <v>0</v>
      </c>
      <c r="G22" s="5"/>
      <c r="K22" s="86"/>
      <c r="L22" s="85"/>
    </row>
    <row r="23" spans="1:12" ht="18.75" customHeight="1" x14ac:dyDescent="0.35">
      <c r="A23" s="97" t="s">
        <v>12</v>
      </c>
      <c r="B23" s="112" t="s">
        <v>766</v>
      </c>
      <c r="C23" s="5">
        <f>+IFERROR(VLOOKUP($A23,RAIZ!$A$3:$X$1500,MATCH('Suc. Peñita'!$F$1,RAIZ!$A$2:$X$2,0),FALSE),0)</f>
        <v>0</v>
      </c>
      <c r="D23" s="14">
        <v>3</v>
      </c>
      <c r="E23" s="4"/>
      <c r="F23" s="5">
        <f t="shared" si="1"/>
        <v>3</v>
      </c>
      <c r="G23" s="5"/>
      <c r="K23" s="86"/>
      <c r="L23" s="85"/>
    </row>
    <row r="24" spans="1:12" ht="18.75" customHeight="1" x14ac:dyDescent="0.35">
      <c r="A24" s="97" t="s">
        <v>432</v>
      </c>
      <c r="B24" s="112" t="s">
        <v>767</v>
      </c>
      <c r="C24" s="5">
        <f>+IFERROR(VLOOKUP($A24,RAIZ!$A$3:$X$1500,MATCH('Suc. Peñita'!$F$1,RAIZ!$A$2:$X$2,0),FALSE),0)</f>
        <v>2</v>
      </c>
      <c r="D24" s="14">
        <v>2</v>
      </c>
      <c r="E24" s="4"/>
      <c r="F24" s="5">
        <f t="shared" si="1"/>
        <v>0</v>
      </c>
      <c r="G24" s="5"/>
      <c r="K24" s="86"/>
      <c r="L24" s="85"/>
    </row>
    <row r="25" spans="1:12" ht="18.75" customHeight="1" x14ac:dyDescent="0.35">
      <c r="A25" s="97" t="s">
        <v>468</v>
      </c>
      <c r="B25" s="112" t="s">
        <v>768</v>
      </c>
      <c r="C25" s="5">
        <f>+IFERROR(VLOOKUP($A25,RAIZ!$A$3:$X$1500,MATCH('Suc. Peñita'!$F$1,RAIZ!$A$2:$X$2,0),FALSE),0)</f>
        <v>3</v>
      </c>
      <c r="D25" s="16">
        <v>3</v>
      </c>
      <c r="E25" s="4"/>
      <c r="F25" s="5">
        <f t="shared" si="1"/>
        <v>0</v>
      </c>
      <c r="G25" s="5"/>
      <c r="K25" s="86"/>
      <c r="L25" s="85"/>
    </row>
    <row r="26" spans="1:12" ht="18.75" customHeight="1" x14ac:dyDescent="0.35">
      <c r="A26" s="97"/>
      <c r="B26" s="112"/>
      <c r="C26" s="5">
        <f>+IFERROR(VLOOKUP($A26,RAIZ!$A$3:$X$1500,MATCH('Suc. Peñita'!$F$1,RAIZ!$A$2:$X$2,0),FALSE),0)</f>
        <v>0</v>
      </c>
      <c r="D26" s="20"/>
      <c r="E26" s="4"/>
      <c r="F26" s="5">
        <f t="shared" si="1"/>
        <v>0</v>
      </c>
      <c r="G26" s="5"/>
    </row>
    <row r="27" spans="1:12" ht="18.75" customHeight="1" x14ac:dyDescent="0.35">
      <c r="A27" s="97"/>
      <c r="B27" s="112"/>
      <c r="C27" s="5">
        <f>+IFERROR(VLOOKUP($A27,RAIZ!$A$3:$X$1500,MATCH('Suc. Peñita'!$F$1,RAIZ!$A$2:$X$2,0),FALSE),0)</f>
        <v>0</v>
      </c>
      <c r="D27" s="16"/>
      <c r="E27" s="4"/>
      <c r="F27" s="5">
        <f>IF(D27-C27&gt;=0,D27-C27,0)</f>
        <v>0</v>
      </c>
      <c r="G27" s="5"/>
      <c r="K27" s="86"/>
      <c r="L27" s="85"/>
    </row>
    <row r="28" spans="1:12" ht="18.75" customHeight="1" x14ac:dyDescent="0.35">
      <c r="A28" s="97"/>
      <c r="B28" s="112"/>
      <c r="C28" s="5">
        <f>+IFERROR(VLOOKUP($A28,RAIZ!$A$3:$X$1500,MATCH('Suc. Peñita'!$F$1,RAIZ!$A$2:$X$2,0),FALSE),0)</f>
        <v>0</v>
      </c>
      <c r="D28" s="16"/>
      <c r="E28" s="4"/>
      <c r="F28" s="5">
        <f t="shared" si="1"/>
        <v>0</v>
      </c>
      <c r="G28" s="5"/>
      <c r="K28" s="86"/>
      <c r="L28" s="85"/>
    </row>
    <row r="29" spans="1:12" ht="18.75" customHeight="1" x14ac:dyDescent="0.35">
      <c r="A29" s="97"/>
      <c r="B29" s="112"/>
      <c r="C29" s="5">
        <f>+IFERROR(VLOOKUP($A29,RAIZ!$A$3:$X$1500,MATCH('Suc. Peñita'!$F$1,RAIZ!$A$2:$X$2,0),FALSE),0)</f>
        <v>0</v>
      </c>
      <c r="D29" s="16"/>
      <c r="E29" s="4"/>
      <c r="F29" s="5">
        <f t="shared" si="1"/>
        <v>0</v>
      </c>
      <c r="G29" s="5"/>
      <c r="K29" s="86"/>
      <c r="L29" s="85"/>
    </row>
    <row r="30" spans="1:12" ht="18.75" customHeight="1" x14ac:dyDescent="0.35">
      <c r="A30" s="97"/>
      <c r="B30" s="112"/>
      <c r="C30" s="5">
        <f>+IFERROR(VLOOKUP($A30,RAIZ!$A$3:$X$1500,MATCH('Suc. Peñita'!$F$1,RAIZ!$A$2:$X$2,0),FALSE),0)</f>
        <v>0</v>
      </c>
      <c r="D30" s="16"/>
      <c r="E30" s="4"/>
      <c r="F30" s="5">
        <f t="shared" si="1"/>
        <v>0</v>
      </c>
      <c r="G30" s="5"/>
      <c r="K30" s="86"/>
      <c r="L30" s="85"/>
    </row>
    <row r="31" spans="1:12" ht="18.75" customHeight="1" thickBot="1" x14ac:dyDescent="0.4">
      <c r="A31" s="97"/>
      <c r="B31" s="112"/>
      <c r="C31" s="5">
        <f>+IFERROR(VLOOKUP($A31,RAIZ!$A$3:$X$1500,MATCH('Suc. Peñita'!$F$1,RAIZ!$A$2:$X$2,0),FALSE),0)</f>
        <v>0</v>
      </c>
      <c r="D31" s="16"/>
      <c r="E31" s="4"/>
      <c r="F31" s="5">
        <f t="shared" si="1"/>
        <v>0</v>
      </c>
      <c r="G31" s="5"/>
      <c r="K31" s="86"/>
      <c r="L31" s="85"/>
    </row>
    <row r="32" spans="1:12" ht="18.75" customHeight="1" thickBot="1" x14ac:dyDescent="0.4">
      <c r="A32" s="98" t="s">
        <v>13</v>
      </c>
      <c r="B32" s="111"/>
      <c r="C32" s="76">
        <f>SUM(C19:C31)</f>
        <v>12</v>
      </c>
      <c r="D32" s="46">
        <f>SUM(D19:D31)</f>
        <v>14</v>
      </c>
      <c r="E32" s="46">
        <f>SUM(E19:E31)</f>
        <v>0</v>
      </c>
      <c r="F32" s="64">
        <f>SUM(F19:F31)</f>
        <v>5</v>
      </c>
      <c r="G32" s="46">
        <f>SUM(G19:G31)</f>
        <v>0</v>
      </c>
      <c r="K32" s="86"/>
      <c r="L32" s="85"/>
    </row>
    <row r="33" spans="1:12" ht="18.75" customHeight="1" x14ac:dyDescent="0.35">
      <c r="A33" s="97" t="s">
        <v>14</v>
      </c>
      <c r="B33" s="112" t="s">
        <v>769</v>
      </c>
      <c r="C33" s="5">
        <f>+IFERROR(VLOOKUP($A33,RAIZ!$A$3:$X$1500,MATCH('Suc. Peñita'!$F$1,RAIZ!$A$2:$X$2,0),FALSE),0)</f>
        <v>0</v>
      </c>
      <c r="D33" s="4">
        <v>0</v>
      </c>
      <c r="E33" s="4"/>
      <c r="F33" s="5">
        <f t="shared" ref="F33:F48" si="2">IF(D33-C33&gt;=0,D33-C33,0)</f>
        <v>0</v>
      </c>
      <c r="G33" s="5"/>
      <c r="K33" s="86"/>
      <c r="L33" s="85"/>
    </row>
    <row r="34" spans="1:12" ht="18.75" customHeight="1" x14ac:dyDescent="0.35">
      <c r="A34" s="97" t="s">
        <v>15</v>
      </c>
      <c r="B34" s="112" t="s">
        <v>770</v>
      </c>
      <c r="C34" s="5">
        <f>+IFERROR(VLOOKUP($A34,RAIZ!$A$3:$X$1500,MATCH('Suc. Peñita'!$F$1,RAIZ!$A$2:$X$2,0),FALSE),0)</f>
        <v>2</v>
      </c>
      <c r="D34" s="7">
        <v>2</v>
      </c>
      <c r="E34" s="4"/>
      <c r="F34" s="5">
        <f t="shared" si="2"/>
        <v>0</v>
      </c>
      <c r="G34" s="5"/>
      <c r="K34" s="86"/>
      <c r="L34" s="85"/>
    </row>
    <row r="35" spans="1:12" ht="18.75" customHeight="1" x14ac:dyDescent="0.35">
      <c r="A35" s="97" t="s">
        <v>16</v>
      </c>
      <c r="B35" s="112" t="s">
        <v>771</v>
      </c>
      <c r="C35" s="5">
        <f>+IFERROR(VLOOKUP($A35,RAIZ!$A$3:$X$1500,MATCH('Suc. Peñita'!$F$1,RAIZ!$A$2:$X$2,0),FALSE),0)</f>
        <v>2</v>
      </c>
      <c r="D35" s="7">
        <v>2</v>
      </c>
      <c r="E35" s="4"/>
      <c r="F35" s="5">
        <f t="shared" si="2"/>
        <v>0</v>
      </c>
      <c r="G35" s="5"/>
      <c r="K35" s="86"/>
      <c r="L35" s="85"/>
    </row>
    <row r="36" spans="1:12" ht="18.75" customHeight="1" x14ac:dyDescent="0.35">
      <c r="A36" s="97" t="s">
        <v>17</v>
      </c>
      <c r="B36" s="112" t="s">
        <v>772</v>
      </c>
      <c r="C36" s="5">
        <f>+IFERROR(VLOOKUP($A36,RAIZ!$A$3:$X$1500,MATCH('Suc. Peñita'!$F$1,RAIZ!$A$2:$X$2,0),FALSE),0)</f>
        <v>1</v>
      </c>
      <c r="D36" s="7">
        <v>2</v>
      </c>
      <c r="E36" s="4"/>
      <c r="F36" s="5">
        <f t="shared" si="2"/>
        <v>1</v>
      </c>
      <c r="G36" s="5"/>
      <c r="K36" s="86"/>
      <c r="L36" s="85"/>
    </row>
    <row r="37" spans="1:12" ht="18.75" customHeight="1" x14ac:dyDescent="0.35">
      <c r="A37" s="97" t="s">
        <v>18</v>
      </c>
      <c r="B37" s="112" t="s">
        <v>773</v>
      </c>
      <c r="C37" s="5">
        <f>+IFERROR(VLOOKUP($A37,RAIZ!$A$3:$X$1500,MATCH('Suc. Peñita'!$F$1,RAIZ!$A$2:$X$2,0),FALSE),0)</f>
        <v>1</v>
      </c>
      <c r="D37" s="7">
        <v>3</v>
      </c>
      <c r="E37" s="4"/>
      <c r="F37" s="5">
        <f t="shared" si="2"/>
        <v>2</v>
      </c>
      <c r="G37" s="5"/>
      <c r="K37" s="86"/>
      <c r="L37" s="85"/>
    </row>
    <row r="38" spans="1:12" ht="18.75" customHeight="1" x14ac:dyDescent="0.35">
      <c r="A38" s="97" t="s">
        <v>22</v>
      </c>
      <c r="B38" s="112" t="s">
        <v>774</v>
      </c>
      <c r="C38" s="5">
        <f>+IFERROR(VLOOKUP($A38,RAIZ!$A$3:$X$1500,MATCH('Suc. Peñita'!$F$1,RAIZ!$A$2:$X$2,0),FALSE),0)</f>
        <v>2</v>
      </c>
      <c r="D38" s="18">
        <v>3</v>
      </c>
      <c r="E38" s="4"/>
      <c r="F38" s="5">
        <f t="shared" si="2"/>
        <v>1</v>
      </c>
      <c r="G38" s="5"/>
      <c r="K38" s="86"/>
      <c r="L38" s="85"/>
    </row>
    <row r="39" spans="1:12" ht="18.75" customHeight="1" x14ac:dyDescent="0.35">
      <c r="A39" s="97" t="s">
        <v>23</v>
      </c>
      <c r="B39" s="112" t="s">
        <v>775</v>
      </c>
      <c r="C39" s="5">
        <f>+IFERROR(VLOOKUP($A39,RAIZ!$A$3:$X$1500,MATCH('Suc. Peñita'!$F$1,RAIZ!$A$2:$X$2,0),FALSE),0)</f>
        <v>3</v>
      </c>
      <c r="D39" s="18">
        <v>2</v>
      </c>
      <c r="E39" s="4"/>
      <c r="F39" s="5">
        <f t="shared" si="2"/>
        <v>0</v>
      </c>
      <c r="G39" s="5"/>
      <c r="K39" s="86"/>
      <c r="L39" s="85"/>
    </row>
    <row r="40" spans="1:12" ht="18.75" customHeight="1" x14ac:dyDescent="0.35">
      <c r="A40" s="97" t="s">
        <v>24</v>
      </c>
      <c r="B40" s="112" t="s">
        <v>776</v>
      </c>
      <c r="C40" s="5">
        <f>+IFERROR(VLOOKUP($A40,RAIZ!$A$3:$X$1500,MATCH('Suc. Peñita'!$F$1,RAIZ!$A$2:$X$2,0),FALSE),0)</f>
        <v>1</v>
      </c>
      <c r="D40" s="7">
        <v>3</v>
      </c>
      <c r="E40" s="4"/>
      <c r="F40" s="5">
        <f t="shared" si="2"/>
        <v>2</v>
      </c>
      <c r="G40" s="5"/>
      <c r="K40" s="86"/>
      <c r="L40" s="85"/>
    </row>
    <row r="41" spans="1:12" ht="18.75" customHeight="1" x14ac:dyDescent="0.35">
      <c r="A41" s="97" t="s">
        <v>25</v>
      </c>
      <c r="B41" s="112" t="s">
        <v>777</v>
      </c>
      <c r="C41" s="5">
        <f>+IFERROR(VLOOKUP($A41,RAIZ!$A$3:$X$1500,MATCH('Suc. Peñita'!$F$1,RAIZ!$A$2:$X$2,0),FALSE),0)</f>
        <v>2</v>
      </c>
      <c r="D41" s="18">
        <v>2</v>
      </c>
      <c r="E41" s="4"/>
      <c r="F41" s="5">
        <f t="shared" si="2"/>
        <v>0</v>
      </c>
      <c r="G41" s="5"/>
      <c r="K41" s="86"/>
      <c r="L41" s="85"/>
    </row>
    <row r="42" spans="1:12" ht="18.75" customHeight="1" x14ac:dyDescent="0.35">
      <c r="A42" s="97"/>
      <c r="B42" s="112"/>
      <c r="C42" s="5">
        <f>+IFERROR(VLOOKUP($A42,RAIZ!$A$3:$X$1500,MATCH('Suc. Peñita'!$F$1,RAIZ!$A$2:$X$2,0),FALSE),0)</f>
        <v>0</v>
      </c>
      <c r="D42" s="20"/>
      <c r="E42" s="4"/>
      <c r="F42" s="5">
        <f t="shared" si="2"/>
        <v>0</v>
      </c>
      <c r="G42" s="5"/>
    </row>
    <row r="43" spans="1:12" ht="18.75" customHeight="1" x14ac:dyDescent="0.35">
      <c r="A43" s="97"/>
      <c r="B43" s="112"/>
      <c r="C43" s="5">
        <f>+IFERROR(VLOOKUP($A43,RAIZ!$A$3:$X$1500,MATCH('Suc. Peñita'!$F$1,RAIZ!$A$2:$X$2,0),FALSE),0)</f>
        <v>0</v>
      </c>
      <c r="D43" s="18"/>
      <c r="E43" s="4"/>
      <c r="F43" s="5">
        <f t="shared" si="2"/>
        <v>0</v>
      </c>
      <c r="G43" s="5"/>
      <c r="K43" s="86"/>
      <c r="L43" s="85"/>
    </row>
    <row r="44" spans="1:12" ht="18.75" customHeight="1" x14ac:dyDescent="0.35">
      <c r="A44" s="97"/>
      <c r="B44" s="112"/>
      <c r="C44" s="5">
        <f>+IFERROR(VLOOKUP($A44,RAIZ!$A$3:$X$1500,MATCH('Suc. Peñita'!$F$1,RAIZ!$A$2:$X$2,0),FALSE),0)</f>
        <v>0</v>
      </c>
      <c r="D44" s="18"/>
      <c r="E44" s="4"/>
      <c r="F44" s="5">
        <f t="shared" si="2"/>
        <v>0</v>
      </c>
      <c r="G44" s="5"/>
      <c r="K44" s="86"/>
      <c r="L44" s="85"/>
    </row>
    <row r="45" spans="1:12" ht="18.75" customHeight="1" x14ac:dyDescent="0.35">
      <c r="A45" s="97"/>
      <c r="B45" s="112"/>
      <c r="C45" s="5">
        <f>+IFERROR(VLOOKUP($A45,RAIZ!$A$3:$X$1500,MATCH('Suc. Peñita'!$F$1,RAIZ!$A$2:$X$2,0),FALSE),0)</f>
        <v>0</v>
      </c>
      <c r="D45" s="18"/>
      <c r="E45" s="4"/>
      <c r="F45" s="5">
        <f t="shared" si="2"/>
        <v>0</v>
      </c>
      <c r="G45" s="5"/>
      <c r="K45" s="86"/>
      <c r="L45" s="85"/>
    </row>
    <row r="46" spans="1:12" ht="18.75" customHeight="1" x14ac:dyDescent="0.35">
      <c r="A46" s="97"/>
      <c r="B46" s="112"/>
      <c r="C46" s="5">
        <f>+IFERROR(VLOOKUP($A46,RAIZ!$A$3:$X$1500,MATCH('Suc. Peñita'!$F$1,RAIZ!$A$2:$X$2,0),FALSE),0)</f>
        <v>0</v>
      </c>
      <c r="D46" s="18"/>
      <c r="E46" s="4"/>
      <c r="F46" s="5">
        <f t="shared" si="2"/>
        <v>0</v>
      </c>
      <c r="G46" s="5"/>
      <c r="K46" s="86"/>
      <c r="L46" s="85"/>
    </row>
    <row r="47" spans="1:12" ht="18.75" customHeight="1" x14ac:dyDescent="0.35">
      <c r="A47" s="97"/>
      <c r="B47" s="112"/>
      <c r="C47" s="5">
        <f>+IFERROR(VLOOKUP($A47,RAIZ!$A$3:$X$1500,MATCH('Suc. Peñita'!$F$1,RAIZ!$A$2:$X$2,0),FALSE),0)</f>
        <v>0</v>
      </c>
      <c r="D47" s="18"/>
      <c r="E47" s="4"/>
      <c r="F47" s="5">
        <f t="shared" si="2"/>
        <v>0</v>
      </c>
      <c r="G47" s="5"/>
      <c r="K47" s="86"/>
      <c r="L47" s="85"/>
    </row>
    <row r="48" spans="1:12" ht="18.75" customHeight="1" thickBot="1" x14ac:dyDescent="0.4">
      <c r="A48" s="97"/>
      <c r="B48" s="112"/>
      <c r="C48" s="5">
        <f>+IFERROR(VLOOKUP($A48,RAIZ!$A$3:$X$1500,MATCH('Suc. Peñita'!$F$1,RAIZ!$A$2:$X$2,0),FALSE),0)</f>
        <v>0</v>
      </c>
      <c r="D48" s="18"/>
      <c r="E48" s="4"/>
      <c r="F48" s="5">
        <f t="shared" si="2"/>
        <v>0</v>
      </c>
      <c r="G48" s="5"/>
      <c r="K48" s="86"/>
      <c r="L48" s="85"/>
    </row>
    <row r="49" spans="1:12" ht="18.75" customHeight="1" thickBot="1" x14ac:dyDescent="0.4">
      <c r="A49" s="99" t="s">
        <v>29</v>
      </c>
      <c r="B49" s="111"/>
      <c r="C49" s="77">
        <f>SUM(C33:C48)</f>
        <v>14</v>
      </c>
      <c r="D49" s="48">
        <f>SUM(D33:D48)</f>
        <v>19</v>
      </c>
      <c r="E49" s="48">
        <f>SUM(E33:E48)</f>
        <v>0</v>
      </c>
      <c r="F49" s="65">
        <f>SUM(F33:F48)</f>
        <v>6</v>
      </c>
      <c r="G49" s="48">
        <f>SUM(G33:G48)</f>
        <v>0</v>
      </c>
      <c r="K49" s="86"/>
      <c r="L49" s="85"/>
    </row>
    <row r="50" spans="1:12" ht="18.75" customHeight="1" x14ac:dyDescent="0.35">
      <c r="A50" s="93" t="s">
        <v>30</v>
      </c>
      <c r="B50" s="112" t="s">
        <v>778</v>
      </c>
      <c r="C50" s="5">
        <f>+IFERROR(VLOOKUP($A50,RAIZ!$A$3:$X$1500,MATCH('Suc. Peñita'!$F$1,RAIZ!$A$2:$X$2,0),FALSE),0)</f>
        <v>2</v>
      </c>
      <c r="D50" s="4">
        <v>6</v>
      </c>
      <c r="E50" s="4"/>
      <c r="F50" s="5">
        <f>IF(D50-C50&gt;=0,D50-C50,0)</f>
        <v>4</v>
      </c>
      <c r="G50" s="5"/>
      <c r="H50" t="s">
        <v>1160</v>
      </c>
      <c r="K50" s="86"/>
      <c r="L50" s="85"/>
    </row>
    <row r="51" spans="1:12" ht="18.75" customHeight="1" thickBot="1" x14ac:dyDescent="0.4">
      <c r="A51" s="95" t="s">
        <v>31</v>
      </c>
      <c r="B51" s="112" t="s">
        <v>779</v>
      </c>
      <c r="C51" s="5">
        <f>+IFERROR(VLOOKUP($A51,RAIZ!$A$3:$X$1500,MATCH('Suc. Peñita'!$F$1,RAIZ!$A$2:$X$2,0),FALSE),0)</f>
        <v>0</v>
      </c>
      <c r="D51" s="20">
        <v>6</v>
      </c>
      <c r="E51" s="4"/>
      <c r="F51" s="5">
        <f t="shared" ref="F51" si="3">IF(D51-C51&gt;=0,D51-C51,0)</f>
        <v>6</v>
      </c>
      <c r="G51" s="5"/>
      <c r="K51" s="86"/>
      <c r="L51" s="85"/>
    </row>
    <row r="52" spans="1:12" ht="18.75" customHeight="1" thickBot="1" x14ac:dyDescent="0.4">
      <c r="A52" s="100" t="s">
        <v>32</v>
      </c>
      <c r="B52" s="111"/>
      <c r="C52" s="78">
        <f>SUM(C50:C51)</f>
        <v>2</v>
      </c>
      <c r="D52" s="50">
        <f t="shared" ref="D52:G52" si="4">SUM(D50:D51)</f>
        <v>12</v>
      </c>
      <c r="E52" s="50">
        <f t="shared" si="4"/>
        <v>0</v>
      </c>
      <c r="F52" s="66">
        <f t="shared" si="4"/>
        <v>10</v>
      </c>
      <c r="G52" s="50">
        <f t="shared" si="4"/>
        <v>0</v>
      </c>
      <c r="K52" s="86"/>
      <c r="L52" s="85"/>
    </row>
    <row r="53" spans="1:12" ht="18.75" customHeight="1" x14ac:dyDescent="0.35">
      <c r="A53" s="93" t="s">
        <v>33</v>
      </c>
      <c r="B53" s="112" t="s">
        <v>780</v>
      </c>
      <c r="C53" s="5">
        <f>+IFERROR(VLOOKUP($A53,RAIZ!$A$3:$X$1500,MATCH('Suc. Peñita'!$F$1,RAIZ!$A$2:$X$2,0),FALSE),0)</f>
        <v>3</v>
      </c>
      <c r="D53" s="4">
        <v>6</v>
      </c>
      <c r="E53" s="4"/>
      <c r="F53" s="5">
        <f t="shared" ref="F53:F54" si="5">IF(D53-C53&gt;=0,D53-C53,0)</f>
        <v>3</v>
      </c>
      <c r="G53" s="5"/>
      <c r="H53" t="s">
        <v>1160</v>
      </c>
      <c r="K53" s="86"/>
      <c r="L53" s="85"/>
    </row>
    <row r="54" spans="1:12" ht="18.75" customHeight="1" thickBot="1" x14ac:dyDescent="0.4">
      <c r="A54" s="95" t="s">
        <v>34</v>
      </c>
      <c r="B54" s="112" t="s">
        <v>781</v>
      </c>
      <c r="C54" s="5">
        <f>+IFERROR(VLOOKUP($A54,RAIZ!$A$3:$X$1500,MATCH('Suc. Peñita'!$F$1,RAIZ!$A$2:$X$2,0),FALSE),0)</f>
        <v>3</v>
      </c>
      <c r="D54" s="20">
        <v>6</v>
      </c>
      <c r="E54" s="4"/>
      <c r="F54" s="5">
        <f t="shared" si="5"/>
        <v>3</v>
      </c>
      <c r="G54" s="5"/>
      <c r="K54" s="86"/>
      <c r="L54" s="85"/>
    </row>
    <row r="55" spans="1:12" ht="18.75" customHeight="1" thickBot="1" x14ac:dyDescent="0.4">
      <c r="A55" s="99" t="s">
        <v>35</v>
      </c>
      <c r="B55" s="111"/>
      <c r="C55" s="77">
        <f>SUM(C53:C54)</f>
        <v>6</v>
      </c>
      <c r="D55" s="48">
        <f t="shared" ref="D55:G55" si="6">SUM(D53:D54)</f>
        <v>12</v>
      </c>
      <c r="E55" s="48">
        <f t="shared" si="6"/>
        <v>0</v>
      </c>
      <c r="F55" s="65">
        <f t="shared" si="6"/>
        <v>6</v>
      </c>
      <c r="G55" s="48">
        <f t="shared" si="6"/>
        <v>0</v>
      </c>
      <c r="K55" s="86"/>
      <c r="L55" s="85"/>
    </row>
    <row r="56" spans="1:12" ht="18.75" customHeight="1" x14ac:dyDescent="0.35">
      <c r="A56" s="93" t="s">
        <v>36</v>
      </c>
      <c r="B56" s="112" t="s">
        <v>782</v>
      </c>
      <c r="C56" s="5">
        <f>+IFERROR(VLOOKUP($A56,RAIZ!$A$3:$X$1500,MATCH('Suc. Peñita'!$F$1,RAIZ!$A$2:$X$2,0),FALSE),0)</f>
        <v>1</v>
      </c>
      <c r="D56" s="4">
        <v>1</v>
      </c>
      <c r="E56" s="4"/>
      <c r="F56" s="5">
        <f t="shared" ref="F56:F77" si="7">IF(D56-C56&gt;=0,D56-C56,0)</f>
        <v>0</v>
      </c>
      <c r="G56" s="5"/>
      <c r="K56" s="86"/>
      <c r="L56" s="85"/>
    </row>
    <row r="57" spans="1:12" ht="18.75" customHeight="1" x14ac:dyDescent="0.35">
      <c r="A57" s="93" t="s">
        <v>37</v>
      </c>
      <c r="B57" s="112" t="s">
        <v>783</v>
      </c>
      <c r="C57" s="5">
        <f>+IFERROR(VLOOKUP($A57,RAIZ!$A$3:$X$1500,MATCH('Suc. Peñita'!$F$1,RAIZ!$A$2:$X$2,0),FALSE),0)</f>
        <v>0</v>
      </c>
      <c r="D57" s="7">
        <v>1</v>
      </c>
      <c r="E57" s="4"/>
      <c r="F57" s="5">
        <f t="shared" si="7"/>
        <v>1</v>
      </c>
      <c r="G57" s="5"/>
      <c r="K57" s="86"/>
      <c r="L57" s="85"/>
    </row>
    <row r="58" spans="1:12" ht="18.75" customHeight="1" x14ac:dyDescent="0.35">
      <c r="A58" s="93" t="s">
        <v>39</v>
      </c>
      <c r="B58" s="112" t="s">
        <v>784</v>
      </c>
      <c r="C58" s="5">
        <f>+IFERROR(VLOOKUP($A58,RAIZ!$A$3:$X$1500,MATCH('Suc. Peñita'!$F$1,RAIZ!$A$2:$X$2,0),FALSE),0)</f>
        <v>1</v>
      </c>
      <c r="D58" s="7">
        <v>1</v>
      </c>
      <c r="E58" s="4"/>
      <c r="F58" s="5">
        <f t="shared" si="7"/>
        <v>0</v>
      </c>
      <c r="G58" s="5"/>
      <c r="K58" s="86"/>
      <c r="L58" s="85"/>
    </row>
    <row r="59" spans="1:12" ht="18.75" customHeight="1" x14ac:dyDescent="0.35">
      <c r="A59" s="93" t="s">
        <v>40</v>
      </c>
      <c r="B59" s="112" t="s">
        <v>785</v>
      </c>
      <c r="C59" s="5">
        <f>+IFERROR(VLOOKUP($A59,RAIZ!$A$3:$X$1500,MATCH('Suc. Peñita'!$F$1,RAIZ!$A$2:$X$2,0),FALSE),0)</f>
        <v>1</v>
      </c>
      <c r="D59" s="7">
        <v>1</v>
      </c>
      <c r="E59" s="4"/>
      <c r="F59" s="5">
        <f t="shared" si="7"/>
        <v>0</v>
      </c>
      <c r="G59" s="5"/>
      <c r="K59" s="86"/>
      <c r="L59" s="85"/>
    </row>
    <row r="60" spans="1:12" ht="18.75" customHeight="1" x14ac:dyDescent="0.35">
      <c r="A60" s="93" t="s">
        <v>41</v>
      </c>
      <c r="B60" s="112" t="s">
        <v>786</v>
      </c>
      <c r="C60" s="5">
        <f>+IFERROR(VLOOKUP($A60,RAIZ!$A$3:$X$1500,MATCH('Suc. Peñita'!$F$1,RAIZ!$A$2:$X$2,0),FALSE),0)</f>
        <v>1</v>
      </c>
      <c r="D60" s="7">
        <v>1</v>
      </c>
      <c r="E60" s="4"/>
      <c r="F60" s="5">
        <f t="shared" si="7"/>
        <v>0</v>
      </c>
      <c r="G60" s="5"/>
      <c r="K60" s="86"/>
      <c r="L60" s="85"/>
    </row>
    <row r="61" spans="1:12" ht="18.75" customHeight="1" x14ac:dyDescent="0.35">
      <c r="A61" s="101" t="s">
        <v>42</v>
      </c>
      <c r="B61" s="112" t="s">
        <v>787</v>
      </c>
      <c r="C61" s="5">
        <f>+IFERROR(VLOOKUP($A61,RAIZ!$A$3:$X$1500,MATCH('Suc. Peñita'!$F$1,RAIZ!$A$2:$X$2,0),FALSE),0)</f>
        <v>1</v>
      </c>
      <c r="D61" s="4">
        <v>1</v>
      </c>
      <c r="E61" s="4"/>
      <c r="F61" s="5">
        <f t="shared" si="7"/>
        <v>0</v>
      </c>
      <c r="G61" s="5"/>
      <c r="K61" s="86"/>
      <c r="L61" s="85"/>
    </row>
    <row r="62" spans="1:12" ht="18.75" customHeight="1" x14ac:dyDescent="0.35">
      <c r="A62" s="102" t="s">
        <v>43</v>
      </c>
      <c r="B62" s="112" t="s">
        <v>788</v>
      </c>
      <c r="C62" s="5">
        <f>+IFERROR(VLOOKUP($A62,RAIZ!$A$3:$X$1500,MATCH('Suc. Peñita'!$F$1,RAIZ!$A$2:$X$2,0),FALSE),0)</f>
        <v>0</v>
      </c>
      <c r="D62" s="7">
        <v>1</v>
      </c>
      <c r="E62" s="4"/>
      <c r="F62" s="5">
        <f t="shared" si="7"/>
        <v>1</v>
      </c>
      <c r="G62" s="5"/>
      <c r="K62" s="86"/>
      <c r="L62" s="85"/>
    </row>
    <row r="63" spans="1:12" ht="18.75" customHeight="1" x14ac:dyDescent="0.35">
      <c r="A63" s="93" t="s">
        <v>44</v>
      </c>
      <c r="B63" s="112" t="s">
        <v>789</v>
      </c>
      <c r="C63" s="5">
        <f>+IFERROR(VLOOKUP($A63,RAIZ!$A$3:$X$1500,MATCH('Suc. Peñita'!$F$1,RAIZ!$A$2:$X$2,0),FALSE),0)</f>
        <v>1</v>
      </c>
      <c r="D63" s="7">
        <v>1</v>
      </c>
      <c r="E63" s="4"/>
      <c r="F63" s="5">
        <f t="shared" si="7"/>
        <v>0</v>
      </c>
      <c r="G63" s="5"/>
      <c r="K63" s="86"/>
      <c r="L63" s="85"/>
    </row>
    <row r="64" spans="1:12" ht="18.75" customHeight="1" x14ac:dyDescent="0.35">
      <c r="A64" s="93" t="s">
        <v>45</v>
      </c>
      <c r="B64" s="112" t="s">
        <v>790</v>
      </c>
      <c r="C64" s="5">
        <f>+IFERROR(VLOOKUP($A64,RAIZ!$A$3:$X$1500,MATCH('Suc. Peñita'!$F$1,RAIZ!$A$2:$X$2,0),FALSE),0)</f>
        <v>0</v>
      </c>
      <c r="D64" s="4">
        <v>1</v>
      </c>
      <c r="E64" s="4"/>
      <c r="F64" s="5">
        <f t="shared" si="7"/>
        <v>1</v>
      </c>
      <c r="G64" s="5"/>
      <c r="K64" s="86"/>
      <c r="L64" s="85"/>
    </row>
    <row r="65" spans="1:12" ht="18.75" customHeight="1" x14ac:dyDescent="0.35">
      <c r="A65" s="93" t="s">
        <v>46</v>
      </c>
      <c r="B65" s="112" t="s">
        <v>791</v>
      </c>
      <c r="C65" s="5">
        <f>+IFERROR(VLOOKUP($A65,RAIZ!$A$3:$X$1500,MATCH('Suc. Peñita'!$F$1,RAIZ!$A$2:$X$2,0),FALSE),0)</f>
        <v>1</v>
      </c>
      <c r="D65" s="7">
        <v>5</v>
      </c>
      <c r="E65" s="4"/>
      <c r="F65" s="5">
        <f t="shared" si="7"/>
        <v>4</v>
      </c>
      <c r="G65" s="5"/>
      <c r="K65" s="86"/>
      <c r="L65" s="85"/>
    </row>
    <row r="66" spans="1:12" ht="18.75" customHeight="1" x14ac:dyDescent="0.35">
      <c r="A66" s="93" t="s">
        <v>48</v>
      </c>
      <c r="B66" s="112" t="s">
        <v>792</v>
      </c>
      <c r="C66" s="5">
        <f>+IFERROR(VLOOKUP($A66,RAIZ!$A$3:$X$1500,MATCH('Suc. Peñita'!$F$1,RAIZ!$A$2:$X$2,0),FALSE),0)</f>
        <v>2</v>
      </c>
      <c r="D66" s="7">
        <v>1</v>
      </c>
      <c r="E66" s="4"/>
      <c r="F66" s="5">
        <f t="shared" si="7"/>
        <v>0</v>
      </c>
      <c r="G66" s="5"/>
      <c r="K66" s="86"/>
      <c r="L66" s="85"/>
    </row>
    <row r="67" spans="1:12" ht="18.75" customHeight="1" x14ac:dyDescent="0.35">
      <c r="A67" s="93" t="s">
        <v>49</v>
      </c>
      <c r="B67" s="112" t="s">
        <v>793</v>
      </c>
      <c r="C67" s="5">
        <f>+IFERROR(VLOOKUP($A67,RAIZ!$A$3:$X$1500,MATCH('Suc. Peñita'!$F$1,RAIZ!$A$2:$X$2,0),FALSE),0)</f>
        <v>1</v>
      </c>
      <c r="D67" s="7">
        <v>1</v>
      </c>
      <c r="E67" s="4"/>
      <c r="F67" s="5">
        <f t="shared" si="7"/>
        <v>0</v>
      </c>
      <c r="G67" s="5"/>
      <c r="K67" s="86"/>
      <c r="L67" s="85"/>
    </row>
    <row r="68" spans="1:12" ht="18.75" customHeight="1" x14ac:dyDescent="0.35">
      <c r="A68" s="93" t="s">
        <v>50</v>
      </c>
      <c r="B68" s="112" t="s">
        <v>794</v>
      </c>
      <c r="C68" s="5">
        <f>+IFERROR(VLOOKUP($A68,RAIZ!$A$3:$X$1500,MATCH('Suc. Peñita'!$F$1,RAIZ!$A$2:$X$2,0),FALSE),0)</f>
        <v>2</v>
      </c>
      <c r="D68" s="4">
        <v>4</v>
      </c>
      <c r="E68" s="4"/>
      <c r="F68" s="5">
        <f t="shared" si="7"/>
        <v>2</v>
      </c>
      <c r="G68" s="5"/>
      <c r="K68" s="86"/>
      <c r="L68" s="85"/>
    </row>
    <row r="69" spans="1:12" ht="18.75" customHeight="1" x14ac:dyDescent="0.35">
      <c r="A69" s="93" t="s">
        <v>51</v>
      </c>
      <c r="B69" s="112" t="s">
        <v>795</v>
      </c>
      <c r="C69" s="5">
        <f>+IFERROR(VLOOKUP($A69,RAIZ!$A$3:$X$1500,MATCH('Suc. Peñita'!$F$1,RAIZ!$A$2:$X$2,0),FALSE),0)</f>
        <v>0</v>
      </c>
      <c r="D69" s="7">
        <v>0</v>
      </c>
      <c r="E69" s="4"/>
      <c r="F69" s="5">
        <f t="shared" si="7"/>
        <v>0</v>
      </c>
      <c r="G69" s="5"/>
      <c r="K69" s="86"/>
      <c r="L69" s="85"/>
    </row>
    <row r="70" spans="1:12" ht="18.75" customHeight="1" x14ac:dyDescent="0.35">
      <c r="A70" s="93" t="s">
        <v>53</v>
      </c>
      <c r="B70" s="112" t="s">
        <v>796</v>
      </c>
      <c r="C70" s="149">
        <f>+IFERROR(VLOOKUP($A70,RAIZ!$A$3:$X$1500,MATCH('Suc. Peñita'!$F$1,RAIZ!$A$2:$X$2,0),FALSE),0)</f>
        <v>0</v>
      </c>
      <c r="D70" s="152">
        <v>3</v>
      </c>
      <c r="E70" s="4"/>
      <c r="F70" s="5">
        <f t="shared" si="7"/>
        <v>3</v>
      </c>
      <c r="G70" s="5"/>
      <c r="K70" s="86"/>
      <c r="L70" s="85"/>
    </row>
    <row r="71" spans="1:12" s="150" customFormat="1" ht="18.75" customHeight="1" x14ac:dyDescent="0.35">
      <c r="A71" s="93" t="s">
        <v>47</v>
      </c>
      <c r="B71" s="112" t="s">
        <v>873</v>
      </c>
      <c r="C71" s="149">
        <f>+IFERROR(VLOOKUP($A71,RAIZ!$A$3:$X$1500,MATCH('Suc. Peñita'!$F$1,RAIZ!$A$2:$X$2,0),FALSE),0)</f>
        <v>0</v>
      </c>
      <c r="D71" s="20">
        <v>0</v>
      </c>
      <c r="E71" s="4"/>
      <c r="F71" s="153">
        <f t="shared" si="7"/>
        <v>0</v>
      </c>
      <c r="G71" s="149"/>
      <c r="K71" s="151"/>
      <c r="L71" s="151"/>
    </row>
    <row r="72" spans="1:12" ht="18.75" customHeight="1" x14ac:dyDescent="0.35">
      <c r="A72" s="86" t="s">
        <v>1089</v>
      </c>
      <c r="B72" s="112" t="s">
        <v>1090</v>
      </c>
      <c r="C72" s="149">
        <f>+IFERROR(VLOOKUP($A72,RAIZ!$A$3:$X$1500,MATCH('Suc. Peñita'!$F$1,RAIZ!$A$2:$X$2,0),FALSE),0)</f>
        <v>0</v>
      </c>
      <c r="D72" s="20">
        <v>0</v>
      </c>
      <c r="E72" s="4"/>
      <c r="F72" s="5">
        <f>IF(D72-C72&gt;=0,D72-C72,0)</f>
        <v>0</v>
      </c>
      <c r="G72" s="5"/>
    </row>
    <row r="73" spans="1:12" ht="18.75" customHeight="1" x14ac:dyDescent="0.35">
      <c r="A73" s="93"/>
      <c r="B73" s="112"/>
      <c r="C73" s="5">
        <f>+IFERROR(VLOOKUP($A73,RAIZ!$A$3:$X$1500,MATCH('Suc. Peñita'!$F$1,RAIZ!$A$2:$X$2,0),FALSE),0)</f>
        <v>0</v>
      </c>
      <c r="D73" s="20"/>
      <c r="E73" s="4"/>
      <c r="F73" s="5">
        <f t="shared" si="7"/>
        <v>0</v>
      </c>
      <c r="G73" s="5"/>
      <c r="K73" s="86"/>
      <c r="L73" s="85"/>
    </row>
    <row r="74" spans="1:12" ht="18.75" customHeight="1" x14ac:dyDescent="0.35">
      <c r="A74" s="93"/>
      <c r="B74" s="112"/>
      <c r="C74" s="5">
        <f>+IFERROR(VLOOKUP($A74,RAIZ!$A$3:$X$1500,MATCH('Suc. Peñita'!$F$1,RAIZ!$A$2:$X$2,0),FALSE),0)</f>
        <v>0</v>
      </c>
      <c r="D74" s="20"/>
      <c r="E74" s="4"/>
      <c r="F74" s="5">
        <f t="shared" si="7"/>
        <v>0</v>
      </c>
      <c r="G74" s="5"/>
      <c r="K74" s="86"/>
      <c r="L74" s="85"/>
    </row>
    <row r="75" spans="1:12" ht="18.75" customHeight="1" x14ac:dyDescent="0.35">
      <c r="A75" s="93"/>
      <c r="B75" s="112"/>
      <c r="C75" s="5">
        <f>+IFERROR(VLOOKUP($A75,RAIZ!$A$3:$X$1500,MATCH('Suc. Peñita'!$F$1,RAIZ!$A$2:$X$2,0),FALSE),0)</f>
        <v>0</v>
      </c>
      <c r="D75" s="20"/>
      <c r="E75" s="4"/>
      <c r="F75" s="5">
        <f t="shared" si="7"/>
        <v>0</v>
      </c>
      <c r="G75" s="5"/>
      <c r="K75" s="86"/>
      <c r="L75" s="85"/>
    </row>
    <row r="76" spans="1:12" ht="18.75" customHeight="1" x14ac:dyDescent="0.35">
      <c r="A76" s="93"/>
      <c r="B76" s="112"/>
      <c r="C76" s="5">
        <f>+IFERROR(VLOOKUP($A76,RAIZ!$A$3:$X$1500,MATCH('Suc. Peñita'!$F$1,RAIZ!$A$2:$X$2,0),FALSE),0)</f>
        <v>0</v>
      </c>
      <c r="D76" s="20"/>
      <c r="E76" s="4"/>
      <c r="F76" s="5">
        <f t="shared" si="7"/>
        <v>0</v>
      </c>
      <c r="G76" s="5"/>
      <c r="K76" s="86"/>
      <c r="L76" s="85"/>
    </row>
    <row r="77" spans="1:12" ht="18.75" customHeight="1" thickBot="1" x14ac:dyDescent="0.4">
      <c r="A77" s="93"/>
      <c r="B77" s="112"/>
      <c r="C77" s="5">
        <f>+IFERROR(VLOOKUP($A77,RAIZ!$A$3:$X$1500,MATCH('Suc. Peñita'!$F$1,RAIZ!$A$2:$X$2,0),FALSE),0)</f>
        <v>0</v>
      </c>
      <c r="D77" s="20"/>
      <c r="E77" s="4"/>
      <c r="F77" s="5">
        <f t="shared" si="7"/>
        <v>0</v>
      </c>
      <c r="G77" s="5"/>
      <c r="K77" s="86"/>
      <c r="L77" s="85"/>
    </row>
    <row r="78" spans="1:12" ht="18.75" customHeight="1" thickBot="1" x14ac:dyDescent="0.4">
      <c r="A78" s="99" t="s">
        <v>54</v>
      </c>
      <c r="B78" s="111"/>
      <c r="C78" s="77">
        <f>SUM(C56:C77)</f>
        <v>12</v>
      </c>
      <c r="D78" s="48">
        <f>SUM(D56:D77)</f>
        <v>23</v>
      </c>
      <c r="E78" s="48">
        <f>SUM(E56:E77)</f>
        <v>0</v>
      </c>
      <c r="F78" s="65">
        <f>SUM(F56:F77)</f>
        <v>12</v>
      </c>
      <c r="G78" s="48">
        <f>SUM(G56:G77)</f>
        <v>0</v>
      </c>
      <c r="K78" s="86"/>
      <c r="L78" s="85"/>
    </row>
    <row r="79" spans="1:12" ht="18.75" customHeight="1" thickBot="1" x14ac:dyDescent="0.4">
      <c r="A79" s="103" t="s">
        <v>55</v>
      </c>
      <c r="B79" s="111"/>
      <c r="C79" s="79">
        <f>C18+C32+C49+C52+C55+C78</f>
        <v>57</v>
      </c>
      <c r="D79" s="52">
        <f>D18+D32+D49+D52+D55+D78</f>
        <v>96</v>
      </c>
      <c r="E79" s="52">
        <f>E18+E32+E49+E52+E55+E78</f>
        <v>0</v>
      </c>
      <c r="F79" s="67">
        <f>F18+F32+F49+F52+F55+F78</f>
        <v>45</v>
      </c>
      <c r="G79" s="52">
        <f>G18+G32+G49+G52+G55+G78</f>
        <v>0</v>
      </c>
      <c r="K79" s="86"/>
      <c r="L79" s="85"/>
    </row>
    <row r="80" spans="1:12" ht="18.75" customHeight="1" x14ac:dyDescent="0.35">
      <c r="A80" s="104" t="s">
        <v>56</v>
      </c>
      <c r="B80" s="111"/>
      <c r="C80" s="68"/>
      <c r="D80" s="26"/>
      <c r="E80" s="26"/>
      <c r="F80" s="27"/>
      <c r="G80" s="27"/>
      <c r="K80" s="86"/>
      <c r="L80" s="85"/>
    </row>
    <row r="81" spans="1:12" ht="18.75" customHeight="1" x14ac:dyDescent="0.35">
      <c r="A81" s="94" t="s">
        <v>57</v>
      </c>
      <c r="B81" s="112" t="s">
        <v>797</v>
      </c>
      <c r="C81" s="5">
        <f>+IFERROR(VLOOKUP($A81,RAIZ!$A$3:$X$1500,MATCH('Suc. Peñita'!$F$1,RAIZ!$A$2:$X$2,0),FALSE),0)</f>
        <v>0</v>
      </c>
      <c r="D81" s="168">
        <v>0</v>
      </c>
      <c r="E81" s="4"/>
      <c r="F81" s="5">
        <f t="shared" ref="F81:F90" si="8">IF(D81-C81&gt;=0,D81-C81,0)</f>
        <v>0</v>
      </c>
      <c r="G81" s="5"/>
      <c r="K81" s="86"/>
      <c r="L81" s="85"/>
    </row>
    <row r="82" spans="1:12" ht="18.75" customHeight="1" x14ac:dyDescent="0.35">
      <c r="A82" s="94" t="s">
        <v>58</v>
      </c>
      <c r="B82" s="112" t="s">
        <v>867</v>
      </c>
      <c r="C82" s="5">
        <f>+IFERROR(VLOOKUP($A82,RAIZ!$A$3:$X$1500,MATCH('Suc. Peñita'!$F$1,RAIZ!$A$2:$X$2,0),FALSE),0)</f>
        <v>0</v>
      </c>
      <c r="D82" s="168">
        <v>0</v>
      </c>
      <c r="E82" s="4"/>
      <c r="F82" s="5">
        <f t="shared" si="8"/>
        <v>0</v>
      </c>
      <c r="G82" s="5"/>
      <c r="K82" s="86"/>
      <c r="L82" s="85"/>
    </row>
    <row r="83" spans="1:12" ht="18.75" customHeight="1" x14ac:dyDescent="0.35">
      <c r="A83" s="94" t="s">
        <v>59</v>
      </c>
      <c r="B83" s="112" t="s">
        <v>798</v>
      </c>
      <c r="C83" s="5">
        <f>+IFERROR(VLOOKUP($A83,RAIZ!$A$3:$X$1500,MATCH('Suc. Peñita'!$F$1,RAIZ!$A$2:$X$2,0),FALSE),0)</f>
        <v>0</v>
      </c>
      <c r="D83" s="169">
        <v>0</v>
      </c>
      <c r="E83" s="4"/>
      <c r="F83" s="5">
        <f t="shared" si="8"/>
        <v>0</v>
      </c>
      <c r="G83" s="5"/>
    </row>
    <row r="84" spans="1:12" ht="18.75" customHeight="1" x14ac:dyDescent="0.35">
      <c r="A84" s="94" t="s">
        <v>60</v>
      </c>
      <c r="B84" s="112" t="s">
        <v>799</v>
      </c>
      <c r="C84" s="5">
        <f>+IFERROR(VLOOKUP($A84,RAIZ!$A$3:$X$1500,MATCH('Suc. Peñita'!$F$1,RAIZ!$A$2:$X$2,0),FALSE),0)</f>
        <v>0</v>
      </c>
      <c r="D84" s="169">
        <v>0</v>
      </c>
      <c r="E84" s="148"/>
      <c r="F84" s="5">
        <f t="shared" si="8"/>
        <v>0</v>
      </c>
      <c r="G84" s="5"/>
    </row>
    <row r="85" spans="1:12" ht="18.75" customHeight="1" x14ac:dyDescent="0.35">
      <c r="A85" s="94" t="s">
        <v>61</v>
      </c>
      <c r="B85" s="112" t="s">
        <v>800</v>
      </c>
      <c r="C85" s="149">
        <f>+IFERROR(VLOOKUP($A85,RAIZ!$A$3:$X$1500,MATCH('Suc. Peñita'!$F$1,RAIZ!$A$2:$X$2,0),FALSE),0)</f>
        <v>1</v>
      </c>
      <c r="D85" s="177">
        <v>0</v>
      </c>
      <c r="E85" s="148"/>
      <c r="F85" s="153">
        <f t="shared" si="8"/>
        <v>0</v>
      </c>
      <c r="G85" s="149"/>
    </row>
    <row r="86" spans="1:12" ht="18.75" customHeight="1" x14ac:dyDescent="0.35">
      <c r="A86" s="94" t="s">
        <v>63</v>
      </c>
      <c r="B86" s="112" t="s">
        <v>801</v>
      </c>
      <c r="C86" s="5">
        <f>+IFERROR(VLOOKUP($A86,RAIZ!$A$3:$X$1500,MATCH('Suc. Peñita'!$F$1,RAIZ!$A$2:$X$2,0),FALSE),0)</f>
        <v>0</v>
      </c>
      <c r="D86" s="169">
        <v>0</v>
      </c>
      <c r="E86" s="148"/>
      <c r="F86" s="5">
        <f t="shared" si="8"/>
        <v>0</v>
      </c>
      <c r="G86" s="5"/>
    </row>
    <row r="87" spans="1:12" ht="18.75" customHeight="1" x14ac:dyDescent="0.35">
      <c r="A87" s="94"/>
      <c r="B87" s="112" t="s">
        <v>1091</v>
      </c>
      <c r="C87" s="5">
        <f>+IFERROR(VLOOKUP($A87,RAIZ!$A$3:$X$1500,MATCH('Suc. Peñita'!$F$1,RAIZ!$A$2:$X$2,0),FALSE),0)</f>
        <v>0</v>
      </c>
      <c r="D87" s="20"/>
      <c r="E87" s="148"/>
      <c r="F87" s="5">
        <f>IF(D87-C87&gt;=0,D87-C87,0)</f>
        <v>0</v>
      </c>
      <c r="G87" s="5"/>
    </row>
    <row r="88" spans="1:12" ht="18.75" customHeight="1" x14ac:dyDescent="0.35">
      <c r="A88" s="94"/>
      <c r="B88" s="112" t="s">
        <v>1094</v>
      </c>
      <c r="C88" s="5">
        <f>+IFERROR(VLOOKUP($A88,RAIZ!$A$3:$X$1500,MATCH('Suc. Peñita'!$F$1,RAIZ!$A$2:$X$2,0),FALSE),0)</f>
        <v>0</v>
      </c>
      <c r="D88" s="7"/>
      <c r="E88" s="4"/>
      <c r="F88" s="5">
        <f t="shared" si="8"/>
        <v>0</v>
      </c>
      <c r="G88" s="5"/>
    </row>
    <row r="89" spans="1:12" ht="18.75" customHeight="1" x14ac:dyDescent="0.35">
      <c r="A89" s="94"/>
      <c r="B89" s="112" t="s">
        <v>1095</v>
      </c>
      <c r="C89" s="5">
        <f>+IFERROR(VLOOKUP($A89,RAIZ!$A$3:$X$1500,MATCH('Suc. Peñita'!$F$1,RAIZ!$A$2:$X$2,0),FALSE),0)</f>
        <v>0</v>
      </c>
      <c r="D89" s="7"/>
      <c r="E89" s="4"/>
      <c r="F89" s="5">
        <f t="shared" si="8"/>
        <v>0</v>
      </c>
      <c r="G89" s="5"/>
    </row>
    <row r="90" spans="1:12" ht="18.75" customHeight="1" thickBot="1" x14ac:dyDescent="0.4">
      <c r="A90" s="94"/>
      <c r="B90" s="112" t="s">
        <v>1093</v>
      </c>
      <c r="C90" s="5">
        <f>+IFERROR(VLOOKUP($A90,RAIZ!$A$3:$X$1500,MATCH('Suc. Peñita'!$F$1,RAIZ!$A$2:$X$2,0),FALSE),0)</f>
        <v>0</v>
      </c>
      <c r="D90" s="7"/>
      <c r="E90" s="4"/>
      <c r="F90" s="5">
        <f t="shared" si="8"/>
        <v>0</v>
      </c>
      <c r="G90" s="5"/>
    </row>
    <row r="91" spans="1:12" ht="18.75" customHeight="1" thickBot="1" x14ac:dyDescent="0.4">
      <c r="A91" s="105" t="s">
        <v>55</v>
      </c>
      <c r="B91" s="111"/>
      <c r="C91" s="80">
        <f>SUM(C81:C90)</f>
        <v>1</v>
      </c>
      <c r="D91" s="54">
        <f>SUM(D81:D90)</f>
        <v>0</v>
      </c>
      <c r="E91" s="54">
        <f>SUM(E81:E90)</f>
        <v>0</v>
      </c>
      <c r="F91" s="69">
        <f>SUM(F81:F90)</f>
        <v>0</v>
      </c>
      <c r="G91" s="54">
        <f>SUM(G81:G90)</f>
        <v>0</v>
      </c>
    </row>
    <row r="92" spans="1:12" ht="18.75" customHeight="1" x14ac:dyDescent="0.35">
      <c r="A92" s="106" t="s">
        <v>64</v>
      </c>
      <c r="B92" s="111"/>
      <c r="C92" s="70"/>
      <c r="D92" s="30"/>
      <c r="E92" s="30"/>
      <c r="F92" s="31"/>
      <c r="G92" s="31"/>
    </row>
    <row r="93" spans="1:12" ht="18.75" customHeight="1" x14ac:dyDescent="0.35">
      <c r="A93" s="94" t="s">
        <v>65</v>
      </c>
      <c r="B93" s="112" t="s">
        <v>802</v>
      </c>
      <c r="C93" s="5">
        <f>+IFERROR(VLOOKUP($A93,RAIZ!$A$3:$X$1500,MATCH('Suc. Peñita'!$F$1,RAIZ!$A$2:$X$2,0),FALSE),0)</f>
        <v>0</v>
      </c>
      <c r="D93" s="4">
        <v>1</v>
      </c>
      <c r="E93" s="4"/>
      <c r="F93" s="5">
        <f t="shared" ref="F93:F104" si="9">IF(D93-C93&gt;=0,D93-C93,0)</f>
        <v>1</v>
      </c>
      <c r="G93" s="5"/>
    </row>
    <row r="94" spans="1:12" ht="18.75" customHeight="1" x14ac:dyDescent="0.35">
      <c r="A94" s="94" t="s">
        <v>66</v>
      </c>
      <c r="B94" s="112" t="s">
        <v>803</v>
      </c>
      <c r="C94" s="5">
        <f>+IFERROR(VLOOKUP($A94,RAIZ!$A$3:$X$1500,MATCH('Suc. Peñita'!$F$1,RAIZ!$A$2:$X$2,0),FALSE),0)</f>
        <v>1</v>
      </c>
      <c r="D94" s="7">
        <v>1</v>
      </c>
      <c r="E94" s="4"/>
      <c r="F94" s="5">
        <f t="shared" si="9"/>
        <v>0</v>
      </c>
      <c r="G94" s="5"/>
    </row>
    <row r="95" spans="1:12" ht="18.75" customHeight="1" x14ac:dyDescent="0.35">
      <c r="A95" s="94" t="s">
        <v>68</v>
      </c>
      <c r="B95" s="112" t="s">
        <v>805</v>
      </c>
      <c r="C95" s="5">
        <f>+IFERROR(VLOOKUP($A95,RAIZ!$A$3:$X$1500,MATCH('Suc. Peñita'!$F$1,RAIZ!$A$2:$X$2,0),FALSE),0)</f>
        <v>1</v>
      </c>
      <c r="D95" s="7">
        <v>1</v>
      </c>
      <c r="E95" s="4"/>
      <c r="F95" s="5">
        <f t="shared" si="9"/>
        <v>0</v>
      </c>
      <c r="G95" s="5"/>
    </row>
    <row r="96" spans="1:12" ht="18.75" customHeight="1" x14ac:dyDescent="0.35">
      <c r="A96" s="94" t="s">
        <v>69</v>
      </c>
      <c r="B96" s="112" t="s">
        <v>806</v>
      </c>
      <c r="C96" s="5">
        <f>+IFERROR(VLOOKUP($A96,RAIZ!$A$3:$X$1500,MATCH('Suc. Peñita'!$F$1,RAIZ!$A$2:$X$2,0),FALSE),0)</f>
        <v>0</v>
      </c>
      <c r="D96" s="7">
        <v>10</v>
      </c>
      <c r="E96" s="4"/>
      <c r="F96" s="5">
        <f t="shared" si="9"/>
        <v>10</v>
      </c>
      <c r="G96" s="5"/>
    </row>
    <row r="97" spans="1:7" ht="18.75" customHeight="1" x14ac:dyDescent="0.35">
      <c r="A97" s="94" t="s">
        <v>70</v>
      </c>
      <c r="B97" s="112" t="s">
        <v>807</v>
      </c>
      <c r="C97" s="5">
        <f>+IFERROR(VLOOKUP($A97,RAIZ!$A$3:$X$1500,MATCH('Suc. Peñita'!$F$1,RAIZ!$A$2:$X$2,0),FALSE),0)</f>
        <v>2</v>
      </c>
      <c r="D97" s="7">
        <v>6</v>
      </c>
      <c r="E97" s="4"/>
      <c r="F97" s="5">
        <f t="shared" si="9"/>
        <v>4</v>
      </c>
      <c r="G97" s="5"/>
    </row>
    <row r="98" spans="1:7" ht="18.75" customHeight="1" x14ac:dyDescent="0.35">
      <c r="A98" s="94" t="s">
        <v>857</v>
      </c>
      <c r="B98" s="112" t="s">
        <v>808</v>
      </c>
      <c r="C98" s="5">
        <f>+IFERROR(VLOOKUP($A98,RAIZ!$A$3:$X$1500,MATCH('Suc. Peñita'!$F$1,RAIZ!$A$2:$X$2,0),FALSE),0)</f>
        <v>8</v>
      </c>
      <c r="D98" s="7">
        <v>4</v>
      </c>
      <c r="E98" s="202">
        <v>8</v>
      </c>
      <c r="F98" s="5">
        <f t="shared" si="9"/>
        <v>0</v>
      </c>
      <c r="G98" s="5"/>
    </row>
    <row r="99" spans="1:7" ht="18.75" customHeight="1" x14ac:dyDescent="0.35">
      <c r="A99" s="94" t="s">
        <v>835</v>
      </c>
      <c r="B99" s="112" t="s">
        <v>836</v>
      </c>
      <c r="C99" s="5">
        <f>+IFERROR(VLOOKUP($A99,RAIZ!$A$3:$X$1500,MATCH('Suc. Peñita'!$F$1,RAIZ!$A$2:$X$2,0),FALSE),0)</f>
        <v>0</v>
      </c>
      <c r="D99" s="7">
        <v>2</v>
      </c>
      <c r="E99" s="4"/>
      <c r="F99" s="5">
        <f t="shared" si="9"/>
        <v>2</v>
      </c>
      <c r="G99" s="5"/>
    </row>
    <row r="100" spans="1:7" ht="18.75" customHeight="1" x14ac:dyDescent="0.35">
      <c r="A100" s="94" t="s">
        <v>72</v>
      </c>
      <c r="B100" s="112" t="s">
        <v>834</v>
      </c>
      <c r="C100" s="5">
        <f>+IFERROR(VLOOKUP($A100,RAIZ!$A$3:$X$1500,MATCH('Suc. Peñita'!$F$1,RAIZ!$A$2:$X$2,0),FALSE),0)</f>
        <v>16</v>
      </c>
      <c r="D100" s="7">
        <v>25</v>
      </c>
      <c r="E100" s="4"/>
      <c r="F100" s="5">
        <f t="shared" si="9"/>
        <v>9</v>
      </c>
      <c r="G100" s="5"/>
    </row>
    <row r="101" spans="1:7" ht="18.75" customHeight="1" x14ac:dyDescent="0.35">
      <c r="A101" s="94" t="s">
        <v>73</v>
      </c>
      <c r="B101" s="112" t="s">
        <v>809</v>
      </c>
      <c r="C101" s="5">
        <f>+IFERROR(VLOOKUP($A101,RAIZ!$A$3:$X$1500,MATCH('Suc. Peñita'!$F$1,RAIZ!$A$2:$X$2,0),FALSE),0)</f>
        <v>0</v>
      </c>
      <c r="D101" s="7">
        <v>1</v>
      </c>
      <c r="E101" s="4"/>
      <c r="F101" s="5">
        <f t="shared" si="9"/>
        <v>1</v>
      </c>
      <c r="G101" s="5"/>
    </row>
    <row r="102" spans="1:7" ht="18.75" customHeight="1" x14ac:dyDescent="0.35">
      <c r="A102" s="94" t="s">
        <v>74</v>
      </c>
      <c r="B102" s="112" t="s">
        <v>810</v>
      </c>
      <c r="C102" s="5">
        <f>+IFERROR(VLOOKUP($A102,RAIZ!$A$3:$X$1500,MATCH('Suc. Peñita'!$F$1,RAIZ!$A$2:$X$2,0),FALSE),0)</f>
        <v>1</v>
      </c>
      <c r="D102" s="7">
        <v>1</v>
      </c>
      <c r="E102" s="4"/>
      <c r="F102" s="5">
        <f t="shared" si="9"/>
        <v>0</v>
      </c>
      <c r="G102" s="5"/>
    </row>
    <row r="103" spans="1:7" ht="18.75" customHeight="1" x14ac:dyDescent="0.35">
      <c r="A103" s="94" t="s">
        <v>75</v>
      </c>
      <c r="B103" s="112" t="s">
        <v>811</v>
      </c>
      <c r="C103" s="5">
        <f>+IFERROR(VLOOKUP($A103,RAIZ!$A$3:$X$1500,MATCH('Suc. Peñita'!$F$1,RAIZ!$A$2:$X$2,0),FALSE),0)</f>
        <v>0</v>
      </c>
      <c r="D103" s="20">
        <v>1</v>
      </c>
      <c r="E103" s="4"/>
      <c r="F103" s="5">
        <f t="shared" si="9"/>
        <v>1</v>
      </c>
      <c r="G103" s="5"/>
    </row>
    <row r="104" spans="1:7" ht="18.75" customHeight="1" thickBot="1" x14ac:dyDescent="0.4">
      <c r="A104" s="94"/>
      <c r="B104" s="112" t="s">
        <v>1096</v>
      </c>
      <c r="C104" s="5">
        <f>+IFERROR(VLOOKUP($A104,RAIZ!$A$3:$X$1500,MATCH('Suc. Peñita'!$F$1,RAIZ!$A$2:$X$2,0),FALSE),0)</f>
        <v>0</v>
      </c>
      <c r="D104" s="7">
        <v>0</v>
      </c>
      <c r="E104" s="4"/>
      <c r="F104" s="5">
        <f t="shared" si="9"/>
        <v>0</v>
      </c>
      <c r="G104" s="5"/>
    </row>
    <row r="105" spans="1:7" ht="18.75" customHeight="1" thickBot="1" x14ac:dyDescent="0.4">
      <c r="A105" s="107" t="s">
        <v>55</v>
      </c>
      <c r="B105" s="111"/>
      <c r="C105" s="81">
        <f>SUM(C93:C104)</f>
        <v>29</v>
      </c>
      <c r="D105" s="56">
        <f>SUM(D93:D104)</f>
        <v>53</v>
      </c>
      <c r="E105" s="56">
        <f>SUM(E93:E104)</f>
        <v>8</v>
      </c>
      <c r="F105" s="71">
        <f>SUM(F93:F104)</f>
        <v>28</v>
      </c>
      <c r="G105" s="56">
        <f>SUM(G93:G104)</f>
        <v>0</v>
      </c>
    </row>
    <row r="106" spans="1:7" ht="18.75" customHeight="1" x14ac:dyDescent="0.35">
      <c r="A106" s="108" t="s">
        <v>76</v>
      </c>
      <c r="B106" s="111"/>
      <c r="C106" s="72"/>
      <c r="D106" s="34"/>
      <c r="E106" s="34"/>
      <c r="F106" s="35"/>
      <c r="G106" s="35"/>
    </row>
    <row r="107" spans="1:7" ht="18.75" customHeight="1" x14ac:dyDescent="0.35">
      <c r="A107" s="94" t="s">
        <v>77</v>
      </c>
      <c r="B107" s="112" t="s">
        <v>812</v>
      </c>
      <c r="C107" s="5">
        <f>+IFERROR(VLOOKUP($A107,RAIZ!$A$3:$X$1500,MATCH('Suc. Peñita'!$F$1,RAIZ!$A$2:$X$2,0),FALSE),0)</f>
        <v>0</v>
      </c>
      <c r="D107" s="7">
        <v>2</v>
      </c>
      <c r="E107" s="4"/>
      <c r="F107" s="5">
        <f t="shared" ref="F107:F112" si="10">IF(D107-C107&gt;=0,D107-C107,0)</f>
        <v>2</v>
      </c>
      <c r="G107" s="5"/>
    </row>
    <row r="108" spans="1:7" ht="18.75" customHeight="1" x14ac:dyDescent="0.35">
      <c r="A108" s="94" t="s">
        <v>621</v>
      </c>
      <c r="B108" s="112" t="s">
        <v>813</v>
      </c>
      <c r="C108" s="5">
        <f>+IFERROR(VLOOKUP($A108,RAIZ!$A$3:$X$1500,MATCH('Suc. Peñita'!$F$1,RAIZ!$A$2:$X$2,0),FALSE),0)</f>
        <v>0</v>
      </c>
      <c r="D108" s="7">
        <v>0</v>
      </c>
      <c r="E108" s="4"/>
      <c r="F108" s="5">
        <f t="shared" si="10"/>
        <v>0</v>
      </c>
      <c r="G108" s="5"/>
    </row>
    <row r="109" spans="1:7" ht="18.75" customHeight="1" x14ac:dyDescent="0.35">
      <c r="A109" s="94" t="s">
        <v>80</v>
      </c>
      <c r="B109" s="112" t="s">
        <v>815</v>
      </c>
      <c r="C109" s="5">
        <f>+IFERROR(VLOOKUP($A109,RAIZ!$A$3:$X$1500,MATCH('Suc. Peñita'!$F$1,RAIZ!$A$2:$X$2,0),FALSE),0)</f>
        <v>0</v>
      </c>
      <c r="D109" s="7">
        <v>6</v>
      </c>
      <c r="E109" s="4"/>
      <c r="F109" s="5">
        <f t="shared" si="10"/>
        <v>6</v>
      </c>
      <c r="G109" s="5"/>
    </row>
    <row r="110" spans="1:7" ht="18.75" customHeight="1" x14ac:dyDescent="0.35">
      <c r="A110" s="94" t="s">
        <v>81</v>
      </c>
      <c r="B110" s="112" t="s">
        <v>816</v>
      </c>
      <c r="C110" s="5">
        <f>+IFERROR(VLOOKUP($A110,RAIZ!$A$3:$X$1500,MATCH('Suc. Peñita'!$F$1,RAIZ!$A$2:$X$2,0),FALSE),0)</f>
        <v>5</v>
      </c>
      <c r="D110" s="7">
        <v>6</v>
      </c>
      <c r="E110" s="4"/>
      <c r="F110" s="5">
        <f t="shared" si="10"/>
        <v>1</v>
      </c>
      <c r="G110" s="5"/>
    </row>
    <row r="111" spans="1:7" ht="18.75" customHeight="1" x14ac:dyDescent="0.35">
      <c r="A111" s="95" t="s">
        <v>83</v>
      </c>
      <c r="B111" s="112" t="s">
        <v>818</v>
      </c>
      <c r="C111" s="5">
        <f>+IFERROR(VLOOKUP($A111,RAIZ!$A$3:$X$1500,MATCH('Suc. Peñita'!$F$1,RAIZ!$A$2:$X$2,0),FALSE),0)</f>
        <v>1</v>
      </c>
      <c r="D111" s="20">
        <v>1</v>
      </c>
      <c r="E111" s="4"/>
      <c r="F111" s="5">
        <f t="shared" si="10"/>
        <v>0</v>
      </c>
      <c r="G111" s="5"/>
    </row>
    <row r="112" spans="1:7" ht="18.75" customHeight="1" thickBot="1" x14ac:dyDescent="0.4">
      <c r="A112" s="95"/>
      <c r="B112" s="112"/>
      <c r="C112" s="5">
        <f>+IFERROR(VLOOKUP($A112,RAIZ!$A$3:$X$1500,MATCH('Suc. Peñita'!$F$1,RAIZ!$A$2:$X$2,0),FALSE),0)</f>
        <v>0</v>
      </c>
      <c r="D112" s="20">
        <v>0</v>
      </c>
      <c r="E112" s="4"/>
      <c r="F112" s="5">
        <f t="shared" si="10"/>
        <v>0</v>
      </c>
      <c r="G112" s="5"/>
    </row>
    <row r="113" spans="1:8" ht="18.75" customHeight="1" thickBot="1" x14ac:dyDescent="0.4">
      <c r="A113" s="109" t="s">
        <v>55</v>
      </c>
      <c r="B113" s="111"/>
      <c r="C113" s="82">
        <f>SUM(C107:C112,C114:C116)</f>
        <v>10</v>
      </c>
      <c r="D113" s="58">
        <f>SUM(D107:D112,D114:D116)</f>
        <v>30</v>
      </c>
      <c r="E113" s="58">
        <f>SUM(E107:E112,E114:E116)</f>
        <v>0</v>
      </c>
      <c r="F113" s="73">
        <f>SUM(F107:F112,F114:F116)</f>
        <v>20</v>
      </c>
      <c r="G113" s="58">
        <f>SUM(G107:G112,G114:G116)</f>
        <v>0</v>
      </c>
    </row>
    <row r="114" spans="1:8" ht="18.75" customHeight="1" x14ac:dyDescent="0.35">
      <c r="A114" s="93" t="s">
        <v>84</v>
      </c>
      <c r="B114" s="112" t="s">
        <v>819</v>
      </c>
      <c r="C114" s="5">
        <f>+IFERROR(VLOOKUP($A114,RAIZ!$A$3:$X$1500,MATCH('Suc. Peñita'!$F$1,RAIZ!$A$2:$X$2,0),FALSE),0)</f>
        <v>3</v>
      </c>
      <c r="D114" s="4">
        <v>5</v>
      </c>
      <c r="E114" s="4"/>
      <c r="F114" s="5">
        <f t="shared" ref="F114:F141" si="11">IF(D114-C114&gt;=0,D114-C114,0)</f>
        <v>2</v>
      </c>
      <c r="G114" s="5"/>
    </row>
    <row r="115" spans="1:8" ht="18.75" customHeight="1" x14ac:dyDescent="0.35">
      <c r="A115" s="95" t="s">
        <v>85</v>
      </c>
      <c r="B115" s="112" t="s">
        <v>820</v>
      </c>
      <c r="C115" s="5">
        <f>+IFERROR(VLOOKUP($A115,RAIZ!$A$3:$X$1500,MATCH('Suc. Peñita'!$F$1,RAIZ!$A$2:$X$2,0),FALSE),0)</f>
        <v>1</v>
      </c>
      <c r="D115" s="20">
        <v>5</v>
      </c>
      <c r="E115" s="4"/>
      <c r="F115" s="5">
        <f t="shared" si="11"/>
        <v>4</v>
      </c>
      <c r="G115" s="5"/>
    </row>
    <row r="116" spans="1:8" ht="18.75" customHeight="1" thickBot="1" x14ac:dyDescent="0.4">
      <c r="A116" s="95" t="s">
        <v>881</v>
      </c>
      <c r="B116" s="112" t="s">
        <v>882</v>
      </c>
      <c r="C116" s="5">
        <f>+IFERROR(VLOOKUP($A116,RAIZ!$A$3:$X$1500,MATCH('Suc. Peñita'!$F$1,RAIZ!$A$2:$X$2,0),FALSE),0)</f>
        <v>0</v>
      </c>
      <c r="D116" s="20">
        <v>5</v>
      </c>
      <c r="E116" s="4"/>
      <c r="F116" s="5">
        <f t="shared" si="11"/>
        <v>5</v>
      </c>
      <c r="G116" s="5"/>
    </row>
    <row r="117" spans="1:8" ht="18.75" customHeight="1" thickBot="1" x14ac:dyDescent="0.4">
      <c r="A117" s="110" t="s">
        <v>86</v>
      </c>
      <c r="B117" s="111"/>
      <c r="C117" s="83">
        <f>C79+C91+C105+C113</f>
        <v>97</v>
      </c>
      <c r="D117" s="60">
        <f>D79+D91+D105+D113</f>
        <v>179</v>
      </c>
      <c r="E117" s="60">
        <f>E79+E91+E105+E113</f>
        <v>8</v>
      </c>
      <c r="F117" s="74">
        <f>F79+F91+F105+F113</f>
        <v>93</v>
      </c>
      <c r="G117" s="60">
        <f>G79+G91+G105+G113</f>
        <v>0</v>
      </c>
    </row>
    <row r="118" spans="1:8" ht="18.75" customHeight="1" x14ac:dyDescent="0.35">
      <c r="A118" s="95" t="s">
        <v>975</v>
      </c>
      <c r="B118" s="112" t="s">
        <v>976</v>
      </c>
      <c r="C118" s="5">
        <f>+IFERROR(VLOOKUP($A118,RAIZ!$A$3:$X$1500,MATCH('Suc. Peñita'!$F$1,RAIZ!$A$2:$X$2,0),FALSE),0)</f>
        <v>0</v>
      </c>
      <c r="D118" s="20">
        <v>3</v>
      </c>
      <c r="E118" s="4"/>
      <c r="F118" s="5">
        <f>IF(D118-C118&gt;=0,D118-C118,0)</f>
        <v>3</v>
      </c>
      <c r="G118" s="5"/>
      <c r="H118" t="s">
        <v>1160</v>
      </c>
    </row>
    <row r="119" spans="1:8" ht="18.75" customHeight="1" x14ac:dyDescent="0.35">
      <c r="A119" s="95" t="s">
        <v>974</v>
      </c>
      <c r="B119" s="112" t="s">
        <v>977</v>
      </c>
      <c r="C119" s="5">
        <f>+IFERROR(VLOOKUP($A119,RAIZ!$A$3:$X$1500,MATCH('Suc. Peñita'!$F$1,RAIZ!$A$2:$X$2,0),FALSE),0)</f>
        <v>0</v>
      </c>
      <c r="D119" s="20">
        <v>3</v>
      </c>
      <c r="E119" s="4"/>
      <c r="F119" s="5">
        <f t="shared" si="11"/>
        <v>3</v>
      </c>
      <c r="G119" s="5"/>
    </row>
    <row r="120" spans="1:8" ht="18.75" customHeight="1" thickBot="1" x14ac:dyDescent="0.4">
      <c r="A120" s="95" t="s">
        <v>1077</v>
      </c>
      <c r="B120" s="112" t="s">
        <v>817</v>
      </c>
      <c r="C120" s="5">
        <f>+IFERROR(VLOOKUP($A120,RAIZ!$A$3:$X$1500,MATCH('Suc. Peñita'!$F$1,RAIZ!$A$2:$X$2,0),FALSE),0)</f>
        <v>0</v>
      </c>
      <c r="D120" s="20"/>
      <c r="E120" s="4"/>
      <c r="F120" s="5">
        <f t="shared" si="11"/>
        <v>0</v>
      </c>
      <c r="G120" s="5"/>
    </row>
    <row r="121" spans="1:8" ht="18.75" customHeight="1" thickBot="1" x14ac:dyDescent="0.4">
      <c r="A121" s="95" t="s">
        <v>1076</v>
      </c>
      <c r="B121" s="194" t="s">
        <v>1121</v>
      </c>
      <c r="C121" s="5">
        <f>+IFERROR(VLOOKUP($A121,RAIZ!$A$3:$X$1500,MATCH('Suc. Peñita'!$F$1,RAIZ!$A$2:$X$2,0),FALSE),0)</f>
        <v>0</v>
      </c>
      <c r="D121" s="20"/>
      <c r="E121" s="4"/>
      <c r="F121" s="5">
        <f t="shared" si="11"/>
        <v>0</v>
      </c>
      <c r="G121" s="5"/>
    </row>
    <row r="122" spans="1:8" ht="18.75" customHeight="1" thickBot="1" x14ac:dyDescent="0.4">
      <c r="A122" s="95" t="s">
        <v>1014</v>
      </c>
      <c r="B122" s="194" t="s">
        <v>1010</v>
      </c>
      <c r="C122" s="5">
        <f>+IFERROR(VLOOKUP($A122,RAIZ!$A$3:$X$1500,MATCH('Suc. Peñita'!$F$1,RAIZ!$A$2:$X$2,0),FALSE),0)</f>
        <v>0</v>
      </c>
      <c r="D122" s="20">
        <v>5</v>
      </c>
      <c r="E122" s="4"/>
      <c r="F122" s="5">
        <f t="shared" si="11"/>
        <v>5</v>
      </c>
      <c r="G122" s="5"/>
    </row>
    <row r="123" spans="1:8" ht="18.75" customHeight="1" thickBot="1" x14ac:dyDescent="0.4">
      <c r="A123" s="95" t="s">
        <v>1015</v>
      </c>
      <c r="B123" s="194" t="s">
        <v>1011</v>
      </c>
      <c r="C123" s="147">
        <f>+IFERROR(VLOOKUP($A123,RAIZ!$A$3:$X$1500,MATCH('Suc. Peñita'!$F$1,RAIZ!$A$2:$X$2,0),FALSE),0)</f>
        <v>0</v>
      </c>
      <c r="D123" s="20">
        <v>5</v>
      </c>
      <c r="E123" s="4"/>
      <c r="F123" s="5">
        <f t="shared" si="11"/>
        <v>5</v>
      </c>
      <c r="G123" s="5"/>
    </row>
    <row r="124" spans="1:8" ht="18.75" customHeight="1" thickBot="1" x14ac:dyDescent="0.4">
      <c r="A124" s="95" t="s">
        <v>1016</v>
      </c>
      <c r="B124" s="194" t="s">
        <v>1012</v>
      </c>
      <c r="C124" s="147">
        <f>+IFERROR(VLOOKUP($A124,RAIZ!$A$3:$X$1500,MATCH('Suc. Peñita'!$F$1,RAIZ!$A$2:$X$2,0),FALSE),0)</f>
        <v>1</v>
      </c>
      <c r="D124" s="20">
        <v>5</v>
      </c>
      <c r="E124" s="4"/>
      <c r="F124" s="5">
        <f t="shared" si="11"/>
        <v>4</v>
      </c>
      <c r="G124" s="5"/>
    </row>
    <row r="125" spans="1:8" ht="18.75" customHeight="1" thickBot="1" x14ac:dyDescent="0.4">
      <c r="A125" s="95" t="s">
        <v>1017</v>
      </c>
      <c r="B125" s="194" t="s">
        <v>1013</v>
      </c>
      <c r="C125" s="147">
        <f>+IFERROR(VLOOKUP($A125,RAIZ!$A$3:$X$1500,MATCH('Suc. Peñita'!$F$1,RAIZ!$A$2:$X$2,0),FALSE),0)</f>
        <v>0</v>
      </c>
      <c r="D125" s="18">
        <v>5</v>
      </c>
      <c r="E125" s="4"/>
      <c r="F125" s="5">
        <f t="shared" si="11"/>
        <v>5</v>
      </c>
      <c r="G125" s="5"/>
    </row>
    <row r="126" spans="1:8" ht="18.75" customHeight="1" thickBot="1" x14ac:dyDescent="0.4">
      <c r="A126" s="95" t="s">
        <v>1125</v>
      </c>
      <c r="B126" s="194" t="s">
        <v>1127</v>
      </c>
      <c r="C126" s="147">
        <f>+IFERROR(VLOOKUP($A126,RAIZ!$A$3:$X$1500,MATCH('Suc. Peñita'!$F$1,RAIZ!$A$2:$X$2,0),FALSE),0)</f>
        <v>0</v>
      </c>
      <c r="D126" s="20"/>
      <c r="E126" s="4"/>
      <c r="F126" s="5">
        <f t="shared" si="11"/>
        <v>0</v>
      </c>
      <c r="G126" s="5"/>
    </row>
    <row r="127" spans="1:8" ht="18.75" customHeight="1" thickBot="1" x14ac:dyDescent="0.4">
      <c r="A127" s="95" t="s">
        <v>1126</v>
      </c>
      <c r="B127" s="194" t="s">
        <v>1128</v>
      </c>
      <c r="C127" s="147">
        <f>+IFERROR(VLOOKUP($A127,RAIZ!$A$3:$X$1500,MATCH('Suc. Peñita'!$F$1,RAIZ!$A$2:$X$2,0),FALSE),0)</f>
        <v>0</v>
      </c>
      <c r="D127" s="18"/>
      <c r="E127" s="18"/>
      <c r="F127" s="184">
        <f t="shared" si="11"/>
        <v>0</v>
      </c>
      <c r="G127" s="181"/>
    </row>
    <row r="128" spans="1:8" ht="18.75" customHeight="1" thickBot="1" x14ac:dyDescent="0.4">
      <c r="A128" s="95" t="s">
        <v>568</v>
      </c>
      <c r="B128" s="194" t="s">
        <v>1131</v>
      </c>
      <c r="C128" s="186">
        <f>+IFERROR(VLOOKUP($A128,RAIZ!$A$3:$X$1500,MATCH('Suc. Peñita'!$F$1,RAIZ!$A$2:$X$2,0),FALSE),0)</f>
        <v>0</v>
      </c>
      <c r="D128" s="18">
        <v>3</v>
      </c>
      <c r="E128" s="14"/>
      <c r="F128" s="185">
        <f t="shared" si="11"/>
        <v>3</v>
      </c>
      <c r="G128" s="185"/>
    </row>
    <row r="129" spans="1:7" ht="18.75" customHeight="1" thickBot="1" x14ac:dyDescent="0.4">
      <c r="A129" s="95" t="s">
        <v>565</v>
      </c>
      <c r="B129" s="194" t="s">
        <v>1142</v>
      </c>
      <c r="C129" s="187">
        <f>+IFERROR(VLOOKUP($A129,RAIZ!$A$3:$X$1500,MATCH('Suc. Peñita'!$F$1,RAIZ!$A$2:$X$2,0),FALSE),0)</f>
        <v>0</v>
      </c>
      <c r="D129" s="18">
        <v>2</v>
      </c>
      <c r="E129" s="14"/>
      <c r="F129" s="185">
        <f t="shared" si="11"/>
        <v>2</v>
      </c>
      <c r="G129" s="185"/>
    </row>
    <row r="130" spans="1:7" ht="18.75" customHeight="1" thickBot="1" x14ac:dyDescent="0.4">
      <c r="A130" s="95" t="s">
        <v>912</v>
      </c>
      <c r="B130" s="194" t="s">
        <v>1136</v>
      </c>
      <c r="C130" s="187">
        <f>+IFERROR(VLOOKUP($A130,RAIZ!$A$3:$X$1500,MATCH('Suc. Peñita'!$F$1,RAIZ!$A$2:$X$2,0),FALSE),0)</f>
        <v>0</v>
      </c>
      <c r="D130" s="18">
        <v>2</v>
      </c>
      <c r="E130" s="14"/>
      <c r="F130" s="185">
        <f t="shared" si="11"/>
        <v>2</v>
      </c>
      <c r="G130" s="185"/>
    </row>
    <row r="131" spans="1:7" ht="18.75" customHeight="1" thickBot="1" x14ac:dyDescent="0.4">
      <c r="A131" s="95" t="s">
        <v>557</v>
      </c>
      <c r="B131" s="194" t="s">
        <v>1137</v>
      </c>
      <c r="C131" s="187">
        <f>+IFERROR(VLOOKUP($A131,RAIZ!$A$3:$X$1500,MATCH('Suc. Peñita'!$F$1,RAIZ!$A$2:$X$2,0),FALSE),0)</f>
        <v>0</v>
      </c>
      <c r="D131" s="18">
        <v>2</v>
      </c>
      <c r="E131" s="14"/>
      <c r="F131" s="185">
        <f t="shared" si="11"/>
        <v>2</v>
      </c>
      <c r="G131" s="185"/>
    </row>
    <row r="132" spans="1:7" ht="18.75" customHeight="1" thickBot="1" x14ac:dyDescent="0.4">
      <c r="A132" s="95" t="s">
        <v>573</v>
      </c>
      <c r="B132" s="194" t="s">
        <v>1138</v>
      </c>
      <c r="C132" s="187">
        <f>+IFERROR(VLOOKUP($A132,RAIZ!$A$3:$X$1500,MATCH('Suc. Peñita'!$F$1,RAIZ!$A$2:$X$2,0),FALSE),0)</f>
        <v>0</v>
      </c>
      <c r="D132" s="18">
        <v>1</v>
      </c>
      <c r="E132" s="14"/>
      <c r="F132" s="185">
        <f t="shared" si="11"/>
        <v>1</v>
      </c>
      <c r="G132" s="185"/>
    </row>
    <row r="133" spans="1:7" ht="18.75" customHeight="1" thickBot="1" x14ac:dyDescent="0.4">
      <c r="A133" s="95" t="s">
        <v>421</v>
      </c>
      <c r="B133" s="194" t="s">
        <v>1140</v>
      </c>
      <c r="C133" s="187">
        <f>+IFERROR(VLOOKUP($A133,RAIZ!$A$3:$X$1500,MATCH('Suc. Peñita'!$F$1,RAIZ!$A$2:$X$2,0),FALSE),0)</f>
        <v>1</v>
      </c>
      <c r="D133" s="18">
        <v>2</v>
      </c>
      <c r="E133" s="14"/>
      <c r="F133" s="185">
        <f t="shared" si="11"/>
        <v>1</v>
      </c>
      <c r="G133" s="185"/>
    </row>
    <row r="134" spans="1:7" ht="18.75" customHeight="1" thickBot="1" x14ac:dyDescent="0.4">
      <c r="A134" s="95" t="s">
        <v>249</v>
      </c>
      <c r="B134" s="194" t="s">
        <v>1134</v>
      </c>
      <c r="C134" s="187">
        <f>+IFERROR(VLOOKUP($A134,RAIZ!$A$3:$X$1500,MATCH('Suc. Peñita'!$F$1,RAIZ!$A$2:$X$2,0),FALSE),0)</f>
        <v>1</v>
      </c>
      <c r="D134" s="18">
        <v>2</v>
      </c>
      <c r="E134" s="14"/>
      <c r="F134" s="185">
        <f t="shared" si="11"/>
        <v>1</v>
      </c>
      <c r="G134" s="185"/>
    </row>
    <row r="135" spans="1:7" ht="18.75" customHeight="1" thickBot="1" x14ac:dyDescent="0.4">
      <c r="A135" s="95" t="s">
        <v>1030</v>
      </c>
      <c r="B135" s="194" t="s">
        <v>1143</v>
      </c>
      <c r="C135" s="187">
        <f>+IFERROR(VLOOKUP($A135,RAIZ!$A$3:$X$1500,MATCH('Suc. Peñita'!$F$1,RAIZ!$A$2:$X$2,0),FALSE),0)</f>
        <v>0</v>
      </c>
      <c r="D135" s="18">
        <v>6</v>
      </c>
      <c r="E135" s="14"/>
      <c r="F135" s="185">
        <f t="shared" si="11"/>
        <v>6</v>
      </c>
      <c r="G135" s="185"/>
    </row>
    <row r="136" spans="1:7" ht="18.75" customHeight="1" thickBot="1" x14ac:dyDescent="0.4">
      <c r="A136" s="95" t="s">
        <v>253</v>
      </c>
      <c r="B136" s="194" t="s">
        <v>1135</v>
      </c>
      <c r="C136" s="187">
        <f>+IFERROR(VLOOKUP($A136,RAIZ!$A$3:$X$1500,MATCH('Suc. Peñita'!$F$1,RAIZ!$A$2:$X$2,0),FALSE),0)</f>
        <v>1</v>
      </c>
      <c r="D136" s="18">
        <v>2</v>
      </c>
      <c r="E136" s="14"/>
      <c r="F136" s="185">
        <f t="shared" si="11"/>
        <v>1</v>
      </c>
      <c r="G136" s="185"/>
    </row>
    <row r="137" spans="1:7" ht="18.75" customHeight="1" thickBot="1" x14ac:dyDescent="0.4">
      <c r="A137" s="95" t="s">
        <v>240</v>
      </c>
      <c r="B137" s="194" t="s">
        <v>1139</v>
      </c>
      <c r="C137" s="187">
        <f>+IFERROR(VLOOKUP($A137,RAIZ!$A$3:$X$1500,MATCH('Suc. Peñita'!$F$1,RAIZ!$A$2:$X$2,0),FALSE),0)</f>
        <v>0</v>
      </c>
      <c r="D137" s="18">
        <v>0</v>
      </c>
      <c r="E137" s="14"/>
      <c r="F137" s="185">
        <f t="shared" si="11"/>
        <v>0</v>
      </c>
      <c r="G137" s="185"/>
    </row>
    <row r="138" spans="1:7" ht="18.75" customHeight="1" thickBot="1" x14ac:dyDescent="0.4">
      <c r="A138" s="95" t="s">
        <v>204</v>
      </c>
      <c r="B138" s="194" t="s">
        <v>1106</v>
      </c>
      <c r="C138" s="187">
        <f>+IFERROR(VLOOKUP($A138,RAIZ!$A$3:$X$1500,MATCH('Suc. Peñita'!$F$1,RAIZ!$A$2:$X$2,0),FALSE),0)</f>
        <v>0</v>
      </c>
      <c r="D138" s="18">
        <v>0</v>
      </c>
      <c r="E138" s="14"/>
      <c r="F138" s="185">
        <f t="shared" si="11"/>
        <v>0</v>
      </c>
      <c r="G138" s="185"/>
    </row>
    <row r="139" spans="1:7" ht="18.75" customHeight="1" thickBot="1" x14ac:dyDescent="0.4">
      <c r="A139" s="95" t="s">
        <v>1132</v>
      </c>
      <c r="B139" s="194" t="s">
        <v>1141</v>
      </c>
      <c r="C139" s="187">
        <f>+IFERROR(VLOOKUP($A139,RAIZ!$A$3:$X$1500,MATCH('Suc. Peñita'!$F$1,RAIZ!$A$2:$X$2,0),FALSE),0)</f>
        <v>1</v>
      </c>
      <c r="D139" s="18">
        <v>1</v>
      </c>
      <c r="E139" s="14"/>
      <c r="F139" s="185">
        <f t="shared" si="11"/>
        <v>0</v>
      </c>
      <c r="G139" s="185"/>
    </row>
    <row r="140" spans="1:7" ht="18.75" customHeight="1" thickBot="1" x14ac:dyDescent="0.4">
      <c r="A140" s="95" t="s">
        <v>914</v>
      </c>
      <c r="B140" s="194" t="s">
        <v>1133</v>
      </c>
      <c r="C140" s="187">
        <f>+IFERROR(VLOOKUP($A140,RAIZ!$A$3:$X$1500,MATCH('Suc. Peñita'!$F$1,RAIZ!$A$2:$X$2,0),FALSE),0)</f>
        <v>0</v>
      </c>
      <c r="D140" s="18">
        <v>1</v>
      </c>
      <c r="E140" s="14"/>
      <c r="F140" s="185">
        <f t="shared" si="11"/>
        <v>1</v>
      </c>
      <c r="G140" s="185"/>
    </row>
    <row r="141" spans="1:7" ht="18.75" customHeight="1" thickBot="1" x14ac:dyDescent="0.4">
      <c r="A141" s="243" t="s">
        <v>1120</v>
      </c>
      <c r="B141" s="194" t="s">
        <v>1159</v>
      </c>
      <c r="C141" s="187">
        <f>+IFERROR(VLOOKUP($A141,RAIZ!$A$3:$X$1500,MATCH('Suc. Peñita'!$F$1,RAIZ!$A$2:$X$2,0),FALSE),0)</f>
        <v>0</v>
      </c>
      <c r="D141" s="18"/>
      <c r="E141" s="14"/>
      <c r="F141" s="185">
        <f t="shared" si="11"/>
        <v>0</v>
      </c>
      <c r="G141" s="185"/>
    </row>
    <row r="142" spans="1:7" ht="18.75" customHeight="1" thickBot="1" x14ac:dyDescent="0.4">
      <c r="A142" s="95"/>
      <c r="B142" s="194"/>
      <c r="C142" s="187">
        <f>+IFERROR(VLOOKUP($A142,RAIZ!$A$3:$X$1500,MATCH('Suc. Peñita'!$F$1,RAIZ!$A$2:$X$2,0),FALSE),0)</f>
        <v>0</v>
      </c>
      <c r="D142" s="18"/>
      <c r="E142" s="14"/>
      <c r="F142" s="185"/>
      <c r="G142" s="185"/>
    </row>
    <row r="143" spans="1:7" ht="18.75" customHeight="1" thickBot="1" x14ac:dyDescent="0.4">
      <c r="A143" s="95"/>
      <c r="B143" s="193"/>
      <c r="C143" s="187">
        <f>+IFERROR(VLOOKUP($A143,RAIZ!$A$3:$X$1500,MATCH('Suc. Peñita'!$F$1,RAIZ!$A$2:$X$2,0),FALSE),0)</f>
        <v>0</v>
      </c>
      <c r="D143" s="18"/>
      <c r="E143" s="14"/>
      <c r="F143" s="185"/>
      <c r="G143" s="185"/>
    </row>
    <row r="144" spans="1:7" ht="18.75" customHeight="1" thickBot="1" x14ac:dyDescent="0.4">
      <c r="A144" s="95"/>
      <c r="B144" s="194"/>
      <c r="C144" s="187">
        <f>+IFERROR(VLOOKUP($A144,RAIZ!$A$3:$X$1500,MATCH('Suc. Peñita'!$F$1,RAIZ!$A$2:$X$2,0),FALSE),0)</f>
        <v>0</v>
      </c>
      <c r="D144" s="18"/>
      <c r="E144" s="14"/>
      <c r="F144" s="185"/>
      <c r="G144" s="185"/>
    </row>
    <row r="145" spans="1:7" ht="18.75" customHeight="1" thickBot="1" x14ac:dyDescent="0.4">
      <c r="A145" s="95"/>
      <c r="B145" s="192"/>
      <c r="C145" s="187">
        <f>+IFERROR(VLOOKUP($A145,RAIZ!$A$3:$X$1500,MATCH('Suc. Peñita'!$F$1,RAIZ!$A$2:$X$2,0),FALSE),0)</f>
        <v>0</v>
      </c>
      <c r="D145" s="18"/>
      <c r="E145" s="14"/>
      <c r="F145" s="185"/>
      <c r="G145" s="185"/>
    </row>
    <row r="146" spans="1:7" ht="18.75" customHeight="1" thickBot="1" x14ac:dyDescent="0.4">
      <c r="A146" s="95"/>
      <c r="B146" s="194"/>
      <c r="C146" s="187">
        <f>+IFERROR(VLOOKUP($A146,RAIZ!$A$3:$X$1500,MATCH('Suc. Peñita'!$F$1,RAIZ!$A$2:$X$2,0),FALSE),0)</f>
        <v>0</v>
      </c>
      <c r="D146" s="18"/>
      <c r="E146" s="14"/>
      <c r="F146" s="185"/>
      <c r="G146" s="185"/>
    </row>
    <row r="147" spans="1:7" ht="18.75" customHeight="1" thickBot="1" x14ac:dyDescent="0.4">
      <c r="A147" s="95"/>
      <c r="B147" s="193"/>
      <c r="C147" s="187">
        <f>+IFERROR(VLOOKUP($A147,RAIZ!$A$3:$X$1500,MATCH('Suc. Peñita'!$F$1,RAIZ!$A$2:$X$2,0),FALSE),0)</f>
        <v>0</v>
      </c>
      <c r="D147" s="14"/>
      <c r="E147" s="14"/>
      <c r="F147" s="185"/>
      <c r="G147" s="185"/>
    </row>
    <row r="148" spans="1:7" ht="18.75" customHeight="1" thickBot="1" x14ac:dyDescent="0.4">
      <c r="A148" s="95"/>
      <c r="B148" s="193"/>
      <c r="C148" s="188">
        <f>+IFERROR(VLOOKUP($A148,RAIZ!$A$3:$X$1500,MATCH('Suc. Peñita'!$F$1,RAIZ!$A$2:$X$2,0),FALSE),0)</f>
        <v>0</v>
      </c>
      <c r="D148" s="14"/>
      <c r="E148" s="14"/>
      <c r="F148" s="185"/>
      <c r="G148" s="185"/>
    </row>
    <row r="149" spans="1:7" ht="18.75" customHeight="1" thickBot="1" x14ac:dyDescent="0.4">
      <c r="A149" s="173"/>
      <c r="B149" s="109"/>
      <c r="C149" s="182">
        <f>SUM(C118:C127,)</f>
        <v>1</v>
      </c>
      <c r="D149" s="182">
        <f>SUM(D118:D127,)</f>
        <v>26</v>
      </c>
      <c r="E149" s="182">
        <f>SUM(E118:E127,)</f>
        <v>0</v>
      </c>
      <c r="F149" s="182">
        <f>SUM(F118:F127,)</f>
        <v>25</v>
      </c>
      <c r="G149" s="182">
        <f>SUM(G118:G148,)</f>
        <v>0</v>
      </c>
    </row>
    <row r="150" spans="1:7" ht="18.75" customHeight="1" thickBot="1" x14ac:dyDescent="0.4">
      <c r="A150" s="110" t="s">
        <v>86</v>
      </c>
      <c r="B150" s="111"/>
      <c r="C150" s="83">
        <f>C149+C117</f>
        <v>98</v>
      </c>
      <c r="D150" s="83">
        <f>D149+D117</f>
        <v>205</v>
      </c>
      <c r="E150" s="83">
        <f>E149+E117</f>
        <v>8</v>
      </c>
      <c r="F150" s="83">
        <f>F149+F117</f>
        <v>118</v>
      </c>
      <c r="G150" s="83">
        <f>G149+G117</f>
        <v>0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4AA5318-1E39-411D-B829-FF1CFCFFFBAD}">
          <x14:formula1>
            <xm:f>Hoja1!$C$2:$C$9</xm:f>
          </x14:formula1>
          <xm:sqref>H2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2736F-BAEA-445B-847A-F0E5B4CB47B9}">
  <sheetPr filterMode="1">
    <tabColor rgb="FF7030A0"/>
  </sheetPr>
  <dimension ref="A1:G150"/>
  <sheetViews>
    <sheetView zoomScale="80" zoomScaleNormal="80" workbookViewId="0">
      <pane xSplit="2" ySplit="2" topLeftCell="C10" activePane="bottomRight" state="frozen"/>
      <selection activeCell="C3" sqref="C3:C4"/>
      <selection pane="topRight" activeCell="C3" sqref="C3:C4"/>
      <selection pane="bottomLeft" activeCell="C3" sqref="C3:C4"/>
      <selection pane="bottomRight" activeCell="D10" sqref="D10"/>
    </sheetView>
  </sheetViews>
  <sheetFormatPr baseColWidth="10" defaultRowHeight="18" x14ac:dyDescent="0.35"/>
  <cols>
    <col min="1" max="1" width="55.6640625" customWidth="1"/>
    <col min="2" max="2" width="10.88671875" style="91" customWidth="1"/>
    <col min="3" max="3" width="17.6640625" style="84" customWidth="1"/>
    <col min="4" max="4" width="11.88671875" style="84" bestFit="1" customWidth="1"/>
    <col min="5" max="5" width="11.5546875" style="84"/>
  </cols>
  <sheetData>
    <row r="1" spans="1:7" ht="18.600000000000001" thickBot="1" x14ac:dyDescent="0.4">
      <c r="A1" s="1">
        <f>RAIZ!B1</f>
        <v>46301</v>
      </c>
      <c r="C1" s="2"/>
      <c r="F1" s="85"/>
      <c r="G1" s="85"/>
    </row>
    <row r="2" spans="1:7" s="211" customFormat="1" ht="31.8" thickBot="1" x14ac:dyDescent="0.35">
      <c r="A2" s="209" t="s">
        <v>0</v>
      </c>
      <c r="B2" s="210" t="s">
        <v>755</v>
      </c>
      <c r="C2" s="218" t="s">
        <v>1157</v>
      </c>
      <c r="D2" s="219" t="s">
        <v>1158</v>
      </c>
      <c r="E2" s="220" t="s">
        <v>1156</v>
      </c>
      <c r="F2" s="212"/>
      <c r="G2" s="213"/>
    </row>
    <row r="3" spans="1:7" ht="18.75" hidden="1" customHeight="1" x14ac:dyDescent="0.35">
      <c r="A3" s="93" t="s">
        <v>1</v>
      </c>
      <c r="B3" s="214" t="s">
        <v>756</v>
      </c>
      <c r="C3" s="221">
        <f>'GRAL. SUC. LOCALES'!L3</f>
        <v>8</v>
      </c>
      <c r="D3" s="222"/>
      <c r="E3" s="222">
        <f>D3-C3</f>
        <v>-8</v>
      </c>
      <c r="F3" s="86"/>
      <c r="G3" s="85"/>
    </row>
    <row r="4" spans="1:7" ht="18.75" hidden="1" customHeight="1" x14ac:dyDescent="0.35">
      <c r="A4" s="93" t="s">
        <v>2</v>
      </c>
      <c r="B4" s="214" t="s">
        <v>865</v>
      </c>
      <c r="C4" s="221">
        <f>'GRAL. SUC. LOCALES'!L4</f>
        <v>4</v>
      </c>
      <c r="D4" s="222"/>
      <c r="E4" s="222">
        <f t="shared" ref="E4:E67" si="0">D4-C4</f>
        <v>-4</v>
      </c>
      <c r="F4" s="86"/>
      <c r="G4" s="85"/>
    </row>
    <row r="5" spans="1:7" ht="18.75" hidden="1" customHeight="1" x14ac:dyDescent="0.35">
      <c r="A5" s="93" t="s">
        <v>3</v>
      </c>
      <c r="B5" s="214" t="s">
        <v>757</v>
      </c>
      <c r="C5" s="221">
        <f>'GRAL. SUC. LOCALES'!L5</f>
        <v>2</v>
      </c>
      <c r="D5" s="222"/>
      <c r="E5" s="222">
        <f t="shared" si="0"/>
        <v>-2</v>
      </c>
      <c r="F5" s="86"/>
      <c r="G5" s="85"/>
    </row>
    <row r="6" spans="1:7" ht="18.75" hidden="1" customHeight="1" x14ac:dyDescent="0.35">
      <c r="A6" s="93" t="s">
        <v>4</v>
      </c>
      <c r="B6" s="214" t="s">
        <v>758</v>
      </c>
      <c r="C6" s="221">
        <f>'GRAL. SUC. LOCALES'!L6</f>
        <v>5</v>
      </c>
      <c r="D6" s="222">
        <v>1</v>
      </c>
      <c r="E6" s="222">
        <f t="shared" si="0"/>
        <v>-4</v>
      </c>
      <c r="F6" s="86"/>
      <c r="G6" s="85"/>
    </row>
    <row r="7" spans="1:7" ht="18.75" hidden="1" customHeight="1" x14ac:dyDescent="0.35">
      <c r="A7" s="93" t="s">
        <v>5</v>
      </c>
      <c r="B7" s="214" t="s">
        <v>759</v>
      </c>
      <c r="C7" s="221">
        <f>'GRAL. SUC. LOCALES'!L7</f>
        <v>3</v>
      </c>
      <c r="D7" s="222"/>
      <c r="E7" s="222">
        <f t="shared" si="0"/>
        <v>-3</v>
      </c>
      <c r="F7" s="86"/>
      <c r="G7" s="85"/>
    </row>
    <row r="8" spans="1:7" ht="18.75" hidden="1" customHeight="1" x14ac:dyDescent="0.35">
      <c r="A8" s="93" t="s">
        <v>6</v>
      </c>
      <c r="B8" s="214" t="s">
        <v>760</v>
      </c>
      <c r="C8" s="221">
        <f>'GRAL. SUC. LOCALES'!L8</f>
        <v>7</v>
      </c>
      <c r="D8" s="222"/>
      <c r="E8" s="222">
        <f t="shared" si="0"/>
        <v>-7</v>
      </c>
      <c r="F8" s="86"/>
      <c r="G8" s="85"/>
    </row>
    <row r="9" spans="1:7" ht="18.75" hidden="1" customHeight="1" x14ac:dyDescent="0.35">
      <c r="A9" s="93" t="s">
        <v>7</v>
      </c>
      <c r="B9" s="214" t="s">
        <v>761</v>
      </c>
      <c r="C9" s="221">
        <f>'GRAL. SUC. LOCALES'!L9</f>
        <v>4</v>
      </c>
      <c r="D9" s="222"/>
      <c r="E9" s="222">
        <f t="shared" si="0"/>
        <v>-4</v>
      </c>
      <c r="F9" s="86"/>
      <c r="G9" s="85"/>
    </row>
    <row r="10" spans="1:7" ht="18.75" customHeight="1" x14ac:dyDescent="0.35">
      <c r="A10" s="93" t="s">
        <v>8</v>
      </c>
      <c r="B10" s="214" t="s">
        <v>762</v>
      </c>
      <c r="C10" s="221">
        <f>'GRAL. SUC. LOCALES'!L10</f>
        <v>2</v>
      </c>
      <c r="D10" s="222">
        <v>13</v>
      </c>
      <c r="E10" s="222">
        <f t="shared" si="0"/>
        <v>11</v>
      </c>
      <c r="F10" s="86"/>
      <c r="G10" s="85"/>
    </row>
    <row r="11" spans="1:7" ht="18.75" hidden="1" customHeight="1" x14ac:dyDescent="0.35">
      <c r="A11" s="93" t="s">
        <v>9</v>
      </c>
      <c r="B11" s="214" t="s">
        <v>763</v>
      </c>
      <c r="C11" s="221">
        <f>'GRAL. SUC. LOCALES'!L11</f>
        <v>8</v>
      </c>
      <c r="D11" s="222"/>
      <c r="E11" s="222">
        <f t="shared" si="0"/>
        <v>-8</v>
      </c>
      <c r="F11" s="86"/>
      <c r="G11" s="85"/>
    </row>
    <row r="12" spans="1:7" ht="18.75" hidden="1" customHeight="1" x14ac:dyDescent="0.35">
      <c r="A12" s="93"/>
      <c r="B12" s="214"/>
      <c r="C12" s="221">
        <f>'GRAL. SUC. LOCALES'!L12</f>
        <v>0</v>
      </c>
      <c r="D12" s="222"/>
      <c r="E12" s="222">
        <f t="shared" si="0"/>
        <v>0</v>
      </c>
    </row>
    <row r="13" spans="1:7" ht="18.75" hidden="1" customHeight="1" x14ac:dyDescent="0.35">
      <c r="A13" s="93"/>
      <c r="B13" s="214"/>
      <c r="C13" s="221">
        <f>'GRAL. SUC. LOCALES'!L13</f>
        <v>0</v>
      </c>
      <c r="D13" s="222"/>
      <c r="E13" s="222">
        <f t="shared" si="0"/>
        <v>0</v>
      </c>
    </row>
    <row r="14" spans="1:7" ht="18.75" hidden="1" customHeight="1" x14ac:dyDescent="0.35">
      <c r="A14" s="93"/>
      <c r="B14" s="214"/>
      <c r="C14" s="221">
        <f>'GRAL. SUC. LOCALES'!L14</f>
        <v>0</v>
      </c>
      <c r="D14" s="222"/>
      <c r="E14" s="222">
        <f t="shared" si="0"/>
        <v>0</v>
      </c>
    </row>
    <row r="15" spans="1:7" ht="18.75" hidden="1" customHeight="1" x14ac:dyDescent="0.35">
      <c r="A15" s="93"/>
      <c r="B15" s="214"/>
      <c r="C15" s="221">
        <f>'GRAL. SUC. LOCALES'!L15</f>
        <v>0</v>
      </c>
      <c r="D15" s="222"/>
      <c r="E15" s="222">
        <f t="shared" si="0"/>
        <v>0</v>
      </c>
      <c r="F15" s="86"/>
      <c r="G15" s="85"/>
    </row>
    <row r="16" spans="1:7" ht="18.75" hidden="1" customHeight="1" x14ac:dyDescent="0.35">
      <c r="A16" s="93"/>
      <c r="B16" s="214"/>
      <c r="C16" s="221">
        <f>'GRAL. SUC. LOCALES'!L16</f>
        <v>0</v>
      </c>
      <c r="D16" s="222"/>
      <c r="E16" s="222">
        <f t="shared" si="0"/>
        <v>0</v>
      </c>
      <c r="F16" s="86"/>
      <c r="G16" s="85"/>
    </row>
    <row r="17" spans="1:7" ht="18.75" hidden="1" customHeight="1" thickBot="1" x14ac:dyDescent="0.4">
      <c r="A17" s="93"/>
      <c r="B17" s="214"/>
      <c r="C17" s="221">
        <f>'GRAL. SUC. LOCALES'!L17</f>
        <v>0</v>
      </c>
      <c r="D17" s="222"/>
      <c r="E17" s="222">
        <f t="shared" si="0"/>
        <v>0</v>
      </c>
      <c r="F17" s="86"/>
      <c r="G17" s="85"/>
    </row>
    <row r="18" spans="1:7" ht="18.75" hidden="1" customHeight="1" thickBot="1" x14ac:dyDescent="0.4">
      <c r="A18" s="96" t="s">
        <v>10</v>
      </c>
      <c r="B18" s="96"/>
      <c r="C18" s="224">
        <f>'GRAL. SUC. LOCALES'!L18</f>
        <v>43</v>
      </c>
      <c r="D18" s="224"/>
      <c r="E18" s="224">
        <f t="shared" si="0"/>
        <v>-43</v>
      </c>
      <c r="F18" s="86"/>
      <c r="G18" s="85"/>
    </row>
    <row r="19" spans="1:7" ht="18.75" hidden="1" customHeight="1" x14ac:dyDescent="0.35">
      <c r="A19" s="97" t="s">
        <v>676</v>
      </c>
      <c r="B19" s="214" t="s">
        <v>764</v>
      </c>
      <c r="C19" s="221">
        <f>'GRAL. SUC. LOCALES'!L19</f>
        <v>1</v>
      </c>
      <c r="D19" s="222"/>
      <c r="E19" s="222">
        <f t="shared" si="0"/>
        <v>-1</v>
      </c>
      <c r="F19" s="86"/>
      <c r="G19" s="85"/>
    </row>
    <row r="20" spans="1:7" ht="18.75" hidden="1" customHeight="1" x14ac:dyDescent="0.35">
      <c r="A20" s="97" t="s">
        <v>11</v>
      </c>
      <c r="B20" s="214" t="s">
        <v>827</v>
      </c>
      <c r="C20" s="221">
        <f>'GRAL. SUC. LOCALES'!L20</f>
        <v>7</v>
      </c>
      <c r="D20" s="222"/>
      <c r="E20" s="222">
        <f t="shared" si="0"/>
        <v>-7</v>
      </c>
      <c r="F20" s="86"/>
      <c r="G20" s="85"/>
    </row>
    <row r="21" spans="1:7" ht="18.75" hidden="1" customHeight="1" x14ac:dyDescent="0.35">
      <c r="A21" s="97" t="s">
        <v>344</v>
      </c>
      <c r="B21" s="214" t="s">
        <v>765</v>
      </c>
      <c r="C21" s="221">
        <f>'GRAL. SUC. LOCALES'!L21</f>
        <v>5</v>
      </c>
      <c r="D21" s="222"/>
      <c r="E21" s="222">
        <f t="shared" si="0"/>
        <v>-5</v>
      </c>
      <c r="F21" s="86"/>
      <c r="G21" s="85"/>
    </row>
    <row r="22" spans="1:7" ht="18.75" hidden="1" customHeight="1" x14ac:dyDescent="0.35">
      <c r="A22" s="97" t="s">
        <v>832</v>
      </c>
      <c r="B22" s="214" t="s">
        <v>833</v>
      </c>
      <c r="C22" s="221">
        <f>'GRAL. SUC. LOCALES'!L22</f>
        <v>3</v>
      </c>
      <c r="D22" s="222"/>
      <c r="E22" s="222">
        <f t="shared" si="0"/>
        <v>-3</v>
      </c>
      <c r="F22" s="86"/>
      <c r="G22" s="85"/>
    </row>
    <row r="23" spans="1:7" ht="18.75" hidden="1" customHeight="1" x14ac:dyDescent="0.35">
      <c r="A23" s="97" t="s">
        <v>12</v>
      </c>
      <c r="B23" s="214" t="s">
        <v>766</v>
      </c>
      <c r="C23" s="221">
        <f>'GRAL. SUC. LOCALES'!L23</f>
        <v>8</v>
      </c>
      <c r="D23" s="222"/>
      <c r="E23" s="222">
        <f t="shared" si="0"/>
        <v>-8</v>
      </c>
      <c r="F23" s="86"/>
      <c r="G23" s="85"/>
    </row>
    <row r="24" spans="1:7" ht="18.75" hidden="1" customHeight="1" x14ac:dyDescent="0.35">
      <c r="A24" s="97" t="s">
        <v>432</v>
      </c>
      <c r="B24" s="214" t="s">
        <v>767</v>
      </c>
      <c r="C24" s="221">
        <f>'GRAL. SUC. LOCALES'!L24</f>
        <v>0</v>
      </c>
      <c r="D24" s="222"/>
      <c r="E24" s="222">
        <f t="shared" si="0"/>
        <v>0</v>
      </c>
      <c r="F24" s="86"/>
      <c r="G24" s="85"/>
    </row>
    <row r="25" spans="1:7" ht="18.75" hidden="1" customHeight="1" x14ac:dyDescent="0.35">
      <c r="A25" s="97" t="s">
        <v>468</v>
      </c>
      <c r="B25" s="214" t="s">
        <v>768</v>
      </c>
      <c r="C25" s="221">
        <f>'GRAL. SUC. LOCALES'!L25</f>
        <v>17</v>
      </c>
      <c r="D25" s="222">
        <v>3</v>
      </c>
      <c r="E25" s="222">
        <f t="shared" si="0"/>
        <v>-14</v>
      </c>
      <c r="F25" s="86"/>
      <c r="G25" s="85"/>
    </row>
    <row r="26" spans="1:7" ht="18.75" hidden="1" customHeight="1" x14ac:dyDescent="0.35">
      <c r="A26" s="97"/>
      <c r="B26" s="214"/>
      <c r="C26" s="221">
        <f>'GRAL. SUC. LOCALES'!L26</f>
        <v>0</v>
      </c>
      <c r="D26" s="222"/>
      <c r="E26" s="222">
        <f t="shared" si="0"/>
        <v>0</v>
      </c>
    </row>
    <row r="27" spans="1:7" ht="18.75" hidden="1" customHeight="1" x14ac:dyDescent="0.35">
      <c r="A27" s="97"/>
      <c r="B27" s="214"/>
      <c r="C27" s="221">
        <f>'GRAL. SUC. LOCALES'!L27</f>
        <v>0</v>
      </c>
      <c r="D27" s="222"/>
      <c r="E27" s="222">
        <f t="shared" si="0"/>
        <v>0</v>
      </c>
      <c r="F27" s="86"/>
      <c r="G27" s="85"/>
    </row>
    <row r="28" spans="1:7" ht="18.75" hidden="1" customHeight="1" x14ac:dyDescent="0.35">
      <c r="A28" s="97"/>
      <c r="B28" s="214"/>
      <c r="C28" s="221">
        <f>'GRAL. SUC. LOCALES'!L28</f>
        <v>0</v>
      </c>
      <c r="D28" s="222"/>
      <c r="E28" s="222">
        <f t="shared" si="0"/>
        <v>0</v>
      </c>
      <c r="F28" s="86"/>
      <c r="G28" s="85"/>
    </row>
    <row r="29" spans="1:7" ht="18.75" hidden="1" customHeight="1" x14ac:dyDescent="0.35">
      <c r="A29" s="97"/>
      <c r="B29" s="214"/>
      <c r="C29" s="221">
        <f>'GRAL. SUC. LOCALES'!L29</f>
        <v>0</v>
      </c>
      <c r="D29" s="222"/>
      <c r="E29" s="222">
        <f t="shared" si="0"/>
        <v>0</v>
      </c>
      <c r="F29" s="86"/>
      <c r="G29" s="85"/>
    </row>
    <row r="30" spans="1:7" ht="18.75" hidden="1" customHeight="1" x14ac:dyDescent="0.35">
      <c r="A30" s="97"/>
      <c r="B30" s="214"/>
      <c r="C30" s="221">
        <f>'GRAL. SUC. LOCALES'!L30</f>
        <v>0</v>
      </c>
      <c r="D30" s="222"/>
      <c r="E30" s="222">
        <f t="shared" si="0"/>
        <v>0</v>
      </c>
      <c r="F30" s="86"/>
      <c r="G30" s="85"/>
    </row>
    <row r="31" spans="1:7" ht="18.75" hidden="1" customHeight="1" thickBot="1" x14ac:dyDescent="0.4">
      <c r="A31" s="97"/>
      <c r="B31" s="214"/>
      <c r="C31" s="221">
        <f>'GRAL. SUC. LOCALES'!L31</f>
        <v>0</v>
      </c>
      <c r="D31" s="222"/>
      <c r="E31" s="222">
        <f t="shared" si="0"/>
        <v>0</v>
      </c>
      <c r="F31" s="86"/>
      <c r="G31" s="85"/>
    </row>
    <row r="32" spans="1:7" ht="18.75" hidden="1" customHeight="1" thickBot="1" x14ac:dyDescent="0.4">
      <c r="A32" s="98" t="s">
        <v>13</v>
      </c>
      <c r="B32" s="96"/>
      <c r="C32" s="224">
        <f>'GRAL. SUC. LOCALES'!L32</f>
        <v>41</v>
      </c>
      <c r="D32" s="224"/>
      <c r="E32" s="224">
        <f t="shared" si="0"/>
        <v>-41</v>
      </c>
      <c r="F32" s="86"/>
      <c r="G32" s="85"/>
    </row>
    <row r="33" spans="1:7" ht="18.75" hidden="1" customHeight="1" x14ac:dyDescent="0.35">
      <c r="A33" s="97" t="s">
        <v>14</v>
      </c>
      <c r="B33" s="214" t="s">
        <v>769</v>
      </c>
      <c r="C33" s="221">
        <f>'GRAL. SUC. LOCALES'!L33</f>
        <v>5</v>
      </c>
      <c r="D33" s="222">
        <v>3</v>
      </c>
      <c r="E33" s="222">
        <f t="shared" si="0"/>
        <v>-2</v>
      </c>
      <c r="F33" s="86"/>
      <c r="G33" s="85"/>
    </row>
    <row r="34" spans="1:7" ht="18.75" hidden="1" customHeight="1" x14ac:dyDescent="0.35">
      <c r="A34" s="97" t="s">
        <v>15</v>
      </c>
      <c r="B34" s="214" t="s">
        <v>770</v>
      </c>
      <c r="C34" s="221">
        <f>'GRAL. SUC. LOCALES'!L34</f>
        <v>3</v>
      </c>
      <c r="D34" s="222">
        <v>1</v>
      </c>
      <c r="E34" s="222">
        <f t="shared" si="0"/>
        <v>-2</v>
      </c>
      <c r="F34" s="86"/>
      <c r="G34" s="85"/>
    </row>
    <row r="35" spans="1:7" ht="18.75" hidden="1" customHeight="1" x14ac:dyDescent="0.35">
      <c r="A35" s="97" t="s">
        <v>16</v>
      </c>
      <c r="B35" s="214" t="s">
        <v>771</v>
      </c>
      <c r="C35" s="221">
        <f>'GRAL. SUC. LOCALES'!L35</f>
        <v>3</v>
      </c>
      <c r="D35" s="222"/>
      <c r="E35" s="222">
        <f t="shared" si="0"/>
        <v>-3</v>
      </c>
      <c r="F35" s="86"/>
      <c r="G35" s="85"/>
    </row>
    <row r="36" spans="1:7" ht="18.75" hidden="1" customHeight="1" x14ac:dyDescent="0.35">
      <c r="A36" s="97" t="s">
        <v>17</v>
      </c>
      <c r="B36" s="214" t="s">
        <v>772</v>
      </c>
      <c r="C36" s="221">
        <f>'GRAL. SUC. LOCALES'!L36</f>
        <v>3</v>
      </c>
      <c r="D36" s="222"/>
      <c r="E36" s="222">
        <f t="shared" si="0"/>
        <v>-3</v>
      </c>
      <c r="F36" s="86"/>
      <c r="G36" s="85"/>
    </row>
    <row r="37" spans="1:7" ht="18.75" hidden="1" customHeight="1" x14ac:dyDescent="0.35">
      <c r="A37" s="97" t="s">
        <v>18</v>
      </c>
      <c r="B37" s="214" t="s">
        <v>773</v>
      </c>
      <c r="C37" s="221">
        <f>'GRAL. SUC. LOCALES'!L37</f>
        <v>5</v>
      </c>
      <c r="D37" s="222"/>
      <c r="E37" s="222">
        <f t="shared" si="0"/>
        <v>-5</v>
      </c>
      <c r="F37" s="86"/>
      <c r="G37" s="85"/>
    </row>
    <row r="38" spans="1:7" ht="18.75" hidden="1" customHeight="1" x14ac:dyDescent="0.35">
      <c r="A38" s="97" t="s">
        <v>22</v>
      </c>
      <c r="B38" s="214" t="s">
        <v>774</v>
      </c>
      <c r="C38" s="221">
        <f>'GRAL. SUC. LOCALES'!L38</f>
        <v>10</v>
      </c>
      <c r="D38" s="222"/>
      <c r="E38" s="222">
        <f t="shared" si="0"/>
        <v>-10</v>
      </c>
      <c r="F38" s="86"/>
      <c r="G38" s="85"/>
    </row>
    <row r="39" spans="1:7" ht="18.75" hidden="1" customHeight="1" x14ac:dyDescent="0.35">
      <c r="A39" s="97" t="s">
        <v>23</v>
      </c>
      <c r="B39" s="214" t="s">
        <v>775</v>
      </c>
      <c r="C39" s="221">
        <f>'GRAL. SUC. LOCALES'!L39</f>
        <v>4</v>
      </c>
      <c r="D39" s="222"/>
      <c r="E39" s="222">
        <f t="shared" si="0"/>
        <v>-4</v>
      </c>
      <c r="F39" s="86"/>
      <c r="G39" s="85"/>
    </row>
    <row r="40" spans="1:7" ht="18.75" hidden="1" customHeight="1" x14ac:dyDescent="0.35">
      <c r="A40" s="97" t="s">
        <v>24</v>
      </c>
      <c r="B40" s="214" t="s">
        <v>776</v>
      </c>
      <c r="C40" s="221">
        <f>'GRAL. SUC. LOCALES'!L40</f>
        <v>7</v>
      </c>
      <c r="D40" s="222"/>
      <c r="E40" s="222">
        <f t="shared" si="0"/>
        <v>-7</v>
      </c>
      <c r="F40" s="86"/>
      <c r="G40" s="85"/>
    </row>
    <row r="41" spans="1:7" ht="18.75" hidden="1" customHeight="1" x14ac:dyDescent="0.35">
      <c r="A41" s="97" t="s">
        <v>25</v>
      </c>
      <c r="B41" s="214" t="s">
        <v>777</v>
      </c>
      <c r="C41" s="221">
        <f>'GRAL. SUC. LOCALES'!L41</f>
        <v>5</v>
      </c>
      <c r="D41" s="222"/>
      <c r="E41" s="222">
        <f t="shared" si="0"/>
        <v>-5</v>
      </c>
      <c r="F41" s="86"/>
      <c r="G41" s="85"/>
    </row>
    <row r="42" spans="1:7" ht="18.75" hidden="1" customHeight="1" x14ac:dyDescent="0.35">
      <c r="A42" s="97"/>
      <c r="B42" s="214"/>
      <c r="C42" s="221">
        <f>'GRAL. SUC. LOCALES'!L42</f>
        <v>0</v>
      </c>
      <c r="D42" s="222"/>
      <c r="E42" s="222">
        <f t="shared" si="0"/>
        <v>0</v>
      </c>
    </row>
    <row r="43" spans="1:7" ht="18.75" hidden="1" customHeight="1" x14ac:dyDescent="0.35">
      <c r="A43" s="97"/>
      <c r="B43" s="214"/>
      <c r="C43" s="221">
        <f>'GRAL. SUC. LOCALES'!L43</f>
        <v>0</v>
      </c>
      <c r="D43" s="222"/>
      <c r="E43" s="222">
        <f t="shared" si="0"/>
        <v>0</v>
      </c>
      <c r="F43" s="86"/>
      <c r="G43" s="85"/>
    </row>
    <row r="44" spans="1:7" ht="18.75" hidden="1" customHeight="1" x14ac:dyDescent="0.35">
      <c r="A44" s="97"/>
      <c r="B44" s="214"/>
      <c r="C44" s="221">
        <f>'GRAL. SUC. LOCALES'!L44</f>
        <v>0</v>
      </c>
      <c r="D44" s="222"/>
      <c r="E44" s="222">
        <f t="shared" si="0"/>
        <v>0</v>
      </c>
      <c r="F44" s="86"/>
      <c r="G44" s="85"/>
    </row>
    <row r="45" spans="1:7" ht="18.75" hidden="1" customHeight="1" x14ac:dyDescent="0.35">
      <c r="A45" s="97"/>
      <c r="B45" s="214"/>
      <c r="C45" s="221">
        <f>'GRAL. SUC. LOCALES'!L45</f>
        <v>0</v>
      </c>
      <c r="D45" s="222"/>
      <c r="E45" s="222">
        <f t="shared" si="0"/>
        <v>0</v>
      </c>
      <c r="F45" s="86"/>
      <c r="G45" s="85"/>
    </row>
    <row r="46" spans="1:7" ht="18.75" hidden="1" customHeight="1" x14ac:dyDescent="0.35">
      <c r="A46" s="97"/>
      <c r="B46" s="214"/>
      <c r="C46" s="221">
        <f>'GRAL. SUC. LOCALES'!L46</f>
        <v>0</v>
      </c>
      <c r="D46" s="222"/>
      <c r="E46" s="222">
        <f t="shared" si="0"/>
        <v>0</v>
      </c>
      <c r="F46" s="86"/>
      <c r="G46" s="85"/>
    </row>
    <row r="47" spans="1:7" ht="18.75" hidden="1" customHeight="1" x14ac:dyDescent="0.35">
      <c r="A47" s="97"/>
      <c r="B47" s="214"/>
      <c r="C47" s="221">
        <f>'GRAL. SUC. LOCALES'!L47</f>
        <v>0</v>
      </c>
      <c r="D47" s="222"/>
      <c r="E47" s="222">
        <f t="shared" si="0"/>
        <v>0</v>
      </c>
      <c r="F47" s="86"/>
      <c r="G47" s="85"/>
    </row>
    <row r="48" spans="1:7" ht="18.75" hidden="1" customHeight="1" thickBot="1" x14ac:dyDescent="0.4">
      <c r="A48" s="97"/>
      <c r="B48" s="214"/>
      <c r="C48" s="221">
        <f>'GRAL. SUC. LOCALES'!L48</f>
        <v>0</v>
      </c>
      <c r="D48" s="222"/>
      <c r="E48" s="222">
        <f t="shared" si="0"/>
        <v>0</v>
      </c>
      <c r="F48" s="86"/>
      <c r="G48" s="85"/>
    </row>
    <row r="49" spans="1:7" ht="18.75" hidden="1" customHeight="1" thickBot="1" x14ac:dyDescent="0.4">
      <c r="A49" s="99" t="s">
        <v>29</v>
      </c>
      <c r="B49" s="99"/>
      <c r="C49" s="225">
        <f>'GRAL. SUC. LOCALES'!L49</f>
        <v>45</v>
      </c>
      <c r="D49" s="225"/>
      <c r="E49" s="225">
        <f t="shared" si="0"/>
        <v>-45</v>
      </c>
      <c r="F49" s="86"/>
      <c r="G49" s="85"/>
    </row>
    <row r="50" spans="1:7" ht="18.75" hidden="1" customHeight="1" x14ac:dyDescent="0.35">
      <c r="A50" s="93" t="s">
        <v>30</v>
      </c>
      <c r="B50" s="214" t="s">
        <v>778</v>
      </c>
      <c r="C50" s="221">
        <f>'GRAL. SUC. LOCALES'!L50</f>
        <v>10</v>
      </c>
      <c r="D50" s="222"/>
      <c r="E50" s="222">
        <f t="shared" si="0"/>
        <v>-10</v>
      </c>
      <c r="F50" s="86"/>
      <c r="G50" s="85"/>
    </row>
    <row r="51" spans="1:7" ht="18.75" hidden="1" customHeight="1" thickBot="1" x14ac:dyDescent="0.4">
      <c r="A51" s="95" t="s">
        <v>31</v>
      </c>
      <c r="B51" s="214" t="s">
        <v>779</v>
      </c>
      <c r="C51" s="221">
        <f>'GRAL. SUC. LOCALES'!L51</f>
        <v>15</v>
      </c>
      <c r="D51" s="222"/>
      <c r="E51" s="222">
        <f t="shared" si="0"/>
        <v>-15</v>
      </c>
      <c r="F51" s="86"/>
      <c r="G51" s="85"/>
    </row>
    <row r="52" spans="1:7" ht="18.75" hidden="1" customHeight="1" thickBot="1" x14ac:dyDescent="0.4">
      <c r="A52" s="100" t="s">
        <v>32</v>
      </c>
      <c r="B52" s="99"/>
      <c r="C52" s="225">
        <f>'GRAL. SUC. LOCALES'!L52</f>
        <v>25</v>
      </c>
      <c r="D52" s="225"/>
      <c r="E52" s="225">
        <f t="shared" si="0"/>
        <v>-25</v>
      </c>
      <c r="F52" s="86"/>
      <c r="G52" s="85"/>
    </row>
    <row r="53" spans="1:7" ht="18.75" hidden="1" customHeight="1" x14ac:dyDescent="0.35">
      <c r="A53" s="93" t="s">
        <v>33</v>
      </c>
      <c r="B53" s="214" t="s">
        <v>780</v>
      </c>
      <c r="C53" s="221">
        <f>'GRAL. SUC. LOCALES'!L53</f>
        <v>10</v>
      </c>
      <c r="D53" s="222"/>
      <c r="E53" s="222">
        <f t="shared" si="0"/>
        <v>-10</v>
      </c>
      <c r="F53" s="86"/>
      <c r="G53" s="85"/>
    </row>
    <row r="54" spans="1:7" ht="18.75" hidden="1" customHeight="1" thickBot="1" x14ac:dyDescent="0.4">
      <c r="A54" s="95" t="s">
        <v>34</v>
      </c>
      <c r="B54" s="214" t="s">
        <v>781</v>
      </c>
      <c r="C54" s="221">
        <f>'GRAL. SUC. LOCALES'!L54</f>
        <v>19</v>
      </c>
      <c r="D54" s="222"/>
      <c r="E54" s="222">
        <f t="shared" si="0"/>
        <v>-19</v>
      </c>
      <c r="F54" s="86"/>
      <c r="G54" s="85"/>
    </row>
    <row r="55" spans="1:7" ht="18.75" hidden="1" customHeight="1" thickBot="1" x14ac:dyDescent="0.4">
      <c r="A55" s="99" t="s">
        <v>35</v>
      </c>
      <c r="B55" s="99"/>
      <c r="C55" s="225">
        <f>'GRAL. SUC. LOCALES'!L55</f>
        <v>29</v>
      </c>
      <c r="D55" s="225"/>
      <c r="E55" s="225">
        <f t="shared" si="0"/>
        <v>-29</v>
      </c>
      <c r="F55" s="86"/>
      <c r="G55" s="85"/>
    </row>
    <row r="56" spans="1:7" ht="18.75" hidden="1" customHeight="1" x14ac:dyDescent="0.35">
      <c r="A56" s="93" t="s">
        <v>36</v>
      </c>
      <c r="B56" s="214" t="s">
        <v>782</v>
      </c>
      <c r="C56" s="221">
        <f>'GRAL. SUC. LOCALES'!L56</f>
        <v>1</v>
      </c>
      <c r="D56" s="222"/>
      <c r="E56" s="222">
        <f t="shared" si="0"/>
        <v>-1</v>
      </c>
      <c r="F56" s="86"/>
      <c r="G56" s="85"/>
    </row>
    <row r="57" spans="1:7" ht="18.75" hidden="1" customHeight="1" x14ac:dyDescent="0.35">
      <c r="A57" s="93" t="s">
        <v>37</v>
      </c>
      <c r="B57" s="214" t="s">
        <v>783</v>
      </c>
      <c r="C57" s="221">
        <f>'GRAL. SUC. LOCALES'!L57</f>
        <v>1</v>
      </c>
      <c r="D57" s="222"/>
      <c r="E57" s="222">
        <f t="shared" si="0"/>
        <v>-1</v>
      </c>
      <c r="F57" s="86"/>
      <c r="G57" s="85"/>
    </row>
    <row r="58" spans="1:7" ht="18.75" hidden="1" customHeight="1" x14ac:dyDescent="0.35">
      <c r="A58" s="93" t="s">
        <v>39</v>
      </c>
      <c r="B58" s="214" t="s">
        <v>784</v>
      </c>
      <c r="C58" s="221">
        <f>'GRAL. SUC. LOCALES'!L58</f>
        <v>0</v>
      </c>
      <c r="D58" s="222"/>
      <c r="E58" s="222">
        <f t="shared" si="0"/>
        <v>0</v>
      </c>
      <c r="F58" s="86"/>
      <c r="G58" s="85"/>
    </row>
    <row r="59" spans="1:7" ht="18.75" hidden="1" customHeight="1" x14ac:dyDescent="0.35">
      <c r="A59" s="93" t="s">
        <v>40</v>
      </c>
      <c r="B59" s="214" t="s">
        <v>785</v>
      </c>
      <c r="C59" s="221">
        <f>'GRAL. SUC. LOCALES'!L59</f>
        <v>0</v>
      </c>
      <c r="D59" s="222"/>
      <c r="E59" s="222">
        <f t="shared" si="0"/>
        <v>0</v>
      </c>
      <c r="F59" s="86"/>
      <c r="G59" s="85"/>
    </row>
    <row r="60" spans="1:7" ht="18.75" hidden="1" customHeight="1" x14ac:dyDescent="0.35">
      <c r="A60" s="93" t="s">
        <v>41</v>
      </c>
      <c r="B60" s="214" t="s">
        <v>786</v>
      </c>
      <c r="C60" s="221">
        <f>'GRAL. SUC. LOCALES'!L60</f>
        <v>0</v>
      </c>
      <c r="D60" s="222"/>
      <c r="E60" s="222">
        <f t="shared" si="0"/>
        <v>0</v>
      </c>
      <c r="F60" s="86"/>
      <c r="G60" s="85"/>
    </row>
    <row r="61" spans="1:7" ht="18.75" hidden="1" customHeight="1" x14ac:dyDescent="0.35">
      <c r="A61" s="101" t="s">
        <v>42</v>
      </c>
      <c r="B61" s="214" t="s">
        <v>787</v>
      </c>
      <c r="C61" s="221">
        <f>'GRAL. SUC. LOCALES'!L61</f>
        <v>0</v>
      </c>
      <c r="D61" s="222"/>
      <c r="E61" s="222">
        <f t="shared" si="0"/>
        <v>0</v>
      </c>
      <c r="F61" s="86"/>
      <c r="G61" s="85"/>
    </row>
    <row r="62" spans="1:7" ht="18.75" hidden="1" customHeight="1" x14ac:dyDescent="0.35">
      <c r="A62" s="102" t="s">
        <v>43</v>
      </c>
      <c r="B62" s="214" t="s">
        <v>788</v>
      </c>
      <c r="C62" s="221">
        <f>'GRAL. SUC. LOCALES'!L62</f>
        <v>2</v>
      </c>
      <c r="D62" s="222"/>
      <c r="E62" s="222">
        <f t="shared" si="0"/>
        <v>-2</v>
      </c>
      <c r="F62" s="86"/>
      <c r="G62" s="85"/>
    </row>
    <row r="63" spans="1:7" ht="18.75" hidden="1" customHeight="1" x14ac:dyDescent="0.35">
      <c r="A63" s="93" t="s">
        <v>44</v>
      </c>
      <c r="B63" s="214" t="s">
        <v>789</v>
      </c>
      <c r="C63" s="221">
        <f>'GRAL. SUC. LOCALES'!L63</f>
        <v>2</v>
      </c>
      <c r="D63" s="222"/>
      <c r="E63" s="222">
        <f t="shared" si="0"/>
        <v>-2</v>
      </c>
      <c r="F63" s="86"/>
      <c r="G63" s="85"/>
    </row>
    <row r="64" spans="1:7" ht="18.75" hidden="1" customHeight="1" x14ac:dyDescent="0.35">
      <c r="A64" s="93" t="s">
        <v>45</v>
      </c>
      <c r="B64" s="214" t="s">
        <v>790</v>
      </c>
      <c r="C64" s="221">
        <f>'GRAL. SUC. LOCALES'!L64</f>
        <v>4</v>
      </c>
      <c r="D64" s="222"/>
      <c r="E64" s="222">
        <f t="shared" si="0"/>
        <v>-4</v>
      </c>
      <c r="F64" s="86"/>
      <c r="G64" s="85"/>
    </row>
    <row r="65" spans="1:7" ht="18.75" hidden="1" customHeight="1" x14ac:dyDescent="0.35">
      <c r="A65" s="93" t="s">
        <v>46</v>
      </c>
      <c r="B65" s="214" t="s">
        <v>791</v>
      </c>
      <c r="C65" s="221">
        <f>'GRAL. SUC. LOCALES'!L65</f>
        <v>8</v>
      </c>
      <c r="D65" s="222">
        <v>4</v>
      </c>
      <c r="E65" s="222">
        <f t="shared" si="0"/>
        <v>-4</v>
      </c>
      <c r="F65" s="86"/>
      <c r="G65" s="85"/>
    </row>
    <row r="66" spans="1:7" ht="18.75" hidden="1" customHeight="1" x14ac:dyDescent="0.35">
      <c r="A66" s="93" t="s">
        <v>48</v>
      </c>
      <c r="B66" s="214" t="s">
        <v>792</v>
      </c>
      <c r="C66" s="221">
        <f>'GRAL. SUC. LOCALES'!L66</f>
        <v>1</v>
      </c>
      <c r="D66" s="222"/>
      <c r="E66" s="222">
        <f t="shared" si="0"/>
        <v>-1</v>
      </c>
      <c r="F66" s="86"/>
      <c r="G66" s="85"/>
    </row>
    <row r="67" spans="1:7" ht="18.75" customHeight="1" x14ac:dyDescent="0.35">
      <c r="A67" s="93" t="s">
        <v>49</v>
      </c>
      <c r="B67" s="214" t="s">
        <v>793</v>
      </c>
      <c r="C67" s="221">
        <f>'GRAL. SUC. LOCALES'!L67</f>
        <v>0</v>
      </c>
      <c r="D67" s="222">
        <v>3</v>
      </c>
      <c r="E67" s="222">
        <f t="shared" si="0"/>
        <v>3</v>
      </c>
      <c r="F67" s="86"/>
      <c r="G67" s="85"/>
    </row>
    <row r="68" spans="1:7" ht="18.75" hidden="1" customHeight="1" x14ac:dyDescent="0.35">
      <c r="A68" s="93" t="s">
        <v>50</v>
      </c>
      <c r="B68" s="214" t="s">
        <v>794</v>
      </c>
      <c r="C68" s="221">
        <f>'GRAL. SUC. LOCALES'!L68</f>
        <v>5</v>
      </c>
      <c r="D68" s="222"/>
      <c r="E68" s="222">
        <f t="shared" ref="E68:E131" si="1">D68-C68</f>
        <v>-5</v>
      </c>
      <c r="F68" s="86"/>
      <c r="G68" s="85"/>
    </row>
    <row r="69" spans="1:7" ht="18.75" hidden="1" customHeight="1" x14ac:dyDescent="0.35">
      <c r="A69" s="93" t="s">
        <v>51</v>
      </c>
      <c r="B69" s="214" t="s">
        <v>795</v>
      </c>
      <c r="C69" s="221">
        <f>'GRAL. SUC. LOCALES'!L69</f>
        <v>0</v>
      </c>
      <c r="D69" s="222"/>
      <c r="E69" s="222">
        <f t="shared" si="1"/>
        <v>0</v>
      </c>
      <c r="F69" s="86"/>
      <c r="G69" s="85"/>
    </row>
    <row r="70" spans="1:7" ht="18.75" hidden="1" customHeight="1" x14ac:dyDescent="0.35">
      <c r="A70" s="93" t="s">
        <v>53</v>
      </c>
      <c r="B70" s="214" t="s">
        <v>796</v>
      </c>
      <c r="C70" s="221">
        <f>'GRAL. SUC. LOCALES'!L70</f>
        <v>4</v>
      </c>
      <c r="D70" s="222"/>
      <c r="E70" s="222">
        <f t="shared" si="1"/>
        <v>-4</v>
      </c>
      <c r="F70" s="86"/>
      <c r="G70" s="85"/>
    </row>
    <row r="71" spans="1:7" s="150" customFormat="1" ht="18.75" hidden="1" customHeight="1" x14ac:dyDescent="0.35">
      <c r="A71" s="93" t="s">
        <v>47</v>
      </c>
      <c r="B71" s="214" t="s">
        <v>873</v>
      </c>
      <c r="C71" s="221">
        <f>'GRAL. SUC. LOCALES'!L71</f>
        <v>1</v>
      </c>
      <c r="D71" s="223"/>
      <c r="E71" s="222">
        <f t="shared" si="1"/>
        <v>-1</v>
      </c>
      <c r="F71" s="151"/>
      <c r="G71" s="151"/>
    </row>
    <row r="72" spans="1:7" ht="18.75" hidden="1" customHeight="1" x14ac:dyDescent="0.35">
      <c r="A72" s="86" t="s">
        <v>1089</v>
      </c>
      <c r="B72" s="214" t="s">
        <v>1090</v>
      </c>
      <c r="C72" s="221">
        <f>'GRAL. SUC. LOCALES'!L72</f>
        <v>0</v>
      </c>
      <c r="D72" s="222"/>
      <c r="E72" s="222">
        <f t="shared" si="1"/>
        <v>0</v>
      </c>
    </row>
    <row r="73" spans="1:7" ht="18.75" hidden="1" customHeight="1" x14ac:dyDescent="0.35">
      <c r="A73" s="93"/>
      <c r="B73" s="214"/>
      <c r="C73" s="221">
        <f>'GRAL. SUC. LOCALES'!L73</f>
        <v>0</v>
      </c>
      <c r="D73" s="222"/>
      <c r="E73" s="222">
        <f t="shared" si="1"/>
        <v>0</v>
      </c>
      <c r="F73" s="86"/>
      <c r="G73" s="85"/>
    </row>
    <row r="74" spans="1:7" ht="18.75" hidden="1" customHeight="1" x14ac:dyDescent="0.35">
      <c r="A74" s="93"/>
      <c r="B74" s="214"/>
      <c r="C74" s="221">
        <f>'GRAL. SUC. LOCALES'!L74</f>
        <v>0</v>
      </c>
      <c r="D74" s="222"/>
      <c r="E74" s="222">
        <f t="shared" si="1"/>
        <v>0</v>
      </c>
      <c r="F74" s="86"/>
      <c r="G74" s="85"/>
    </row>
    <row r="75" spans="1:7" ht="18.75" hidden="1" customHeight="1" x14ac:dyDescent="0.35">
      <c r="A75" s="93"/>
      <c r="B75" s="214"/>
      <c r="C75" s="221">
        <f>'GRAL. SUC. LOCALES'!L75</f>
        <v>0</v>
      </c>
      <c r="D75" s="222"/>
      <c r="E75" s="222">
        <f t="shared" si="1"/>
        <v>0</v>
      </c>
      <c r="F75" s="86"/>
      <c r="G75" s="85"/>
    </row>
    <row r="76" spans="1:7" ht="18.75" hidden="1" customHeight="1" x14ac:dyDescent="0.35">
      <c r="A76" s="93"/>
      <c r="B76" s="214"/>
      <c r="C76" s="221">
        <f>'GRAL. SUC. LOCALES'!L76</f>
        <v>0</v>
      </c>
      <c r="D76" s="222"/>
      <c r="E76" s="222">
        <f t="shared" si="1"/>
        <v>0</v>
      </c>
      <c r="F76" s="86"/>
      <c r="G76" s="85"/>
    </row>
    <row r="77" spans="1:7" ht="18.75" hidden="1" customHeight="1" thickBot="1" x14ac:dyDescent="0.4">
      <c r="A77" s="93"/>
      <c r="B77" s="214"/>
      <c r="C77" s="221">
        <f>'GRAL. SUC. LOCALES'!L77</f>
        <v>0</v>
      </c>
      <c r="D77" s="222"/>
      <c r="E77" s="222">
        <f t="shared" si="1"/>
        <v>0</v>
      </c>
      <c r="F77" s="86"/>
      <c r="G77" s="85"/>
    </row>
    <row r="78" spans="1:7" ht="18.75" hidden="1" customHeight="1" thickBot="1" x14ac:dyDescent="0.4">
      <c r="A78" s="99" t="s">
        <v>54</v>
      </c>
      <c r="B78" s="99"/>
      <c r="C78" s="225">
        <f>'GRAL. SUC. LOCALES'!L78</f>
        <v>29</v>
      </c>
      <c r="D78" s="225"/>
      <c r="E78" s="225">
        <f t="shared" si="1"/>
        <v>-29</v>
      </c>
      <c r="F78" s="86"/>
      <c r="G78" s="85"/>
    </row>
    <row r="79" spans="1:7" ht="18.75" hidden="1" customHeight="1" thickBot="1" x14ac:dyDescent="0.4">
      <c r="A79" s="103" t="s">
        <v>55</v>
      </c>
      <c r="B79" s="103"/>
      <c r="C79" s="226">
        <f>'GRAL. SUC. LOCALES'!L79</f>
        <v>212</v>
      </c>
      <c r="D79" s="226"/>
      <c r="E79" s="226">
        <f t="shared" si="1"/>
        <v>-212</v>
      </c>
      <c r="F79" s="86"/>
      <c r="G79" s="85"/>
    </row>
    <row r="80" spans="1:7" ht="18.75" hidden="1" customHeight="1" x14ac:dyDescent="0.35">
      <c r="A80" s="104" t="s">
        <v>56</v>
      </c>
      <c r="B80" s="104"/>
      <c r="C80" s="227">
        <f>'GRAL. SUC. LOCALES'!L80</f>
        <v>0</v>
      </c>
      <c r="D80" s="227"/>
      <c r="E80" s="227">
        <f t="shared" si="1"/>
        <v>0</v>
      </c>
      <c r="F80" s="86"/>
      <c r="G80" s="85"/>
    </row>
    <row r="81" spans="1:7" ht="18.75" hidden="1" customHeight="1" x14ac:dyDescent="0.35">
      <c r="A81" s="94" t="s">
        <v>57</v>
      </c>
      <c r="B81" s="214" t="s">
        <v>797</v>
      </c>
      <c r="C81" s="221">
        <f>'GRAL. SUC. LOCALES'!L81</f>
        <v>2</v>
      </c>
      <c r="D81" s="222"/>
      <c r="E81" s="222">
        <f t="shared" si="1"/>
        <v>-2</v>
      </c>
      <c r="F81" s="86"/>
      <c r="G81" s="85"/>
    </row>
    <row r="82" spans="1:7" ht="18.75" hidden="1" customHeight="1" x14ac:dyDescent="0.35">
      <c r="A82" s="94" t="s">
        <v>58</v>
      </c>
      <c r="B82" s="214" t="s">
        <v>867</v>
      </c>
      <c r="C82" s="221">
        <f>'GRAL. SUC. LOCALES'!L82</f>
        <v>5</v>
      </c>
      <c r="D82" s="222"/>
      <c r="E82" s="222">
        <f t="shared" si="1"/>
        <v>-5</v>
      </c>
      <c r="F82" s="86"/>
      <c r="G82" s="85"/>
    </row>
    <row r="83" spans="1:7" ht="18.75" hidden="1" customHeight="1" x14ac:dyDescent="0.35">
      <c r="A83" s="94" t="s">
        <v>59</v>
      </c>
      <c r="B83" s="214" t="s">
        <v>798</v>
      </c>
      <c r="C83" s="221">
        <f>'GRAL. SUC. LOCALES'!L83</f>
        <v>1</v>
      </c>
      <c r="D83" s="222"/>
      <c r="E83" s="222">
        <f t="shared" si="1"/>
        <v>-1</v>
      </c>
    </row>
    <row r="84" spans="1:7" ht="18.75" hidden="1" customHeight="1" x14ac:dyDescent="0.35">
      <c r="A84" s="94" t="s">
        <v>60</v>
      </c>
      <c r="B84" s="214" t="s">
        <v>799</v>
      </c>
      <c r="C84" s="221">
        <f>'GRAL. SUC. LOCALES'!L84</f>
        <v>2</v>
      </c>
      <c r="D84" s="222"/>
      <c r="E84" s="222">
        <f t="shared" si="1"/>
        <v>-2</v>
      </c>
    </row>
    <row r="85" spans="1:7" ht="18.75" hidden="1" customHeight="1" x14ac:dyDescent="0.35">
      <c r="A85" s="94" t="s">
        <v>61</v>
      </c>
      <c r="B85" s="214" t="s">
        <v>800</v>
      </c>
      <c r="C85" s="221">
        <f>'GRAL. SUC. LOCALES'!L85</f>
        <v>3</v>
      </c>
      <c r="D85" s="222"/>
      <c r="E85" s="222">
        <f t="shared" si="1"/>
        <v>-3</v>
      </c>
    </row>
    <row r="86" spans="1:7" ht="18.75" hidden="1" customHeight="1" x14ac:dyDescent="0.35">
      <c r="A86" s="94" t="s">
        <v>63</v>
      </c>
      <c r="B86" s="214" t="s">
        <v>801</v>
      </c>
      <c r="C86" s="221">
        <f>'GRAL. SUC. LOCALES'!L86</f>
        <v>8</v>
      </c>
      <c r="D86" s="222"/>
      <c r="E86" s="222">
        <f t="shared" si="1"/>
        <v>-8</v>
      </c>
    </row>
    <row r="87" spans="1:7" ht="18.75" hidden="1" customHeight="1" x14ac:dyDescent="0.35">
      <c r="A87" s="94"/>
      <c r="B87" s="214" t="s">
        <v>1091</v>
      </c>
      <c r="C87" s="221">
        <f>'GRAL. SUC. LOCALES'!L87</f>
        <v>0</v>
      </c>
      <c r="D87" s="222"/>
      <c r="E87" s="222">
        <f t="shared" si="1"/>
        <v>0</v>
      </c>
    </row>
    <row r="88" spans="1:7" ht="18.75" hidden="1" customHeight="1" x14ac:dyDescent="0.35">
      <c r="A88" s="94"/>
      <c r="B88" s="214" t="s">
        <v>1094</v>
      </c>
      <c r="C88" s="221">
        <f>'GRAL. SUC. LOCALES'!L88</f>
        <v>0</v>
      </c>
      <c r="D88" s="222"/>
      <c r="E88" s="222">
        <f t="shared" si="1"/>
        <v>0</v>
      </c>
    </row>
    <row r="89" spans="1:7" ht="18.75" hidden="1" customHeight="1" x14ac:dyDescent="0.35">
      <c r="A89" s="94"/>
      <c r="B89" s="214" t="s">
        <v>1095</v>
      </c>
      <c r="C89" s="221">
        <f>'GRAL. SUC. LOCALES'!L89</f>
        <v>0</v>
      </c>
      <c r="D89" s="222"/>
      <c r="E89" s="222">
        <f t="shared" si="1"/>
        <v>0</v>
      </c>
    </row>
    <row r="90" spans="1:7" ht="18.75" hidden="1" customHeight="1" thickBot="1" x14ac:dyDescent="0.4">
      <c r="A90" s="94"/>
      <c r="B90" s="214" t="s">
        <v>1093</v>
      </c>
      <c r="C90" s="221">
        <f>'GRAL. SUC. LOCALES'!L90</f>
        <v>0</v>
      </c>
      <c r="D90" s="222"/>
      <c r="E90" s="222">
        <f t="shared" si="1"/>
        <v>0</v>
      </c>
    </row>
    <row r="91" spans="1:7" ht="18.75" hidden="1" customHeight="1" thickBot="1" x14ac:dyDescent="0.4">
      <c r="A91" s="105" t="s">
        <v>55</v>
      </c>
      <c r="B91" s="105"/>
      <c r="C91" s="228">
        <f>'GRAL. SUC. LOCALES'!L91</f>
        <v>21</v>
      </c>
      <c r="D91" s="228"/>
      <c r="E91" s="228">
        <f t="shared" si="1"/>
        <v>-21</v>
      </c>
    </row>
    <row r="92" spans="1:7" ht="18.75" hidden="1" customHeight="1" x14ac:dyDescent="0.35">
      <c r="A92" s="106" t="s">
        <v>64</v>
      </c>
      <c r="B92" s="106"/>
      <c r="C92" s="229">
        <f>'GRAL. SUC. LOCALES'!L92</f>
        <v>0</v>
      </c>
      <c r="D92" s="229"/>
      <c r="E92" s="229">
        <f t="shared" si="1"/>
        <v>0</v>
      </c>
    </row>
    <row r="93" spans="1:7" ht="18.75" customHeight="1" x14ac:dyDescent="0.35">
      <c r="A93" s="94" t="s">
        <v>65</v>
      </c>
      <c r="B93" s="214" t="s">
        <v>802</v>
      </c>
      <c r="C93" s="221">
        <f>'GRAL. SUC. LOCALES'!L93</f>
        <v>2</v>
      </c>
      <c r="D93" s="222">
        <v>5</v>
      </c>
      <c r="E93" s="222">
        <f t="shared" si="1"/>
        <v>3</v>
      </c>
    </row>
    <row r="94" spans="1:7" ht="18.75" customHeight="1" x14ac:dyDescent="0.35">
      <c r="A94" s="94" t="s">
        <v>66</v>
      </c>
      <c r="B94" s="214" t="s">
        <v>803</v>
      </c>
      <c r="C94" s="221">
        <f>'GRAL. SUC. LOCALES'!L94</f>
        <v>1</v>
      </c>
      <c r="D94" s="222">
        <v>4</v>
      </c>
      <c r="E94" s="222">
        <f t="shared" si="1"/>
        <v>3</v>
      </c>
    </row>
    <row r="95" spans="1:7" ht="18.75" customHeight="1" x14ac:dyDescent="0.35">
      <c r="A95" s="94" t="s">
        <v>68</v>
      </c>
      <c r="B95" s="214" t="s">
        <v>805</v>
      </c>
      <c r="C95" s="221">
        <f>'GRAL. SUC. LOCALES'!L95</f>
        <v>5</v>
      </c>
      <c r="D95" s="222">
        <v>7</v>
      </c>
      <c r="E95" s="222">
        <f t="shared" si="1"/>
        <v>2</v>
      </c>
    </row>
    <row r="96" spans="1:7" ht="18.75" hidden="1" customHeight="1" x14ac:dyDescent="0.35">
      <c r="A96" s="94" t="s">
        <v>69</v>
      </c>
      <c r="B96" s="214" t="s">
        <v>806</v>
      </c>
      <c r="C96" s="221">
        <f>'GRAL. SUC. LOCALES'!L96</f>
        <v>8</v>
      </c>
      <c r="D96" s="222"/>
      <c r="E96" s="222">
        <f t="shared" si="1"/>
        <v>-8</v>
      </c>
    </row>
    <row r="97" spans="1:5" ht="18.75" hidden="1" customHeight="1" x14ac:dyDescent="0.35">
      <c r="A97" s="94" t="s">
        <v>70</v>
      </c>
      <c r="B97" s="214" t="s">
        <v>807</v>
      </c>
      <c r="C97" s="221">
        <f>'GRAL. SUC. LOCALES'!L97</f>
        <v>7</v>
      </c>
      <c r="D97" s="222"/>
      <c r="E97" s="222">
        <f t="shared" si="1"/>
        <v>-7</v>
      </c>
    </row>
    <row r="98" spans="1:5" ht="18.75" hidden="1" customHeight="1" x14ac:dyDescent="0.35">
      <c r="A98" s="94" t="s">
        <v>857</v>
      </c>
      <c r="B98" s="214" t="s">
        <v>808</v>
      </c>
      <c r="C98" s="221">
        <f>'GRAL. SUC. LOCALES'!L98</f>
        <v>6</v>
      </c>
      <c r="D98" s="222">
        <v>2</v>
      </c>
      <c r="E98" s="222">
        <f t="shared" si="1"/>
        <v>-4</v>
      </c>
    </row>
    <row r="99" spans="1:5" ht="18.75" customHeight="1" x14ac:dyDescent="0.35">
      <c r="A99" s="94" t="s">
        <v>835</v>
      </c>
      <c r="B99" s="214" t="s">
        <v>836</v>
      </c>
      <c r="C99" s="221">
        <f>'GRAL. SUC. LOCALES'!L99</f>
        <v>3</v>
      </c>
      <c r="D99" s="222">
        <v>4</v>
      </c>
      <c r="E99" s="222">
        <f t="shared" si="1"/>
        <v>1</v>
      </c>
    </row>
    <row r="100" spans="1:5" ht="18.75" hidden="1" customHeight="1" x14ac:dyDescent="0.35">
      <c r="A100" s="94" t="s">
        <v>72</v>
      </c>
      <c r="B100" s="214" t="s">
        <v>834</v>
      </c>
      <c r="C100" s="221">
        <f>'GRAL. SUC. LOCALES'!L100</f>
        <v>106</v>
      </c>
      <c r="D100" s="222"/>
      <c r="E100" s="222">
        <f t="shared" si="1"/>
        <v>-106</v>
      </c>
    </row>
    <row r="101" spans="1:5" ht="18.75" hidden="1" customHeight="1" x14ac:dyDescent="0.35">
      <c r="A101" s="94" t="s">
        <v>73</v>
      </c>
      <c r="B101" s="214" t="s">
        <v>809</v>
      </c>
      <c r="C101" s="221">
        <f>'GRAL. SUC. LOCALES'!L101</f>
        <v>4</v>
      </c>
      <c r="D101" s="222"/>
      <c r="E101" s="222">
        <f t="shared" si="1"/>
        <v>-4</v>
      </c>
    </row>
    <row r="102" spans="1:5" ht="18.75" hidden="1" customHeight="1" x14ac:dyDescent="0.35">
      <c r="A102" s="94" t="s">
        <v>74</v>
      </c>
      <c r="B102" s="214" t="s">
        <v>810</v>
      </c>
      <c r="C102" s="221">
        <f>'GRAL. SUC. LOCALES'!L102</f>
        <v>6</v>
      </c>
      <c r="D102" s="222"/>
      <c r="E102" s="222">
        <f t="shared" si="1"/>
        <v>-6</v>
      </c>
    </row>
    <row r="103" spans="1:5" ht="18.75" hidden="1" customHeight="1" x14ac:dyDescent="0.35">
      <c r="A103" s="94" t="s">
        <v>75</v>
      </c>
      <c r="B103" s="214" t="s">
        <v>811</v>
      </c>
      <c r="C103" s="221">
        <f>'GRAL. SUC. LOCALES'!L103</f>
        <v>6</v>
      </c>
      <c r="D103" s="222">
        <v>3</v>
      </c>
      <c r="E103" s="222">
        <f t="shared" si="1"/>
        <v>-3</v>
      </c>
    </row>
    <row r="104" spans="1:5" ht="18.75" hidden="1" customHeight="1" thickBot="1" x14ac:dyDescent="0.4">
      <c r="A104" s="94"/>
      <c r="B104" s="214" t="s">
        <v>1096</v>
      </c>
      <c r="C104" s="221">
        <f>'GRAL. SUC. LOCALES'!L104</f>
        <v>0</v>
      </c>
      <c r="D104" s="222"/>
      <c r="E104" s="222">
        <f t="shared" si="1"/>
        <v>0</v>
      </c>
    </row>
    <row r="105" spans="1:5" ht="18.75" hidden="1" customHeight="1" thickBot="1" x14ac:dyDescent="0.4">
      <c r="A105" s="107" t="s">
        <v>55</v>
      </c>
      <c r="B105" s="107"/>
      <c r="C105" s="230">
        <f>'GRAL. SUC. LOCALES'!L105</f>
        <v>154</v>
      </c>
      <c r="D105" s="230"/>
      <c r="E105" s="230">
        <f t="shared" si="1"/>
        <v>-154</v>
      </c>
    </row>
    <row r="106" spans="1:5" ht="18.75" hidden="1" customHeight="1" x14ac:dyDescent="0.35">
      <c r="A106" s="108" t="s">
        <v>76</v>
      </c>
      <c r="B106" s="108"/>
      <c r="C106" s="231">
        <f>'GRAL. SUC. LOCALES'!L106</f>
        <v>0</v>
      </c>
      <c r="D106" s="231"/>
      <c r="E106" s="231">
        <f t="shared" si="1"/>
        <v>0</v>
      </c>
    </row>
    <row r="107" spans="1:5" ht="18.75" hidden="1" customHeight="1" x14ac:dyDescent="0.35">
      <c r="A107" s="94" t="s">
        <v>77</v>
      </c>
      <c r="B107" s="214" t="s">
        <v>812</v>
      </c>
      <c r="C107" s="221">
        <f>'GRAL. SUC. LOCALES'!L107</f>
        <v>2</v>
      </c>
      <c r="D107" s="222"/>
      <c r="E107" s="222">
        <f t="shared" si="1"/>
        <v>-2</v>
      </c>
    </row>
    <row r="108" spans="1:5" ht="18.75" hidden="1" customHeight="1" x14ac:dyDescent="0.35">
      <c r="A108" s="94" t="s">
        <v>621</v>
      </c>
      <c r="B108" s="214" t="s">
        <v>813</v>
      </c>
      <c r="C108" s="221">
        <f>'GRAL. SUC. LOCALES'!L108</f>
        <v>0</v>
      </c>
      <c r="D108" s="222"/>
      <c r="E108" s="222">
        <f t="shared" si="1"/>
        <v>0</v>
      </c>
    </row>
    <row r="109" spans="1:5" ht="18.75" hidden="1" customHeight="1" x14ac:dyDescent="0.35">
      <c r="A109" s="94" t="s">
        <v>80</v>
      </c>
      <c r="B109" s="214" t="s">
        <v>815</v>
      </c>
      <c r="C109" s="221">
        <f>'GRAL. SUC. LOCALES'!L109</f>
        <v>5</v>
      </c>
      <c r="D109" s="222"/>
      <c r="E109" s="222">
        <f t="shared" si="1"/>
        <v>-5</v>
      </c>
    </row>
    <row r="110" spans="1:5" ht="18.75" hidden="1" customHeight="1" x14ac:dyDescent="0.35">
      <c r="A110" s="94" t="s">
        <v>81</v>
      </c>
      <c r="B110" s="214" t="s">
        <v>816</v>
      </c>
      <c r="C110" s="221">
        <f>'GRAL. SUC. LOCALES'!L110</f>
        <v>1</v>
      </c>
      <c r="D110" s="222"/>
      <c r="E110" s="222">
        <f t="shared" si="1"/>
        <v>-1</v>
      </c>
    </row>
    <row r="111" spans="1:5" ht="18.75" hidden="1" customHeight="1" x14ac:dyDescent="0.35">
      <c r="A111" s="95" t="s">
        <v>83</v>
      </c>
      <c r="B111" s="214" t="s">
        <v>818</v>
      </c>
      <c r="C111" s="221">
        <f>'GRAL. SUC. LOCALES'!L111</f>
        <v>3</v>
      </c>
      <c r="D111" s="222"/>
      <c r="E111" s="222">
        <f t="shared" si="1"/>
        <v>-3</v>
      </c>
    </row>
    <row r="112" spans="1:5" ht="18.75" hidden="1" customHeight="1" thickBot="1" x14ac:dyDescent="0.4">
      <c r="A112" s="95"/>
      <c r="B112" s="214"/>
      <c r="C112" s="221">
        <f>'GRAL. SUC. LOCALES'!L112</f>
        <v>0</v>
      </c>
      <c r="D112" s="222"/>
      <c r="E112" s="222">
        <f t="shared" si="1"/>
        <v>0</v>
      </c>
    </row>
    <row r="113" spans="1:5" ht="18.75" hidden="1" customHeight="1" thickBot="1" x14ac:dyDescent="0.4">
      <c r="A113" s="109" t="s">
        <v>55</v>
      </c>
      <c r="B113" s="109"/>
      <c r="C113" s="232">
        <f>'GRAL. SUC. LOCALES'!L113</f>
        <v>29</v>
      </c>
      <c r="D113" s="232"/>
      <c r="E113" s="232">
        <f t="shared" si="1"/>
        <v>-29</v>
      </c>
    </row>
    <row r="114" spans="1:5" ht="18.75" hidden="1" customHeight="1" x14ac:dyDescent="0.35">
      <c r="A114" s="93" t="s">
        <v>84</v>
      </c>
      <c r="B114" s="214" t="s">
        <v>819</v>
      </c>
      <c r="C114" s="221">
        <f>'GRAL. SUC. LOCALES'!L114</f>
        <v>5</v>
      </c>
      <c r="D114" s="222"/>
      <c r="E114" s="222">
        <f t="shared" si="1"/>
        <v>-5</v>
      </c>
    </row>
    <row r="115" spans="1:5" ht="18.75" hidden="1" customHeight="1" x14ac:dyDescent="0.35">
      <c r="A115" s="95" t="s">
        <v>85</v>
      </c>
      <c r="B115" s="214" t="s">
        <v>820</v>
      </c>
      <c r="C115" s="221">
        <f>'GRAL. SUC. LOCALES'!L115</f>
        <v>5</v>
      </c>
      <c r="D115" s="222"/>
      <c r="E115" s="222">
        <f t="shared" si="1"/>
        <v>-5</v>
      </c>
    </row>
    <row r="116" spans="1:5" ht="18.75" hidden="1" customHeight="1" thickBot="1" x14ac:dyDescent="0.4">
      <c r="A116" s="95" t="s">
        <v>881</v>
      </c>
      <c r="B116" s="214" t="s">
        <v>882</v>
      </c>
      <c r="C116" s="221">
        <f>'GRAL. SUC. LOCALES'!L116</f>
        <v>8</v>
      </c>
      <c r="D116" s="222"/>
      <c r="E116" s="222">
        <f t="shared" si="1"/>
        <v>-8</v>
      </c>
    </row>
    <row r="117" spans="1:5" ht="18.75" hidden="1" customHeight="1" thickBot="1" x14ac:dyDescent="0.4">
      <c r="A117" s="110" t="s">
        <v>86</v>
      </c>
      <c r="B117" s="110"/>
      <c r="C117" s="233">
        <f>'GRAL. SUC. LOCALES'!L117</f>
        <v>416</v>
      </c>
      <c r="D117" s="233"/>
      <c r="E117" s="233">
        <f t="shared" si="1"/>
        <v>-416</v>
      </c>
    </row>
    <row r="118" spans="1:5" ht="18.75" hidden="1" customHeight="1" x14ac:dyDescent="0.35">
      <c r="A118" s="95" t="s">
        <v>975</v>
      </c>
      <c r="B118" s="214" t="s">
        <v>976</v>
      </c>
      <c r="C118" s="221">
        <f>'GRAL. SUC. LOCALES'!L118</f>
        <v>17</v>
      </c>
      <c r="D118" s="222"/>
      <c r="E118" s="222">
        <f t="shared" si="1"/>
        <v>-17</v>
      </c>
    </row>
    <row r="119" spans="1:5" ht="18.75" hidden="1" customHeight="1" x14ac:dyDescent="0.35">
      <c r="A119" s="95" t="s">
        <v>974</v>
      </c>
      <c r="B119" s="214" t="s">
        <v>977</v>
      </c>
      <c r="C119" s="221">
        <f>'GRAL. SUC. LOCALES'!L119</f>
        <v>0</v>
      </c>
      <c r="D119" s="222"/>
      <c r="E119" s="222">
        <f t="shared" si="1"/>
        <v>0</v>
      </c>
    </row>
    <row r="120" spans="1:5" ht="18.75" hidden="1" customHeight="1" thickBot="1" x14ac:dyDescent="0.4">
      <c r="A120" s="95" t="s">
        <v>1077</v>
      </c>
      <c r="B120" s="214" t="s">
        <v>817</v>
      </c>
      <c r="C120" s="221">
        <f>'GRAL. SUC. LOCALES'!L120</f>
        <v>0</v>
      </c>
      <c r="D120" s="222"/>
      <c r="E120" s="222">
        <f t="shared" si="1"/>
        <v>0</v>
      </c>
    </row>
    <row r="121" spans="1:5" ht="18.75" hidden="1" customHeight="1" thickBot="1" x14ac:dyDescent="0.4">
      <c r="A121" s="95" t="s">
        <v>1076</v>
      </c>
      <c r="B121" s="215" t="s">
        <v>1121</v>
      </c>
      <c r="C121" s="221">
        <f>'GRAL. SUC. LOCALES'!L121</f>
        <v>0</v>
      </c>
      <c r="D121" s="222"/>
      <c r="E121" s="222">
        <f t="shared" si="1"/>
        <v>0</v>
      </c>
    </row>
    <row r="122" spans="1:5" ht="18.75" hidden="1" customHeight="1" thickBot="1" x14ac:dyDescent="0.4">
      <c r="A122" s="95" t="s">
        <v>1014</v>
      </c>
      <c r="B122" s="215" t="s">
        <v>1010</v>
      </c>
      <c r="C122" s="221">
        <f>'GRAL. SUC. LOCALES'!L122</f>
        <v>8</v>
      </c>
      <c r="D122" s="222"/>
      <c r="E122" s="222">
        <f t="shared" si="1"/>
        <v>-8</v>
      </c>
    </row>
    <row r="123" spans="1:5" ht="18.75" hidden="1" customHeight="1" thickBot="1" x14ac:dyDescent="0.4">
      <c r="A123" s="95" t="s">
        <v>1015</v>
      </c>
      <c r="B123" s="215" t="s">
        <v>1011</v>
      </c>
      <c r="C123" s="221">
        <f>'GRAL. SUC. LOCALES'!L123</f>
        <v>0</v>
      </c>
      <c r="D123" s="222"/>
      <c r="E123" s="222">
        <f t="shared" si="1"/>
        <v>0</v>
      </c>
    </row>
    <row r="124" spans="1:5" ht="18.75" hidden="1" customHeight="1" thickBot="1" x14ac:dyDescent="0.4">
      <c r="A124" s="95" t="s">
        <v>1016</v>
      </c>
      <c r="B124" s="215" t="s">
        <v>1012</v>
      </c>
      <c r="C124" s="221">
        <f>'GRAL. SUC. LOCALES'!L124</f>
        <v>2</v>
      </c>
      <c r="D124" s="222"/>
      <c r="E124" s="222">
        <f t="shared" si="1"/>
        <v>-2</v>
      </c>
    </row>
    <row r="125" spans="1:5" ht="18.75" hidden="1" customHeight="1" thickBot="1" x14ac:dyDescent="0.4">
      <c r="A125" s="95" t="s">
        <v>1017</v>
      </c>
      <c r="B125" s="215" t="s">
        <v>1013</v>
      </c>
      <c r="C125" s="221">
        <f>'GRAL. SUC. LOCALES'!L125</f>
        <v>1</v>
      </c>
      <c r="D125" s="222"/>
      <c r="E125" s="222">
        <f t="shared" si="1"/>
        <v>-1</v>
      </c>
    </row>
    <row r="126" spans="1:5" ht="18.75" hidden="1" customHeight="1" thickBot="1" x14ac:dyDescent="0.4">
      <c r="A126" s="95" t="s">
        <v>1125</v>
      </c>
      <c r="B126" s="215" t="s">
        <v>1127</v>
      </c>
      <c r="C126" s="221">
        <f>'GRAL. SUC. LOCALES'!L126</f>
        <v>0</v>
      </c>
      <c r="D126" s="222"/>
      <c r="E126" s="222">
        <f t="shared" si="1"/>
        <v>0</v>
      </c>
    </row>
    <row r="127" spans="1:5" ht="18.75" hidden="1" customHeight="1" thickBot="1" x14ac:dyDescent="0.4">
      <c r="A127" s="95" t="s">
        <v>1126</v>
      </c>
      <c r="B127" s="215" t="s">
        <v>1128</v>
      </c>
      <c r="C127" s="221">
        <f>'GRAL. SUC. LOCALES'!L127</f>
        <v>0</v>
      </c>
      <c r="D127" s="222"/>
      <c r="E127" s="222">
        <f t="shared" si="1"/>
        <v>0</v>
      </c>
    </row>
    <row r="128" spans="1:5" ht="18.75" hidden="1" customHeight="1" thickBot="1" x14ac:dyDescent="0.4">
      <c r="A128" s="95" t="s">
        <v>568</v>
      </c>
      <c r="B128" s="215" t="s">
        <v>1131</v>
      </c>
      <c r="C128" s="221">
        <f>'GRAL. SUC. LOCALES'!L128</f>
        <v>9</v>
      </c>
      <c r="D128" s="222"/>
      <c r="E128" s="222">
        <f t="shared" si="1"/>
        <v>-9</v>
      </c>
    </row>
    <row r="129" spans="1:5" ht="18.75" hidden="1" customHeight="1" thickBot="1" x14ac:dyDescent="0.4">
      <c r="A129" s="95" t="s">
        <v>565</v>
      </c>
      <c r="B129" s="215" t="s">
        <v>1142</v>
      </c>
      <c r="C129" s="221">
        <f>'GRAL. SUC. LOCALES'!L129</f>
        <v>0</v>
      </c>
      <c r="D129" s="222"/>
      <c r="E129" s="222">
        <f t="shared" si="1"/>
        <v>0</v>
      </c>
    </row>
    <row r="130" spans="1:5" ht="18.75" hidden="1" customHeight="1" thickBot="1" x14ac:dyDescent="0.4">
      <c r="A130" s="95" t="s">
        <v>912</v>
      </c>
      <c r="B130" s="215" t="s">
        <v>1136</v>
      </c>
      <c r="C130" s="221">
        <f>'GRAL. SUC. LOCALES'!L130</f>
        <v>15</v>
      </c>
      <c r="D130" s="222"/>
      <c r="E130" s="222">
        <f t="shared" si="1"/>
        <v>-15</v>
      </c>
    </row>
    <row r="131" spans="1:5" ht="18.75" hidden="1" customHeight="1" thickBot="1" x14ac:dyDescent="0.4">
      <c r="A131" s="95" t="s">
        <v>557</v>
      </c>
      <c r="B131" s="215" t="s">
        <v>1137</v>
      </c>
      <c r="C131" s="221">
        <f>'GRAL. SUC. LOCALES'!L131</f>
        <v>7</v>
      </c>
      <c r="D131" s="222"/>
      <c r="E131" s="222">
        <f t="shared" si="1"/>
        <v>-7</v>
      </c>
    </row>
    <row r="132" spans="1:5" ht="18.75" hidden="1" customHeight="1" thickBot="1" x14ac:dyDescent="0.4">
      <c r="A132" s="95" t="s">
        <v>573</v>
      </c>
      <c r="B132" s="215" t="s">
        <v>1138</v>
      </c>
      <c r="C132" s="221">
        <f>'GRAL. SUC. LOCALES'!L132</f>
        <v>0</v>
      </c>
      <c r="D132" s="222"/>
      <c r="E132" s="222">
        <f t="shared" ref="E132:E150" si="2">D132-C132</f>
        <v>0</v>
      </c>
    </row>
    <row r="133" spans="1:5" ht="18.75" hidden="1" customHeight="1" thickBot="1" x14ac:dyDescent="0.4">
      <c r="A133" s="95" t="s">
        <v>421</v>
      </c>
      <c r="B133" s="215" t="s">
        <v>1140</v>
      </c>
      <c r="C133" s="221">
        <f>'GRAL. SUC. LOCALES'!L133</f>
        <v>2</v>
      </c>
      <c r="D133" s="222"/>
      <c r="E133" s="222">
        <f t="shared" si="2"/>
        <v>-2</v>
      </c>
    </row>
    <row r="134" spans="1:5" ht="18.75" hidden="1" customHeight="1" thickBot="1" x14ac:dyDescent="0.4">
      <c r="A134" s="95" t="s">
        <v>249</v>
      </c>
      <c r="B134" s="215" t="s">
        <v>1134</v>
      </c>
      <c r="C134" s="221">
        <f>'GRAL. SUC. LOCALES'!L134</f>
        <v>8</v>
      </c>
      <c r="D134" s="222"/>
      <c r="E134" s="222">
        <f t="shared" si="2"/>
        <v>-8</v>
      </c>
    </row>
    <row r="135" spans="1:5" ht="18.75" hidden="1" customHeight="1" thickBot="1" x14ac:dyDescent="0.4">
      <c r="A135" s="95" t="s">
        <v>1030</v>
      </c>
      <c r="B135" s="215" t="s">
        <v>1143</v>
      </c>
      <c r="C135" s="221">
        <f>'GRAL. SUC. LOCALES'!L135</f>
        <v>0</v>
      </c>
      <c r="D135" s="222"/>
      <c r="E135" s="222">
        <f t="shared" si="2"/>
        <v>0</v>
      </c>
    </row>
    <row r="136" spans="1:5" ht="18.75" hidden="1" customHeight="1" thickBot="1" x14ac:dyDescent="0.4">
      <c r="A136" s="95" t="s">
        <v>253</v>
      </c>
      <c r="B136" s="215" t="s">
        <v>1135</v>
      </c>
      <c r="C136" s="221">
        <f>'GRAL. SUC. LOCALES'!L136</f>
        <v>0</v>
      </c>
      <c r="D136" s="222"/>
      <c r="E136" s="222">
        <f t="shared" si="2"/>
        <v>0</v>
      </c>
    </row>
    <row r="137" spans="1:5" ht="18.75" hidden="1" customHeight="1" thickBot="1" x14ac:dyDescent="0.4">
      <c r="A137" s="95" t="s">
        <v>240</v>
      </c>
      <c r="B137" s="215" t="s">
        <v>1139</v>
      </c>
      <c r="C137" s="221">
        <f>'GRAL. SUC. LOCALES'!L137</f>
        <v>0</v>
      </c>
      <c r="D137" s="222"/>
      <c r="E137" s="222">
        <f t="shared" si="2"/>
        <v>0</v>
      </c>
    </row>
    <row r="138" spans="1:5" ht="18.75" hidden="1" customHeight="1" thickBot="1" x14ac:dyDescent="0.4">
      <c r="A138" s="95" t="s">
        <v>204</v>
      </c>
      <c r="B138" s="215" t="s">
        <v>1106</v>
      </c>
      <c r="C138" s="221">
        <f>'GRAL. SUC. LOCALES'!L138</f>
        <v>0</v>
      </c>
      <c r="D138" s="222"/>
      <c r="E138" s="222">
        <f t="shared" si="2"/>
        <v>0</v>
      </c>
    </row>
    <row r="139" spans="1:5" ht="18.75" hidden="1" customHeight="1" thickBot="1" x14ac:dyDescent="0.4">
      <c r="A139" s="95" t="s">
        <v>1132</v>
      </c>
      <c r="B139" s="215" t="s">
        <v>1141</v>
      </c>
      <c r="C139" s="221">
        <f>'GRAL. SUC. LOCALES'!L139</f>
        <v>3</v>
      </c>
      <c r="D139" s="222"/>
      <c r="E139" s="222">
        <f t="shared" si="2"/>
        <v>-3</v>
      </c>
    </row>
    <row r="140" spans="1:5" ht="18.75" hidden="1" customHeight="1" thickBot="1" x14ac:dyDescent="0.4">
      <c r="A140" s="95" t="s">
        <v>914</v>
      </c>
      <c r="B140" s="215" t="s">
        <v>1133</v>
      </c>
      <c r="C140" s="221">
        <f>'GRAL. SUC. LOCALES'!L140</f>
        <v>0</v>
      </c>
      <c r="D140" s="222"/>
      <c r="E140" s="222">
        <f t="shared" si="2"/>
        <v>0</v>
      </c>
    </row>
    <row r="141" spans="1:5" ht="18.75" hidden="1" customHeight="1" thickBot="1" x14ac:dyDescent="0.4">
      <c r="A141" s="95"/>
      <c r="B141" s="215"/>
      <c r="C141" s="221">
        <f>'GRAL. SUC. LOCALES'!L141</f>
        <v>0</v>
      </c>
      <c r="D141" s="222"/>
      <c r="E141" s="222">
        <f t="shared" si="2"/>
        <v>0</v>
      </c>
    </row>
    <row r="142" spans="1:5" ht="18.75" hidden="1" customHeight="1" thickBot="1" x14ac:dyDescent="0.4">
      <c r="A142" s="95"/>
      <c r="B142" s="215"/>
      <c r="C142" s="221">
        <f>'GRAL. SUC. LOCALES'!L142</f>
        <v>0</v>
      </c>
      <c r="D142" s="222"/>
      <c r="E142" s="222">
        <f t="shared" si="2"/>
        <v>0</v>
      </c>
    </row>
    <row r="143" spans="1:5" ht="18.75" hidden="1" customHeight="1" thickBot="1" x14ac:dyDescent="0.4">
      <c r="A143" s="95"/>
      <c r="B143" s="216"/>
      <c r="C143" s="221">
        <f>'GRAL. SUC. LOCALES'!L143</f>
        <v>0</v>
      </c>
      <c r="D143" s="222"/>
      <c r="E143" s="222">
        <f t="shared" si="2"/>
        <v>0</v>
      </c>
    </row>
    <row r="144" spans="1:5" ht="18.75" hidden="1" customHeight="1" thickBot="1" x14ac:dyDescent="0.4">
      <c r="A144" s="95"/>
      <c r="B144" s="215"/>
      <c r="C144" s="221">
        <f>'GRAL. SUC. LOCALES'!L144</f>
        <v>0</v>
      </c>
      <c r="D144" s="222"/>
      <c r="E144" s="222">
        <f t="shared" si="2"/>
        <v>0</v>
      </c>
    </row>
    <row r="145" spans="1:5" ht="18.75" hidden="1" customHeight="1" thickBot="1" x14ac:dyDescent="0.4">
      <c r="A145" s="95"/>
      <c r="B145" s="217"/>
      <c r="C145" s="221">
        <f>'GRAL. SUC. LOCALES'!L145</f>
        <v>0</v>
      </c>
      <c r="D145" s="222"/>
      <c r="E145" s="222">
        <f t="shared" si="2"/>
        <v>0</v>
      </c>
    </row>
    <row r="146" spans="1:5" ht="18.75" hidden="1" customHeight="1" thickBot="1" x14ac:dyDescent="0.4">
      <c r="A146" s="95"/>
      <c r="B146" s="215"/>
      <c r="C146" s="221">
        <f>'GRAL. SUC. LOCALES'!L146</f>
        <v>0</v>
      </c>
      <c r="D146" s="222"/>
      <c r="E146" s="222">
        <f t="shared" si="2"/>
        <v>0</v>
      </c>
    </row>
    <row r="147" spans="1:5" ht="18.75" hidden="1" customHeight="1" thickBot="1" x14ac:dyDescent="0.4">
      <c r="A147" s="95"/>
      <c r="B147" s="216"/>
      <c r="C147" s="221">
        <f>'GRAL. SUC. LOCALES'!L147</f>
        <v>0</v>
      </c>
      <c r="D147" s="222"/>
      <c r="E147" s="222">
        <f t="shared" si="2"/>
        <v>0</v>
      </c>
    </row>
    <row r="148" spans="1:5" ht="18.75" hidden="1" customHeight="1" thickBot="1" x14ac:dyDescent="0.4">
      <c r="A148" s="95"/>
      <c r="B148" s="216"/>
      <c r="C148" s="221">
        <f>'GRAL. SUC. LOCALES'!L148</f>
        <v>0</v>
      </c>
      <c r="D148" s="222"/>
      <c r="E148" s="222">
        <f t="shared" si="2"/>
        <v>0</v>
      </c>
    </row>
    <row r="149" spans="1:5" ht="18.75" hidden="1" customHeight="1" thickBot="1" x14ac:dyDescent="0.35">
      <c r="A149" s="173"/>
      <c r="B149" s="173"/>
      <c r="C149" s="234">
        <f>'GRAL. SUC. LOCALES'!L149</f>
        <v>28</v>
      </c>
      <c r="D149" s="234"/>
      <c r="E149" s="234">
        <f t="shared" si="2"/>
        <v>-28</v>
      </c>
    </row>
    <row r="150" spans="1:5" ht="18.75" hidden="1" customHeight="1" thickBot="1" x14ac:dyDescent="0.4">
      <c r="A150" s="110" t="s">
        <v>86</v>
      </c>
      <c r="B150" s="110"/>
      <c r="C150" s="233">
        <f>'GRAL. SUC. LOCALES'!L150</f>
        <v>444</v>
      </c>
      <c r="D150" s="233"/>
      <c r="E150" s="233">
        <f t="shared" si="2"/>
        <v>-444</v>
      </c>
    </row>
  </sheetData>
  <autoFilter ref="E1:E150" xr:uid="{E372736F-BAEA-445B-847A-F0E5B4CB47B9}">
    <filterColumn colId="0">
      <colorFilter dxfId="270"/>
    </filterColumn>
  </autoFilter>
  <phoneticPr fontId="11" type="noConversion"/>
  <conditionalFormatting sqref="E3:E148">
    <cfRule type="cellIs" dxfId="269" priority="1" operator="between">
      <formula>0.1</formula>
      <formula>100000</formula>
    </cfRule>
  </conditionalFormatting>
  <conditionalFormatting sqref="E3:E150">
    <cfRule type="cellIs" dxfId="268" priority="2" operator="between">
      <formula>0</formula>
      <formula>-10000</formula>
    </cfRule>
  </conditionalFormatting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08069-AC2D-43C6-8169-D342AF096A4E}">
  <sheetPr codeName="Hoja20">
    <tabColor theme="8" tint="0.39997558519241921"/>
  </sheetPr>
  <dimension ref="A1:S463"/>
  <sheetViews>
    <sheetView zoomScale="80" zoomScaleNormal="80" workbookViewId="0">
      <pane xSplit="1" ySplit="2" topLeftCell="N56" activePane="bottomRight" state="frozen"/>
      <selection activeCell="A135" sqref="A135:XFD135"/>
      <selection pane="topRight" activeCell="A135" sqref="A135:XFD135"/>
      <selection pane="bottomLeft" activeCell="A135" sqref="A135:XFD135"/>
      <selection pane="bottomRight" activeCell="A135" sqref="A135:XFD135"/>
    </sheetView>
  </sheetViews>
  <sheetFormatPr baseColWidth="10" defaultRowHeight="14.4" x14ac:dyDescent="0.3"/>
  <cols>
    <col min="1" max="1" width="55.6640625" customWidth="1"/>
    <col min="7" max="7" width="11.44140625" hidden="1" customWidth="1"/>
    <col min="17" max="17" width="11.5546875" customWidth="1"/>
    <col min="18" max="18" width="41.109375" bestFit="1" customWidth="1"/>
    <col min="19" max="19" width="8.88671875" customWidth="1"/>
  </cols>
  <sheetData>
    <row r="1" spans="1:19" ht="18" thickBot="1" x14ac:dyDescent="0.4">
      <c r="A1" s="1">
        <f>RAIZ!B1</f>
        <v>46301</v>
      </c>
      <c r="B1" s="257" t="s">
        <v>716</v>
      </c>
      <c r="C1" s="257"/>
      <c r="D1" s="257"/>
      <c r="E1" s="257"/>
      <c r="F1" s="257"/>
      <c r="G1" s="257"/>
      <c r="H1" s="257"/>
      <c r="I1" s="257"/>
      <c r="J1" s="257"/>
      <c r="K1" s="257"/>
      <c r="L1" s="257"/>
      <c r="N1" s="84"/>
      <c r="R1" s="199" t="s">
        <v>88</v>
      </c>
      <c r="S1" s="198" t="s">
        <v>1129</v>
      </c>
    </row>
    <row r="2" spans="1:19" ht="31.8" thickBot="1" x14ac:dyDescent="0.35">
      <c r="A2" s="90" t="s">
        <v>0</v>
      </c>
      <c r="B2" s="62" t="s">
        <v>701</v>
      </c>
      <c r="C2" s="62" t="s">
        <v>706</v>
      </c>
      <c r="D2" s="62" t="s">
        <v>707</v>
      </c>
      <c r="E2" s="62" t="s">
        <v>708</v>
      </c>
      <c r="F2" s="62" t="s">
        <v>709</v>
      </c>
      <c r="G2" s="62" t="s">
        <v>710</v>
      </c>
      <c r="H2" s="62" t="s">
        <v>711</v>
      </c>
      <c r="I2" s="62" t="s">
        <v>712</v>
      </c>
      <c r="J2" s="62" t="s">
        <v>713</v>
      </c>
      <c r="K2" s="62" t="s">
        <v>714</v>
      </c>
      <c r="L2" s="61" t="s">
        <v>715</v>
      </c>
      <c r="M2" s="62" t="s">
        <v>754</v>
      </c>
      <c r="N2" s="61" t="s">
        <v>753</v>
      </c>
      <c r="O2" s="145" t="s">
        <v>978</v>
      </c>
      <c r="P2" s="145" t="s">
        <v>979</v>
      </c>
      <c r="R2" s="200" t="s">
        <v>107</v>
      </c>
      <c r="S2" s="198">
        <v>0</v>
      </c>
    </row>
    <row r="3" spans="1:19" ht="17.399999999999999" x14ac:dyDescent="0.35">
      <c r="A3" s="93" t="s">
        <v>1</v>
      </c>
      <c r="B3" s="4">
        <f>'Suc. Amado Nervo'!G3</f>
        <v>2</v>
      </c>
      <c r="C3" s="4">
        <f>'Suc. León'!G3</f>
        <v>1</v>
      </c>
      <c r="D3" s="5">
        <f>'San Cayetano'!G3</f>
        <v>0</v>
      </c>
      <c r="E3" s="5">
        <f>'Suc. Boulevard'!G3</f>
        <v>1</v>
      </c>
      <c r="F3" s="5">
        <f>'Suc. Dos de Agosto'!G3</f>
        <v>0</v>
      </c>
      <c r="G3" s="5">
        <f>'Suc. La Nueva Canasta'!G3</f>
        <v>0</v>
      </c>
      <c r="H3" s="5">
        <f>'Suc. Mololoa'!G3</f>
        <v>1</v>
      </c>
      <c r="I3" s="5">
        <f>'Suc. Plaza'!G3</f>
        <v>1</v>
      </c>
      <c r="J3" s="5">
        <f>'Suc. Vistas'!G3</f>
        <v>1</v>
      </c>
      <c r="K3" s="5">
        <f>'Suc. Xalisco'!G3</f>
        <v>1</v>
      </c>
      <c r="L3" s="5">
        <f>SUM(B3:K3)</f>
        <v>8</v>
      </c>
      <c r="M3" s="5">
        <f>'GRAL. SUC. FORANEAS'!P3</f>
        <v>13</v>
      </c>
      <c r="N3" s="5">
        <f>M3-L3</f>
        <v>5</v>
      </c>
      <c r="O3" s="5"/>
      <c r="P3" s="5">
        <f>N3+O3</f>
        <v>5</v>
      </c>
      <c r="R3" s="200" t="s">
        <v>108</v>
      </c>
      <c r="S3" s="198">
        <v>0</v>
      </c>
    </row>
    <row r="4" spans="1:19" ht="17.399999999999999" x14ac:dyDescent="0.35">
      <c r="A4" s="93" t="s">
        <v>2</v>
      </c>
      <c r="B4" s="4">
        <f>'Suc. Amado Nervo'!G4</f>
        <v>0</v>
      </c>
      <c r="C4" s="4">
        <f>'Suc. León'!G4</f>
        <v>0</v>
      </c>
      <c r="D4" s="5">
        <f>'San Cayetano'!G4</f>
        <v>0</v>
      </c>
      <c r="E4" s="5">
        <f>'Suc. Boulevard'!G4</f>
        <v>0</v>
      </c>
      <c r="F4" s="5">
        <f>'Suc. Dos de Agosto'!G4</f>
        <v>0</v>
      </c>
      <c r="G4" s="5">
        <f>'Suc. La Nueva Canasta'!G4</f>
        <v>0</v>
      </c>
      <c r="H4" s="5">
        <f>'Suc. Mololoa'!G4</f>
        <v>2</v>
      </c>
      <c r="I4" s="5">
        <f>'Suc. Plaza'!G4</f>
        <v>1</v>
      </c>
      <c r="J4" s="5">
        <f>'Suc. Vistas'!G4</f>
        <v>0</v>
      </c>
      <c r="K4" s="5">
        <f>'Suc. Xalisco'!G4</f>
        <v>1</v>
      </c>
      <c r="L4" s="5">
        <f t="shared" ref="L4:L11" si="0">SUM(B4:K4)</f>
        <v>4</v>
      </c>
      <c r="M4" s="5">
        <f>'GRAL. SUC. FORANEAS'!P4</f>
        <v>13</v>
      </c>
      <c r="N4" s="5">
        <f t="shared" ref="N4:N17" si="1">M4-L4</f>
        <v>9</v>
      </c>
      <c r="O4" s="5"/>
      <c r="P4" s="5">
        <f t="shared" ref="P4:P17" si="2">N4+O4</f>
        <v>9</v>
      </c>
      <c r="R4" s="200" t="s">
        <v>109</v>
      </c>
      <c r="S4" s="198">
        <v>0</v>
      </c>
    </row>
    <row r="5" spans="1:19" ht="17.399999999999999" x14ac:dyDescent="0.35">
      <c r="A5" s="93" t="s">
        <v>3</v>
      </c>
      <c r="B5" s="4">
        <f>'Suc. Amado Nervo'!G5</f>
        <v>0</v>
      </c>
      <c r="C5" s="4">
        <f>'Suc. León'!G5</f>
        <v>0</v>
      </c>
      <c r="D5" s="5">
        <f>'San Cayetano'!G5</f>
        <v>1</v>
      </c>
      <c r="E5" s="5">
        <f>'Suc. Boulevard'!G5</f>
        <v>1</v>
      </c>
      <c r="F5" s="5">
        <f>'Suc. Dos de Agosto'!G5</f>
        <v>0</v>
      </c>
      <c r="G5" s="5">
        <f>'Suc. La Nueva Canasta'!G5</f>
        <v>0</v>
      </c>
      <c r="H5" s="5">
        <f>'Suc. Mololoa'!G5</f>
        <v>0</v>
      </c>
      <c r="I5" s="5">
        <f>'Suc. Plaza'!G5</f>
        <v>0</v>
      </c>
      <c r="J5" s="5">
        <f>'Suc. Vistas'!G5</f>
        <v>0</v>
      </c>
      <c r="K5" s="5">
        <f>'Suc. Xalisco'!G5</f>
        <v>0</v>
      </c>
      <c r="L5" s="5">
        <f t="shared" si="0"/>
        <v>2</v>
      </c>
      <c r="M5" s="5">
        <f>'GRAL. SUC. FORANEAS'!P5</f>
        <v>4</v>
      </c>
      <c r="N5" s="5">
        <f t="shared" si="1"/>
        <v>2</v>
      </c>
      <c r="O5" s="5"/>
      <c r="P5" s="5">
        <f t="shared" si="2"/>
        <v>2</v>
      </c>
      <c r="R5" s="200" t="s">
        <v>110</v>
      </c>
      <c r="S5" s="198">
        <v>0</v>
      </c>
    </row>
    <row r="6" spans="1:19" ht="17.399999999999999" x14ac:dyDescent="0.35">
      <c r="A6" s="93" t="s">
        <v>4</v>
      </c>
      <c r="B6" s="4">
        <f>'Suc. Amado Nervo'!G6</f>
        <v>0</v>
      </c>
      <c r="C6" s="4">
        <f>'Suc. León'!G6</f>
        <v>0</v>
      </c>
      <c r="D6" s="5">
        <f>'San Cayetano'!G6</f>
        <v>2</v>
      </c>
      <c r="E6" s="5">
        <f>'Suc. Boulevard'!G6</f>
        <v>0</v>
      </c>
      <c r="F6" s="5">
        <f>'Suc. Dos de Agosto'!G6</f>
        <v>0</v>
      </c>
      <c r="G6" s="5">
        <f>'Suc. La Nueva Canasta'!G6</f>
        <v>0</v>
      </c>
      <c r="H6" s="5">
        <f>'Suc. Mololoa'!G6</f>
        <v>1</v>
      </c>
      <c r="I6" s="5">
        <f>'Suc. Plaza'!G6</f>
        <v>0</v>
      </c>
      <c r="J6" s="5">
        <f>'Suc. Vistas'!G6</f>
        <v>2</v>
      </c>
      <c r="K6" s="5">
        <f>'Suc. Xalisco'!G6</f>
        <v>0</v>
      </c>
      <c r="L6" s="5">
        <f t="shared" si="0"/>
        <v>5</v>
      </c>
      <c r="M6" s="5">
        <f>'GRAL. SUC. FORANEAS'!P6</f>
        <v>25</v>
      </c>
      <c r="N6" s="5">
        <f t="shared" si="1"/>
        <v>20</v>
      </c>
      <c r="O6" s="5"/>
      <c r="P6" s="5">
        <f t="shared" si="2"/>
        <v>20</v>
      </c>
      <c r="R6" s="200" t="s">
        <v>111</v>
      </c>
      <c r="S6" s="198">
        <v>0</v>
      </c>
    </row>
    <row r="7" spans="1:19" ht="17.399999999999999" x14ac:dyDescent="0.35">
      <c r="A7" s="93" t="s">
        <v>5</v>
      </c>
      <c r="B7" s="4">
        <f>'Suc. Amado Nervo'!G7</f>
        <v>0</v>
      </c>
      <c r="C7" s="4">
        <f>'Suc. León'!G7</f>
        <v>0</v>
      </c>
      <c r="D7" s="5">
        <f>'San Cayetano'!G7</f>
        <v>1</v>
      </c>
      <c r="E7" s="5">
        <f>'Suc. Boulevard'!G7</f>
        <v>0</v>
      </c>
      <c r="F7" s="5">
        <f>'Suc. Dos de Agosto'!G7</f>
        <v>0</v>
      </c>
      <c r="G7" s="5">
        <f>'Suc. La Nueva Canasta'!G7</f>
        <v>0</v>
      </c>
      <c r="H7" s="5">
        <f>'Suc. Mololoa'!G7</f>
        <v>1</v>
      </c>
      <c r="I7" s="5">
        <f>'Suc. Plaza'!G7</f>
        <v>0</v>
      </c>
      <c r="J7" s="5">
        <f>'Suc. Vistas'!G7</f>
        <v>0</v>
      </c>
      <c r="K7" s="5">
        <f>'Suc. Xalisco'!G7</f>
        <v>1</v>
      </c>
      <c r="L7" s="5">
        <f t="shared" si="0"/>
        <v>3</v>
      </c>
      <c r="M7" s="5">
        <f>'GRAL. SUC. FORANEAS'!P7</f>
        <v>16</v>
      </c>
      <c r="N7" s="5">
        <f t="shared" si="1"/>
        <v>13</v>
      </c>
      <c r="O7" s="5"/>
      <c r="P7" s="5">
        <f t="shared" si="2"/>
        <v>13</v>
      </c>
      <c r="R7" s="200" t="s">
        <v>112</v>
      </c>
      <c r="S7" s="198">
        <v>0</v>
      </c>
    </row>
    <row r="8" spans="1:19" ht="17.399999999999999" x14ac:dyDescent="0.35">
      <c r="A8" s="93" t="s">
        <v>6</v>
      </c>
      <c r="B8" s="4">
        <f>'Suc. Amado Nervo'!G8</f>
        <v>1</v>
      </c>
      <c r="C8" s="4">
        <f>'Suc. León'!G8</f>
        <v>1</v>
      </c>
      <c r="D8" s="5">
        <f>'San Cayetano'!G8</f>
        <v>1</v>
      </c>
      <c r="E8" s="5">
        <f>'Suc. Boulevard'!G8</f>
        <v>0</v>
      </c>
      <c r="F8" s="5">
        <f>'Suc. Dos de Agosto'!G8</f>
        <v>0</v>
      </c>
      <c r="G8" s="5">
        <f>'Suc. La Nueva Canasta'!G8</f>
        <v>0</v>
      </c>
      <c r="H8" s="5">
        <f>'Suc. Mololoa'!G8</f>
        <v>1</v>
      </c>
      <c r="I8" s="5">
        <f>'Suc. Plaza'!G8</f>
        <v>1</v>
      </c>
      <c r="J8" s="5">
        <f>'Suc. Vistas'!G8</f>
        <v>2</v>
      </c>
      <c r="K8" s="5">
        <f>'Suc. Xalisco'!G8</f>
        <v>0</v>
      </c>
      <c r="L8" s="5">
        <f t="shared" si="0"/>
        <v>7</v>
      </c>
      <c r="M8" s="5">
        <f>'GRAL. SUC. FORANEAS'!P8</f>
        <v>17</v>
      </c>
      <c r="N8" s="5">
        <f t="shared" si="1"/>
        <v>10</v>
      </c>
      <c r="O8" s="5"/>
      <c r="P8" s="5">
        <f t="shared" si="2"/>
        <v>10</v>
      </c>
      <c r="R8" s="200" t="s">
        <v>113</v>
      </c>
      <c r="S8" s="198">
        <v>0</v>
      </c>
    </row>
    <row r="9" spans="1:19" ht="17.399999999999999" x14ac:dyDescent="0.35">
      <c r="A9" s="93" t="s">
        <v>7</v>
      </c>
      <c r="B9" s="4">
        <f>'Suc. Amado Nervo'!G9</f>
        <v>0</v>
      </c>
      <c r="C9" s="4">
        <f>'Suc. León'!G9</f>
        <v>0</v>
      </c>
      <c r="D9" s="5">
        <f>'San Cayetano'!G9</f>
        <v>0</v>
      </c>
      <c r="E9" s="5">
        <f>'Suc. Boulevard'!G9</f>
        <v>0</v>
      </c>
      <c r="F9" s="5">
        <f>'Suc. Dos de Agosto'!G9</f>
        <v>2</v>
      </c>
      <c r="G9" s="5">
        <f>'Suc. La Nueva Canasta'!G9</f>
        <v>0</v>
      </c>
      <c r="H9" s="5">
        <f>'Suc. Mololoa'!G9</f>
        <v>0</v>
      </c>
      <c r="I9" s="5">
        <f>'Suc. Plaza'!G9</f>
        <v>1</v>
      </c>
      <c r="J9" s="5">
        <f>'Suc. Vistas'!G9</f>
        <v>1</v>
      </c>
      <c r="K9" s="5">
        <f>'Suc. Xalisco'!G9</f>
        <v>0</v>
      </c>
      <c r="L9" s="5">
        <f t="shared" si="0"/>
        <v>4</v>
      </c>
      <c r="M9" s="5">
        <f>'GRAL. SUC. FORANEAS'!P9</f>
        <v>8</v>
      </c>
      <c r="N9" s="5">
        <f t="shared" si="1"/>
        <v>4</v>
      </c>
      <c r="O9" s="5"/>
      <c r="P9" s="5">
        <f t="shared" si="2"/>
        <v>4</v>
      </c>
      <c r="R9" s="200" t="s">
        <v>114</v>
      </c>
      <c r="S9" s="198">
        <v>0</v>
      </c>
    </row>
    <row r="10" spans="1:19" ht="17.399999999999999" x14ac:dyDescent="0.35">
      <c r="A10" s="93" t="s">
        <v>8</v>
      </c>
      <c r="B10" s="4">
        <f>'Suc. Amado Nervo'!G10</f>
        <v>0</v>
      </c>
      <c r="C10" s="4">
        <f>'Suc. León'!G10</f>
        <v>0</v>
      </c>
      <c r="D10" s="5">
        <f>'San Cayetano'!G10</f>
        <v>0</v>
      </c>
      <c r="E10" s="5">
        <f>'Suc. Boulevard'!G10</f>
        <v>0</v>
      </c>
      <c r="F10" s="5">
        <f>'Suc. Dos de Agosto'!G10</f>
        <v>0</v>
      </c>
      <c r="G10" s="5">
        <f>'Suc. La Nueva Canasta'!G10</f>
        <v>0</v>
      </c>
      <c r="H10" s="5">
        <f>'Suc. Mololoa'!G10</f>
        <v>0</v>
      </c>
      <c r="I10" s="5">
        <f>'Suc. Plaza'!G10</f>
        <v>1</v>
      </c>
      <c r="J10" s="5">
        <f>'Suc. Vistas'!G10</f>
        <v>0</v>
      </c>
      <c r="K10" s="5">
        <f>'Suc. Xalisco'!G10</f>
        <v>1</v>
      </c>
      <c r="L10" s="5">
        <f t="shared" si="0"/>
        <v>2</v>
      </c>
      <c r="M10" s="5">
        <f>'GRAL. SUC. FORANEAS'!P10</f>
        <v>14</v>
      </c>
      <c r="N10" s="5">
        <f t="shared" si="1"/>
        <v>12</v>
      </c>
      <c r="O10" s="5"/>
      <c r="P10" s="5">
        <f t="shared" si="2"/>
        <v>12</v>
      </c>
      <c r="R10" s="200" t="s">
        <v>115</v>
      </c>
      <c r="S10" s="198">
        <v>0</v>
      </c>
    </row>
    <row r="11" spans="1:19" ht="17.399999999999999" x14ac:dyDescent="0.35">
      <c r="A11" s="93" t="s">
        <v>9</v>
      </c>
      <c r="B11" s="4">
        <f>'Suc. Amado Nervo'!G11</f>
        <v>0</v>
      </c>
      <c r="C11" s="4">
        <f>'Suc. León'!G11</f>
        <v>0</v>
      </c>
      <c r="D11" s="5">
        <f>'San Cayetano'!G11</f>
        <v>0</v>
      </c>
      <c r="E11" s="5">
        <f>'Suc. Boulevard'!G11</f>
        <v>0</v>
      </c>
      <c r="F11" s="5">
        <f>'Suc. Dos de Agosto'!G11</f>
        <v>2</v>
      </c>
      <c r="G11" s="5">
        <f>'Suc. La Nueva Canasta'!G11</f>
        <v>0</v>
      </c>
      <c r="H11" s="5">
        <f>'Suc. Mololoa'!G11</f>
        <v>2</v>
      </c>
      <c r="I11" s="5">
        <f>'Suc. Plaza'!G11</f>
        <v>1</v>
      </c>
      <c r="J11" s="5">
        <f>'Suc. Vistas'!G11</f>
        <v>1</v>
      </c>
      <c r="K11" s="5">
        <f>'Suc. Xalisco'!G11</f>
        <v>2</v>
      </c>
      <c r="L11" s="5">
        <f t="shared" si="0"/>
        <v>8</v>
      </c>
      <c r="M11" s="5">
        <f>'GRAL. SUC. FORANEAS'!P11</f>
        <v>12</v>
      </c>
      <c r="N11" s="5">
        <f t="shared" si="1"/>
        <v>4</v>
      </c>
      <c r="O11" s="5"/>
      <c r="P11" s="5">
        <f t="shared" si="2"/>
        <v>4</v>
      </c>
      <c r="R11" s="200" t="s">
        <v>116</v>
      </c>
      <c r="S11" s="198">
        <v>0</v>
      </c>
    </row>
    <row r="12" spans="1:19" ht="17.399999999999999" x14ac:dyDescent="0.35">
      <c r="A12" s="93"/>
      <c r="B12" s="4">
        <f>'Suc. Amado Nervo'!G12</f>
        <v>0</v>
      </c>
      <c r="C12" s="4">
        <f>'Suc. León'!G12</f>
        <v>0</v>
      </c>
      <c r="D12" s="5">
        <f>'San Cayetano'!G12</f>
        <v>0</v>
      </c>
      <c r="E12" s="5">
        <f>'Suc. Boulevard'!G12</f>
        <v>0</v>
      </c>
      <c r="F12" s="5">
        <f>'Suc. Dos de Agosto'!G12</f>
        <v>0</v>
      </c>
      <c r="G12" s="5">
        <f>'Suc. La Nueva Canasta'!G12</f>
        <v>0</v>
      </c>
      <c r="H12" s="5">
        <f>'Suc. Mololoa'!G12</f>
        <v>0</v>
      </c>
      <c r="I12" s="5">
        <f>'Suc. Plaza'!G12</f>
        <v>0</v>
      </c>
      <c r="J12" s="5">
        <f>'Suc. Vistas'!G12</f>
        <v>0</v>
      </c>
      <c r="K12" s="5">
        <f>'Suc. Xalisco'!G12</f>
        <v>0</v>
      </c>
      <c r="L12" s="5">
        <f t="shared" ref="L12:L17" si="3">SUM(B12:K12)</f>
        <v>0</v>
      </c>
      <c r="M12" s="5">
        <f>'GRAL. SUC. FORANEAS'!P12</f>
        <v>0</v>
      </c>
      <c r="N12" s="5">
        <f t="shared" si="1"/>
        <v>0</v>
      </c>
      <c r="O12" s="5"/>
      <c r="P12" s="5">
        <f t="shared" si="2"/>
        <v>0</v>
      </c>
      <c r="R12" s="200" t="s">
        <v>117</v>
      </c>
      <c r="S12" s="198">
        <v>0</v>
      </c>
    </row>
    <row r="13" spans="1:19" ht="17.399999999999999" x14ac:dyDescent="0.35">
      <c r="A13" s="93"/>
      <c r="B13" s="4">
        <f>'Suc. Amado Nervo'!G13</f>
        <v>0</v>
      </c>
      <c r="C13" s="4">
        <f>'Suc. León'!G13</f>
        <v>0</v>
      </c>
      <c r="D13" s="5">
        <f>'San Cayetano'!G13</f>
        <v>0</v>
      </c>
      <c r="E13" s="5">
        <f>'Suc. Boulevard'!G13</f>
        <v>0</v>
      </c>
      <c r="F13" s="5">
        <f>'Suc. Dos de Agosto'!G13</f>
        <v>0</v>
      </c>
      <c r="G13" s="5">
        <f>'Suc. La Nueva Canasta'!G13</f>
        <v>0</v>
      </c>
      <c r="H13" s="5">
        <f>'Suc. Mololoa'!G13</f>
        <v>0</v>
      </c>
      <c r="I13" s="5">
        <f>'Suc. Plaza'!G13</f>
        <v>0</v>
      </c>
      <c r="J13" s="5">
        <f>'Suc. Vistas'!G13</f>
        <v>0</v>
      </c>
      <c r="K13" s="5">
        <f>'Suc. Xalisco'!G13</f>
        <v>0</v>
      </c>
      <c r="L13" s="5">
        <f t="shared" si="3"/>
        <v>0</v>
      </c>
      <c r="M13" s="5">
        <f>'GRAL. SUC. FORANEAS'!P13</f>
        <v>0</v>
      </c>
      <c r="N13" s="5">
        <f t="shared" si="1"/>
        <v>0</v>
      </c>
      <c r="O13" s="5"/>
      <c r="P13" s="5">
        <f t="shared" si="2"/>
        <v>0</v>
      </c>
      <c r="R13" s="200" t="s">
        <v>118</v>
      </c>
      <c r="S13" s="198">
        <v>0</v>
      </c>
    </row>
    <row r="14" spans="1:19" ht="17.399999999999999" x14ac:dyDescent="0.35">
      <c r="A14" s="93"/>
      <c r="B14" s="4">
        <f>'Suc. Amado Nervo'!G14</f>
        <v>0</v>
      </c>
      <c r="C14" s="4">
        <f>'Suc. León'!G14</f>
        <v>0</v>
      </c>
      <c r="D14" s="5">
        <f>'San Cayetano'!G14</f>
        <v>0</v>
      </c>
      <c r="E14" s="5">
        <f>'Suc. Boulevard'!G14</f>
        <v>0</v>
      </c>
      <c r="F14" s="5">
        <f>'Suc. Dos de Agosto'!G14</f>
        <v>0</v>
      </c>
      <c r="G14" s="5">
        <f>'Suc. La Nueva Canasta'!G14</f>
        <v>0</v>
      </c>
      <c r="H14" s="5">
        <f>'Suc. Mololoa'!G14</f>
        <v>0</v>
      </c>
      <c r="I14" s="5">
        <f>'Suc. Plaza'!G14</f>
        <v>0</v>
      </c>
      <c r="J14" s="5">
        <f>'Suc. Vistas'!G14</f>
        <v>0</v>
      </c>
      <c r="K14" s="5">
        <f>'Suc. Xalisco'!G14</f>
        <v>0</v>
      </c>
      <c r="L14" s="5">
        <f t="shared" si="3"/>
        <v>0</v>
      </c>
      <c r="M14" s="5">
        <f>'GRAL. SUC. FORANEAS'!P14</f>
        <v>0</v>
      </c>
      <c r="N14" s="5">
        <f t="shared" si="1"/>
        <v>0</v>
      </c>
      <c r="O14" s="5"/>
      <c r="P14" s="5">
        <f t="shared" si="2"/>
        <v>0</v>
      </c>
      <c r="R14" s="200" t="s">
        <v>119</v>
      </c>
      <c r="S14" s="198">
        <v>0</v>
      </c>
    </row>
    <row r="15" spans="1:19" ht="17.399999999999999" x14ac:dyDescent="0.35">
      <c r="A15" s="93"/>
      <c r="B15" s="4">
        <f>'Suc. Amado Nervo'!G15</f>
        <v>0</v>
      </c>
      <c r="C15" s="4">
        <f>'Suc. León'!G15</f>
        <v>0</v>
      </c>
      <c r="D15" s="5">
        <f>'San Cayetano'!G15</f>
        <v>0</v>
      </c>
      <c r="E15" s="5">
        <f>'Suc. Boulevard'!G15</f>
        <v>0</v>
      </c>
      <c r="F15" s="5">
        <f>'Suc. Dos de Agosto'!G15</f>
        <v>0</v>
      </c>
      <c r="G15" s="5">
        <f>'Suc. La Nueva Canasta'!G15</f>
        <v>0</v>
      </c>
      <c r="H15" s="5">
        <f>'Suc. Mololoa'!G15</f>
        <v>0</v>
      </c>
      <c r="I15" s="5">
        <f>'Suc. Plaza'!G15</f>
        <v>0</v>
      </c>
      <c r="J15" s="5">
        <f>'Suc. Vistas'!G15</f>
        <v>0</v>
      </c>
      <c r="K15" s="5">
        <f>'Suc. Xalisco'!G15</f>
        <v>0</v>
      </c>
      <c r="L15" s="5">
        <f t="shared" si="3"/>
        <v>0</v>
      </c>
      <c r="M15" s="5">
        <f>'GRAL. SUC. FORANEAS'!P15</f>
        <v>0</v>
      </c>
      <c r="N15" s="5">
        <f t="shared" si="1"/>
        <v>0</v>
      </c>
      <c r="O15" s="5"/>
      <c r="P15" s="5">
        <f t="shared" si="2"/>
        <v>0</v>
      </c>
      <c r="R15" s="200" t="s">
        <v>120</v>
      </c>
      <c r="S15" s="198">
        <v>0</v>
      </c>
    </row>
    <row r="16" spans="1:19" ht="17.399999999999999" x14ac:dyDescent="0.35">
      <c r="A16" s="93"/>
      <c r="B16" s="4">
        <f>'Suc. Amado Nervo'!G16</f>
        <v>0</v>
      </c>
      <c r="C16" s="4">
        <f>'Suc. León'!G16</f>
        <v>0</v>
      </c>
      <c r="D16" s="5">
        <f>'San Cayetano'!G16</f>
        <v>0</v>
      </c>
      <c r="E16" s="5">
        <f>'Suc. Boulevard'!G16</f>
        <v>0</v>
      </c>
      <c r="F16" s="5">
        <f>'Suc. Dos de Agosto'!G16</f>
        <v>0</v>
      </c>
      <c r="G16" s="5">
        <f>'Suc. La Nueva Canasta'!G16</f>
        <v>0</v>
      </c>
      <c r="H16" s="5">
        <f>'Suc. Mololoa'!G16</f>
        <v>0</v>
      </c>
      <c r="I16" s="5">
        <f>'Suc. Plaza'!G16</f>
        <v>0</v>
      </c>
      <c r="J16" s="5">
        <f>'Suc. Vistas'!G16</f>
        <v>0</v>
      </c>
      <c r="K16" s="5">
        <f>'Suc. Xalisco'!G16</f>
        <v>0</v>
      </c>
      <c r="L16" s="5">
        <f t="shared" si="3"/>
        <v>0</v>
      </c>
      <c r="M16" s="5">
        <f>'GRAL. SUC. FORANEAS'!P16</f>
        <v>0</v>
      </c>
      <c r="N16" s="5">
        <f t="shared" si="1"/>
        <v>0</v>
      </c>
      <c r="O16" s="5"/>
      <c r="P16" s="5">
        <f t="shared" si="2"/>
        <v>0</v>
      </c>
      <c r="R16" s="200" t="s">
        <v>121</v>
      </c>
      <c r="S16" s="198">
        <v>0</v>
      </c>
    </row>
    <row r="17" spans="1:19" ht="18" thickBot="1" x14ac:dyDescent="0.4">
      <c r="A17" s="93"/>
      <c r="B17" s="4">
        <f>'Suc. Amado Nervo'!G17</f>
        <v>0</v>
      </c>
      <c r="C17" s="4">
        <f>'Suc. León'!G17</f>
        <v>0</v>
      </c>
      <c r="D17" s="5">
        <f>'San Cayetano'!G17</f>
        <v>0</v>
      </c>
      <c r="E17" s="5">
        <f>'Suc. Boulevard'!G17</f>
        <v>0</v>
      </c>
      <c r="F17" s="5">
        <f>'Suc. Dos de Agosto'!G17</f>
        <v>0</v>
      </c>
      <c r="G17" s="5">
        <f>'Suc. La Nueva Canasta'!G17</f>
        <v>0</v>
      </c>
      <c r="H17" s="5">
        <f>'Suc. Mololoa'!G17</f>
        <v>0</v>
      </c>
      <c r="I17" s="5">
        <f>'Suc. Plaza'!G17</f>
        <v>0</v>
      </c>
      <c r="J17" s="5">
        <f>'Suc. Vistas'!G17</f>
        <v>0</v>
      </c>
      <c r="K17" s="5">
        <f>'Suc. Xalisco'!G17</f>
        <v>0</v>
      </c>
      <c r="L17" s="5">
        <f t="shared" si="3"/>
        <v>0</v>
      </c>
      <c r="M17" s="5">
        <f>'GRAL. SUC. FORANEAS'!P17</f>
        <v>0</v>
      </c>
      <c r="N17" s="5">
        <f t="shared" si="1"/>
        <v>0</v>
      </c>
      <c r="O17" s="5"/>
      <c r="P17" s="5">
        <f t="shared" si="2"/>
        <v>0</v>
      </c>
      <c r="R17" s="200" t="s">
        <v>122</v>
      </c>
      <c r="S17" s="198">
        <v>0</v>
      </c>
    </row>
    <row r="18" spans="1:19" ht="18" thickBot="1" x14ac:dyDescent="0.4">
      <c r="A18" s="96" t="s">
        <v>10</v>
      </c>
      <c r="B18" s="43">
        <f t="shared" ref="B18:P18" si="4">SUM(B3:B17)</f>
        <v>3</v>
      </c>
      <c r="C18" s="43">
        <f t="shared" si="4"/>
        <v>2</v>
      </c>
      <c r="D18" s="43">
        <f t="shared" si="4"/>
        <v>5</v>
      </c>
      <c r="E18" s="43">
        <f t="shared" si="4"/>
        <v>2</v>
      </c>
      <c r="F18" s="43">
        <f t="shared" si="4"/>
        <v>4</v>
      </c>
      <c r="G18" s="43">
        <f t="shared" si="4"/>
        <v>0</v>
      </c>
      <c r="H18" s="43">
        <f t="shared" si="4"/>
        <v>8</v>
      </c>
      <c r="I18" s="43">
        <f t="shared" si="4"/>
        <v>6</v>
      </c>
      <c r="J18" s="43">
        <f t="shared" si="4"/>
        <v>7</v>
      </c>
      <c r="K18" s="43">
        <f t="shared" si="4"/>
        <v>6</v>
      </c>
      <c r="L18" s="43">
        <f t="shared" si="4"/>
        <v>43</v>
      </c>
      <c r="M18" s="43">
        <f t="shared" si="4"/>
        <v>122</v>
      </c>
      <c r="N18" s="43">
        <f t="shared" si="4"/>
        <v>79</v>
      </c>
      <c r="O18" s="43">
        <f t="shared" si="4"/>
        <v>0</v>
      </c>
      <c r="P18" s="43">
        <f t="shared" si="4"/>
        <v>79</v>
      </c>
      <c r="R18" s="200" t="s">
        <v>123</v>
      </c>
      <c r="S18" s="198">
        <v>0</v>
      </c>
    </row>
    <row r="19" spans="1:19" ht="17.399999999999999" x14ac:dyDescent="0.35">
      <c r="A19" s="97" t="s">
        <v>676</v>
      </c>
      <c r="B19" s="4">
        <f>'Suc. Amado Nervo'!G19</f>
        <v>0</v>
      </c>
      <c r="C19" s="4">
        <f>'Suc. León'!G19</f>
        <v>0</v>
      </c>
      <c r="D19" s="5">
        <f>'San Cayetano'!G19</f>
        <v>0</v>
      </c>
      <c r="E19" s="5">
        <f>'Suc. Boulevard'!G19</f>
        <v>0</v>
      </c>
      <c r="F19" s="5">
        <f>'Suc. Dos de Agosto'!G19</f>
        <v>0</v>
      </c>
      <c r="G19" s="5">
        <f>'Suc. La Nueva Canasta'!G19</f>
        <v>0</v>
      </c>
      <c r="H19" s="5">
        <f>'Suc. Mololoa'!G19</f>
        <v>0</v>
      </c>
      <c r="I19" s="5">
        <f>'Suc. Plaza'!G19</f>
        <v>0</v>
      </c>
      <c r="J19" s="5">
        <f>'Suc. Vistas'!G19</f>
        <v>1</v>
      </c>
      <c r="K19" s="5">
        <f>'Suc. Xalisco'!G19</f>
        <v>0</v>
      </c>
      <c r="L19" s="5">
        <f t="shared" ref="L19:L31" si="5">SUM(B19:K19)</f>
        <v>1</v>
      </c>
      <c r="M19" s="5">
        <f>'GRAL. SUC. FORANEAS'!P19</f>
        <v>8</v>
      </c>
      <c r="N19" s="5">
        <f t="shared" ref="N19:N31" si="6">M19-L19</f>
        <v>7</v>
      </c>
      <c r="O19" s="5"/>
      <c r="P19" s="5">
        <f t="shared" ref="P19:P31" si="7">N19+O19</f>
        <v>7</v>
      </c>
      <c r="R19" s="200" t="s">
        <v>124</v>
      </c>
      <c r="S19" s="198">
        <v>0</v>
      </c>
    </row>
    <row r="20" spans="1:19" ht="17.399999999999999" x14ac:dyDescent="0.35">
      <c r="A20" s="97" t="s">
        <v>11</v>
      </c>
      <c r="B20" s="4">
        <f>'Suc. Amado Nervo'!G20</f>
        <v>0</v>
      </c>
      <c r="C20" s="4">
        <f>'Suc. León'!G20</f>
        <v>1</v>
      </c>
      <c r="D20" s="5">
        <f>'San Cayetano'!G20</f>
        <v>1</v>
      </c>
      <c r="E20" s="5">
        <f>'Suc. Boulevard'!G20</f>
        <v>1</v>
      </c>
      <c r="F20" s="5">
        <f>'Suc. Dos de Agosto'!G20</f>
        <v>0</v>
      </c>
      <c r="G20" s="5">
        <f>'Suc. La Nueva Canasta'!G20</f>
        <v>0</v>
      </c>
      <c r="H20" s="5">
        <f>'Suc. Mololoa'!G20</f>
        <v>1</v>
      </c>
      <c r="I20" s="5">
        <f>'Suc. Plaza'!G20</f>
        <v>0</v>
      </c>
      <c r="J20" s="5">
        <f>'Suc. Vistas'!G20</f>
        <v>2</v>
      </c>
      <c r="K20" s="5">
        <f>'Suc. Xalisco'!G20</f>
        <v>1</v>
      </c>
      <c r="L20" s="5">
        <f t="shared" ref="L20:L25" si="8">SUM(B20:K20)</f>
        <v>7</v>
      </c>
      <c r="M20" s="5">
        <f>'GRAL. SUC. FORANEAS'!P20</f>
        <v>23</v>
      </c>
      <c r="N20" s="5">
        <f t="shared" si="6"/>
        <v>16</v>
      </c>
      <c r="O20" s="5"/>
      <c r="P20" s="5">
        <f t="shared" si="7"/>
        <v>16</v>
      </c>
      <c r="R20" s="200" t="s">
        <v>125</v>
      </c>
      <c r="S20" s="198">
        <v>0</v>
      </c>
    </row>
    <row r="21" spans="1:19" ht="17.399999999999999" x14ac:dyDescent="0.35">
      <c r="A21" s="97" t="s">
        <v>344</v>
      </c>
      <c r="B21" s="4">
        <f>'Suc. Amado Nervo'!G21</f>
        <v>0</v>
      </c>
      <c r="C21" s="4">
        <f>'Suc. León'!G21</f>
        <v>2</v>
      </c>
      <c r="D21" s="5">
        <f>'San Cayetano'!G21</f>
        <v>0</v>
      </c>
      <c r="E21" s="5">
        <f>'Suc. Boulevard'!G21</f>
        <v>0</v>
      </c>
      <c r="F21" s="5">
        <f>'Suc. Dos de Agosto'!G21</f>
        <v>1</v>
      </c>
      <c r="G21" s="5">
        <f>'Suc. La Nueva Canasta'!G21</f>
        <v>0</v>
      </c>
      <c r="H21" s="5">
        <f>'Suc. Mololoa'!G21</f>
        <v>0</v>
      </c>
      <c r="I21" s="5">
        <f>'Suc. Plaza'!G21</f>
        <v>1</v>
      </c>
      <c r="J21" s="5">
        <f>'Suc. Vistas'!G21</f>
        <v>1</v>
      </c>
      <c r="K21" s="5">
        <f>'Suc. Xalisco'!G21</f>
        <v>0</v>
      </c>
      <c r="L21" s="5">
        <f t="shared" si="8"/>
        <v>5</v>
      </c>
      <c r="M21" s="5">
        <f>'GRAL. SUC. FORANEAS'!P21</f>
        <v>5</v>
      </c>
      <c r="N21" s="5">
        <f t="shared" si="6"/>
        <v>0</v>
      </c>
      <c r="O21" s="5"/>
      <c r="P21" s="5">
        <f t="shared" si="7"/>
        <v>0</v>
      </c>
      <c r="R21" s="200" t="s">
        <v>126</v>
      </c>
      <c r="S21" s="198">
        <v>1</v>
      </c>
    </row>
    <row r="22" spans="1:19" ht="17.399999999999999" x14ac:dyDescent="0.35">
      <c r="A22" s="97" t="s">
        <v>832</v>
      </c>
      <c r="B22" s="4">
        <f>'Suc. Amado Nervo'!G22</f>
        <v>1</v>
      </c>
      <c r="C22" s="4">
        <f>'Suc. León'!G22</f>
        <v>0</v>
      </c>
      <c r="D22" s="5">
        <f>'San Cayetano'!G22</f>
        <v>0</v>
      </c>
      <c r="E22" s="5">
        <f>'Suc. Boulevard'!G22</f>
        <v>0</v>
      </c>
      <c r="F22" s="5">
        <f>'Suc. Dos de Agosto'!G22</f>
        <v>0</v>
      </c>
      <c r="G22" s="5">
        <f>'Suc. La Nueva Canasta'!G22</f>
        <v>0</v>
      </c>
      <c r="H22" s="5">
        <f>'Suc. Mololoa'!G22</f>
        <v>1</v>
      </c>
      <c r="I22" s="5">
        <f>'Suc. Plaza'!G22</f>
        <v>0</v>
      </c>
      <c r="J22" s="5">
        <f>'Suc. Vistas'!G22</f>
        <v>0</v>
      </c>
      <c r="K22" s="5">
        <f>'Suc. Xalisco'!G22</f>
        <v>1</v>
      </c>
      <c r="L22" s="5">
        <f t="shared" si="8"/>
        <v>3</v>
      </c>
      <c r="M22" s="5">
        <f>'GRAL. SUC. FORANEAS'!P22</f>
        <v>22</v>
      </c>
      <c r="N22" s="5">
        <f t="shared" si="6"/>
        <v>19</v>
      </c>
      <c r="O22" s="5"/>
      <c r="P22" s="5">
        <f t="shared" si="7"/>
        <v>19</v>
      </c>
      <c r="R22" s="200" t="s">
        <v>127</v>
      </c>
      <c r="S22" s="198">
        <v>0</v>
      </c>
    </row>
    <row r="23" spans="1:19" ht="17.399999999999999" x14ac:dyDescent="0.35">
      <c r="A23" s="97" t="s">
        <v>12</v>
      </c>
      <c r="B23" s="4">
        <f>'Suc. Amado Nervo'!G23</f>
        <v>2</v>
      </c>
      <c r="C23" s="4">
        <f>'Suc. León'!G23</f>
        <v>3</v>
      </c>
      <c r="D23" s="5">
        <f>'San Cayetano'!G23</f>
        <v>0</v>
      </c>
      <c r="E23" s="5">
        <f>'Suc. Boulevard'!G23</f>
        <v>0</v>
      </c>
      <c r="F23" s="5">
        <f>'Suc. Dos de Agosto'!G23</f>
        <v>0</v>
      </c>
      <c r="G23" s="5">
        <f>'Suc. La Nueva Canasta'!G23</f>
        <v>0</v>
      </c>
      <c r="H23" s="5">
        <f>'Suc. Mololoa'!G23</f>
        <v>0</v>
      </c>
      <c r="I23" s="5">
        <f>'Suc. Plaza'!G23</f>
        <v>1</v>
      </c>
      <c r="J23" s="5">
        <f>'Suc. Vistas'!G23</f>
        <v>1</v>
      </c>
      <c r="K23" s="5">
        <f>'Suc. Xalisco'!G23</f>
        <v>1</v>
      </c>
      <c r="L23" s="5">
        <f t="shared" si="8"/>
        <v>8</v>
      </c>
      <c r="M23" s="5">
        <f>'GRAL. SUC. FORANEAS'!P23</f>
        <v>11</v>
      </c>
      <c r="N23" s="5">
        <f t="shared" si="6"/>
        <v>3</v>
      </c>
      <c r="O23" s="5"/>
      <c r="P23" s="5">
        <f t="shared" si="7"/>
        <v>3</v>
      </c>
      <c r="R23" s="200" t="s">
        <v>128</v>
      </c>
      <c r="S23" s="198">
        <v>0</v>
      </c>
    </row>
    <row r="24" spans="1:19" ht="17.399999999999999" x14ac:dyDescent="0.35">
      <c r="A24" s="97" t="s">
        <v>432</v>
      </c>
      <c r="B24" s="4">
        <f>'Suc. Amado Nervo'!G24</f>
        <v>0</v>
      </c>
      <c r="C24" s="4">
        <f>'Suc. León'!G24</f>
        <v>0</v>
      </c>
      <c r="D24" s="5">
        <f>'San Cayetano'!G24</f>
        <v>0</v>
      </c>
      <c r="E24" s="5">
        <f>'Suc. Boulevard'!G24</f>
        <v>0</v>
      </c>
      <c r="F24" s="5">
        <f>'Suc. Dos de Agosto'!G24</f>
        <v>0</v>
      </c>
      <c r="G24" s="5">
        <f>'Suc. La Nueva Canasta'!G24</f>
        <v>0</v>
      </c>
      <c r="H24" s="5">
        <f>'Suc. Mololoa'!G24</f>
        <v>0</v>
      </c>
      <c r="I24" s="5">
        <f>'Suc. Plaza'!G24</f>
        <v>0</v>
      </c>
      <c r="J24" s="5">
        <f>'Suc. Vistas'!G24</f>
        <v>0</v>
      </c>
      <c r="K24" s="5">
        <f>'Suc. Xalisco'!G24</f>
        <v>0</v>
      </c>
      <c r="L24" s="5">
        <f t="shared" si="8"/>
        <v>0</v>
      </c>
      <c r="M24" s="5">
        <f>'GRAL. SUC. FORANEAS'!P24</f>
        <v>0</v>
      </c>
      <c r="N24" s="5">
        <f t="shared" si="6"/>
        <v>0</v>
      </c>
      <c r="O24" s="5"/>
      <c r="P24" s="5">
        <f t="shared" si="7"/>
        <v>0</v>
      </c>
      <c r="R24" s="200" t="s">
        <v>129</v>
      </c>
      <c r="S24" s="198">
        <v>0</v>
      </c>
    </row>
    <row r="25" spans="1:19" ht="17.399999999999999" x14ac:dyDescent="0.35">
      <c r="A25" s="97" t="s">
        <v>468</v>
      </c>
      <c r="B25" s="4">
        <f>'Suc. Amado Nervo'!G25</f>
        <v>0</v>
      </c>
      <c r="C25" s="4">
        <f>'Suc. León'!G25</f>
        <v>0</v>
      </c>
      <c r="D25" s="5">
        <f>'San Cayetano'!G25</f>
        <v>2</v>
      </c>
      <c r="E25" s="5">
        <f>'Suc. Boulevard'!G25</f>
        <v>3</v>
      </c>
      <c r="F25" s="5">
        <f>'Suc. Dos de Agosto'!G25</f>
        <v>2</v>
      </c>
      <c r="G25" s="5">
        <f>'Suc. La Nueva Canasta'!G25</f>
        <v>0</v>
      </c>
      <c r="H25" s="5">
        <f>'Suc. Mololoa'!G25</f>
        <v>3</v>
      </c>
      <c r="I25" s="5">
        <f>'Suc. Plaza'!G25</f>
        <v>0</v>
      </c>
      <c r="J25" s="5">
        <f>'Suc. Vistas'!G25</f>
        <v>4</v>
      </c>
      <c r="K25" s="5">
        <f>'Suc. Xalisco'!G25</f>
        <v>3</v>
      </c>
      <c r="L25" s="5">
        <f t="shared" si="8"/>
        <v>17</v>
      </c>
      <c r="M25" s="5">
        <f>'GRAL. SUC. FORANEAS'!P25</f>
        <v>51</v>
      </c>
      <c r="N25" s="5">
        <f t="shared" si="6"/>
        <v>34</v>
      </c>
      <c r="O25" s="5"/>
      <c r="P25" s="5">
        <f t="shared" si="7"/>
        <v>34</v>
      </c>
      <c r="R25" s="200" t="s">
        <v>130</v>
      </c>
      <c r="S25" s="198">
        <v>0</v>
      </c>
    </row>
    <row r="26" spans="1:19" ht="17.25" customHeight="1" x14ac:dyDescent="0.35">
      <c r="A26" s="97"/>
      <c r="B26" s="4">
        <f>'Suc. Amado Nervo'!G26</f>
        <v>0</v>
      </c>
      <c r="C26" s="4">
        <f>'Suc. León'!G26</f>
        <v>0</v>
      </c>
      <c r="D26" s="5">
        <f>'San Cayetano'!G26</f>
        <v>0</v>
      </c>
      <c r="E26" s="5">
        <f>'Suc. Boulevard'!G26</f>
        <v>0</v>
      </c>
      <c r="F26" s="5">
        <f>'Suc. Dos de Agosto'!G26</f>
        <v>0</v>
      </c>
      <c r="G26" s="5">
        <f>'Suc. La Nueva Canasta'!G26</f>
        <v>0</v>
      </c>
      <c r="H26" s="5">
        <f>'Suc. Mololoa'!G26</f>
        <v>0</v>
      </c>
      <c r="I26" s="5">
        <f>'Suc. Plaza'!G26</f>
        <v>0</v>
      </c>
      <c r="J26" s="5">
        <f>'Suc. Vistas'!G26</f>
        <v>0</v>
      </c>
      <c r="K26" s="5">
        <f>'Suc. Xalisco'!G26</f>
        <v>0</v>
      </c>
      <c r="L26" s="5">
        <f t="shared" si="5"/>
        <v>0</v>
      </c>
      <c r="M26" s="5">
        <f>'GRAL. SUC. FORANEAS'!P26</f>
        <v>0</v>
      </c>
      <c r="N26" s="5">
        <f t="shared" si="6"/>
        <v>0</v>
      </c>
      <c r="O26" s="5"/>
      <c r="P26" s="5">
        <f t="shared" si="7"/>
        <v>0</v>
      </c>
      <c r="R26" s="200" t="s">
        <v>131</v>
      </c>
      <c r="S26" s="198">
        <v>0</v>
      </c>
    </row>
    <row r="27" spans="1:19" ht="17.25" customHeight="1" x14ac:dyDescent="0.35">
      <c r="A27" s="97"/>
      <c r="B27" s="4">
        <f>'Suc. Amado Nervo'!G27</f>
        <v>0</v>
      </c>
      <c r="C27" s="4">
        <f>'Suc. León'!G27</f>
        <v>0</v>
      </c>
      <c r="D27" s="5">
        <f>'San Cayetano'!G27</f>
        <v>0</v>
      </c>
      <c r="E27" s="5">
        <f>'Suc. Boulevard'!G27</f>
        <v>0</v>
      </c>
      <c r="F27" s="5">
        <f>'Suc. Dos de Agosto'!G27</f>
        <v>0</v>
      </c>
      <c r="G27" s="5">
        <f>'Suc. La Nueva Canasta'!G27</f>
        <v>0</v>
      </c>
      <c r="H27" s="5">
        <f>'Suc. Mololoa'!G27</f>
        <v>0</v>
      </c>
      <c r="I27" s="5">
        <f>'Suc. Plaza'!G27</f>
        <v>0</v>
      </c>
      <c r="J27" s="5">
        <f>'Suc. Vistas'!G27</f>
        <v>0</v>
      </c>
      <c r="K27" s="5">
        <f>'Suc. Xalisco'!G27</f>
        <v>0</v>
      </c>
      <c r="L27" s="5">
        <f t="shared" si="5"/>
        <v>0</v>
      </c>
      <c r="M27" s="5">
        <f>'GRAL. SUC. FORANEAS'!P27</f>
        <v>0</v>
      </c>
      <c r="N27" s="5">
        <f t="shared" si="6"/>
        <v>0</v>
      </c>
      <c r="O27" s="5"/>
      <c r="P27" s="5">
        <f t="shared" si="7"/>
        <v>0</v>
      </c>
      <c r="R27" s="200" t="s">
        <v>132</v>
      </c>
      <c r="S27" s="198">
        <v>0</v>
      </c>
    </row>
    <row r="28" spans="1:19" ht="17.399999999999999" x14ac:dyDescent="0.35">
      <c r="A28" s="97"/>
      <c r="B28" s="4">
        <f>'Suc. Amado Nervo'!G28</f>
        <v>0</v>
      </c>
      <c r="C28" s="4">
        <f>'Suc. León'!G28</f>
        <v>0</v>
      </c>
      <c r="D28" s="5">
        <f>'San Cayetano'!G28</f>
        <v>0</v>
      </c>
      <c r="E28" s="5">
        <f>'Suc. Boulevard'!G28</f>
        <v>0</v>
      </c>
      <c r="F28" s="5">
        <f>'Suc. Dos de Agosto'!G28</f>
        <v>0</v>
      </c>
      <c r="G28" s="5">
        <f>'Suc. La Nueva Canasta'!G28</f>
        <v>0</v>
      </c>
      <c r="H28" s="5">
        <f>'Suc. Mololoa'!G28</f>
        <v>0</v>
      </c>
      <c r="I28" s="5">
        <f>'Suc. Plaza'!G28</f>
        <v>0</v>
      </c>
      <c r="J28" s="5">
        <f>'Suc. Vistas'!G28</f>
        <v>0</v>
      </c>
      <c r="K28" s="5">
        <f>'Suc. Xalisco'!G28</f>
        <v>0</v>
      </c>
      <c r="L28" s="5">
        <f t="shared" si="5"/>
        <v>0</v>
      </c>
      <c r="M28" s="5">
        <f>'GRAL. SUC. FORANEAS'!P28</f>
        <v>0</v>
      </c>
      <c r="N28" s="5">
        <f t="shared" si="6"/>
        <v>0</v>
      </c>
      <c r="O28" s="5"/>
      <c r="P28" s="5">
        <f t="shared" si="7"/>
        <v>0</v>
      </c>
      <c r="R28" s="200" t="s">
        <v>133</v>
      </c>
      <c r="S28" s="198">
        <v>0</v>
      </c>
    </row>
    <row r="29" spans="1:19" ht="17.399999999999999" x14ac:dyDescent="0.35">
      <c r="A29" s="97"/>
      <c r="B29" s="4">
        <f>'Suc. Amado Nervo'!G29</f>
        <v>0</v>
      </c>
      <c r="C29" s="4">
        <f>'Suc. León'!G29</f>
        <v>0</v>
      </c>
      <c r="D29" s="5">
        <f>'San Cayetano'!G29</f>
        <v>0</v>
      </c>
      <c r="E29" s="5">
        <f>'Suc. Boulevard'!G29</f>
        <v>0</v>
      </c>
      <c r="F29" s="5">
        <f>'Suc. Dos de Agosto'!G29</f>
        <v>0</v>
      </c>
      <c r="G29" s="5">
        <f>'Suc. La Nueva Canasta'!G29</f>
        <v>0</v>
      </c>
      <c r="H29" s="5">
        <f>'Suc. Mololoa'!G29</f>
        <v>0</v>
      </c>
      <c r="I29" s="5">
        <f>'Suc. Plaza'!G29</f>
        <v>0</v>
      </c>
      <c r="J29" s="5">
        <f>'Suc. Vistas'!G29</f>
        <v>0</v>
      </c>
      <c r="K29" s="5">
        <f>'Suc. Xalisco'!G29</f>
        <v>0</v>
      </c>
      <c r="L29" s="5">
        <f t="shared" si="5"/>
        <v>0</v>
      </c>
      <c r="M29" s="5">
        <f>'GRAL. SUC. FORANEAS'!P29</f>
        <v>0</v>
      </c>
      <c r="N29" s="5">
        <f t="shared" si="6"/>
        <v>0</v>
      </c>
      <c r="O29" s="5"/>
      <c r="P29" s="5">
        <f t="shared" si="7"/>
        <v>0</v>
      </c>
      <c r="R29" s="200" t="s">
        <v>134</v>
      </c>
      <c r="S29" s="198">
        <v>0</v>
      </c>
    </row>
    <row r="30" spans="1:19" ht="17.399999999999999" x14ac:dyDescent="0.35">
      <c r="A30" s="97"/>
      <c r="B30" s="4">
        <f>'Suc. Amado Nervo'!G30</f>
        <v>0</v>
      </c>
      <c r="C30" s="4">
        <f>'Suc. León'!G30</f>
        <v>0</v>
      </c>
      <c r="D30" s="5">
        <f>'San Cayetano'!G30</f>
        <v>0</v>
      </c>
      <c r="E30" s="5">
        <f>'Suc. Boulevard'!G30</f>
        <v>0</v>
      </c>
      <c r="F30" s="5">
        <f>'Suc. Dos de Agosto'!G30</f>
        <v>0</v>
      </c>
      <c r="G30" s="5">
        <f>'Suc. La Nueva Canasta'!G30</f>
        <v>0</v>
      </c>
      <c r="H30" s="5">
        <f>'Suc. Mololoa'!G30</f>
        <v>0</v>
      </c>
      <c r="I30" s="5">
        <f>'Suc. Plaza'!G30</f>
        <v>0</v>
      </c>
      <c r="J30" s="5">
        <f>'Suc. Vistas'!G30</f>
        <v>0</v>
      </c>
      <c r="K30" s="5">
        <f>'Suc. Xalisco'!G30</f>
        <v>0</v>
      </c>
      <c r="L30" s="5">
        <f t="shared" si="5"/>
        <v>0</v>
      </c>
      <c r="M30" s="5">
        <f>'GRAL. SUC. FORANEAS'!P30</f>
        <v>0</v>
      </c>
      <c r="N30" s="5">
        <f t="shared" si="6"/>
        <v>0</v>
      </c>
      <c r="O30" s="5"/>
      <c r="P30" s="5">
        <f t="shared" si="7"/>
        <v>0</v>
      </c>
      <c r="R30" s="200" t="s">
        <v>135</v>
      </c>
      <c r="S30" s="198">
        <v>0</v>
      </c>
    </row>
    <row r="31" spans="1:19" ht="18" thickBot="1" x14ac:dyDescent="0.4">
      <c r="A31" s="97"/>
      <c r="B31" s="4">
        <f>'Suc. Amado Nervo'!G31</f>
        <v>0</v>
      </c>
      <c r="C31" s="4">
        <f>'Suc. León'!G31</f>
        <v>0</v>
      </c>
      <c r="D31" s="5">
        <f>'San Cayetano'!G31</f>
        <v>0</v>
      </c>
      <c r="E31" s="5">
        <f>'Suc. Boulevard'!G31</f>
        <v>0</v>
      </c>
      <c r="F31" s="5">
        <f>'Suc. Dos de Agosto'!G31</f>
        <v>0</v>
      </c>
      <c r="G31" s="5">
        <f>'Suc. La Nueva Canasta'!G31</f>
        <v>0</v>
      </c>
      <c r="H31" s="5">
        <f>'Suc. Mololoa'!G31</f>
        <v>0</v>
      </c>
      <c r="I31" s="5">
        <f>'Suc. Plaza'!G31</f>
        <v>0</v>
      </c>
      <c r="J31" s="5">
        <f>'Suc. Vistas'!G31</f>
        <v>0</v>
      </c>
      <c r="K31" s="5">
        <f>'Suc. Xalisco'!G31</f>
        <v>0</v>
      </c>
      <c r="L31" s="5">
        <f t="shared" si="5"/>
        <v>0</v>
      </c>
      <c r="M31" s="5">
        <f>'GRAL. SUC. FORANEAS'!P31</f>
        <v>0</v>
      </c>
      <c r="N31" s="5">
        <f t="shared" si="6"/>
        <v>0</v>
      </c>
      <c r="O31" s="5"/>
      <c r="P31" s="5">
        <f t="shared" si="7"/>
        <v>0</v>
      </c>
      <c r="R31" s="200" t="s">
        <v>136</v>
      </c>
      <c r="S31" s="198">
        <v>0</v>
      </c>
    </row>
    <row r="32" spans="1:19" ht="18" thickBot="1" x14ac:dyDescent="0.4">
      <c r="A32" s="98" t="s">
        <v>13</v>
      </c>
      <c r="B32" s="45">
        <f t="shared" ref="B32:P32" si="9">SUM(B19:B31)</f>
        <v>3</v>
      </c>
      <c r="C32" s="45">
        <f t="shared" si="9"/>
        <v>6</v>
      </c>
      <c r="D32" s="45">
        <f t="shared" si="9"/>
        <v>3</v>
      </c>
      <c r="E32" s="45">
        <f t="shared" si="9"/>
        <v>4</v>
      </c>
      <c r="F32" s="45">
        <f t="shared" si="9"/>
        <v>3</v>
      </c>
      <c r="G32" s="45">
        <f t="shared" si="9"/>
        <v>0</v>
      </c>
      <c r="H32" s="45">
        <f t="shared" si="9"/>
        <v>5</v>
      </c>
      <c r="I32" s="45">
        <f t="shared" si="9"/>
        <v>2</v>
      </c>
      <c r="J32" s="45">
        <f t="shared" si="9"/>
        <v>9</v>
      </c>
      <c r="K32" s="45">
        <f t="shared" si="9"/>
        <v>6</v>
      </c>
      <c r="L32" s="45">
        <f t="shared" si="9"/>
        <v>41</v>
      </c>
      <c r="M32" s="45">
        <f t="shared" si="9"/>
        <v>120</v>
      </c>
      <c r="N32" s="45">
        <f t="shared" si="9"/>
        <v>79</v>
      </c>
      <c r="O32" s="45">
        <f t="shared" si="9"/>
        <v>0</v>
      </c>
      <c r="P32" s="45">
        <f t="shared" si="9"/>
        <v>79</v>
      </c>
      <c r="R32" s="200" t="s">
        <v>137</v>
      </c>
      <c r="S32" s="198">
        <v>0</v>
      </c>
    </row>
    <row r="33" spans="1:19" ht="17.399999999999999" x14ac:dyDescent="0.35">
      <c r="A33" s="97" t="s">
        <v>14</v>
      </c>
      <c r="B33" s="4">
        <f>'Suc. Amado Nervo'!G33</f>
        <v>1</v>
      </c>
      <c r="C33" s="4">
        <f>'Suc. León'!G33</f>
        <v>0</v>
      </c>
      <c r="D33" s="5">
        <f>'San Cayetano'!G33</f>
        <v>0</v>
      </c>
      <c r="E33" s="5">
        <f>'Suc. Boulevard'!G33</f>
        <v>1</v>
      </c>
      <c r="F33" s="5">
        <f>'Suc. Dos de Agosto'!G33</f>
        <v>1</v>
      </c>
      <c r="G33" s="5">
        <f>'Suc. La Nueva Canasta'!G33</f>
        <v>0</v>
      </c>
      <c r="H33" s="5">
        <f>'Suc. Mololoa'!G33</f>
        <v>0</v>
      </c>
      <c r="I33" s="5">
        <f>'Suc. Plaza'!G33</f>
        <v>0</v>
      </c>
      <c r="J33" s="5">
        <f>'Suc. Vistas'!G33</f>
        <v>2</v>
      </c>
      <c r="K33" s="5">
        <f>'Suc. Xalisco'!G33</f>
        <v>0</v>
      </c>
      <c r="L33" s="5">
        <f t="shared" ref="L33:L48" si="10">SUM(B33:K33)</f>
        <v>5</v>
      </c>
      <c r="M33" s="5">
        <f>'GRAL. SUC. FORANEAS'!P33</f>
        <v>10</v>
      </c>
      <c r="N33" s="5">
        <f t="shared" ref="N33:N48" si="11">M33-L33</f>
        <v>5</v>
      </c>
      <c r="O33" s="5"/>
      <c r="P33" s="5">
        <f t="shared" ref="P33:P48" si="12">N33+O33</f>
        <v>5</v>
      </c>
      <c r="R33" s="200" t="s">
        <v>138</v>
      </c>
      <c r="S33" s="198">
        <v>0</v>
      </c>
    </row>
    <row r="34" spans="1:19" ht="17.399999999999999" x14ac:dyDescent="0.35">
      <c r="A34" s="97" t="s">
        <v>15</v>
      </c>
      <c r="B34" s="4">
        <f>'Suc. Amado Nervo'!G34</f>
        <v>0</v>
      </c>
      <c r="C34" s="4">
        <f>'Suc. León'!G34</f>
        <v>0</v>
      </c>
      <c r="D34" s="5">
        <f>'San Cayetano'!G34</f>
        <v>1</v>
      </c>
      <c r="E34" s="5">
        <f>'Suc. Boulevard'!G34</f>
        <v>1</v>
      </c>
      <c r="F34" s="5">
        <f>'Suc. Dos de Agosto'!G34</f>
        <v>0</v>
      </c>
      <c r="G34" s="5">
        <f>'Suc. La Nueva Canasta'!G34</f>
        <v>0</v>
      </c>
      <c r="H34" s="5">
        <f>'Suc. Mololoa'!G34</f>
        <v>0</v>
      </c>
      <c r="I34" s="5">
        <f>'Suc. Plaza'!G34</f>
        <v>1</v>
      </c>
      <c r="J34" s="5">
        <f>'Suc. Vistas'!G34</f>
        <v>0</v>
      </c>
      <c r="K34" s="5">
        <f>'Suc. Xalisco'!G34</f>
        <v>0</v>
      </c>
      <c r="L34" s="5">
        <f t="shared" ref="L34:L41" si="13">SUM(B34:K34)</f>
        <v>3</v>
      </c>
      <c r="M34" s="5">
        <f>'GRAL. SUC. FORANEAS'!P34</f>
        <v>9</v>
      </c>
      <c r="N34" s="5">
        <f t="shared" si="11"/>
        <v>6</v>
      </c>
      <c r="O34" s="5"/>
      <c r="P34" s="5">
        <f t="shared" si="12"/>
        <v>6</v>
      </c>
      <c r="R34" s="200" t="s">
        <v>139</v>
      </c>
      <c r="S34" s="198">
        <v>0</v>
      </c>
    </row>
    <row r="35" spans="1:19" ht="17.399999999999999" x14ac:dyDescent="0.35">
      <c r="A35" s="97" t="s">
        <v>16</v>
      </c>
      <c r="B35" s="4">
        <f>'Suc. Amado Nervo'!G35</f>
        <v>0</v>
      </c>
      <c r="C35" s="4">
        <f>'Suc. León'!G35</f>
        <v>1</v>
      </c>
      <c r="D35" s="5">
        <f>'San Cayetano'!G35</f>
        <v>0</v>
      </c>
      <c r="E35" s="5">
        <f>'Suc. Boulevard'!G35</f>
        <v>0</v>
      </c>
      <c r="F35" s="5">
        <f>'Suc. Dos de Agosto'!G35</f>
        <v>0</v>
      </c>
      <c r="G35" s="5">
        <f>'Suc. La Nueva Canasta'!G35</f>
        <v>0</v>
      </c>
      <c r="H35" s="5">
        <f>'Suc. Mololoa'!G35</f>
        <v>1</v>
      </c>
      <c r="I35" s="5">
        <f>'Suc. Plaza'!G35</f>
        <v>0</v>
      </c>
      <c r="J35" s="5">
        <f>'Suc. Vistas'!G35</f>
        <v>1</v>
      </c>
      <c r="K35" s="5">
        <f>'Suc. Xalisco'!G35</f>
        <v>0</v>
      </c>
      <c r="L35" s="5">
        <f t="shared" si="13"/>
        <v>3</v>
      </c>
      <c r="M35" s="5">
        <f>'GRAL. SUC. FORANEAS'!P35</f>
        <v>10</v>
      </c>
      <c r="N35" s="5">
        <f t="shared" si="11"/>
        <v>7</v>
      </c>
      <c r="O35" s="5"/>
      <c r="P35" s="5">
        <f t="shared" si="12"/>
        <v>7</v>
      </c>
      <c r="R35" s="200" t="s">
        <v>140</v>
      </c>
      <c r="S35" s="198">
        <v>0</v>
      </c>
    </row>
    <row r="36" spans="1:19" ht="17.399999999999999" x14ac:dyDescent="0.35">
      <c r="A36" s="97" t="s">
        <v>17</v>
      </c>
      <c r="B36" s="4">
        <f>'Suc. Amado Nervo'!G36</f>
        <v>0</v>
      </c>
      <c r="C36" s="4">
        <f>'Suc. León'!G36</f>
        <v>0</v>
      </c>
      <c r="D36" s="5">
        <f>'San Cayetano'!G36</f>
        <v>1</v>
      </c>
      <c r="E36" s="5">
        <f>'Suc. Boulevard'!G36</f>
        <v>0</v>
      </c>
      <c r="F36" s="5">
        <f>'Suc. Dos de Agosto'!G36</f>
        <v>1</v>
      </c>
      <c r="G36" s="5">
        <f>'Suc. La Nueva Canasta'!G36</f>
        <v>0</v>
      </c>
      <c r="H36" s="5">
        <f>'Suc. Mololoa'!G36</f>
        <v>0</v>
      </c>
      <c r="I36" s="5">
        <f>'Suc. Plaza'!G36</f>
        <v>0</v>
      </c>
      <c r="J36" s="5">
        <f>'Suc. Vistas'!G36</f>
        <v>1</v>
      </c>
      <c r="K36" s="5">
        <f>'Suc. Xalisco'!G36</f>
        <v>0</v>
      </c>
      <c r="L36" s="5">
        <f t="shared" si="13"/>
        <v>3</v>
      </c>
      <c r="M36" s="5">
        <f>'GRAL. SUC. FORANEAS'!P36</f>
        <v>9</v>
      </c>
      <c r="N36" s="5">
        <f t="shared" si="11"/>
        <v>6</v>
      </c>
      <c r="O36" s="5"/>
      <c r="P36" s="5">
        <f t="shared" si="12"/>
        <v>6</v>
      </c>
      <c r="R36" s="200" t="s">
        <v>141</v>
      </c>
      <c r="S36" s="198">
        <v>0</v>
      </c>
    </row>
    <row r="37" spans="1:19" ht="17.399999999999999" x14ac:dyDescent="0.35">
      <c r="A37" s="97" t="s">
        <v>18</v>
      </c>
      <c r="B37" s="4">
        <f>'Suc. Amado Nervo'!G37</f>
        <v>0</v>
      </c>
      <c r="C37" s="4">
        <f>'Suc. León'!G37</f>
        <v>0</v>
      </c>
      <c r="D37" s="5">
        <f>'San Cayetano'!G37</f>
        <v>0</v>
      </c>
      <c r="E37" s="5">
        <f>'Suc. Boulevard'!G37</f>
        <v>0</v>
      </c>
      <c r="F37" s="5">
        <f>'Suc. Dos de Agosto'!G37</f>
        <v>0</v>
      </c>
      <c r="G37" s="5">
        <f>'Suc. La Nueva Canasta'!G37</f>
        <v>0</v>
      </c>
      <c r="H37" s="5">
        <f>'Suc. Mololoa'!G37</f>
        <v>0</v>
      </c>
      <c r="I37" s="5">
        <f>'Suc. Plaza'!G37</f>
        <v>1</v>
      </c>
      <c r="J37" s="5">
        <f>'Suc. Vistas'!G37</f>
        <v>4</v>
      </c>
      <c r="K37" s="5">
        <f>'Suc. Xalisco'!G37</f>
        <v>0</v>
      </c>
      <c r="L37" s="5">
        <f t="shared" si="13"/>
        <v>5</v>
      </c>
      <c r="M37" s="5">
        <f>'GRAL. SUC. FORANEAS'!P37</f>
        <v>17</v>
      </c>
      <c r="N37" s="5">
        <f t="shared" si="11"/>
        <v>12</v>
      </c>
      <c r="O37" s="5"/>
      <c r="P37" s="5">
        <f t="shared" si="12"/>
        <v>12</v>
      </c>
      <c r="R37" s="200" t="s">
        <v>142</v>
      </c>
      <c r="S37" s="198">
        <v>0</v>
      </c>
    </row>
    <row r="38" spans="1:19" ht="17.399999999999999" x14ac:dyDescent="0.35">
      <c r="A38" s="97" t="s">
        <v>22</v>
      </c>
      <c r="B38" s="4">
        <f>'Suc. Amado Nervo'!G38</f>
        <v>1</v>
      </c>
      <c r="C38" s="4">
        <f>'Suc. León'!G38</f>
        <v>0</v>
      </c>
      <c r="D38" s="5">
        <f>'San Cayetano'!G38</f>
        <v>0</v>
      </c>
      <c r="E38" s="5">
        <f>'Suc. Boulevard'!G38</f>
        <v>0</v>
      </c>
      <c r="F38" s="5">
        <f>'Suc. Dos de Agosto'!G38</f>
        <v>2</v>
      </c>
      <c r="G38" s="5">
        <f>'Suc. La Nueva Canasta'!G38</f>
        <v>0</v>
      </c>
      <c r="H38" s="5">
        <f>'Suc. Mololoa'!G38</f>
        <v>1</v>
      </c>
      <c r="I38" s="5">
        <f>'Suc. Plaza'!G38</f>
        <v>1</v>
      </c>
      <c r="J38" s="5">
        <f>'Suc. Vistas'!G38</f>
        <v>4</v>
      </c>
      <c r="K38" s="5">
        <f>'Suc. Xalisco'!G38</f>
        <v>1</v>
      </c>
      <c r="L38" s="5">
        <f t="shared" si="13"/>
        <v>10</v>
      </c>
      <c r="M38" s="5">
        <f>'GRAL. SUC. FORANEAS'!P38</f>
        <v>20</v>
      </c>
      <c r="N38" s="5">
        <f t="shared" si="11"/>
        <v>10</v>
      </c>
      <c r="O38" s="5"/>
      <c r="P38" s="5">
        <f t="shared" si="12"/>
        <v>10</v>
      </c>
      <c r="R38" s="200" t="s">
        <v>143</v>
      </c>
      <c r="S38" s="198">
        <v>0</v>
      </c>
    </row>
    <row r="39" spans="1:19" ht="17.399999999999999" x14ac:dyDescent="0.35">
      <c r="A39" s="97" t="s">
        <v>23</v>
      </c>
      <c r="B39" s="4">
        <f>'Suc. Amado Nervo'!G39</f>
        <v>1</v>
      </c>
      <c r="C39" s="4">
        <f>'Suc. León'!G39</f>
        <v>0</v>
      </c>
      <c r="D39" s="5">
        <f>'San Cayetano'!G39</f>
        <v>0</v>
      </c>
      <c r="E39" s="5">
        <f>'Suc. Boulevard'!G39</f>
        <v>0</v>
      </c>
      <c r="F39" s="5">
        <f>'Suc. Dos de Agosto'!G39</f>
        <v>1</v>
      </c>
      <c r="G39" s="5">
        <f>'Suc. La Nueva Canasta'!G39</f>
        <v>0</v>
      </c>
      <c r="H39" s="5">
        <f>'Suc. Mololoa'!G39</f>
        <v>0</v>
      </c>
      <c r="I39" s="5">
        <f>'Suc. Plaza'!G39</f>
        <v>0</v>
      </c>
      <c r="J39" s="5">
        <f>'Suc. Vistas'!G39</f>
        <v>1</v>
      </c>
      <c r="K39" s="5">
        <f>'Suc. Xalisco'!G39</f>
        <v>1</v>
      </c>
      <c r="L39" s="5">
        <f t="shared" si="13"/>
        <v>4</v>
      </c>
      <c r="M39" s="5">
        <f>'GRAL. SUC. FORANEAS'!P39</f>
        <v>4</v>
      </c>
      <c r="N39" s="5">
        <f t="shared" si="11"/>
        <v>0</v>
      </c>
      <c r="O39" s="5"/>
      <c r="P39" s="5">
        <f t="shared" si="12"/>
        <v>0</v>
      </c>
      <c r="R39" s="200" t="s">
        <v>144</v>
      </c>
      <c r="S39" s="198">
        <v>0</v>
      </c>
    </row>
    <row r="40" spans="1:19" ht="17.399999999999999" x14ac:dyDescent="0.35">
      <c r="A40" s="97" t="s">
        <v>24</v>
      </c>
      <c r="B40" s="4">
        <f>'Suc. Amado Nervo'!G40</f>
        <v>0</v>
      </c>
      <c r="C40" s="4">
        <f>'Suc. León'!G40</f>
        <v>0</v>
      </c>
      <c r="D40" s="5">
        <f>'San Cayetano'!G40</f>
        <v>0</v>
      </c>
      <c r="E40" s="5">
        <f>'Suc. Boulevard'!G40</f>
        <v>1</v>
      </c>
      <c r="F40" s="5">
        <f>'Suc. Dos de Agosto'!G40</f>
        <v>0</v>
      </c>
      <c r="G40" s="5">
        <f>'Suc. La Nueva Canasta'!G40</f>
        <v>0</v>
      </c>
      <c r="H40" s="5">
        <f>'Suc. Mololoa'!G40</f>
        <v>0</v>
      </c>
      <c r="I40" s="5">
        <f>'Suc. Plaza'!G40</f>
        <v>1</v>
      </c>
      <c r="J40" s="5">
        <f>'Suc. Vistas'!G40</f>
        <v>4</v>
      </c>
      <c r="K40" s="5">
        <f>'Suc. Xalisco'!G40</f>
        <v>1</v>
      </c>
      <c r="L40" s="5">
        <f t="shared" si="13"/>
        <v>7</v>
      </c>
      <c r="M40" s="5">
        <f>'GRAL. SUC. FORANEAS'!P40</f>
        <v>19</v>
      </c>
      <c r="N40" s="5">
        <f t="shared" si="11"/>
        <v>12</v>
      </c>
      <c r="O40" s="5"/>
      <c r="P40" s="5">
        <f t="shared" si="12"/>
        <v>12</v>
      </c>
      <c r="R40" s="200" t="s">
        <v>145</v>
      </c>
      <c r="S40" s="198">
        <v>0</v>
      </c>
    </row>
    <row r="41" spans="1:19" ht="17.399999999999999" x14ac:dyDescent="0.35">
      <c r="A41" s="97" t="s">
        <v>25</v>
      </c>
      <c r="B41" s="4">
        <f>'Suc. Amado Nervo'!G41</f>
        <v>0</v>
      </c>
      <c r="C41" s="4">
        <f>'Suc. León'!G41</f>
        <v>1</v>
      </c>
      <c r="D41" s="5">
        <f>'San Cayetano'!G41</f>
        <v>1</v>
      </c>
      <c r="E41" s="5">
        <f>'Suc. Boulevard'!G41</f>
        <v>1</v>
      </c>
      <c r="F41" s="5">
        <f>'Suc. Dos de Agosto'!G41</f>
        <v>1</v>
      </c>
      <c r="G41" s="5">
        <f>'Suc. La Nueva Canasta'!G41</f>
        <v>0</v>
      </c>
      <c r="H41" s="5">
        <f>'Suc. Mololoa'!G41</f>
        <v>0</v>
      </c>
      <c r="I41" s="5">
        <f>'Suc. Plaza'!G41</f>
        <v>1</v>
      </c>
      <c r="J41" s="5">
        <f>'Suc. Vistas'!G41</f>
        <v>0</v>
      </c>
      <c r="K41" s="5">
        <f>'Suc. Xalisco'!G41</f>
        <v>0</v>
      </c>
      <c r="L41" s="5">
        <f t="shared" si="13"/>
        <v>5</v>
      </c>
      <c r="M41" s="5">
        <f>'GRAL. SUC. FORANEAS'!P41</f>
        <v>10</v>
      </c>
      <c r="N41" s="5">
        <f t="shared" si="11"/>
        <v>5</v>
      </c>
      <c r="O41" s="5"/>
      <c r="P41" s="5">
        <f t="shared" si="12"/>
        <v>5</v>
      </c>
      <c r="R41" s="200" t="s">
        <v>146</v>
      </c>
      <c r="S41" s="198">
        <v>0</v>
      </c>
    </row>
    <row r="42" spans="1:19" ht="17.399999999999999" x14ac:dyDescent="0.35">
      <c r="A42" s="97"/>
      <c r="B42" s="4">
        <f>'Suc. Amado Nervo'!G42</f>
        <v>0</v>
      </c>
      <c r="C42" s="4">
        <f>'Suc. León'!G42</f>
        <v>0</v>
      </c>
      <c r="D42" s="5">
        <f>'San Cayetano'!G42</f>
        <v>0</v>
      </c>
      <c r="E42" s="5">
        <f>'Suc. Boulevard'!G42</f>
        <v>0</v>
      </c>
      <c r="F42" s="5">
        <f>'Suc. Dos de Agosto'!G42</f>
        <v>0</v>
      </c>
      <c r="G42" s="5">
        <f>'Suc. La Nueva Canasta'!G42</f>
        <v>0</v>
      </c>
      <c r="H42" s="5">
        <f>'Suc. Mololoa'!G42</f>
        <v>0</v>
      </c>
      <c r="I42" s="5">
        <f>'Suc. Plaza'!G42</f>
        <v>0</v>
      </c>
      <c r="J42" s="5">
        <f>'Suc. Vistas'!G42</f>
        <v>0</v>
      </c>
      <c r="K42" s="5">
        <f>'Suc. Xalisco'!G42</f>
        <v>0</v>
      </c>
      <c r="L42" s="5">
        <f t="shared" si="10"/>
        <v>0</v>
      </c>
      <c r="M42" s="5">
        <f>'GRAL. SUC. FORANEAS'!P42</f>
        <v>0</v>
      </c>
      <c r="N42" s="5">
        <f t="shared" si="11"/>
        <v>0</v>
      </c>
      <c r="O42" s="5"/>
      <c r="P42" s="5">
        <f t="shared" si="12"/>
        <v>0</v>
      </c>
      <c r="R42" s="200" t="s">
        <v>147</v>
      </c>
      <c r="S42" s="198">
        <v>0</v>
      </c>
    </row>
    <row r="43" spans="1:19" ht="17.399999999999999" x14ac:dyDescent="0.35">
      <c r="A43" s="97"/>
      <c r="B43" s="4">
        <f>'Suc. Amado Nervo'!G43</f>
        <v>0</v>
      </c>
      <c r="C43" s="4">
        <f>'Suc. León'!G43</f>
        <v>0</v>
      </c>
      <c r="D43" s="5">
        <f>'San Cayetano'!G43</f>
        <v>0</v>
      </c>
      <c r="E43" s="5">
        <f>'Suc. Boulevard'!G43</f>
        <v>0</v>
      </c>
      <c r="F43" s="5">
        <f>'Suc. Dos de Agosto'!G43</f>
        <v>0</v>
      </c>
      <c r="G43" s="5">
        <f>'Suc. La Nueva Canasta'!G43</f>
        <v>0</v>
      </c>
      <c r="H43" s="5">
        <f>'Suc. Mololoa'!G43</f>
        <v>0</v>
      </c>
      <c r="I43" s="5">
        <f>'Suc. Plaza'!G43</f>
        <v>0</v>
      </c>
      <c r="J43" s="5">
        <f>'Suc. Vistas'!G43</f>
        <v>0</v>
      </c>
      <c r="K43" s="5">
        <f>'Suc. Xalisco'!G43</f>
        <v>0</v>
      </c>
      <c r="L43" s="5">
        <f t="shared" si="10"/>
        <v>0</v>
      </c>
      <c r="M43" s="5">
        <f>'GRAL. SUC. FORANEAS'!P43</f>
        <v>0</v>
      </c>
      <c r="N43" s="5">
        <f t="shared" si="11"/>
        <v>0</v>
      </c>
      <c r="O43" s="5"/>
      <c r="P43" s="5">
        <f t="shared" si="12"/>
        <v>0</v>
      </c>
      <c r="R43" s="200" t="s">
        <v>148</v>
      </c>
      <c r="S43" s="198">
        <v>0</v>
      </c>
    </row>
    <row r="44" spans="1:19" ht="17.399999999999999" x14ac:dyDescent="0.35">
      <c r="A44" s="97"/>
      <c r="B44" s="4">
        <f>'Suc. Amado Nervo'!G44</f>
        <v>0</v>
      </c>
      <c r="C44" s="4">
        <f>'Suc. León'!G44</f>
        <v>0</v>
      </c>
      <c r="D44" s="5">
        <f>'San Cayetano'!G44</f>
        <v>0</v>
      </c>
      <c r="E44" s="5">
        <f>'Suc. Boulevard'!G44</f>
        <v>0</v>
      </c>
      <c r="F44" s="5">
        <f>'Suc. Dos de Agosto'!G44</f>
        <v>0</v>
      </c>
      <c r="G44" s="5">
        <f>'Suc. La Nueva Canasta'!G44</f>
        <v>0</v>
      </c>
      <c r="H44" s="5">
        <f>'Suc. Mololoa'!G44</f>
        <v>0</v>
      </c>
      <c r="I44" s="5">
        <f>'Suc. Plaza'!G44</f>
        <v>0</v>
      </c>
      <c r="J44" s="5">
        <f>'Suc. Vistas'!G44</f>
        <v>0</v>
      </c>
      <c r="K44" s="5">
        <f>'Suc. Xalisco'!G44</f>
        <v>0</v>
      </c>
      <c r="L44" s="5">
        <f t="shared" si="10"/>
        <v>0</v>
      </c>
      <c r="M44" s="5">
        <f>'GRAL. SUC. FORANEAS'!P44</f>
        <v>0</v>
      </c>
      <c r="N44" s="5">
        <f t="shared" si="11"/>
        <v>0</v>
      </c>
      <c r="O44" s="5"/>
      <c r="P44" s="5">
        <f t="shared" si="12"/>
        <v>0</v>
      </c>
      <c r="R44" s="200" t="s">
        <v>149</v>
      </c>
      <c r="S44" s="198">
        <v>0</v>
      </c>
    </row>
    <row r="45" spans="1:19" ht="17.399999999999999" x14ac:dyDescent="0.35">
      <c r="A45" s="97"/>
      <c r="B45" s="4">
        <f>'Suc. Amado Nervo'!G45</f>
        <v>0</v>
      </c>
      <c r="C45" s="4">
        <f>'Suc. León'!G45</f>
        <v>0</v>
      </c>
      <c r="D45" s="5">
        <f>'San Cayetano'!G45</f>
        <v>0</v>
      </c>
      <c r="E45" s="5">
        <f>'Suc. Boulevard'!G45</f>
        <v>0</v>
      </c>
      <c r="F45" s="5">
        <f>'Suc. Dos de Agosto'!G45</f>
        <v>0</v>
      </c>
      <c r="G45" s="5">
        <f>'Suc. La Nueva Canasta'!G45</f>
        <v>0</v>
      </c>
      <c r="H45" s="5">
        <f>'Suc. Mololoa'!G45</f>
        <v>0</v>
      </c>
      <c r="I45" s="5">
        <f>'Suc. Plaza'!G45</f>
        <v>0</v>
      </c>
      <c r="J45" s="5">
        <f>'Suc. Vistas'!G45</f>
        <v>0</v>
      </c>
      <c r="K45" s="5">
        <f>'Suc. Xalisco'!G45</f>
        <v>0</v>
      </c>
      <c r="L45" s="5">
        <f t="shared" si="10"/>
        <v>0</v>
      </c>
      <c r="M45" s="5">
        <f>'GRAL. SUC. FORANEAS'!P45</f>
        <v>0</v>
      </c>
      <c r="N45" s="5">
        <f t="shared" si="11"/>
        <v>0</v>
      </c>
      <c r="O45" s="5"/>
      <c r="P45" s="5">
        <f t="shared" si="12"/>
        <v>0</v>
      </c>
      <c r="R45" s="200" t="s">
        <v>150</v>
      </c>
      <c r="S45" s="198">
        <v>0</v>
      </c>
    </row>
    <row r="46" spans="1:19" ht="17.399999999999999" x14ac:dyDescent="0.35">
      <c r="A46" s="97"/>
      <c r="B46" s="4">
        <f>'Suc. Amado Nervo'!G46</f>
        <v>0</v>
      </c>
      <c r="C46" s="4">
        <f>'Suc. León'!G46</f>
        <v>0</v>
      </c>
      <c r="D46" s="5">
        <f>'San Cayetano'!G46</f>
        <v>0</v>
      </c>
      <c r="E46" s="5">
        <f>'Suc. Boulevard'!G46</f>
        <v>0</v>
      </c>
      <c r="F46" s="5">
        <f>'Suc. Dos de Agosto'!G46</f>
        <v>0</v>
      </c>
      <c r="G46" s="5">
        <f>'Suc. La Nueva Canasta'!G46</f>
        <v>0</v>
      </c>
      <c r="H46" s="5">
        <f>'Suc. Mololoa'!G46</f>
        <v>0</v>
      </c>
      <c r="I46" s="5">
        <f>'Suc. Plaza'!G46</f>
        <v>0</v>
      </c>
      <c r="J46" s="5">
        <f>'Suc. Vistas'!G46</f>
        <v>0</v>
      </c>
      <c r="K46" s="5">
        <f>'Suc. Xalisco'!G46</f>
        <v>0</v>
      </c>
      <c r="L46" s="5">
        <f t="shared" si="10"/>
        <v>0</v>
      </c>
      <c r="M46" s="5">
        <f>'GRAL. SUC. FORANEAS'!P46</f>
        <v>0</v>
      </c>
      <c r="N46" s="5">
        <f t="shared" si="11"/>
        <v>0</v>
      </c>
      <c r="O46" s="5"/>
      <c r="P46" s="5">
        <f t="shared" si="12"/>
        <v>0</v>
      </c>
      <c r="R46" s="200" t="s">
        <v>151</v>
      </c>
      <c r="S46" s="198">
        <v>0</v>
      </c>
    </row>
    <row r="47" spans="1:19" ht="17.399999999999999" x14ac:dyDescent="0.35">
      <c r="A47" s="97"/>
      <c r="B47" s="4">
        <f>'Suc. Amado Nervo'!G47</f>
        <v>0</v>
      </c>
      <c r="C47" s="4">
        <f>'Suc. León'!G47</f>
        <v>0</v>
      </c>
      <c r="D47" s="5">
        <f>'San Cayetano'!G47</f>
        <v>0</v>
      </c>
      <c r="E47" s="5">
        <f>'Suc. Boulevard'!G47</f>
        <v>0</v>
      </c>
      <c r="F47" s="5">
        <f>'Suc. Dos de Agosto'!G47</f>
        <v>0</v>
      </c>
      <c r="G47" s="5">
        <f>'Suc. La Nueva Canasta'!G47</f>
        <v>0</v>
      </c>
      <c r="H47" s="5">
        <f>'Suc. Mololoa'!G47</f>
        <v>0</v>
      </c>
      <c r="I47" s="5">
        <f>'Suc. Plaza'!G47</f>
        <v>0</v>
      </c>
      <c r="J47" s="5">
        <f>'Suc. Vistas'!G47</f>
        <v>0</v>
      </c>
      <c r="K47" s="5">
        <f>'Suc. Xalisco'!G47</f>
        <v>0</v>
      </c>
      <c r="L47" s="5">
        <f t="shared" si="10"/>
        <v>0</v>
      </c>
      <c r="M47" s="5">
        <f>'GRAL. SUC. FORANEAS'!P47</f>
        <v>0</v>
      </c>
      <c r="N47" s="5">
        <f t="shared" si="11"/>
        <v>0</v>
      </c>
      <c r="O47" s="5"/>
      <c r="P47" s="5">
        <f t="shared" si="12"/>
        <v>0</v>
      </c>
      <c r="R47" s="200" t="s">
        <v>152</v>
      </c>
      <c r="S47" s="198">
        <v>0</v>
      </c>
    </row>
    <row r="48" spans="1:19" ht="18" thickBot="1" x14ac:dyDescent="0.4">
      <c r="A48" s="97"/>
      <c r="B48" s="4">
        <f>'Suc. Amado Nervo'!G48</f>
        <v>0</v>
      </c>
      <c r="C48" s="4">
        <f>'Suc. León'!G48</f>
        <v>0</v>
      </c>
      <c r="D48" s="5">
        <f>'San Cayetano'!G48</f>
        <v>0</v>
      </c>
      <c r="E48" s="5">
        <f>'Suc. Boulevard'!G48</f>
        <v>0</v>
      </c>
      <c r="F48" s="5">
        <f>'Suc. Dos de Agosto'!G48</f>
        <v>0</v>
      </c>
      <c r="G48" s="5">
        <f>'Suc. La Nueva Canasta'!G48</f>
        <v>0</v>
      </c>
      <c r="H48" s="5">
        <f>'Suc. Mololoa'!G48</f>
        <v>0</v>
      </c>
      <c r="I48" s="5">
        <f>'Suc. Plaza'!G48</f>
        <v>0</v>
      </c>
      <c r="J48" s="5">
        <f>'Suc. Vistas'!G48</f>
        <v>0</v>
      </c>
      <c r="K48" s="5">
        <f>'Suc. Xalisco'!G48</f>
        <v>0</v>
      </c>
      <c r="L48" s="5">
        <f t="shared" si="10"/>
        <v>0</v>
      </c>
      <c r="M48" s="5">
        <f>'GRAL. SUC. FORANEAS'!P48</f>
        <v>0</v>
      </c>
      <c r="N48" s="5">
        <f t="shared" si="11"/>
        <v>0</v>
      </c>
      <c r="O48" s="5"/>
      <c r="P48" s="5">
        <f t="shared" si="12"/>
        <v>0</v>
      </c>
      <c r="R48" s="200" t="s">
        <v>153</v>
      </c>
      <c r="S48" s="198">
        <v>0</v>
      </c>
    </row>
    <row r="49" spans="1:19" ht="18" thickBot="1" x14ac:dyDescent="0.4">
      <c r="A49" s="99" t="s">
        <v>29</v>
      </c>
      <c r="B49" s="47">
        <f t="shared" ref="B49:P49" si="14">SUM(B33:B48)</f>
        <v>3</v>
      </c>
      <c r="C49" s="47">
        <f t="shared" si="14"/>
        <v>2</v>
      </c>
      <c r="D49" s="47">
        <f t="shared" si="14"/>
        <v>3</v>
      </c>
      <c r="E49" s="47">
        <f t="shared" si="14"/>
        <v>4</v>
      </c>
      <c r="F49" s="47">
        <f t="shared" si="14"/>
        <v>6</v>
      </c>
      <c r="G49" s="47">
        <f t="shared" si="14"/>
        <v>0</v>
      </c>
      <c r="H49" s="47">
        <f t="shared" si="14"/>
        <v>2</v>
      </c>
      <c r="I49" s="47">
        <f t="shared" si="14"/>
        <v>5</v>
      </c>
      <c r="J49" s="47">
        <f t="shared" si="14"/>
        <v>17</v>
      </c>
      <c r="K49" s="47">
        <f t="shared" si="14"/>
        <v>3</v>
      </c>
      <c r="L49" s="47">
        <f t="shared" si="14"/>
        <v>45</v>
      </c>
      <c r="M49" s="47">
        <f t="shared" si="14"/>
        <v>108</v>
      </c>
      <c r="N49" s="47">
        <f t="shared" si="14"/>
        <v>63</v>
      </c>
      <c r="O49" s="47">
        <f t="shared" si="14"/>
        <v>0</v>
      </c>
      <c r="P49" s="47">
        <f t="shared" si="14"/>
        <v>63</v>
      </c>
      <c r="R49" s="200" t="s">
        <v>154</v>
      </c>
      <c r="S49" s="198">
        <v>0</v>
      </c>
    </row>
    <row r="50" spans="1:19" ht="17.399999999999999" x14ac:dyDescent="0.35">
      <c r="A50" s="93" t="s">
        <v>30</v>
      </c>
      <c r="B50" s="4">
        <f>'Suc. Amado Nervo'!G50</f>
        <v>1</v>
      </c>
      <c r="C50" s="4">
        <f>'Suc. León'!G50</f>
        <v>1</v>
      </c>
      <c r="D50" s="5">
        <f>'San Cayetano'!G50</f>
        <v>0</v>
      </c>
      <c r="E50" s="5">
        <f>'Suc. Boulevard'!G50</f>
        <v>2</v>
      </c>
      <c r="F50" s="5">
        <f>'Suc. Dos de Agosto'!G50</f>
        <v>2</v>
      </c>
      <c r="G50" s="5">
        <f>'Suc. La Nueva Canasta'!G50</f>
        <v>0</v>
      </c>
      <c r="H50" s="5">
        <f>'Suc. Mololoa'!G50</f>
        <v>2</v>
      </c>
      <c r="I50" s="5">
        <f>'Suc. Plaza'!G50</f>
        <v>1</v>
      </c>
      <c r="J50" s="5">
        <f>'Suc. Vistas'!G50</f>
        <v>1</v>
      </c>
      <c r="K50" s="5">
        <f>'Suc. Xalisco'!G50</f>
        <v>0</v>
      </c>
      <c r="L50" s="5">
        <f t="shared" ref="L50" si="15">SUM(B50:K50)</f>
        <v>10</v>
      </c>
      <c r="M50" s="5">
        <f>'GRAL. SUC. FORANEAS'!P50</f>
        <v>32</v>
      </c>
      <c r="N50" s="5">
        <f t="shared" ref="N50:N51" si="16">M50-L50</f>
        <v>22</v>
      </c>
      <c r="O50" s="5"/>
      <c r="P50" s="5">
        <f t="shared" ref="P50:P51" si="17">N50+O50</f>
        <v>22</v>
      </c>
      <c r="R50" s="200" t="s">
        <v>155</v>
      </c>
      <c r="S50" s="198">
        <v>0</v>
      </c>
    </row>
    <row r="51" spans="1:19" ht="18" thickBot="1" x14ac:dyDescent="0.4">
      <c r="A51" s="95" t="s">
        <v>31</v>
      </c>
      <c r="B51" s="4">
        <f>'Suc. Amado Nervo'!G51</f>
        <v>3</v>
      </c>
      <c r="C51" s="4">
        <f>'Suc. León'!G51</f>
        <v>0</v>
      </c>
      <c r="D51" s="5">
        <f>'San Cayetano'!G51</f>
        <v>3</v>
      </c>
      <c r="E51" s="5">
        <f>'Suc. Boulevard'!G51</f>
        <v>1</v>
      </c>
      <c r="F51" s="5">
        <f>'Suc. Dos de Agosto'!G51</f>
        <v>3</v>
      </c>
      <c r="G51" s="5">
        <f>'Suc. La Nueva Canasta'!G51</f>
        <v>0</v>
      </c>
      <c r="H51" s="5">
        <f>'Suc. Mololoa'!G51</f>
        <v>2</v>
      </c>
      <c r="I51" s="5">
        <f>'Suc. Plaza'!G51</f>
        <v>1</v>
      </c>
      <c r="J51" s="5">
        <f>'Suc. Vistas'!G51</f>
        <v>2</v>
      </c>
      <c r="K51" s="5">
        <f>'Suc. Xalisco'!G51</f>
        <v>0</v>
      </c>
      <c r="L51" s="5">
        <f t="shared" ref="L51" si="18">SUM(B51:K51)</f>
        <v>15</v>
      </c>
      <c r="M51" s="5">
        <f>'GRAL. SUC. FORANEAS'!P51</f>
        <v>54</v>
      </c>
      <c r="N51" s="5">
        <f t="shared" si="16"/>
        <v>39</v>
      </c>
      <c r="O51" s="5"/>
      <c r="P51" s="5">
        <f t="shared" si="17"/>
        <v>39</v>
      </c>
      <c r="R51" s="200" t="s">
        <v>156</v>
      </c>
      <c r="S51" s="198">
        <v>0</v>
      </c>
    </row>
    <row r="52" spans="1:19" ht="18" thickBot="1" x14ac:dyDescent="0.4">
      <c r="A52" s="100" t="s">
        <v>32</v>
      </c>
      <c r="B52" s="49">
        <f>SUM(B50:B51)</f>
        <v>4</v>
      </c>
      <c r="C52" s="49">
        <f t="shared" ref="C52" si="19">SUM(C50:C51)</f>
        <v>1</v>
      </c>
      <c r="D52" s="49">
        <f t="shared" ref="D52" si="20">SUM(D50:D51)</f>
        <v>3</v>
      </c>
      <c r="E52" s="49">
        <f t="shared" ref="E52" si="21">SUM(E50:E51)</f>
        <v>3</v>
      </c>
      <c r="F52" s="49">
        <f t="shared" ref="F52" si="22">SUM(F50:F51)</f>
        <v>5</v>
      </c>
      <c r="G52" s="49">
        <f t="shared" ref="G52" si="23">SUM(G50:G51)</f>
        <v>0</v>
      </c>
      <c r="H52" s="49">
        <f t="shared" ref="H52" si="24">SUM(H50:H51)</f>
        <v>4</v>
      </c>
      <c r="I52" s="49">
        <f t="shared" ref="I52" si="25">SUM(I50:I51)</f>
        <v>2</v>
      </c>
      <c r="J52" s="49">
        <f t="shared" ref="J52" si="26">SUM(J50:J51)</f>
        <v>3</v>
      </c>
      <c r="K52" s="49">
        <f t="shared" ref="K52" si="27">SUM(K50:K51)</f>
        <v>0</v>
      </c>
      <c r="L52" s="49">
        <f t="shared" ref="L52:P52" si="28">SUM(L50:L51)</f>
        <v>25</v>
      </c>
      <c r="M52" s="49">
        <f t="shared" si="28"/>
        <v>86</v>
      </c>
      <c r="N52" s="49">
        <f t="shared" si="28"/>
        <v>61</v>
      </c>
      <c r="O52" s="49">
        <f t="shared" si="28"/>
        <v>0</v>
      </c>
      <c r="P52" s="49">
        <f t="shared" si="28"/>
        <v>61</v>
      </c>
      <c r="R52" s="200" t="s">
        <v>157</v>
      </c>
      <c r="S52" s="198">
        <v>0</v>
      </c>
    </row>
    <row r="53" spans="1:19" ht="17.399999999999999" x14ac:dyDescent="0.35">
      <c r="A53" s="93" t="s">
        <v>33</v>
      </c>
      <c r="B53" s="4">
        <f>'Suc. Amado Nervo'!G53</f>
        <v>0</v>
      </c>
      <c r="C53" s="4">
        <f>'Suc. León'!G53</f>
        <v>0</v>
      </c>
      <c r="D53" s="5">
        <f>'San Cayetano'!G53</f>
        <v>4</v>
      </c>
      <c r="E53" s="5">
        <f>'Suc. Boulevard'!G53</f>
        <v>0</v>
      </c>
      <c r="F53" s="5">
        <f>'Suc. Dos de Agosto'!G53</f>
        <v>0</v>
      </c>
      <c r="G53" s="5">
        <f>'Suc. La Nueva Canasta'!G53</f>
        <v>0</v>
      </c>
      <c r="H53" s="5">
        <f>'Suc. Mololoa'!G53</f>
        <v>1</v>
      </c>
      <c r="I53" s="5">
        <f>'Suc. Plaza'!G53</f>
        <v>1</v>
      </c>
      <c r="J53" s="5">
        <f>'Suc. Vistas'!G53</f>
        <v>3</v>
      </c>
      <c r="K53" s="5">
        <f>'Suc. Xalisco'!G53</f>
        <v>1</v>
      </c>
      <c r="L53" s="5">
        <f t="shared" ref="L53" si="29">SUM(B53:K53)</f>
        <v>10</v>
      </c>
      <c r="M53" s="5">
        <f>'GRAL. SUC. FORANEAS'!P53</f>
        <v>29</v>
      </c>
      <c r="N53" s="5">
        <f t="shared" ref="N53:N54" si="30">M53-L53</f>
        <v>19</v>
      </c>
      <c r="O53" s="5"/>
      <c r="P53" s="5">
        <f t="shared" ref="P53:P54" si="31">N53+O53</f>
        <v>19</v>
      </c>
      <c r="R53" s="200" t="s">
        <v>17</v>
      </c>
      <c r="S53" s="198">
        <v>10</v>
      </c>
    </row>
    <row r="54" spans="1:19" ht="18" thickBot="1" x14ac:dyDescent="0.4">
      <c r="A54" s="95" t="s">
        <v>34</v>
      </c>
      <c r="B54" s="4">
        <f>'Suc. Amado Nervo'!G54</f>
        <v>0</v>
      </c>
      <c r="C54" s="4">
        <f>'Suc. León'!G54</f>
        <v>0</v>
      </c>
      <c r="D54" s="5">
        <f>'San Cayetano'!G54</f>
        <v>3</v>
      </c>
      <c r="E54" s="5">
        <f>'Suc. Boulevard'!G54</f>
        <v>2</v>
      </c>
      <c r="F54" s="5">
        <f>'Suc. Dos de Agosto'!G54</f>
        <v>4</v>
      </c>
      <c r="G54" s="5">
        <f>'Suc. La Nueva Canasta'!G54</f>
        <v>0</v>
      </c>
      <c r="H54" s="5">
        <f>'Suc. Mololoa'!G54</f>
        <v>2</v>
      </c>
      <c r="I54" s="5">
        <f>'Suc. Plaza'!G54</f>
        <v>1</v>
      </c>
      <c r="J54" s="5">
        <f>'Suc. Vistas'!G54</f>
        <v>4</v>
      </c>
      <c r="K54" s="5">
        <f>'Suc. Xalisco'!G54</f>
        <v>3</v>
      </c>
      <c r="L54" s="5">
        <f t="shared" ref="L54" si="32">SUM(B54:K54)</f>
        <v>19</v>
      </c>
      <c r="M54" s="5">
        <f>'GRAL. SUC. FORANEAS'!P54</f>
        <v>50</v>
      </c>
      <c r="N54" s="5">
        <f t="shared" si="30"/>
        <v>31</v>
      </c>
      <c r="O54" s="5"/>
      <c r="P54" s="5">
        <f t="shared" si="31"/>
        <v>31</v>
      </c>
      <c r="R54" s="200" t="s">
        <v>3</v>
      </c>
      <c r="S54" s="198">
        <v>14</v>
      </c>
    </row>
    <row r="55" spans="1:19" ht="18" thickBot="1" x14ac:dyDescent="0.4">
      <c r="A55" s="99" t="s">
        <v>35</v>
      </c>
      <c r="B55" s="47">
        <f>SUM(B53:B54)</f>
        <v>0</v>
      </c>
      <c r="C55" s="47">
        <f t="shared" ref="C55" si="33">SUM(C53:C54)</f>
        <v>0</v>
      </c>
      <c r="D55" s="47">
        <f t="shared" ref="D55" si="34">SUM(D53:D54)</f>
        <v>7</v>
      </c>
      <c r="E55" s="47">
        <f t="shared" ref="E55" si="35">SUM(E53:E54)</f>
        <v>2</v>
      </c>
      <c r="F55" s="47">
        <f t="shared" ref="F55" si="36">SUM(F53:F54)</f>
        <v>4</v>
      </c>
      <c r="G55" s="47">
        <f t="shared" ref="G55" si="37">SUM(G53:G54)</f>
        <v>0</v>
      </c>
      <c r="H55" s="47">
        <f t="shared" ref="H55" si="38">SUM(H53:H54)</f>
        <v>3</v>
      </c>
      <c r="I55" s="47">
        <f t="shared" ref="I55" si="39">SUM(I53:I54)</f>
        <v>2</v>
      </c>
      <c r="J55" s="47">
        <f t="shared" ref="J55" si="40">SUM(J53:J54)</f>
        <v>7</v>
      </c>
      <c r="K55" s="47">
        <f t="shared" ref="K55" si="41">SUM(K53:K54)</f>
        <v>4</v>
      </c>
      <c r="L55" s="47">
        <f t="shared" ref="L55:P55" si="42">SUM(L53:L54)</f>
        <v>29</v>
      </c>
      <c r="M55" s="47">
        <f t="shared" si="42"/>
        <v>79</v>
      </c>
      <c r="N55" s="47">
        <f t="shared" si="42"/>
        <v>50</v>
      </c>
      <c r="O55" s="47">
        <f t="shared" si="42"/>
        <v>0</v>
      </c>
      <c r="P55" s="47">
        <f t="shared" si="42"/>
        <v>50</v>
      </c>
      <c r="R55" s="200" t="s">
        <v>37</v>
      </c>
      <c r="S55" s="198">
        <v>3</v>
      </c>
    </row>
    <row r="56" spans="1:19" ht="17.399999999999999" x14ac:dyDescent="0.35">
      <c r="A56" s="93" t="s">
        <v>36</v>
      </c>
      <c r="B56" s="4">
        <f>'Suc. Amado Nervo'!G56</f>
        <v>0</v>
      </c>
      <c r="C56" s="4">
        <f>'Suc. León'!G56</f>
        <v>1</v>
      </c>
      <c r="D56" s="5">
        <f>'San Cayetano'!G56</f>
        <v>0</v>
      </c>
      <c r="E56" s="5">
        <f>'Suc. Boulevard'!G56</f>
        <v>0</v>
      </c>
      <c r="F56" s="5">
        <f>'Suc. Dos de Agosto'!G56</f>
        <v>0</v>
      </c>
      <c r="G56" s="5">
        <f>'Suc. La Nueva Canasta'!G56</f>
        <v>0</v>
      </c>
      <c r="H56" s="5">
        <f>'Suc. Mololoa'!G56</f>
        <v>0</v>
      </c>
      <c r="I56" s="5">
        <f>'Suc. Plaza'!G56</f>
        <v>0</v>
      </c>
      <c r="J56" s="5">
        <f>'Suc. Vistas'!G56</f>
        <v>0</v>
      </c>
      <c r="K56" s="5">
        <f>'Suc. Xalisco'!G56</f>
        <v>0</v>
      </c>
      <c r="L56" s="5">
        <f t="shared" ref="L56:L77" si="43">SUM(B56:K56)</f>
        <v>1</v>
      </c>
      <c r="M56" s="5">
        <f>'GRAL. SUC. FORANEAS'!P56</f>
        <v>13</v>
      </c>
      <c r="N56" s="5">
        <f t="shared" ref="N56:N77" si="44">M56-L56</f>
        <v>12</v>
      </c>
      <c r="O56" s="5"/>
      <c r="P56" s="5">
        <f t="shared" ref="P56:P77" si="45">N56+O56</f>
        <v>12</v>
      </c>
      <c r="R56" s="200" t="s">
        <v>36</v>
      </c>
      <c r="S56" s="198">
        <v>7</v>
      </c>
    </row>
    <row r="57" spans="1:19" ht="17.399999999999999" x14ac:dyDescent="0.35">
      <c r="A57" s="93" t="s">
        <v>37</v>
      </c>
      <c r="B57" s="4">
        <f>'Suc. Amado Nervo'!G57</f>
        <v>0</v>
      </c>
      <c r="C57" s="4">
        <f>'Suc. León'!G57</f>
        <v>0</v>
      </c>
      <c r="D57" s="5">
        <f>'San Cayetano'!G57</f>
        <v>0</v>
      </c>
      <c r="E57" s="5">
        <f>'Suc. Boulevard'!G57</f>
        <v>0</v>
      </c>
      <c r="F57" s="5">
        <f>'Suc. Dos de Agosto'!G57</f>
        <v>0</v>
      </c>
      <c r="G57" s="5">
        <f>'Suc. La Nueva Canasta'!G57</f>
        <v>0</v>
      </c>
      <c r="H57" s="5">
        <f>'Suc. Mololoa'!G57</f>
        <v>0</v>
      </c>
      <c r="I57" s="5">
        <f>'Suc. Plaza'!G57</f>
        <v>0</v>
      </c>
      <c r="J57" s="5">
        <f>'Suc. Vistas'!G57</f>
        <v>0</v>
      </c>
      <c r="K57" s="5">
        <f>'Suc. Xalisco'!G57</f>
        <v>1</v>
      </c>
      <c r="L57" s="5">
        <f t="shared" ref="L57:L71" si="46">SUM(B57:K57)</f>
        <v>1</v>
      </c>
      <c r="M57" s="5">
        <f>'GRAL. SUC. FORANEAS'!P57</f>
        <v>9</v>
      </c>
      <c r="N57" s="5">
        <f t="shared" si="44"/>
        <v>8</v>
      </c>
      <c r="O57" s="5"/>
      <c r="P57" s="5">
        <f t="shared" si="45"/>
        <v>8</v>
      </c>
      <c r="R57" s="200" t="s">
        <v>158</v>
      </c>
      <c r="S57" s="198">
        <v>0</v>
      </c>
    </row>
    <row r="58" spans="1:19" ht="17.399999999999999" x14ac:dyDescent="0.35">
      <c r="A58" s="93" t="s">
        <v>39</v>
      </c>
      <c r="B58" s="4">
        <f>'Suc. Amado Nervo'!G58</f>
        <v>0</v>
      </c>
      <c r="C58" s="4">
        <f>'Suc. León'!G58</f>
        <v>0</v>
      </c>
      <c r="D58" s="5">
        <f>'San Cayetano'!G58</f>
        <v>0</v>
      </c>
      <c r="E58" s="5">
        <f>'Suc. Boulevard'!G58</f>
        <v>0</v>
      </c>
      <c r="F58" s="5">
        <f>'Suc. Dos de Agosto'!G58</f>
        <v>0</v>
      </c>
      <c r="G58" s="5">
        <f>'Suc. La Nueva Canasta'!G58</f>
        <v>0</v>
      </c>
      <c r="H58" s="5">
        <f>'Suc. Mololoa'!G58</f>
        <v>0</v>
      </c>
      <c r="I58" s="5">
        <f>'Suc. Plaza'!G58</f>
        <v>0</v>
      </c>
      <c r="J58" s="5">
        <f>'Suc. Vistas'!G58</f>
        <v>0</v>
      </c>
      <c r="K58" s="5">
        <f>'Suc. Xalisco'!G58</f>
        <v>0</v>
      </c>
      <c r="L58" s="5">
        <f t="shared" si="46"/>
        <v>0</v>
      </c>
      <c r="M58" s="5">
        <f>'GRAL. SUC. FORANEAS'!P58</f>
        <v>5</v>
      </c>
      <c r="N58" s="5">
        <f t="shared" si="44"/>
        <v>5</v>
      </c>
      <c r="O58" s="5"/>
      <c r="P58" s="5">
        <f t="shared" si="45"/>
        <v>5</v>
      </c>
      <c r="R58" s="200" t="s">
        <v>159</v>
      </c>
      <c r="S58" s="198">
        <v>0</v>
      </c>
    </row>
    <row r="59" spans="1:19" ht="17.399999999999999" x14ac:dyDescent="0.35">
      <c r="A59" s="93" t="s">
        <v>40</v>
      </c>
      <c r="B59" s="4">
        <f>'Suc. Amado Nervo'!G59</f>
        <v>0</v>
      </c>
      <c r="C59" s="4">
        <f>'Suc. León'!G59</f>
        <v>0</v>
      </c>
      <c r="D59" s="5">
        <f>'San Cayetano'!G59</f>
        <v>0</v>
      </c>
      <c r="E59" s="5">
        <f>'Suc. Boulevard'!G59</f>
        <v>0</v>
      </c>
      <c r="F59" s="5">
        <f>'Suc. Dos de Agosto'!G59</f>
        <v>0</v>
      </c>
      <c r="G59" s="5">
        <f>'Suc. La Nueva Canasta'!G59</f>
        <v>0</v>
      </c>
      <c r="H59" s="5">
        <f>'Suc. Mololoa'!G59</f>
        <v>0</v>
      </c>
      <c r="I59" s="5">
        <f>'Suc. Plaza'!G59</f>
        <v>0</v>
      </c>
      <c r="J59" s="5">
        <f>'Suc. Vistas'!G59</f>
        <v>0</v>
      </c>
      <c r="K59" s="5">
        <f>'Suc. Xalisco'!G59</f>
        <v>0</v>
      </c>
      <c r="L59" s="5">
        <f t="shared" si="46"/>
        <v>0</v>
      </c>
      <c r="M59" s="5">
        <f>'GRAL. SUC. FORANEAS'!P59</f>
        <v>0</v>
      </c>
      <c r="N59" s="5">
        <f t="shared" si="44"/>
        <v>0</v>
      </c>
      <c r="O59" s="5"/>
      <c r="P59" s="5">
        <f t="shared" si="45"/>
        <v>0</v>
      </c>
      <c r="R59" s="200" t="s">
        <v>160</v>
      </c>
      <c r="S59" s="198">
        <v>0</v>
      </c>
    </row>
    <row r="60" spans="1:19" ht="17.399999999999999" x14ac:dyDescent="0.35">
      <c r="A60" s="93" t="s">
        <v>41</v>
      </c>
      <c r="B60" s="4">
        <f>'Suc. Amado Nervo'!G60</f>
        <v>0</v>
      </c>
      <c r="C60" s="4">
        <f>'Suc. León'!G60</f>
        <v>0</v>
      </c>
      <c r="D60" s="5">
        <f>'San Cayetano'!G60</f>
        <v>0</v>
      </c>
      <c r="E60" s="5">
        <f>'Suc. Boulevard'!G60</f>
        <v>0</v>
      </c>
      <c r="F60" s="5">
        <f>'Suc. Dos de Agosto'!G60</f>
        <v>0</v>
      </c>
      <c r="G60" s="5">
        <f>'Suc. La Nueva Canasta'!G60</f>
        <v>0</v>
      </c>
      <c r="H60" s="5">
        <f>'Suc. Mololoa'!G60</f>
        <v>0</v>
      </c>
      <c r="I60" s="5">
        <f>'Suc. Plaza'!G60</f>
        <v>0</v>
      </c>
      <c r="J60" s="5">
        <f>'Suc. Vistas'!G60</f>
        <v>0</v>
      </c>
      <c r="K60" s="5">
        <f>'Suc. Xalisco'!G60</f>
        <v>0</v>
      </c>
      <c r="L60" s="5">
        <f t="shared" si="46"/>
        <v>0</v>
      </c>
      <c r="M60" s="5">
        <f>'GRAL. SUC. FORANEAS'!P60</f>
        <v>0</v>
      </c>
      <c r="N60" s="5">
        <f t="shared" si="44"/>
        <v>0</v>
      </c>
      <c r="O60" s="5"/>
      <c r="P60" s="5">
        <f t="shared" si="45"/>
        <v>0</v>
      </c>
      <c r="R60" s="200" t="s">
        <v>161</v>
      </c>
      <c r="S60" s="198">
        <v>0</v>
      </c>
    </row>
    <row r="61" spans="1:19" ht="17.399999999999999" x14ac:dyDescent="0.35">
      <c r="A61" s="101" t="s">
        <v>42</v>
      </c>
      <c r="B61" s="4">
        <f>'Suc. Amado Nervo'!G61</f>
        <v>0</v>
      </c>
      <c r="C61" s="4">
        <f>'Suc. León'!G61</f>
        <v>0</v>
      </c>
      <c r="D61" s="5">
        <f>'San Cayetano'!G61</f>
        <v>0</v>
      </c>
      <c r="E61" s="5">
        <f>'Suc. Boulevard'!G61</f>
        <v>0</v>
      </c>
      <c r="F61" s="5">
        <f>'Suc. Dos de Agosto'!G61</f>
        <v>0</v>
      </c>
      <c r="G61" s="5">
        <f>'Suc. La Nueva Canasta'!G61</f>
        <v>0</v>
      </c>
      <c r="H61" s="5">
        <f>'Suc. Mololoa'!G61</f>
        <v>0</v>
      </c>
      <c r="I61" s="5">
        <f>'Suc. Plaza'!G61</f>
        <v>0</v>
      </c>
      <c r="J61" s="5">
        <f>'Suc. Vistas'!G61</f>
        <v>0</v>
      </c>
      <c r="K61" s="5">
        <f>'Suc. Xalisco'!G61</f>
        <v>0</v>
      </c>
      <c r="L61" s="5">
        <f t="shared" si="46"/>
        <v>0</v>
      </c>
      <c r="M61" s="5">
        <f>'GRAL. SUC. FORANEAS'!P61</f>
        <v>0</v>
      </c>
      <c r="N61" s="5">
        <f t="shared" si="44"/>
        <v>0</v>
      </c>
      <c r="O61" s="5"/>
      <c r="P61" s="5">
        <f t="shared" si="45"/>
        <v>0</v>
      </c>
      <c r="R61" s="200" t="s">
        <v>162</v>
      </c>
      <c r="S61" s="198">
        <v>0</v>
      </c>
    </row>
    <row r="62" spans="1:19" ht="17.399999999999999" x14ac:dyDescent="0.35">
      <c r="A62" s="102" t="s">
        <v>43</v>
      </c>
      <c r="B62" s="4">
        <f>'Suc. Amado Nervo'!G62</f>
        <v>0</v>
      </c>
      <c r="C62" s="4">
        <f>'Suc. León'!G62</f>
        <v>0</v>
      </c>
      <c r="D62" s="5">
        <f>'San Cayetano'!G62</f>
        <v>0</v>
      </c>
      <c r="E62" s="5">
        <f>'Suc. Boulevard'!G62</f>
        <v>1</v>
      </c>
      <c r="F62" s="5">
        <f>'Suc. Dos de Agosto'!G62</f>
        <v>0</v>
      </c>
      <c r="G62" s="5">
        <f>'Suc. La Nueva Canasta'!G62</f>
        <v>0</v>
      </c>
      <c r="H62" s="5">
        <f>'Suc. Mololoa'!G62</f>
        <v>0</v>
      </c>
      <c r="I62" s="5">
        <f>'Suc. Plaza'!G62</f>
        <v>0</v>
      </c>
      <c r="J62" s="5">
        <f>'Suc. Vistas'!G62</f>
        <v>1</v>
      </c>
      <c r="K62" s="5">
        <f>'Suc. Xalisco'!G62</f>
        <v>0</v>
      </c>
      <c r="L62" s="5">
        <f t="shared" si="46"/>
        <v>2</v>
      </c>
      <c r="M62" s="5">
        <f>'GRAL. SUC. FORANEAS'!P62</f>
        <v>6</v>
      </c>
      <c r="N62" s="5">
        <f t="shared" si="44"/>
        <v>4</v>
      </c>
      <c r="O62" s="5"/>
      <c r="P62" s="5">
        <f t="shared" si="45"/>
        <v>4</v>
      </c>
      <c r="R62" s="200" t="s">
        <v>163</v>
      </c>
      <c r="S62" s="198">
        <v>0</v>
      </c>
    </row>
    <row r="63" spans="1:19" ht="17.399999999999999" x14ac:dyDescent="0.35">
      <c r="A63" s="93" t="s">
        <v>44</v>
      </c>
      <c r="B63" s="4">
        <f>'Suc. Amado Nervo'!G63</f>
        <v>0</v>
      </c>
      <c r="C63" s="4">
        <f>'Suc. León'!G63</f>
        <v>0</v>
      </c>
      <c r="D63" s="5">
        <f>'San Cayetano'!G63</f>
        <v>1</v>
      </c>
      <c r="E63" s="5">
        <f>'Suc. Boulevard'!G63</f>
        <v>0</v>
      </c>
      <c r="F63" s="5">
        <f>'Suc. Dos de Agosto'!G63</f>
        <v>0</v>
      </c>
      <c r="G63" s="5">
        <f>'Suc. La Nueva Canasta'!G63</f>
        <v>0</v>
      </c>
      <c r="H63" s="5">
        <f>'Suc. Mololoa'!G63</f>
        <v>0</v>
      </c>
      <c r="I63" s="5">
        <f>'Suc. Plaza'!G63</f>
        <v>0</v>
      </c>
      <c r="J63" s="5">
        <f>'Suc. Vistas'!G63</f>
        <v>0</v>
      </c>
      <c r="K63" s="5">
        <f>'Suc. Xalisco'!G63</f>
        <v>1</v>
      </c>
      <c r="L63" s="5">
        <f t="shared" si="46"/>
        <v>2</v>
      </c>
      <c r="M63" s="5">
        <f>'GRAL. SUC. FORANEAS'!P63</f>
        <v>7</v>
      </c>
      <c r="N63" s="5">
        <f t="shared" si="44"/>
        <v>5</v>
      </c>
      <c r="O63" s="5"/>
      <c r="P63" s="5">
        <f t="shared" si="45"/>
        <v>5</v>
      </c>
      <c r="R63" s="200" t="s">
        <v>164</v>
      </c>
      <c r="S63" s="198">
        <v>0</v>
      </c>
    </row>
    <row r="64" spans="1:19" ht="17.399999999999999" x14ac:dyDescent="0.35">
      <c r="A64" s="93" t="s">
        <v>45</v>
      </c>
      <c r="B64" s="4">
        <f>'Suc. Amado Nervo'!G64</f>
        <v>0</v>
      </c>
      <c r="C64" s="4">
        <f>'Suc. León'!G64</f>
        <v>0</v>
      </c>
      <c r="D64" s="5">
        <f>'San Cayetano'!G64</f>
        <v>0</v>
      </c>
      <c r="E64" s="5">
        <f>'Suc. Boulevard'!G64</f>
        <v>0</v>
      </c>
      <c r="F64" s="5">
        <f>'Suc. Dos de Agosto'!G64</f>
        <v>1</v>
      </c>
      <c r="G64" s="5">
        <f>'Suc. La Nueva Canasta'!G64</f>
        <v>0</v>
      </c>
      <c r="H64" s="5">
        <f>'Suc. Mololoa'!G64</f>
        <v>2</v>
      </c>
      <c r="I64" s="5">
        <f>'Suc. Plaza'!G64</f>
        <v>0</v>
      </c>
      <c r="J64" s="5">
        <f>'Suc. Vistas'!G64</f>
        <v>1</v>
      </c>
      <c r="K64" s="5">
        <f>'Suc. Xalisco'!G64</f>
        <v>0</v>
      </c>
      <c r="L64" s="5">
        <f t="shared" si="46"/>
        <v>4</v>
      </c>
      <c r="M64" s="5">
        <f>'GRAL. SUC. FORANEAS'!P64</f>
        <v>11</v>
      </c>
      <c r="N64" s="5">
        <f t="shared" si="44"/>
        <v>7</v>
      </c>
      <c r="O64" s="5"/>
      <c r="P64" s="5">
        <f t="shared" si="45"/>
        <v>7</v>
      </c>
      <c r="R64" s="200" t="s">
        <v>166</v>
      </c>
      <c r="S64" s="198">
        <v>0</v>
      </c>
    </row>
    <row r="65" spans="1:19" ht="17.399999999999999" x14ac:dyDescent="0.35">
      <c r="A65" s="93" t="s">
        <v>46</v>
      </c>
      <c r="B65" s="4">
        <f>'Suc. Amado Nervo'!G65</f>
        <v>0</v>
      </c>
      <c r="C65" s="4">
        <f>'Suc. León'!G65</f>
        <v>0</v>
      </c>
      <c r="D65" s="5">
        <f>'San Cayetano'!G65</f>
        <v>2</v>
      </c>
      <c r="E65" s="5">
        <f>'Suc. Boulevard'!G65</f>
        <v>1</v>
      </c>
      <c r="F65" s="5">
        <f>'Suc. Dos de Agosto'!G65</f>
        <v>0</v>
      </c>
      <c r="G65" s="5">
        <f>'Suc. La Nueva Canasta'!G65</f>
        <v>0</v>
      </c>
      <c r="H65" s="5">
        <f>'Suc. Mololoa'!G65</f>
        <v>1</v>
      </c>
      <c r="I65" s="5">
        <f>'Suc. Plaza'!G65</f>
        <v>1</v>
      </c>
      <c r="J65" s="5">
        <f>'Suc. Vistas'!G65</f>
        <v>2</v>
      </c>
      <c r="K65" s="5">
        <f>'Suc. Xalisco'!G65</f>
        <v>1</v>
      </c>
      <c r="L65" s="5">
        <f t="shared" si="46"/>
        <v>8</v>
      </c>
      <c r="M65" s="5">
        <f>'GRAL. SUC. FORANEAS'!P65</f>
        <v>22</v>
      </c>
      <c r="N65" s="5">
        <f t="shared" si="44"/>
        <v>14</v>
      </c>
      <c r="O65" s="5"/>
      <c r="P65" s="5">
        <f t="shared" si="45"/>
        <v>14</v>
      </c>
      <c r="R65" s="200" t="s">
        <v>822</v>
      </c>
      <c r="S65" s="198">
        <v>0</v>
      </c>
    </row>
    <row r="66" spans="1:19" ht="17.399999999999999" x14ac:dyDescent="0.35">
      <c r="A66" s="93" t="s">
        <v>48</v>
      </c>
      <c r="B66" s="4">
        <f>'Suc. Amado Nervo'!G66</f>
        <v>0</v>
      </c>
      <c r="C66" s="4">
        <f>'Suc. León'!G66</f>
        <v>0</v>
      </c>
      <c r="D66" s="5">
        <f>'San Cayetano'!G66</f>
        <v>0</v>
      </c>
      <c r="E66" s="5">
        <f>'Suc. Boulevard'!G66</f>
        <v>0</v>
      </c>
      <c r="F66" s="5">
        <f>'Suc. Dos de Agosto'!G66</f>
        <v>0</v>
      </c>
      <c r="G66" s="5">
        <f>'Suc. La Nueva Canasta'!G66</f>
        <v>0</v>
      </c>
      <c r="H66" s="5">
        <f>'Suc. Mololoa'!G66</f>
        <v>0</v>
      </c>
      <c r="I66" s="5">
        <f>'Suc. Plaza'!G66</f>
        <v>0</v>
      </c>
      <c r="J66" s="5">
        <f>'Suc. Vistas'!G66</f>
        <v>1</v>
      </c>
      <c r="K66" s="5">
        <f>'Suc. Xalisco'!G66</f>
        <v>0</v>
      </c>
      <c r="L66" s="5">
        <f t="shared" si="46"/>
        <v>1</v>
      </c>
      <c r="M66" s="5">
        <f>'GRAL. SUC. FORANEAS'!P66</f>
        <v>6</v>
      </c>
      <c r="N66" s="5">
        <f t="shared" si="44"/>
        <v>5</v>
      </c>
      <c r="O66" s="5"/>
      <c r="P66" s="5">
        <f t="shared" si="45"/>
        <v>5</v>
      </c>
      <c r="R66" s="200" t="s">
        <v>169</v>
      </c>
      <c r="S66" s="198">
        <v>0</v>
      </c>
    </row>
    <row r="67" spans="1:19" ht="17.399999999999999" x14ac:dyDescent="0.35">
      <c r="A67" s="93" t="s">
        <v>49</v>
      </c>
      <c r="B67" s="4">
        <f>'Suc. Amado Nervo'!G67</f>
        <v>0</v>
      </c>
      <c r="C67" s="4">
        <f>'Suc. León'!G67</f>
        <v>0</v>
      </c>
      <c r="D67" s="5">
        <f>'San Cayetano'!G67</f>
        <v>0</v>
      </c>
      <c r="E67" s="5">
        <f>'Suc. Boulevard'!G67</f>
        <v>0</v>
      </c>
      <c r="F67" s="5">
        <f>'Suc. Dos de Agosto'!G67</f>
        <v>0</v>
      </c>
      <c r="G67" s="5">
        <f>'Suc. La Nueva Canasta'!G67</f>
        <v>0</v>
      </c>
      <c r="H67" s="5">
        <f>'Suc. Mololoa'!G67</f>
        <v>0</v>
      </c>
      <c r="I67" s="5">
        <f>'Suc. Plaza'!G67</f>
        <v>0</v>
      </c>
      <c r="J67" s="5">
        <f>'Suc. Vistas'!G67</f>
        <v>0</v>
      </c>
      <c r="K67" s="5">
        <f>'Suc. Xalisco'!G67</f>
        <v>0</v>
      </c>
      <c r="L67" s="5">
        <f t="shared" si="46"/>
        <v>0</v>
      </c>
      <c r="M67" s="5">
        <f>'GRAL. SUC. FORANEAS'!P67</f>
        <v>14</v>
      </c>
      <c r="N67" s="5">
        <f t="shared" si="44"/>
        <v>14</v>
      </c>
      <c r="O67" s="5"/>
      <c r="P67" s="5">
        <f t="shared" si="45"/>
        <v>14</v>
      </c>
      <c r="R67" s="200" t="s">
        <v>170</v>
      </c>
      <c r="S67" s="198">
        <v>0</v>
      </c>
    </row>
    <row r="68" spans="1:19" ht="17.399999999999999" x14ac:dyDescent="0.35">
      <c r="A68" s="93" t="s">
        <v>50</v>
      </c>
      <c r="B68" s="4">
        <f>'Suc. Amado Nervo'!G68</f>
        <v>0</v>
      </c>
      <c r="C68" s="4">
        <f>'Suc. León'!G68</f>
        <v>0</v>
      </c>
      <c r="D68" s="5">
        <f>'San Cayetano'!G68</f>
        <v>2</v>
      </c>
      <c r="E68" s="5">
        <f>'Suc. Boulevard'!G68</f>
        <v>0</v>
      </c>
      <c r="F68" s="5">
        <f>'Suc. Dos de Agosto'!G68</f>
        <v>0</v>
      </c>
      <c r="G68" s="5">
        <f>'Suc. La Nueva Canasta'!G68</f>
        <v>0</v>
      </c>
      <c r="H68" s="5">
        <f>'Suc. Mololoa'!G68</f>
        <v>0</v>
      </c>
      <c r="I68" s="5">
        <f>'Suc. Plaza'!G68</f>
        <v>2</v>
      </c>
      <c r="J68" s="5">
        <f>'Suc. Vistas'!G68</f>
        <v>1</v>
      </c>
      <c r="K68" s="5">
        <f>'Suc. Xalisco'!G68</f>
        <v>0</v>
      </c>
      <c r="L68" s="5">
        <f t="shared" si="46"/>
        <v>5</v>
      </c>
      <c r="M68" s="5">
        <f>'GRAL. SUC. FORANEAS'!P68</f>
        <v>9</v>
      </c>
      <c r="N68" s="5">
        <f t="shared" si="44"/>
        <v>4</v>
      </c>
      <c r="O68" s="5"/>
      <c r="P68" s="5">
        <f t="shared" si="45"/>
        <v>4</v>
      </c>
      <c r="R68" s="200" t="s">
        <v>171</v>
      </c>
      <c r="S68" s="198">
        <v>0</v>
      </c>
    </row>
    <row r="69" spans="1:19" ht="17.399999999999999" x14ac:dyDescent="0.35">
      <c r="A69" s="93" t="s">
        <v>51</v>
      </c>
      <c r="B69" s="4">
        <f>'Suc. Amado Nervo'!G69</f>
        <v>0</v>
      </c>
      <c r="C69" s="4">
        <f>'Suc. León'!G69</f>
        <v>0</v>
      </c>
      <c r="D69" s="5">
        <f>'San Cayetano'!G69</f>
        <v>0</v>
      </c>
      <c r="E69" s="5">
        <f>'Suc. Boulevard'!G69</f>
        <v>0</v>
      </c>
      <c r="F69" s="5">
        <f>'Suc. Dos de Agosto'!G69</f>
        <v>0</v>
      </c>
      <c r="G69" s="5">
        <f>'Suc. La Nueva Canasta'!G69</f>
        <v>0</v>
      </c>
      <c r="H69" s="5">
        <f>'Suc. Mololoa'!G69</f>
        <v>0</v>
      </c>
      <c r="I69" s="5">
        <f>'Suc. Plaza'!G69</f>
        <v>0</v>
      </c>
      <c r="J69" s="5">
        <f>'Suc. Vistas'!G69</f>
        <v>0</v>
      </c>
      <c r="K69" s="5">
        <f>'Suc. Xalisco'!G69</f>
        <v>0</v>
      </c>
      <c r="L69" s="5">
        <f t="shared" si="46"/>
        <v>0</v>
      </c>
      <c r="M69" s="5">
        <f>'GRAL. SUC. FORANEAS'!P69</f>
        <v>-1</v>
      </c>
      <c r="N69" s="5">
        <f t="shared" si="44"/>
        <v>-1</v>
      </c>
      <c r="O69" s="5"/>
      <c r="P69" s="5">
        <f t="shared" si="45"/>
        <v>-1</v>
      </c>
      <c r="R69" s="200" t="s">
        <v>172</v>
      </c>
      <c r="S69" s="198">
        <v>0</v>
      </c>
    </row>
    <row r="70" spans="1:19" ht="17.399999999999999" x14ac:dyDescent="0.35">
      <c r="A70" s="93" t="s">
        <v>53</v>
      </c>
      <c r="B70" s="4">
        <f>'Suc. Amado Nervo'!G70</f>
        <v>0</v>
      </c>
      <c r="C70" s="4">
        <f>'Suc. León'!G70</f>
        <v>0</v>
      </c>
      <c r="D70" s="5">
        <f>'San Cayetano'!G70</f>
        <v>0</v>
      </c>
      <c r="E70" s="5">
        <f>'Suc. Boulevard'!G70</f>
        <v>1</v>
      </c>
      <c r="F70" s="5">
        <f>'Suc. Dos de Agosto'!G70</f>
        <v>1</v>
      </c>
      <c r="G70" s="5">
        <f>'Suc. La Nueva Canasta'!G70</f>
        <v>0</v>
      </c>
      <c r="H70" s="5">
        <f>'Suc. Mololoa'!G70</f>
        <v>2</v>
      </c>
      <c r="I70" s="5">
        <f>'Suc. Plaza'!G70</f>
        <v>0</v>
      </c>
      <c r="J70" s="5">
        <f>'Suc. Vistas'!G70</f>
        <v>0</v>
      </c>
      <c r="K70" s="5">
        <f>'Suc. Xalisco'!G70</f>
        <v>0</v>
      </c>
      <c r="L70" s="5">
        <f t="shared" si="46"/>
        <v>4</v>
      </c>
      <c r="M70" s="5">
        <f>'GRAL. SUC. FORANEAS'!P70</f>
        <v>12</v>
      </c>
      <c r="N70" s="5">
        <f t="shared" si="44"/>
        <v>8</v>
      </c>
      <c r="O70" s="5"/>
      <c r="P70" s="5">
        <f t="shared" si="45"/>
        <v>8</v>
      </c>
      <c r="R70" s="200" t="s">
        <v>173</v>
      </c>
      <c r="S70" s="198">
        <v>0</v>
      </c>
    </row>
    <row r="71" spans="1:19" ht="17.399999999999999" x14ac:dyDescent="0.35">
      <c r="A71" s="93" t="s">
        <v>47</v>
      </c>
      <c r="B71" s="4">
        <f>'Suc. Amado Nervo'!G71</f>
        <v>0</v>
      </c>
      <c r="C71" s="4">
        <f>'Suc. León'!G71</f>
        <v>0</v>
      </c>
      <c r="D71" s="5">
        <f>'San Cayetano'!G71</f>
        <v>0</v>
      </c>
      <c r="E71" s="5">
        <f>'Suc. Boulevard'!G71</f>
        <v>0</v>
      </c>
      <c r="F71" s="5">
        <f>'Suc. Dos de Agosto'!G71</f>
        <v>0</v>
      </c>
      <c r="G71" s="5">
        <f>'Suc. La Nueva Canasta'!G71</f>
        <v>0</v>
      </c>
      <c r="H71" s="5">
        <f>'Suc. Mololoa'!G71</f>
        <v>0</v>
      </c>
      <c r="I71" s="5">
        <f>'Suc. Plaza'!G71</f>
        <v>0</v>
      </c>
      <c r="J71" s="5">
        <f>'Suc. Vistas'!G71</f>
        <v>0</v>
      </c>
      <c r="K71" s="5">
        <f>'Suc. Xalisco'!G71</f>
        <v>1</v>
      </c>
      <c r="L71" s="5">
        <f t="shared" si="46"/>
        <v>1</v>
      </c>
      <c r="M71" s="5">
        <f>'GRAL. SUC. FORANEAS'!P71</f>
        <v>2</v>
      </c>
      <c r="N71" s="5">
        <f t="shared" si="44"/>
        <v>1</v>
      </c>
      <c r="O71" s="5"/>
      <c r="P71" s="5">
        <f t="shared" si="45"/>
        <v>1</v>
      </c>
      <c r="R71" s="200" t="s">
        <v>174</v>
      </c>
      <c r="S71" s="198">
        <v>0</v>
      </c>
    </row>
    <row r="72" spans="1:19" ht="17.25" hidden="1" customHeight="1" x14ac:dyDescent="0.35">
      <c r="A72" s="86" t="s">
        <v>1089</v>
      </c>
      <c r="B72" s="4">
        <f>'Suc. Amado Nervo'!G72</f>
        <v>0</v>
      </c>
      <c r="C72" s="4">
        <f>'Suc. León'!G72</f>
        <v>0</v>
      </c>
      <c r="D72" s="5">
        <f>'San Cayetano'!G72</f>
        <v>0</v>
      </c>
      <c r="E72" s="5">
        <f>'Suc. Boulevard'!G72</f>
        <v>0</v>
      </c>
      <c r="F72" s="5">
        <f>'Suc. Dos de Agosto'!G72</f>
        <v>0</v>
      </c>
      <c r="G72" s="5">
        <f>'Suc. La Nueva Canasta'!G72</f>
        <v>0</v>
      </c>
      <c r="H72" s="5">
        <f>'Suc. Mololoa'!G72</f>
        <v>0</v>
      </c>
      <c r="I72" s="5">
        <f>'Suc. Plaza'!G72</f>
        <v>0</v>
      </c>
      <c r="J72" s="5">
        <f>'Suc. Vistas'!G72</f>
        <v>0</v>
      </c>
      <c r="K72" s="5">
        <f>'Suc. Xalisco'!G72</f>
        <v>0</v>
      </c>
      <c r="L72" s="5">
        <f t="shared" si="43"/>
        <v>0</v>
      </c>
      <c r="M72" s="5">
        <f>'GRAL. SUC. FORANEAS'!P72</f>
        <v>0</v>
      </c>
      <c r="N72" s="5">
        <f t="shared" si="44"/>
        <v>0</v>
      </c>
      <c r="O72" s="5"/>
      <c r="P72" s="5">
        <f t="shared" si="45"/>
        <v>0</v>
      </c>
      <c r="R72" s="200" t="s">
        <v>175</v>
      </c>
      <c r="S72" s="198">
        <v>0</v>
      </c>
    </row>
    <row r="73" spans="1:19" ht="17.399999999999999" x14ac:dyDescent="0.35">
      <c r="A73" s="93"/>
      <c r="B73" s="4">
        <f>'Suc. Amado Nervo'!G73</f>
        <v>0</v>
      </c>
      <c r="C73" s="4">
        <f>'Suc. León'!G73</f>
        <v>0</v>
      </c>
      <c r="D73" s="5">
        <f>'San Cayetano'!G73</f>
        <v>0</v>
      </c>
      <c r="E73" s="5">
        <f>'Suc. Boulevard'!G73</f>
        <v>0</v>
      </c>
      <c r="F73" s="5">
        <f>'Suc. Dos de Agosto'!G73</f>
        <v>0</v>
      </c>
      <c r="G73" s="5">
        <f>'Suc. La Nueva Canasta'!G73</f>
        <v>0</v>
      </c>
      <c r="H73" s="5">
        <f>'Suc. Mololoa'!G73</f>
        <v>0</v>
      </c>
      <c r="I73" s="5">
        <f>'Suc. Plaza'!G73</f>
        <v>0</v>
      </c>
      <c r="J73" s="5">
        <f>'Suc. Vistas'!G73</f>
        <v>0</v>
      </c>
      <c r="K73" s="5">
        <f>'Suc. Xalisco'!G73</f>
        <v>0</v>
      </c>
      <c r="L73" s="5">
        <f t="shared" si="43"/>
        <v>0</v>
      </c>
      <c r="M73" s="5">
        <f>'GRAL. SUC. FORANEAS'!P73</f>
        <v>0</v>
      </c>
      <c r="N73" s="5">
        <f t="shared" si="44"/>
        <v>0</v>
      </c>
      <c r="O73" s="5"/>
      <c r="P73" s="5">
        <f t="shared" si="45"/>
        <v>0</v>
      </c>
      <c r="R73" s="200" t="s">
        <v>176</v>
      </c>
      <c r="S73" s="198">
        <v>0</v>
      </c>
    </row>
    <row r="74" spans="1:19" ht="17.399999999999999" x14ac:dyDescent="0.35">
      <c r="A74" s="93"/>
      <c r="B74" s="4">
        <f>'Suc. Amado Nervo'!G74</f>
        <v>0</v>
      </c>
      <c r="C74" s="4">
        <f>'Suc. León'!G74</f>
        <v>0</v>
      </c>
      <c r="D74" s="5">
        <f>'San Cayetano'!G74</f>
        <v>0</v>
      </c>
      <c r="E74" s="5">
        <f>'Suc. Boulevard'!G74</f>
        <v>0</v>
      </c>
      <c r="F74" s="5">
        <f>'Suc. Dos de Agosto'!G74</f>
        <v>0</v>
      </c>
      <c r="G74" s="5">
        <f>'Suc. La Nueva Canasta'!G74</f>
        <v>0</v>
      </c>
      <c r="H74" s="5">
        <f>'Suc. Mololoa'!G74</f>
        <v>0</v>
      </c>
      <c r="I74" s="5">
        <f>'Suc. Plaza'!G74</f>
        <v>0</v>
      </c>
      <c r="J74" s="5">
        <f>'Suc. Vistas'!G74</f>
        <v>0</v>
      </c>
      <c r="K74" s="5">
        <f>'Suc. Xalisco'!G74</f>
        <v>0</v>
      </c>
      <c r="L74" s="5">
        <f t="shared" si="43"/>
        <v>0</v>
      </c>
      <c r="M74" s="5">
        <f>'GRAL. SUC. FORANEAS'!P74</f>
        <v>0</v>
      </c>
      <c r="N74" s="5">
        <f t="shared" si="44"/>
        <v>0</v>
      </c>
      <c r="O74" s="5"/>
      <c r="P74" s="5">
        <f t="shared" si="45"/>
        <v>0</v>
      </c>
      <c r="R74" s="200" t="s">
        <v>177</v>
      </c>
      <c r="S74" s="198">
        <v>0</v>
      </c>
    </row>
    <row r="75" spans="1:19" ht="17.399999999999999" x14ac:dyDescent="0.35">
      <c r="A75" s="93"/>
      <c r="B75" s="4">
        <f>'Suc. Amado Nervo'!G75</f>
        <v>0</v>
      </c>
      <c r="C75" s="4">
        <f>'Suc. León'!G75</f>
        <v>0</v>
      </c>
      <c r="D75" s="5">
        <f>'San Cayetano'!G75</f>
        <v>0</v>
      </c>
      <c r="E75" s="5">
        <f>'Suc. Boulevard'!G75</f>
        <v>0</v>
      </c>
      <c r="F75" s="5">
        <f>'Suc. Dos de Agosto'!G75</f>
        <v>0</v>
      </c>
      <c r="G75" s="5">
        <f>'Suc. La Nueva Canasta'!G75</f>
        <v>0</v>
      </c>
      <c r="H75" s="5">
        <f>'Suc. Mololoa'!G75</f>
        <v>0</v>
      </c>
      <c r="I75" s="5">
        <f>'Suc. Plaza'!G75</f>
        <v>0</v>
      </c>
      <c r="J75" s="5">
        <f>'Suc. Vistas'!G75</f>
        <v>0</v>
      </c>
      <c r="K75" s="5">
        <f>'Suc. Xalisco'!G75</f>
        <v>0</v>
      </c>
      <c r="L75" s="5">
        <f t="shared" si="43"/>
        <v>0</v>
      </c>
      <c r="M75" s="5">
        <f>'GRAL. SUC. FORANEAS'!P75</f>
        <v>0</v>
      </c>
      <c r="N75" s="5">
        <f t="shared" si="44"/>
        <v>0</v>
      </c>
      <c r="O75" s="5"/>
      <c r="P75" s="5">
        <f t="shared" si="45"/>
        <v>0</v>
      </c>
      <c r="R75" s="200" t="s">
        <v>178</v>
      </c>
      <c r="S75" s="198">
        <v>0</v>
      </c>
    </row>
    <row r="76" spans="1:19" ht="17.399999999999999" x14ac:dyDescent="0.35">
      <c r="A76" s="93"/>
      <c r="B76" s="4">
        <f>'Suc. Amado Nervo'!G76</f>
        <v>0</v>
      </c>
      <c r="C76" s="4">
        <f>'Suc. León'!G76</f>
        <v>0</v>
      </c>
      <c r="D76" s="5">
        <f>'San Cayetano'!G76</f>
        <v>0</v>
      </c>
      <c r="E76" s="5">
        <f>'Suc. Boulevard'!G76</f>
        <v>0</v>
      </c>
      <c r="F76" s="5">
        <f>'Suc. Dos de Agosto'!G76</f>
        <v>0</v>
      </c>
      <c r="G76" s="5">
        <f>'Suc. La Nueva Canasta'!G76</f>
        <v>0</v>
      </c>
      <c r="H76" s="5">
        <f>'Suc. Mololoa'!G76</f>
        <v>0</v>
      </c>
      <c r="I76" s="5">
        <f>'Suc. Plaza'!G76</f>
        <v>0</v>
      </c>
      <c r="J76" s="5">
        <f>'Suc. Vistas'!G76</f>
        <v>0</v>
      </c>
      <c r="K76" s="5">
        <f>'Suc. Xalisco'!G76</f>
        <v>0</v>
      </c>
      <c r="L76" s="5">
        <f t="shared" si="43"/>
        <v>0</v>
      </c>
      <c r="M76" s="5">
        <f>'GRAL. SUC. FORANEAS'!P76</f>
        <v>0</v>
      </c>
      <c r="N76" s="5">
        <f t="shared" si="44"/>
        <v>0</v>
      </c>
      <c r="O76" s="5"/>
      <c r="P76" s="5">
        <f t="shared" si="45"/>
        <v>0</v>
      </c>
      <c r="R76" s="200" t="s">
        <v>179</v>
      </c>
      <c r="S76" s="198">
        <v>0</v>
      </c>
    </row>
    <row r="77" spans="1:19" ht="18" thickBot="1" x14ac:dyDescent="0.4">
      <c r="A77" s="93"/>
      <c r="B77" s="4">
        <f>'Suc. Amado Nervo'!G77</f>
        <v>0</v>
      </c>
      <c r="C77" s="4">
        <f>'Suc. León'!G77</f>
        <v>0</v>
      </c>
      <c r="D77" s="5">
        <f>'San Cayetano'!G77</f>
        <v>0</v>
      </c>
      <c r="E77" s="5">
        <f>'Suc. Boulevard'!G77</f>
        <v>0</v>
      </c>
      <c r="F77" s="5">
        <f>'Suc. Dos de Agosto'!G77</f>
        <v>0</v>
      </c>
      <c r="G77" s="5">
        <f>'Suc. La Nueva Canasta'!G77</f>
        <v>0</v>
      </c>
      <c r="H77" s="5">
        <f>'Suc. Mololoa'!G77</f>
        <v>0</v>
      </c>
      <c r="I77" s="5">
        <f>'Suc. Plaza'!G77</f>
        <v>0</v>
      </c>
      <c r="J77" s="5">
        <f>'Suc. Vistas'!G77</f>
        <v>0</v>
      </c>
      <c r="K77" s="5">
        <f>'Suc. Xalisco'!G77</f>
        <v>0</v>
      </c>
      <c r="L77" s="5">
        <f t="shared" si="43"/>
        <v>0</v>
      </c>
      <c r="M77" s="5">
        <f>'GRAL. SUC. FORANEAS'!P77</f>
        <v>0</v>
      </c>
      <c r="N77" s="5">
        <f t="shared" si="44"/>
        <v>0</v>
      </c>
      <c r="O77" s="5"/>
      <c r="P77" s="5">
        <f t="shared" si="45"/>
        <v>0</v>
      </c>
      <c r="R77" s="200" t="s">
        <v>180</v>
      </c>
      <c r="S77" s="198">
        <v>0</v>
      </c>
    </row>
    <row r="78" spans="1:19" ht="18" thickBot="1" x14ac:dyDescent="0.4">
      <c r="A78" s="99" t="s">
        <v>54</v>
      </c>
      <c r="B78" s="47">
        <f t="shared" ref="B78:P78" si="47">SUM(B56:B77)</f>
        <v>0</v>
      </c>
      <c r="C78" s="47">
        <f t="shared" si="47"/>
        <v>1</v>
      </c>
      <c r="D78" s="47">
        <f t="shared" si="47"/>
        <v>5</v>
      </c>
      <c r="E78" s="47">
        <f t="shared" si="47"/>
        <v>3</v>
      </c>
      <c r="F78" s="47">
        <f t="shared" si="47"/>
        <v>2</v>
      </c>
      <c r="G78" s="47">
        <f t="shared" si="47"/>
        <v>0</v>
      </c>
      <c r="H78" s="47">
        <f t="shared" si="47"/>
        <v>5</v>
      </c>
      <c r="I78" s="47">
        <f t="shared" si="47"/>
        <v>3</v>
      </c>
      <c r="J78" s="47">
        <f t="shared" si="47"/>
        <v>6</v>
      </c>
      <c r="K78" s="47">
        <f t="shared" si="47"/>
        <v>4</v>
      </c>
      <c r="L78" s="47">
        <f t="shared" si="47"/>
        <v>29</v>
      </c>
      <c r="M78" s="47">
        <f t="shared" si="47"/>
        <v>115</v>
      </c>
      <c r="N78" s="47">
        <f t="shared" si="47"/>
        <v>86</v>
      </c>
      <c r="O78" s="47">
        <f t="shared" si="47"/>
        <v>0</v>
      </c>
      <c r="P78" s="47">
        <f t="shared" si="47"/>
        <v>86</v>
      </c>
      <c r="R78" s="200" t="s">
        <v>189</v>
      </c>
      <c r="S78" s="198">
        <v>50</v>
      </c>
    </row>
    <row r="79" spans="1:19" ht="18.600000000000001" thickBot="1" x14ac:dyDescent="0.4">
      <c r="A79" s="103" t="s">
        <v>55</v>
      </c>
      <c r="B79" s="51">
        <f t="shared" ref="B79:P79" si="48">B18+B32+B49+B52+B55+B78</f>
        <v>13</v>
      </c>
      <c r="C79" s="51">
        <f t="shared" si="48"/>
        <v>12</v>
      </c>
      <c r="D79" s="51">
        <f t="shared" si="48"/>
        <v>26</v>
      </c>
      <c r="E79" s="51">
        <f t="shared" si="48"/>
        <v>18</v>
      </c>
      <c r="F79" s="51">
        <f t="shared" si="48"/>
        <v>24</v>
      </c>
      <c r="G79" s="51">
        <f t="shared" si="48"/>
        <v>0</v>
      </c>
      <c r="H79" s="51">
        <f t="shared" si="48"/>
        <v>27</v>
      </c>
      <c r="I79" s="51">
        <f t="shared" si="48"/>
        <v>20</v>
      </c>
      <c r="J79" s="51">
        <f t="shared" si="48"/>
        <v>49</v>
      </c>
      <c r="K79" s="51">
        <f t="shared" si="48"/>
        <v>23</v>
      </c>
      <c r="L79" s="51">
        <f t="shared" si="48"/>
        <v>212</v>
      </c>
      <c r="M79" s="51">
        <f t="shared" si="48"/>
        <v>630</v>
      </c>
      <c r="N79" s="51">
        <f t="shared" si="48"/>
        <v>418</v>
      </c>
      <c r="O79" s="51">
        <f t="shared" si="48"/>
        <v>0</v>
      </c>
      <c r="P79" s="51">
        <f t="shared" si="48"/>
        <v>418</v>
      </c>
      <c r="R79" s="200" t="s">
        <v>190</v>
      </c>
      <c r="S79" s="198">
        <v>87</v>
      </c>
    </row>
    <row r="80" spans="1:19" ht="17.399999999999999" x14ac:dyDescent="0.35">
      <c r="A80" s="104" t="s">
        <v>56</v>
      </c>
      <c r="B80" s="26"/>
      <c r="C80" s="26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R80" s="200" t="s">
        <v>191</v>
      </c>
      <c r="S80" s="198">
        <v>6</v>
      </c>
    </row>
    <row r="81" spans="1:19" ht="17.399999999999999" x14ac:dyDescent="0.35">
      <c r="A81" s="94" t="s">
        <v>57</v>
      </c>
      <c r="B81" s="4">
        <f>'Suc. Amado Nervo'!G81</f>
        <v>0</v>
      </c>
      <c r="C81" s="4">
        <f>'Suc. León'!G81</f>
        <v>0</v>
      </c>
      <c r="D81" s="5">
        <f>'San Cayetano'!G81</f>
        <v>0</v>
      </c>
      <c r="E81" s="5">
        <f>'Suc. Boulevard'!G81</f>
        <v>0</v>
      </c>
      <c r="F81" s="5">
        <f>'Suc. Dos de Agosto'!G81</f>
        <v>0</v>
      </c>
      <c r="G81" s="5">
        <f>'Suc. La Nueva Canasta'!G81</f>
        <v>0</v>
      </c>
      <c r="H81" s="5">
        <f>'Suc. Mololoa'!G81</f>
        <v>1</v>
      </c>
      <c r="I81" s="5">
        <f>'Suc. Plaza'!G81</f>
        <v>0</v>
      </c>
      <c r="J81" s="5">
        <f>'Suc. Vistas'!G81</f>
        <v>1</v>
      </c>
      <c r="K81" s="5">
        <f>'Suc. Xalisco'!G81</f>
        <v>0</v>
      </c>
      <c r="L81" s="5">
        <f t="shared" ref="L81:L90" si="49">SUM(B81:K81)</f>
        <v>2</v>
      </c>
      <c r="M81" s="5">
        <f>'GRAL. SUC. FORANEAS'!P81</f>
        <v>6</v>
      </c>
      <c r="N81" s="5">
        <f t="shared" ref="N81:N90" si="50">M81-L81</f>
        <v>4</v>
      </c>
      <c r="O81" s="5"/>
      <c r="P81" s="5">
        <f t="shared" ref="P81:P90" si="51">N81+O81</f>
        <v>4</v>
      </c>
      <c r="R81" s="200" t="s">
        <v>194</v>
      </c>
      <c r="S81" s="198">
        <v>0</v>
      </c>
    </row>
    <row r="82" spans="1:19" ht="17.399999999999999" x14ac:dyDescent="0.35">
      <c r="A82" s="94" t="s">
        <v>58</v>
      </c>
      <c r="B82" s="4">
        <f>'Suc. Amado Nervo'!G82</f>
        <v>1</v>
      </c>
      <c r="C82" s="4">
        <f>'Suc. León'!G82</f>
        <v>1</v>
      </c>
      <c r="D82" s="5">
        <f>'San Cayetano'!G82</f>
        <v>1</v>
      </c>
      <c r="E82" s="5">
        <f>'Suc. Boulevard'!G82</f>
        <v>0</v>
      </c>
      <c r="F82" s="5">
        <f>'Suc. Dos de Agosto'!G82</f>
        <v>0</v>
      </c>
      <c r="G82" s="5">
        <f>'Suc. La Nueva Canasta'!G82</f>
        <v>0</v>
      </c>
      <c r="H82" s="5">
        <f>'Suc. Mololoa'!G82</f>
        <v>1</v>
      </c>
      <c r="I82" s="5">
        <f>'Suc. Plaza'!G82</f>
        <v>0</v>
      </c>
      <c r="J82" s="5">
        <f>'Suc. Vistas'!G82</f>
        <v>1</v>
      </c>
      <c r="K82" s="5">
        <f>'Suc. Xalisco'!G82</f>
        <v>0</v>
      </c>
      <c r="L82" s="5">
        <f t="shared" ref="L82:L87" si="52">SUM(B82:K82)</f>
        <v>5</v>
      </c>
      <c r="M82" s="5">
        <f>'GRAL. SUC. FORANEAS'!P82</f>
        <v>5</v>
      </c>
      <c r="N82" s="5">
        <f t="shared" si="50"/>
        <v>0</v>
      </c>
      <c r="O82" s="5"/>
      <c r="P82" s="5">
        <f t="shared" si="51"/>
        <v>0</v>
      </c>
      <c r="R82" s="200" t="s">
        <v>195</v>
      </c>
      <c r="S82" s="198">
        <v>0</v>
      </c>
    </row>
    <row r="83" spans="1:19" ht="17.399999999999999" x14ac:dyDescent="0.35">
      <c r="A83" s="94" t="s">
        <v>59</v>
      </c>
      <c r="B83" s="4">
        <f>'Suc. Amado Nervo'!G83</f>
        <v>0</v>
      </c>
      <c r="C83" s="4">
        <f>'Suc. León'!G83</f>
        <v>0</v>
      </c>
      <c r="D83" s="5">
        <f>'San Cayetano'!G83</f>
        <v>0</v>
      </c>
      <c r="E83" s="5">
        <f>'Suc. Boulevard'!G83</f>
        <v>0</v>
      </c>
      <c r="F83" s="5">
        <f>'Suc. Dos de Agosto'!G83</f>
        <v>0</v>
      </c>
      <c r="G83" s="5">
        <f>'Suc. La Nueva Canasta'!G83</f>
        <v>0</v>
      </c>
      <c r="H83" s="5">
        <f>'Suc. Mololoa'!G83</f>
        <v>0</v>
      </c>
      <c r="I83" s="5">
        <f>'Suc. Plaza'!G83</f>
        <v>1</v>
      </c>
      <c r="J83" s="5">
        <f>'Suc. Vistas'!G83</f>
        <v>0</v>
      </c>
      <c r="K83" s="5">
        <f>'Suc. Xalisco'!G83</f>
        <v>0</v>
      </c>
      <c r="L83" s="5">
        <f t="shared" si="52"/>
        <v>1</v>
      </c>
      <c r="M83" s="5">
        <f>'GRAL. SUC. FORANEAS'!P83</f>
        <v>6</v>
      </c>
      <c r="N83" s="5">
        <f t="shared" si="50"/>
        <v>5</v>
      </c>
      <c r="O83" s="5"/>
      <c r="P83" s="5">
        <f t="shared" si="51"/>
        <v>5</v>
      </c>
      <c r="R83" s="200" t="s">
        <v>77</v>
      </c>
      <c r="S83" s="198">
        <v>0</v>
      </c>
    </row>
    <row r="84" spans="1:19" ht="17.399999999999999" x14ac:dyDescent="0.35">
      <c r="A84" s="94" t="s">
        <v>60</v>
      </c>
      <c r="B84" s="4">
        <f>'Suc. Amado Nervo'!G84</f>
        <v>1</v>
      </c>
      <c r="C84" s="4">
        <f>'Suc. León'!G84</f>
        <v>0</v>
      </c>
      <c r="D84" s="5">
        <f>'San Cayetano'!G84</f>
        <v>0</v>
      </c>
      <c r="E84" s="5">
        <f>'Suc. Boulevard'!G84</f>
        <v>0</v>
      </c>
      <c r="F84" s="5">
        <f>'Suc. Dos de Agosto'!G84</f>
        <v>1</v>
      </c>
      <c r="G84" s="5">
        <f>'Suc. La Nueva Canasta'!G84</f>
        <v>0</v>
      </c>
      <c r="H84" s="5">
        <f>'Suc. Mololoa'!G84</f>
        <v>0</v>
      </c>
      <c r="I84" s="5">
        <f>'Suc. Plaza'!G84</f>
        <v>0</v>
      </c>
      <c r="J84" s="5">
        <f>'Suc. Vistas'!G84</f>
        <v>0</v>
      </c>
      <c r="K84" s="5">
        <f>'Suc. Xalisco'!G84</f>
        <v>0</v>
      </c>
      <c r="L84" s="5">
        <f t="shared" si="52"/>
        <v>2</v>
      </c>
      <c r="M84" s="5">
        <f>'GRAL. SUC. FORANEAS'!P84</f>
        <v>7</v>
      </c>
      <c r="N84" s="5">
        <f t="shared" si="50"/>
        <v>5</v>
      </c>
      <c r="O84" s="5"/>
      <c r="P84" s="5">
        <f t="shared" si="51"/>
        <v>5</v>
      </c>
      <c r="R84" s="200" t="s">
        <v>1123</v>
      </c>
      <c r="S84" s="198">
        <v>7</v>
      </c>
    </row>
    <row r="85" spans="1:19" ht="17.399999999999999" x14ac:dyDescent="0.35">
      <c r="A85" s="94" t="s">
        <v>61</v>
      </c>
      <c r="B85" s="4">
        <f>'Suc. Amado Nervo'!G85</f>
        <v>0</v>
      </c>
      <c r="C85" s="4">
        <f>'Suc. León'!G85</f>
        <v>0</v>
      </c>
      <c r="D85" s="5">
        <f>'San Cayetano'!G85</f>
        <v>0</v>
      </c>
      <c r="E85" s="5">
        <f>'Suc. Boulevard'!G85</f>
        <v>0</v>
      </c>
      <c r="F85" s="5">
        <f>'Suc. Dos de Agosto'!G85</f>
        <v>0</v>
      </c>
      <c r="G85" s="5">
        <f>'Suc. La Nueva Canasta'!G85</f>
        <v>0</v>
      </c>
      <c r="H85" s="5">
        <f>'Suc. Mololoa'!G85</f>
        <v>1</v>
      </c>
      <c r="I85" s="5">
        <f>'Suc. Plaza'!G85</f>
        <v>1</v>
      </c>
      <c r="J85" s="5">
        <f>'Suc. Vistas'!G85</f>
        <v>1</v>
      </c>
      <c r="K85" s="5">
        <f>'Suc. Xalisco'!G85</f>
        <v>0</v>
      </c>
      <c r="L85" s="5">
        <f t="shared" si="52"/>
        <v>3</v>
      </c>
      <c r="M85" s="5">
        <f>'GRAL. SUC. FORANEAS'!P85</f>
        <v>10</v>
      </c>
      <c r="N85" s="5">
        <f t="shared" si="50"/>
        <v>7</v>
      </c>
      <c r="O85" s="5"/>
      <c r="P85" s="5">
        <f t="shared" si="51"/>
        <v>7</v>
      </c>
      <c r="R85" s="200" t="s">
        <v>1124</v>
      </c>
      <c r="S85" s="198">
        <v>5</v>
      </c>
    </row>
    <row r="86" spans="1:19" ht="17.399999999999999" x14ac:dyDescent="0.35">
      <c r="A86" s="94" t="s">
        <v>63</v>
      </c>
      <c r="B86" s="4">
        <f>'Suc. Amado Nervo'!G86</f>
        <v>1</v>
      </c>
      <c r="C86" s="4">
        <f>'Suc. León'!G86</f>
        <v>0</v>
      </c>
      <c r="D86" s="5">
        <f>'San Cayetano'!G86</f>
        <v>0</v>
      </c>
      <c r="E86" s="5">
        <f>'Suc. Boulevard'!G86</f>
        <v>2</v>
      </c>
      <c r="F86" s="5">
        <f>'Suc. Dos de Agosto'!G86</f>
        <v>0</v>
      </c>
      <c r="G86" s="5">
        <f>'Suc. La Nueva Canasta'!G86</f>
        <v>0</v>
      </c>
      <c r="H86" s="5">
        <f>'Suc. Mololoa'!G86</f>
        <v>1</v>
      </c>
      <c r="I86" s="5">
        <f>'Suc. Plaza'!G86</f>
        <v>2</v>
      </c>
      <c r="J86" s="5">
        <f>'Suc. Vistas'!G86</f>
        <v>2</v>
      </c>
      <c r="K86" s="5">
        <f>'Suc. Xalisco'!G86</f>
        <v>0</v>
      </c>
      <c r="L86" s="5">
        <f t="shared" si="52"/>
        <v>8</v>
      </c>
      <c r="M86" s="5">
        <f>'GRAL. SUC. FORANEAS'!P86</f>
        <v>12</v>
      </c>
      <c r="N86" s="5">
        <f t="shared" si="50"/>
        <v>4</v>
      </c>
      <c r="O86" s="5"/>
      <c r="P86" s="5">
        <f t="shared" si="51"/>
        <v>4</v>
      </c>
      <c r="R86" s="200" t="s">
        <v>199</v>
      </c>
      <c r="S86" s="198">
        <v>0</v>
      </c>
    </row>
    <row r="87" spans="1:19" ht="18" customHeight="1" x14ac:dyDescent="0.35">
      <c r="A87" s="94"/>
      <c r="B87" s="4">
        <f>'Suc. Amado Nervo'!G87</f>
        <v>0</v>
      </c>
      <c r="C87" s="4">
        <f>'Suc. León'!G87</f>
        <v>0</v>
      </c>
      <c r="D87" s="5">
        <f>'San Cayetano'!G87</f>
        <v>0</v>
      </c>
      <c r="E87" s="5">
        <f>'Suc. Boulevard'!G87</f>
        <v>0</v>
      </c>
      <c r="F87" s="5">
        <f>'Suc. Dos de Agosto'!G87</f>
        <v>0</v>
      </c>
      <c r="G87" s="5">
        <f>'Suc. La Nueva Canasta'!G87</f>
        <v>0</v>
      </c>
      <c r="H87" s="5">
        <f>'Suc. Mololoa'!G87</f>
        <v>0</v>
      </c>
      <c r="I87" s="5">
        <f>'Suc. Plaza'!G87</f>
        <v>0</v>
      </c>
      <c r="J87" s="5">
        <f>'Suc. Vistas'!G87</f>
        <v>0</v>
      </c>
      <c r="K87" s="5">
        <f>'Suc. Xalisco'!G87</f>
        <v>0</v>
      </c>
      <c r="L87" s="5">
        <f t="shared" si="52"/>
        <v>0</v>
      </c>
      <c r="M87" s="5">
        <f>'GRAL. SUC. FORANEAS'!P87</f>
        <v>0</v>
      </c>
      <c r="N87" s="5">
        <f t="shared" si="50"/>
        <v>0</v>
      </c>
      <c r="O87" s="5"/>
      <c r="P87" s="5">
        <f t="shared" si="51"/>
        <v>0</v>
      </c>
      <c r="R87" s="200" t="s">
        <v>200</v>
      </c>
      <c r="S87" s="198">
        <v>0</v>
      </c>
    </row>
    <row r="88" spans="1:19" ht="18" customHeight="1" x14ac:dyDescent="0.35">
      <c r="A88" s="94"/>
      <c r="B88" s="4">
        <f>'Suc. Amado Nervo'!G88</f>
        <v>0</v>
      </c>
      <c r="C88" s="4">
        <f>'Suc. León'!G88</f>
        <v>0</v>
      </c>
      <c r="D88" s="5">
        <f>'San Cayetano'!G88</f>
        <v>0</v>
      </c>
      <c r="E88" s="5">
        <f>'Suc. Boulevard'!G88</f>
        <v>0</v>
      </c>
      <c r="F88" s="5">
        <f>'Suc. Dos de Agosto'!G88</f>
        <v>0</v>
      </c>
      <c r="G88" s="5">
        <f>'Suc. La Nueva Canasta'!G88</f>
        <v>0</v>
      </c>
      <c r="H88" s="5">
        <f>'Suc. Mololoa'!G88</f>
        <v>0</v>
      </c>
      <c r="I88" s="5">
        <f>'Suc. Plaza'!G88</f>
        <v>0</v>
      </c>
      <c r="J88" s="5">
        <f>'Suc. Vistas'!G88</f>
        <v>0</v>
      </c>
      <c r="K88" s="5">
        <f>'Suc. Xalisco'!G88</f>
        <v>0</v>
      </c>
      <c r="L88" s="5">
        <f t="shared" si="49"/>
        <v>0</v>
      </c>
      <c r="M88" s="5">
        <f>'GRAL. SUC. FORANEAS'!P88</f>
        <v>0</v>
      </c>
      <c r="N88" s="5">
        <f t="shared" si="50"/>
        <v>0</v>
      </c>
      <c r="O88" s="5"/>
      <c r="P88" s="5">
        <f t="shared" si="51"/>
        <v>0</v>
      </c>
      <c r="R88" s="200" t="s">
        <v>201</v>
      </c>
      <c r="S88" s="198">
        <v>0</v>
      </c>
    </row>
    <row r="89" spans="1:19" ht="18" customHeight="1" x14ac:dyDescent="0.35">
      <c r="A89" s="94"/>
      <c r="B89" s="4">
        <f>'Suc. Amado Nervo'!G89</f>
        <v>0</v>
      </c>
      <c r="C89" s="4">
        <f>'Suc. León'!G89</f>
        <v>0</v>
      </c>
      <c r="D89" s="5">
        <f>'San Cayetano'!G89</f>
        <v>0</v>
      </c>
      <c r="E89" s="5">
        <f>'Suc. Boulevard'!G89</f>
        <v>0</v>
      </c>
      <c r="F89" s="5">
        <f>'Suc. Dos de Agosto'!G89</f>
        <v>0</v>
      </c>
      <c r="G89" s="5">
        <f>'Suc. La Nueva Canasta'!G89</f>
        <v>0</v>
      </c>
      <c r="H89" s="5">
        <f>'Suc. Mololoa'!G89</f>
        <v>0</v>
      </c>
      <c r="I89" s="5">
        <f>'Suc. Plaza'!G89</f>
        <v>0</v>
      </c>
      <c r="J89" s="5">
        <f>'Suc. Vistas'!G89</f>
        <v>0</v>
      </c>
      <c r="K89" s="5">
        <f>'Suc. Xalisco'!G89</f>
        <v>0</v>
      </c>
      <c r="L89" s="5">
        <f t="shared" si="49"/>
        <v>0</v>
      </c>
      <c r="M89" s="5">
        <f>'GRAL. SUC. FORANEAS'!P89</f>
        <v>0</v>
      </c>
      <c r="N89" s="5">
        <f t="shared" si="50"/>
        <v>0</v>
      </c>
      <c r="O89" s="5"/>
      <c r="P89" s="5">
        <f t="shared" si="51"/>
        <v>0</v>
      </c>
      <c r="R89" s="200" t="s">
        <v>202</v>
      </c>
      <c r="S89" s="198">
        <v>0</v>
      </c>
    </row>
    <row r="90" spans="1:19" ht="18" customHeight="1" thickBot="1" x14ac:dyDescent="0.4">
      <c r="A90" s="94"/>
      <c r="B90" s="4">
        <f>'Suc. Amado Nervo'!G90</f>
        <v>0</v>
      </c>
      <c r="C90" s="4">
        <f>'Suc. León'!G90</f>
        <v>0</v>
      </c>
      <c r="D90" s="5">
        <f>'San Cayetano'!G90</f>
        <v>0</v>
      </c>
      <c r="E90" s="5">
        <f>'Suc. Boulevard'!G90</f>
        <v>0</v>
      </c>
      <c r="F90" s="5">
        <f>'Suc. Dos de Agosto'!G90</f>
        <v>0</v>
      </c>
      <c r="G90" s="5">
        <f>'Suc. La Nueva Canasta'!G90</f>
        <v>0</v>
      </c>
      <c r="H90" s="5">
        <f>'Suc. Mololoa'!G90</f>
        <v>0</v>
      </c>
      <c r="I90" s="5">
        <f>'Suc. Plaza'!G90</f>
        <v>0</v>
      </c>
      <c r="J90" s="5">
        <f>'Suc. Vistas'!G90</f>
        <v>0</v>
      </c>
      <c r="K90" s="5">
        <f>'Suc. Xalisco'!G90</f>
        <v>0</v>
      </c>
      <c r="L90" s="5">
        <f t="shared" si="49"/>
        <v>0</v>
      </c>
      <c r="M90" s="5">
        <f>'GRAL. SUC. FORANEAS'!P90</f>
        <v>0</v>
      </c>
      <c r="N90" s="5">
        <f t="shared" si="50"/>
        <v>0</v>
      </c>
      <c r="O90" s="5"/>
      <c r="P90" s="5">
        <f t="shared" si="51"/>
        <v>0</v>
      </c>
      <c r="R90" s="200" t="s">
        <v>203</v>
      </c>
      <c r="S90" s="198">
        <v>0</v>
      </c>
    </row>
    <row r="91" spans="1:19" ht="18.600000000000001" thickBot="1" x14ac:dyDescent="0.4">
      <c r="A91" s="105" t="s">
        <v>55</v>
      </c>
      <c r="B91" s="53">
        <f t="shared" ref="B91:P91" si="53">SUM(B81:B90)</f>
        <v>3</v>
      </c>
      <c r="C91" s="53">
        <f t="shared" si="53"/>
        <v>1</v>
      </c>
      <c r="D91" s="53">
        <f t="shared" si="53"/>
        <v>1</v>
      </c>
      <c r="E91" s="53">
        <f t="shared" si="53"/>
        <v>2</v>
      </c>
      <c r="F91" s="53">
        <f t="shared" si="53"/>
        <v>1</v>
      </c>
      <c r="G91" s="53">
        <f t="shared" si="53"/>
        <v>0</v>
      </c>
      <c r="H91" s="53">
        <f t="shared" si="53"/>
        <v>4</v>
      </c>
      <c r="I91" s="53">
        <f t="shared" si="53"/>
        <v>4</v>
      </c>
      <c r="J91" s="53">
        <f t="shared" si="53"/>
        <v>5</v>
      </c>
      <c r="K91" s="53">
        <f t="shared" si="53"/>
        <v>0</v>
      </c>
      <c r="L91" s="53">
        <f t="shared" si="53"/>
        <v>21</v>
      </c>
      <c r="M91" s="53">
        <f t="shared" si="53"/>
        <v>46</v>
      </c>
      <c r="N91" s="53">
        <f t="shared" si="53"/>
        <v>25</v>
      </c>
      <c r="O91" s="53">
        <f t="shared" si="53"/>
        <v>0</v>
      </c>
      <c r="P91" s="53">
        <f t="shared" si="53"/>
        <v>25</v>
      </c>
      <c r="R91" s="200" t="s">
        <v>204</v>
      </c>
      <c r="S91" s="198">
        <v>0</v>
      </c>
    </row>
    <row r="92" spans="1:19" ht="17.399999999999999" x14ac:dyDescent="0.35">
      <c r="A92" s="106" t="s">
        <v>64</v>
      </c>
      <c r="B92" s="30"/>
      <c r="C92" s="30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R92" s="200" t="s">
        <v>205</v>
      </c>
      <c r="S92" s="198">
        <v>0</v>
      </c>
    </row>
    <row r="93" spans="1:19" ht="17.399999999999999" x14ac:dyDescent="0.35">
      <c r="A93" s="94" t="s">
        <v>65</v>
      </c>
      <c r="B93" s="4">
        <f>'Suc. Amado Nervo'!G93</f>
        <v>0</v>
      </c>
      <c r="C93" s="4">
        <f>'Suc. León'!G93</f>
        <v>0</v>
      </c>
      <c r="D93" s="5">
        <f>'San Cayetano'!G93</f>
        <v>0</v>
      </c>
      <c r="E93" s="5">
        <f>'Suc. Boulevard'!G93</f>
        <v>1</v>
      </c>
      <c r="F93" s="5">
        <f>'Suc. Dos de Agosto'!G93</f>
        <v>0</v>
      </c>
      <c r="G93" s="5">
        <f>'Suc. La Nueva Canasta'!G93</f>
        <v>0</v>
      </c>
      <c r="H93" s="5">
        <f>'Suc. Mololoa'!G93</f>
        <v>0</v>
      </c>
      <c r="I93" s="5">
        <f>'Suc. Plaza'!G93</f>
        <v>1</v>
      </c>
      <c r="J93" s="5">
        <f>'Suc. Vistas'!G93</f>
        <v>0</v>
      </c>
      <c r="K93" s="5">
        <f>'Suc. Xalisco'!G93</f>
        <v>0</v>
      </c>
      <c r="L93" s="5">
        <f t="shared" ref="L93:L104" si="54">SUM(B93:K93)</f>
        <v>2</v>
      </c>
      <c r="M93" s="5">
        <f>'GRAL. SUC. FORANEAS'!P93</f>
        <v>13</v>
      </c>
      <c r="N93" s="5">
        <f t="shared" ref="N93:N104" si="55">M93-L93</f>
        <v>11</v>
      </c>
      <c r="O93" s="5"/>
      <c r="P93" s="5">
        <f t="shared" ref="P93:P104" si="56">N93+O93</f>
        <v>11</v>
      </c>
      <c r="R93" s="200" t="s">
        <v>206</v>
      </c>
      <c r="S93" s="198">
        <v>0</v>
      </c>
    </row>
    <row r="94" spans="1:19" ht="17.399999999999999" x14ac:dyDescent="0.35">
      <c r="A94" s="94" t="s">
        <v>66</v>
      </c>
      <c r="B94" s="4">
        <f>'Suc. Amado Nervo'!G94</f>
        <v>0</v>
      </c>
      <c r="C94" s="4">
        <f>'Suc. León'!G94</f>
        <v>0</v>
      </c>
      <c r="D94" s="5">
        <f>'San Cayetano'!G94</f>
        <v>0</v>
      </c>
      <c r="E94" s="5">
        <f>'Suc. Boulevard'!G94</f>
        <v>0</v>
      </c>
      <c r="F94" s="5">
        <f>'Suc. Dos de Agosto'!G94</f>
        <v>0</v>
      </c>
      <c r="G94" s="5">
        <f>'Suc. La Nueva Canasta'!G94</f>
        <v>0</v>
      </c>
      <c r="H94" s="5">
        <f>'Suc. Mololoa'!G94</f>
        <v>0</v>
      </c>
      <c r="I94" s="5">
        <f>'Suc. Plaza'!G94</f>
        <v>0</v>
      </c>
      <c r="J94" s="5">
        <f>'Suc. Vistas'!G94</f>
        <v>0</v>
      </c>
      <c r="K94" s="5">
        <f>'Suc. Xalisco'!G94</f>
        <v>1</v>
      </c>
      <c r="L94" s="5">
        <f t="shared" ref="L94:L103" si="57">SUM(B94:K94)</f>
        <v>1</v>
      </c>
      <c r="M94" s="5">
        <f>'GRAL. SUC. FORANEAS'!P94</f>
        <v>14</v>
      </c>
      <c r="N94" s="5">
        <f t="shared" si="55"/>
        <v>13</v>
      </c>
      <c r="O94" s="5"/>
      <c r="P94" s="5">
        <f t="shared" si="56"/>
        <v>13</v>
      </c>
      <c r="R94" s="200" t="s">
        <v>210</v>
      </c>
      <c r="S94" s="198">
        <v>0</v>
      </c>
    </row>
    <row r="95" spans="1:19" ht="17.399999999999999" x14ac:dyDescent="0.35">
      <c r="A95" s="94" t="s">
        <v>68</v>
      </c>
      <c r="B95" s="4">
        <f>'Suc. Amado Nervo'!G95</f>
        <v>1</v>
      </c>
      <c r="C95" s="4">
        <f>'Suc. León'!G95</f>
        <v>0</v>
      </c>
      <c r="D95" s="5">
        <f>'San Cayetano'!G95</f>
        <v>0</v>
      </c>
      <c r="E95" s="5">
        <f>'Suc. Boulevard'!G95</f>
        <v>1</v>
      </c>
      <c r="F95" s="5">
        <f>'Suc. Dos de Agosto'!G95</f>
        <v>0</v>
      </c>
      <c r="G95" s="5">
        <f>'Suc. La Nueva Canasta'!G95</f>
        <v>0</v>
      </c>
      <c r="H95" s="5">
        <f>'Suc. Mololoa'!G95</f>
        <v>1</v>
      </c>
      <c r="I95" s="5">
        <f>'Suc. Plaza'!G95</f>
        <v>0</v>
      </c>
      <c r="J95" s="5">
        <f>'Suc. Vistas'!G95</f>
        <v>0</v>
      </c>
      <c r="K95" s="5">
        <f>'Suc. Xalisco'!G95</f>
        <v>2</v>
      </c>
      <c r="L95" s="5">
        <f t="shared" si="57"/>
        <v>5</v>
      </c>
      <c r="M95" s="5">
        <f>'GRAL. SUC. FORANEAS'!P95</f>
        <v>15</v>
      </c>
      <c r="N95" s="5">
        <f t="shared" si="55"/>
        <v>10</v>
      </c>
      <c r="O95" s="5"/>
      <c r="P95" s="5">
        <f t="shared" si="56"/>
        <v>10</v>
      </c>
      <c r="R95" s="200" t="s">
        <v>211</v>
      </c>
      <c r="S95" s="198">
        <v>0</v>
      </c>
    </row>
    <row r="96" spans="1:19" ht="17.399999999999999" x14ac:dyDescent="0.35">
      <c r="A96" s="94" t="s">
        <v>69</v>
      </c>
      <c r="B96" s="4">
        <f>'Suc. Amado Nervo'!G96</f>
        <v>0</v>
      </c>
      <c r="C96" s="4">
        <f>'Suc. León'!G96</f>
        <v>0</v>
      </c>
      <c r="D96" s="5">
        <f>'San Cayetano'!G96</f>
        <v>0</v>
      </c>
      <c r="E96" s="5">
        <f>'Suc. Boulevard'!G96</f>
        <v>0</v>
      </c>
      <c r="F96" s="5">
        <f>'Suc. Dos de Agosto'!G96</f>
        <v>4</v>
      </c>
      <c r="G96" s="5">
        <f>'Suc. La Nueva Canasta'!G96</f>
        <v>0</v>
      </c>
      <c r="H96" s="5">
        <f>'Suc. Mololoa'!G96</f>
        <v>0</v>
      </c>
      <c r="I96" s="5">
        <f>'Suc. Plaza'!G96</f>
        <v>3</v>
      </c>
      <c r="J96" s="5">
        <f>'Suc. Vistas'!G96</f>
        <v>0</v>
      </c>
      <c r="K96" s="5">
        <f>'Suc. Xalisco'!G96</f>
        <v>1</v>
      </c>
      <c r="L96" s="5">
        <f t="shared" si="57"/>
        <v>8</v>
      </c>
      <c r="M96" s="5">
        <f>'GRAL. SUC. FORANEAS'!P96</f>
        <v>48</v>
      </c>
      <c r="N96" s="5">
        <f t="shared" si="55"/>
        <v>40</v>
      </c>
      <c r="O96" s="5"/>
      <c r="P96" s="5">
        <f t="shared" si="56"/>
        <v>40</v>
      </c>
      <c r="R96" s="200" t="s">
        <v>212</v>
      </c>
      <c r="S96" s="198">
        <v>0</v>
      </c>
    </row>
    <row r="97" spans="1:19" ht="17.399999999999999" x14ac:dyDescent="0.35">
      <c r="A97" s="94" t="s">
        <v>70</v>
      </c>
      <c r="B97" s="4">
        <f>'Suc. Amado Nervo'!G97</f>
        <v>0</v>
      </c>
      <c r="C97" s="4">
        <f>'Suc. León'!G97</f>
        <v>1</v>
      </c>
      <c r="D97" s="5">
        <f>'San Cayetano'!G97</f>
        <v>2</v>
      </c>
      <c r="E97" s="5">
        <f>'Suc. Boulevard'!G97</f>
        <v>0</v>
      </c>
      <c r="F97" s="5">
        <f>'Suc. Dos de Agosto'!G97</f>
        <v>0</v>
      </c>
      <c r="G97" s="5">
        <f>'Suc. La Nueva Canasta'!G97</f>
        <v>0</v>
      </c>
      <c r="H97" s="5">
        <f>'Suc. Mololoa'!G97</f>
        <v>3</v>
      </c>
      <c r="I97" s="5">
        <f>'Suc. Plaza'!G97</f>
        <v>0</v>
      </c>
      <c r="J97" s="5">
        <f>'Suc. Vistas'!G97</f>
        <v>0</v>
      </c>
      <c r="K97" s="5">
        <f>'Suc. Xalisco'!G97</f>
        <v>1</v>
      </c>
      <c r="L97" s="5">
        <f t="shared" si="57"/>
        <v>7</v>
      </c>
      <c r="M97" s="5">
        <f>'GRAL. SUC. FORANEAS'!P97</f>
        <v>26</v>
      </c>
      <c r="N97" s="5">
        <f t="shared" si="55"/>
        <v>19</v>
      </c>
      <c r="O97" s="5"/>
      <c r="P97" s="5">
        <f t="shared" si="56"/>
        <v>19</v>
      </c>
      <c r="R97" s="200" t="s">
        <v>213</v>
      </c>
      <c r="S97" s="198">
        <v>0</v>
      </c>
    </row>
    <row r="98" spans="1:19" ht="17.399999999999999" x14ac:dyDescent="0.35">
      <c r="A98" s="94" t="s">
        <v>857</v>
      </c>
      <c r="B98" s="4">
        <f>'Suc. Amado Nervo'!G98</f>
        <v>0</v>
      </c>
      <c r="C98" s="4">
        <f>'Suc. León'!G98</f>
        <v>0</v>
      </c>
      <c r="D98" s="5">
        <f>'San Cayetano'!G98</f>
        <v>2</v>
      </c>
      <c r="E98" s="5">
        <f>'Suc. Boulevard'!G98</f>
        <v>3</v>
      </c>
      <c r="F98" s="5">
        <f>'Suc. Dos de Agosto'!G98</f>
        <v>0</v>
      </c>
      <c r="G98" s="5">
        <f>'Suc. La Nueva Canasta'!G98</f>
        <v>0</v>
      </c>
      <c r="H98" s="5">
        <f>'Suc. Mololoa'!G98</f>
        <v>0</v>
      </c>
      <c r="I98" s="5">
        <f>'Suc. Plaza'!G98</f>
        <v>0</v>
      </c>
      <c r="J98" s="5">
        <f>'Suc. Vistas'!G98</f>
        <v>1</v>
      </c>
      <c r="K98" s="5">
        <f>'Suc. Xalisco'!G98</f>
        <v>0</v>
      </c>
      <c r="L98" s="5">
        <f t="shared" si="57"/>
        <v>6</v>
      </c>
      <c r="M98" s="5">
        <f>'GRAL. SUC. FORANEAS'!P98</f>
        <v>20</v>
      </c>
      <c r="N98" s="5">
        <f t="shared" si="55"/>
        <v>14</v>
      </c>
      <c r="O98" s="5"/>
      <c r="P98" s="5">
        <f t="shared" si="56"/>
        <v>14</v>
      </c>
      <c r="R98" s="200" t="s">
        <v>989</v>
      </c>
      <c r="S98" s="198">
        <v>0</v>
      </c>
    </row>
    <row r="99" spans="1:19" ht="17.399999999999999" x14ac:dyDescent="0.35">
      <c r="A99" s="94" t="s">
        <v>835</v>
      </c>
      <c r="B99" s="4">
        <f>'Suc. Amado Nervo'!G99</f>
        <v>0</v>
      </c>
      <c r="C99" s="4">
        <f>'Suc. León'!G99</f>
        <v>0</v>
      </c>
      <c r="D99" s="5">
        <f>'San Cayetano'!G99</f>
        <v>0</v>
      </c>
      <c r="E99" s="5">
        <f>'Suc. Boulevard'!G99</f>
        <v>0</v>
      </c>
      <c r="F99" s="5">
        <f>'Suc. Dos de Agosto'!G99</f>
        <v>1</v>
      </c>
      <c r="G99" s="5">
        <f>'Suc. La Nueva Canasta'!G99</f>
        <v>0</v>
      </c>
      <c r="H99" s="5">
        <f>'Suc. Mololoa'!G99</f>
        <v>1</v>
      </c>
      <c r="I99" s="5">
        <f>'Suc. Plaza'!G99</f>
        <v>1</v>
      </c>
      <c r="J99" s="5">
        <f>'Suc. Vistas'!G99</f>
        <v>0</v>
      </c>
      <c r="K99" s="5">
        <f>'Suc. Xalisco'!G99</f>
        <v>0</v>
      </c>
      <c r="L99" s="5">
        <f t="shared" si="57"/>
        <v>3</v>
      </c>
      <c r="M99" s="5">
        <f>'GRAL. SUC. FORANEAS'!P99</f>
        <v>18</v>
      </c>
      <c r="N99" s="5">
        <f t="shared" si="55"/>
        <v>15</v>
      </c>
      <c r="O99" s="5"/>
      <c r="P99" s="5">
        <f t="shared" si="56"/>
        <v>15</v>
      </c>
      <c r="R99" s="200" t="s">
        <v>230</v>
      </c>
      <c r="S99" s="198">
        <v>0</v>
      </c>
    </row>
    <row r="100" spans="1:19" ht="17.399999999999999" x14ac:dyDescent="0.35">
      <c r="A100" s="94" t="s">
        <v>72</v>
      </c>
      <c r="B100" s="4">
        <f>'Suc. Amado Nervo'!G100</f>
        <v>0</v>
      </c>
      <c r="C100" s="4">
        <f>'Suc. León'!G100</f>
        <v>2</v>
      </c>
      <c r="D100" s="5">
        <f>'San Cayetano'!G100</f>
        <v>7</v>
      </c>
      <c r="E100" s="5">
        <f>'Suc. Boulevard'!G100</f>
        <v>9</v>
      </c>
      <c r="F100" s="5">
        <f>'Suc. Dos de Agosto'!G100</f>
        <v>11</v>
      </c>
      <c r="G100" s="5">
        <f>'Suc. La Nueva Canasta'!G100</f>
        <v>0</v>
      </c>
      <c r="H100" s="5">
        <f>'Suc. Mololoa'!G100</f>
        <v>22</v>
      </c>
      <c r="I100" s="5">
        <f>'Suc. Plaza'!G100</f>
        <v>18</v>
      </c>
      <c r="J100" s="5">
        <f>'Suc. Vistas'!G100</f>
        <v>23</v>
      </c>
      <c r="K100" s="5">
        <f>'Suc. Xalisco'!G100</f>
        <v>14</v>
      </c>
      <c r="L100" s="5">
        <f t="shared" si="57"/>
        <v>106</v>
      </c>
      <c r="M100" s="5">
        <f>'GRAL. SUC. FORANEAS'!P100</f>
        <v>268</v>
      </c>
      <c r="N100" s="5">
        <f t="shared" si="55"/>
        <v>162</v>
      </c>
      <c r="O100" s="5"/>
      <c r="P100" s="5">
        <f t="shared" si="56"/>
        <v>162</v>
      </c>
      <c r="R100" s="200" t="s">
        <v>1118</v>
      </c>
      <c r="S100" s="198">
        <v>3</v>
      </c>
    </row>
    <row r="101" spans="1:19" ht="17.399999999999999" x14ac:dyDescent="0.35">
      <c r="A101" s="94" t="s">
        <v>73</v>
      </c>
      <c r="B101" s="4">
        <f>'Suc. Amado Nervo'!G101</f>
        <v>0</v>
      </c>
      <c r="C101" s="4">
        <f>'Suc. León'!G101</f>
        <v>0</v>
      </c>
      <c r="D101" s="5">
        <f>'San Cayetano'!G101</f>
        <v>0</v>
      </c>
      <c r="E101" s="5">
        <f>'Suc. Boulevard'!G101</f>
        <v>0</v>
      </c>
      <c r="F101" s="5">
        <f>'Suc. Dos de Agosto'!G101</f>
        <v>1</v>
      </c>
      <c r="G101" s="5">
        <f>'Suc. La Nueva Canasta'!G101</f>
        <v>0</v>
      </c>
      <c r="H101" s="5">
        <f>'Suc. Mololoa'!G101</f>
        <v>1</v>
      </c>
      <c r="I101" s="5">
        <f>'Suc. Plaza'!G101</f>
        <v>0</v>
      </c>
      <c r="J101" s="5">
        <f>'Suc. Vistas'!G101</f>
        <v>1</v>
      </c>
      <c r="K101" s="5">
        <f>'Suc. Xalisco'!G101</f>
        <v>1</v>
      </c>
      <c r="L101" s="5">
        <f t="shared" si="57"/>
        <v>4</v>
      </c>
      <c r="M101" s="5">
        <f>'GRAL. SUC. FORANEAS'!P101</f>
        <v>17</v>
      </c>
      <c r="N101" s="5">
        <f t="shared" si="55"/>
        <v>13</v>
      </c>
      <c r="O101" s="5"/>
      <c r="P101" s="5">
        <f t="shared" si="56"/>
        <v>13</v>
      </c>
      <c r="R101" s="200" t="s">
        <v>1119</v>
      </c>
      <c r="S101" s="198">
        <v>2</v>
      </c>
    </row>
    <row r="102" spans="1:19" ht="17.399999999999999" x14ac:dyDescent="0.35">
      <c r="A102" s="94" t="s">
        <v>74</v>
      </c>
      <c r="B102" s="4">
        <f>'Suc. Amado Nervo'!G102</f>
        <v>1</v>
      </c>
      <c r="C102" s="4">
        <f>'Suc. León'!G102</f>
        <v>0</v>
      </c>
      <c r="D102" s="5">
        <f>'San Cayetano'!G102</f>
        <v>1</v>
      </c>
      <c r="E102" s="5">
        <f>'Suc. Boulevard'!G102</f>
        <v>0</v>
      </c>
      <c r="F102" s="5">
        <f>'Suc. Dos de Agosto'!G102</f>
        <v>2</v>
      </c>
      <c r="G102" s="5">
        <f>'Suc. La Nueva Canasta'!G102</f>
        <v>0</v>
      </c>
      <c r="H102" s="5">
        <f>'Suc. Mololoa'!G102</f>
        <v>0</v>
      </c>
      <c r="I102" s="5">
        <f>'Suc. Plaza'!G102</f>
        <v>1</v>
      </c>
      <c r="J102" s="5">
        <f>'Suc. Vistas'!G102</f>
        <v>1</v>
      </c>
      <c r="K102" s="5">
        <f>'Suc. Xalisco'!G102</f>
        <v>0</v>
      </c>
      <c r="L102" s="5">
        <f t="shared" si="57"/>
        <v>6</v>
      </c>
      <c r="M102" s="5">
        <f>'GRAL. SUC. FORANEAS'!P102</f>
        <v>16</v>
      </c>
      <c r="N102" s="5">
        <f t="shared" si="55"/>
        <v>10</v>
      </c>
      <c r="O102" s="5"/>
      <c r="P102" s="5">
        <f t="shared" si="56"/>
        <v>10</v>
      </c>
      <c r="R102" s="200" t="s">
        <v>233</v>
      </c>
      <c r="S102" s="198">
        <v>0</v>
      </c>
    </row>
    <row r="103" spans="1:19" ht="17.399999999999999" x14ac:dyDescent="0.35">
      <c r="A103" s="94" t="s">
        <v>75</v>
      </c>
      <c r="B103" s="4">
        <f>'Suc. Amado Nervo'!G103</f>
        <v>0</v>
      </c>
      <c r="C103" s="4">
        <f>'Suc. León'!G103</f>
        <v>1</v>
      </c>
      <c r="D103" s="5">
        <f>'San Cayetano'!G103</f>
        <v>1</v>
      </c>
      <c r="E103" s="5">
        <f>'Suc. Boulevard'!G103</f>
        <v>0</v>
      </c>
      <c r="F103" s="5">
        <f>'Suc. Dos de Agosto'!G103</f>
        <v>0</v>
      </c>
      <c r="G103" s="5">
        <f>'Suc. La Nueva Canasta'!G103</f>
        <v>0</v>
      </c>
      <c r="H103" s="5">
        <f>'Suc. Mololoa'!G103</f>
        <v>0</v>
      </c>
      <c r="I103" s="5">
        <f>'Suc. Plaza'!G103</f>
        <v>2</v>
      </c>
      <c r="J103" s="5">
        <f>'Suc. Vistas'!G103</f>
        <v>1</v>
      </c>
      <c r="K103" s="5">
        <f>'Suc. Xalisco'!G103</f>
        <v>1</v>
      </c>
      <c r="L103" s="5">
        <f t="shared" si="57"/>
        <v>6</v>
      </c>
      <c r="M103" s="5">
        <f>'GRAL. SUC. FORANEAS'!P103</f>
        <v>14</v>
      </c>
      <c r="N103" s="5">
        <f t="shared" si="55"/>
        <v>8</v>
      </c>
      <c r="O103" s="5"/>
      <c r="P103" s="5">
        <f t="shared" si="56"/>
        <v>8</v>
      </c>
      <c r="R103" s="200" t="s">
        <v>234</v>
      </c>
      <c r="S103" s="198">
        <v>0</v>
      </c>
    </row>
    <row r="104" spans="1:19" ht="18" customHeight="1" thickBot="1" x14ac:dyDescent="0.4">
      <c r="A104" s="94"/>
      <c r="B104" s="4">
        <f>'Suc. Amado Nervo'!G104</f>
        <v>0</v>
      </c>
      <c r="C104" s="4">
        <f>'Suc. León'!G104</f>
        <v>0</v>
      </c>
      <c r="D104" s="5">
        <f>'San Cayetano'!G104</f>
        <v>0</v>
      </c>
      <c r="E104" s="5">
        <f>'Suc. Boulevard'!G104</f>
        <v>0</v>
      </c>
      <c r="F104" s="5">
        <f>'Suc. Dos de Agosto'!G104</f>
        <v>0</v>
      </c>
      <c r="G104" s="5">
        <f>'Suc. La Nueva Canasta'!G104</f>
        <v>0</v>
      </c>
      <c r="H104" s="5">
        <f>'Suc. Mololoa'!G104</f>
        <v>0</v>
      </c>
      <c r="I104" s="5">
        <f>'Suc. Plaza'!G104</f>
        <v>0</v>
      </c>
      <c r="J104" s="5">
        <f>'Suc. Vistas'!G104</f>
        <v>0</v>
      </c>
      <c r="K104" s="5">
        <f>'Suc. Xalisco'!G104</f>
        <v>0</v>
      </c>
      <c r="L104" s="5">
        <f t="shared" si="54"/>
        <v>0</v>
      </c>
      <c r="M104" s="5">
        <f>'GRAL. SUC. FORANEAS'!P104</f>
        <v>0</v>
      </c>
      <c r="N104" s="5">
        <f t="shared" si="55"/>
        <v>0</v>
      </c>
      <c r="O104" s="5"/>
      <c r="P104" s="5">
        <f t="shared" si="56"/>
        <v>0</v>
      </c>
      <c r="R104" s="200" t="s">
        <v>235</v>
      </c>
      <c r="S104" s="198">
        <v>0</v>
      </c>
    </row>
    <row r="105" spans="1:19" ht="18.600000000000001" thickBot="1" x14ac:dyDescent="0.4">
      <c r="A105" s="107" t="s">
        <v>55</v>
      </c>
      <c r="B105" s="55">
        <f t="shared" ref="B105:P105" si="58">SUM(B93:B104)</f>
        <v>2</v>
      </c>
      <c r="C105" s="55">
        <f t="shared" si="58"/>
        <v>4</v>
      </c>
      <c r="D105" s="55">
        <f t="shared" si="58"/>
        <v>13</v>
      </c>
      <c r="E105" s="55">
        <f t="shared" si="58"/>
        <v>14</v>
      </c>
      <c r="F105" s="55">
        <f t="shared" si="58"/>
        <v>19</v>
      </c>
      <c r="G105" s="55">
        <f t="shared" si="58"/>
        <v>0</v>
      </c>
      <c r="H105" s="55">
        <f t="shared" si="58"/>
        <v>28</v>
      </c>
      <c r="I105" s="55">
        <f t="shared" si="58"/>
        <v>26</v>
      </c>
      <c r="J105" s="55">
        <f t="shared" si="58"/>
        <v>27</v>
      </c>
      <c r="K105" s="55">
        <f t="shared" si="58"/>
        <v>21</v>
      </c>
      <c r="L105" s="55">
        <f t="shared" si="58"/>
        <v>154</v>
      </c>
      <c r="M105" s="55">
        <f t="shared" si="58"/>
        <v>469</v>
      </c>
      <c r="N105" s="55">
        <f t="shared" si="58"/>
        <v>315</v>
      </c>
      <c r="O105" s="55">
        <f t="shared" si="58"/>
        <v>0</v>
      </c>
      <c r="P105" s="55">
        <f t="shared" si="58"/>
        <v>315</v>
      </c>
      <c r="R105" s="200" t="s">
        <v>236</v>
      </c>
      <c r="S105" s="198">
        <v>0</v>
      </c>
    </row>
    <row r="106" spans="1:19" ht="17.399999999999999" x14ac:dyDescent="0.35">
      <c r="A106" s="108" t="s">
        <v>76</v>
      </c>
      <c r="B106" s="34"/>
      <c r="C106" s="34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R106" s="200" t="s">
        <v>237</v>
      </c>
      <c r="S106" s="198">
        <v>0</v>
      </c>
    </row>
    <row r="107" spans="1:19" ht="17.399999999999999" x14ac:dyDescent="0.35">
      <c r="A107" s="94" t="s">
        <v>77</v>
      </c>
      <c r="B107" s="4">
        <f>'Suc. Amado Nervo'!G107</f>
        <v>0</v>
      </c>
      <c r="C107" s="4">
        <f>'Suc. León'!G107</f>
        <v>0</v>
      </c>
      <c r="D107" s="5">
        <f>'San Cayetano'!G107</f>
        <v>1</v>
      </c>
      <c r="E107" s="5">
        <f>'Suc. Boulevard'!G107</f>
        <v>0</v>
      </c>
      <c r="F107" s="5">
        <f>'Suc. Dos de Agosto'!G107</f>
        <v>0</v>
      </c>
      <c r="G107" s="5">
        <f>'Suc. La Nueva Canasta'!G107</f>
        <v>0</v>
      </c>
      <c r="H107" s="5">
        <f>'Suc. Mololoa'!G107</f>
        <v>1</v>
      </c>
      <c r="I107" s="5">
        <f>'Suc. Plaza'!G107</f>
        <v>0</v>
      </c>
      <c r="J107" s="5">
        <f>'Suc. Vistas'!G107</f>
        <v>0</v>
      </c>
      <c r="K107" s="5">
        <f>'Suc. Xalisco'!G107</f>
        <v>0</v>
      </c>
      <c r="L107" s="5">
        <f t="shared" ref="L107:L112" si="59">SUM(B107:K107)</f>
        <v>2</v>
      </c>
      <c r="M107" s="5">
        <f>'GRAL. SUC. FORANEAS'!P107</f>
        <v>19</v>
      </c>
      <c r="N107" s="5">
        <f t="shared" ref="N107:N112" si="60">M107-L107</f>
        <v>17</v>
      </c>
      <c r="O107" s="5"/>
      <c r="P107" s="5">
        <f t="shared" ref="P107:P112" si="61">N107+O107</f>
        <v>17</v>
      </c>
      <c r="R107" s="200" t="s">
        <v>238</v>
      </c>
      <c r="S107" s="198">
        <v>0</v>
      </c>
    </row>
    <row r="108" spans="1:19" ht="17.399999999999999" x14ac:dyDescent="0.35">
      <c r="A108" s="94" t="s">
        <v>621</v>
      </c>
      <c r="B108" s="4">
        <f>'Suc. Amado Nervo'!G108</f>
        <v>0</v>
      </c>
      <c r="C108" s="4">
        <f>'Suc. León'!G108</f>
        <v>0</v>
      </c>
      <c r="D108" s="5">
        <f>'San Cayetano'!G108</f>
        <v>0</v>
      </c>
      <c r="E108" s="5">
        <f>'Suc. Boulevard'!G108</f>
        <v>0</v>
      </c>
      <c r="F108" s="5">
        <f>'Suc. Dos de Agosto'!G108</f>
        <v>0</v>
      </c>
      <c r="G108" s="5">
        <f>'Suc. La Nueva Canasta'!G108</f>
        <v>0</v>
      </c>
      <c r="H108" s="5">
        <f>'Suc. Mololoa'!G108</f>
        <v>0</v>
      </c>
      <c r="I108" s="5">
        <f>'Suc. Plaza'!G108</f>
        <v>0</v>
      </c>
      <c r="J108" s="5">
        <f>'Suc. Vistas'!G108</f>
        <v>0</v>
      </c>
      <c r="K108" s="5">
        <f>'Suc. Xalisco'!G108</f>
        <v>0</v>
      </c>
      <c r="L108" s="5">
        <f t="shared" ref="L108:L111" si="62">SUM(B108:K108)</f>
        <v>0</v>
      </c>
      <c r="M108" s="5">
        <f>'GRAL. SUC. FORANEAS'!P108</f>
        <v>0</v>
      </c>
      <c r="N108" s="5">
        <f t="shared" si="60"/>
        <v>0</v>
      </c>
      <c r="O108" s="5"/>
      <c r="P108" s="5">
        <f t="shared" si="61"/>
        <v>0</v>
      </c>
      <c r="R108" s="200" t="s">
        <v>239</v>
      </c>
      <c r="S108" s="198">
        <v>0</v>
      </c>
    </row>
    <row r="109" spans="1:19" ht="17.399999999999999" x14ac:dyDescent="0.35">
      <c r="A109" s="94" t="s">
        <v>80</v>
      </c>
      <c r="B109" s="4">
        <f>'Suc. Amado Nervo'!G109</f>
        <v>0</v>
      </c>
      <c r="C109" s="4">
        <f>'Suc. León'!G109</f>
        <v>2</v>
      </c>
      <c r="D109" s="5">
        <f>'San Cayetano'!G109</f>
        <v>0</v>
      </c>
      <c r="E109" s="5">
        <f>'Suc. Boulevard'!G109</f>
        <v>1</v>
      </c>
      <c r="F109" s="5">
        <f>'Suc. Dos de Agosto'!G109</f>
        <v>0</v>
      </c>
      <c r="G109" s="5">
        <f>'Suc. La Nueva Canasta'!G109</f>
        <v>0</v>
      </c>
      <c r="H109" s="5">
        <f>'Suc. Mololoa'!G109</f>
        <v>0</v>
      </c>
      <c r="I109" s="5">
        <f>'Suc. Plaza'!G109</f>
        <v>2</v>
      </c>
      <c r="J109" s="5">
        <f>'Suc. Vistas'!G109</f>
        <v>0</v>
      </c>
      <c r="K109" s="5">
        <f>'Suc. Xalisco'!G109</f>
        <v>0</v>
      </c>
      <c r="L109" s="5">
        <f t="shared" si="62"/>
        <v>5</v>
      </c>
      <c r="M109" s="5">
        <f>'GRAL. SUC. FORANEAS'!P109</f>
        <v>15</v>
      </c>
      <c r="N109" s="5">
        <f t="shared" si="60"/>
        <v>10</v>
      </c>
      <c r="O109" s="5"/>
      <c r="P109" s="5">
        <f t="shared" si="61"/>
        <v>10</v>
      </c>
      <c r="R109" s="200" t="s">
        <v>240</v>
      </c>
      <c r="S109" s="198">
        <v>0</v>
      </c>
    </row>
    <row r="110" spans="1:19" ht="17.399999999999999" x14ac:dyDescent="0.35">
      <c r="A110" s="94" t="s">
        <v>81</v>
      </c>
      <c r="B110" s="4">
        <f>'Suc. Amado Nervo'!G110</f>
        <v>0</v>
      </c>
      <c r="C110" s="4">
        <f>'Suc. León'!G110</f>
        <v>0</v>
      </c>
      <c r="D110" s="5">
        <f>'San Cayetano'!G110</f>
        <v>0</v>
      </c>
      <c r="E110" s="5">
        <f>'Suc. Boulevard'!G110</f>
        <v>1</v>
      </c>
      <c r="F110" s="5">
        <f>'Suc. Dos de Agosto'!G110</f>
        <v>0</v>
      </c>
      <c r="G110" s="5">
        <f>'Suc. La Nueva Canasta'!G110</f>
        <v>0</v>
      </c>
      <c r="H110" s="5">
        <f>'Suc. Mololoa'!G110</f>
        <v>0</v>
      </c>
      <c r="I110" s="5">
        <f>'Suc. Plaza'!G110</f>
        <v>0</v>
      </c>
      <c r="J110" s="5">
        <f>'Suc. Vistas'!G110</f>
        <v>0</v>
      </c>
      <c r="K110" s="5">
        <f>'Suc. Xalisco'!G110</f>
        <v>0</v>
      </c>
      <c r="L110" s="5">
        <f t="shared" si="62"/>
        <v>1</v>
      </c>
      <c r="M110" s="5">
        <f>'GRAL. SUC. FORANEAS'!P110</f>
        <v>11</v>
      </c>
      <c r="N110" s="5">
        <f t="shared" si="60"/>
        <v>10</v>
      </c>
      <c r="O110" s="5"/>
      <c r="P110" s="5">
        <f t="shared" si="61"/>
        <v>10</v>
      </c>
      <c r="R110" s="200" t="s">
        <v>242</v>
      </c>
      <c r="S110" s="198">
        <v>0</v>
      </c>
    </row>
    <row r="111" spans="1:19" ht="17.399999999999999" x14ac:dyDescent="0.35">
      <c r="A111" s="95" t="s">
        <v>83</v>
      </c>
      <c r="B111" s="4">
        <f>'Suc. Amado Nervo'!G111</f>
        <v>0</v>
      </c>
      <c r="C111" s="4">
        <f>'Suc. León'!G111</f>
        <v>0</v>
      </c>
      <c r="D111" s="5">
        <f>'San Cayetano'!G111</f>
        <v>2</v>
      </c>
      <c r="E111" s="5">
        <f>'Suc. Boulevard'!G111</f>
        <v>0</v>
      </c>
      <c r="F111" s="5">
        <f>'Suc. Dos de Agosto'!G111</f>
        <v>0</v>
      </c>
      <c r="G111" s="5">
        <f>'Suc. La Nueva Canasta'!G111</f>
        <v>0</v>
      </c>
      <c r="H111" s="5">
        <f>'Suc. Mololoa'!G111</f>
        <v>0</v>
      </c>
      <c r="I111" s="5">
        <f>'Suc. Plaza'!G111</f>
        <v>0</v>
      </c>
      <c r="J111" s="5">
        <f>'Suc. Vistas'!G111</f>
        <v>1</v>
      </c>
      <c r="K111" s="5">
        <f>'Suc. Xalisco'!G111</f>
        <v>0</v>
      </c>
      <c r="L111" s="5">
        <f t="shared" si="62"/>
        <v>3</v>
      </c>
      <c r="M111" s="5">
        <f>'GRAL. SUC. FORANEAS'!P111</f>
        <v>14</v>
      </c>
      <c r="N111" s="5">
        <f t="shared" si="60"/>
        <v>11</v>
      </c>
      <c r="O111" s="5"/>
      <c r="P111" s="5">
        <f t="shared" si="61"/>
        <v>11</v>
      </c>
      <c r="R111" s="200" t="s">
        <v>243</v>
      </c>
      <c r="S111" s="198">
        <v>0</v>
      </c>
    </row>
    <row r="112" spans="1:19" ht="18" thickBot="1" x14ac:dyDescent="0.4">
      <c r="A112" s="95"/>
      <c r="B112" s="4">
        <f>'Suc. Amado Nervo'!G112</f>
        <v>0</v>
      </c>
      <c r="C112" s="4">
        <f>'Suc. León'!G112</f>
        <v>0</v>
      </c>
      <c r="D112" s="5">
        <f>'San Cayetano'!G112</f>
        <v>0</v>
      </c>
      <c r="E112" s="5">
        <f>'Suc. Boulevard'!G112</f>
        <v>0</v>
      </c>
      <c r="F112" s="5">
        <f>'Suc. Dos de Agosto'!G112</f>
        <v>0</v>
      </c>
      <c r="G112" s="5">
        <f>'Suc. La Nueva Canasta'!G112</f>
        <v>0</v>
      </c>
      <c r="H112" s="5">
        <f>'Suc. Mololoa'!G112</f>
        <v>0</v>
      </c>
      <c r="I112" s="5">
        <f>'Suc. Plaza'!G112</f>
        <v>0</v>
      </c>
      <c r="J112" s="5">
        <f>'Suc. Vistas'!G112</f>
        <v>0</v>
      </c>
      <c r="K112" s="5">
        <f>'Suc. Xalisco'!G112</f>
        <v>0</v>
      </c>
      <c r="L112" s="5">
        <f t="shared" si="59"/>
        <v>0</v>
      </c>
      <c r="M112" s="5">
        <f>'GRAL. SUC. FORANEAS'!P112</f>
        <v>0</v>
      </c>
      <c r="N112" s="5">
        <f t="shared" si="60"/>
        <v>0</v>
      </c>
      <c r="O112" s="5"/>
      <c r="P112" s="5">
        <f t="shared" si="61"/>
        <v>0</v>
      </c>
      <c r="R112" s="200" t="s">
        <v>244</v>
      </c>
      <c r="S112" s="198">
        <v>0</v>
      </c>
    </row>
    <row r="113" spans="1:19" ht="18" thickBot="1" x14ac:dyDescent="0.4">
      <c r="A113" s="109" t="s">
        <v>55</v>
      </c>
      <c r="B113" s="57">
        <f t="shared" ref="B113:P113" si="63">SUM(B107:B112,B114:B116)</f>
        <v>0</v>
      </c>
      <c r="C113" s="57">
        <f t="shared" si="63"/>
        <v>2</v>
      </c>
      <c r="D113" s="57">
        <f t="shared" si="63"/>
        <v>8</v>
      </c>
      <c r="E113" s="57">
        <f t="shared" si="63"/>
        <v>4</v>
      </c>
      <c r="F113" s="57">
        <f t="shared" si="63"/>
        <v>4</v>
      </c>
      <c r="G113" s="57">
        <f t="shared" si="63"/>
        <v>0</v>
      </c>
      <c r="H113" s="57">
        <f t="shared" si="63"/>
        <v>2</v>
      </c>
      <c r="I113" s="57">
        <f t="shared" si="63"/>
        <v>6</v>
      </c>
      <c r="J113" s="57">
        <f t="shared" si="63"/>
        <v>2</v>
      </c>
      <c r="K113" s="57">
        <f t="shared" si="63"/>
        <v>1</v>
      </c>
      <c r="L113" s="57">
        <f t="shared" si="63"/>
        <v>29</v>
      </c>
      <c r="M113" s="57">
        <f t="shared" si="63"/>
        <v>89</v>
      </c>
      <c r="N113" s="57">
        <f t="shared" si="63"/>
        <v>60</v>
      </c>
      <c r="O113" s="57">
        <f t="shared" si="63"/>
        <v>0</v>
      </c>
      <c r="P113" s="57">
        <f t="shared" si="63"/>
        <v>60</v>
      </c>
      <c r="R113" s="200" t="s">
        <v>245</v>
      </c>
      <c r="S113" s="198">
        <v>0</v>
      </c>
    </row>
    <row r="114" spans="1:19" ht="17.399999999999999" x14ac:dyDescent="0.35">
      <c r="A114" s="93" t="s">
        <v>84</v>
      </c>
      <c r="B114" s="4">
        <f>'Suc. Amado Nervo'!G114</f>
        <v>0</v>
      </c>
      <c r="C114" s="4">
        <f>'Suc. León'!G114</f>
        <v>0</v>
      </c>
      <c r="D114" s="5">
        <f>'San Cayetano'!G114</f>
        <v>2</v>
      </c>
      <c r="E114" s="5">
        <f>'Suc. Boulevard'!G114</f>
        <v>0</v>
      </c>
      <c r="F114" s="5">
        <f>'Suc. Dos de Agosto'!G114</f>
        <v>1</v>
      </c>
      <c r="G114" s="5">
        <f>'Suc. La Nueva Canasta'!G114</f>
        <v>0</v>
      </c>
      <c r="H114" s="5">
        <f>'Suc. Mololoa'!G114</f>
        <v>0</v>
      </c>
      <c r="I114" s="5">
        <f>'Suc. Plaza'!G114</f>
        <v>0</v>
      </c>
      <c r="J114" s="5">
        <f>'Suc. Vistas'!G114</f>
        <v>1</v>
      </c>
      <c r="K114" s="5">
        <f>'Suc. Xalisco'!G114</f>
        <v>1</v>
      </c>
      <c r="L114" s="5">
        <f t="shared" ref="L114" si="64">SUM(B114:K114)</f>
        <v>5</v>
      </c>
      <c r="M114" s="5">
        <f>'GRAL. SUC. FORANEAS'!P114</f>
        <v>7</v>
      </c>
      <c r="N114" s="5">
        <f t="shared" ref="N114:N116" si="65">M114-L114</f>
        <v>2</v>
      </c>
      <c r="O114" s="5"/>
      <c r="P114" s="5">
        <f t="shared" ref="P114:P116" si="66">N114+O114</f>
        <v>2</v>
      </c>
      <c r="R114" s="200" t="s">
        <v>246</v>
      </c>
      <c r="S114" s="198">
        <v>0</v>
      </c>
    </row>
    <row r="115" spans="1:19" ht="17.399999999999999" x14ac:dyDescent="0.35">
      <c r="A115" s="95" t="s">
        <v>85</v>
      </c>
      <c r="B115" s="4">
        <f>'Suc. Amado Nervo'!G115</f>
        <v>0</v>
      </c>
      <c r="C115" s="4">
        <f>'Suc. León'!G115</f>
        <v>0</v>
      </c>
      <c r="D115" s="5">
        <f>'San Cayetano'!G115</f>
        <v>1</v>
      </c>
      <c r="E115" s="5">
        <f>'Suc. Boulevard'!G115</f>
        <v>1</v>
      </c>
      <c r="F115" s="5">
        <f>'Suc. Dos de Agosto'!G115</f>
        <v>1</v>
      </c>
      <c r="G115" s="5">
        <f>'Suc. La Nueva Canasta'!G115</f>
        <v>0</v>
      </c>
      <c r="H115" s="5">
        <f>'Suc. Mololoa'!G115</f>
        <v>1</v>
      </c>
      <c r="I115" s="5">
        <f>'Suc. Plaza'!G115</f>
        <v>1</v>
      </c>
      <c r="J115" s="5">
        <f>'Suc. Vistas'!G115</f>
        <v>0</v>
      </c>
      <c r="K115" s="5">
        <f>'Suc. Xalisco'!G115</f>
        <v>0</v>
      </c>
      <c r="L115" s="5">
        <f t="shared" ref="L115:L116" si="67">SUM(B115:K115)</f>
        <v>5</v>
      </c>
      <c r="M115" s="5">
        <f>'GRAL. SUC. FORANEAS'!P115</f>
        <v>15</v>
      </c>
      <c r="N115" s="5">
        <f t="shared" si="65"/>
        <v>10</v>
      </c>
      <c r="O115" s="5"/>
      <c r="P115" s="5">
        <f t="shared" si="66"/>
        <v>10</v>
      </c>
      <c r="R115" s="200" t="s">
        <v>247</v>
      </c>
      <c r="S115" s="198">
        <v>0</v>
      </c>
    </row>
    <row r="116" spans="1:19" ht="18" thickBot="1" x14ac:dyDescent="0.4">
      <c r="A116" s="95" t="s">
        <v>881</v>
      </c>
      <c r="B116" s="4">
        <f>'Suc. Amado Nervo'!G116</f>
        <v>0</v>
      </c>
      <c r="C116" s="4">
        <f>'Suc. León'!G116</f>
        <v>0</v>
      </c>
      <c r="D116" s="5">
        <f>'San Cayetano'!G116</f>
        <v>2</v>
      </c>
      <c r="E116" s="5">
        <f>'Suc. Boulevard'!G116</f>
        <v>1</v>
      </c>
      <c r="F116" s="5">
        <f>'Suc. Dos de Agosto'!G116</f>
        <v>2</v>
      </c>
      <c r="G116" s="5">
        <f>'Suc. La Nueva Canasta'!G116</f>
        <v>0</v>
      </c>
      <c r="H116" s="5">
        <f>'Suc. Mololoa'!G116</f>
        <v>0</v>
      </c>
      <c r="I116" s="5">
        <f>'Suc. Plaza'!G116</f>
        <v>3</v>
      </c>
      <c r="J116" s="5">
        <f>'Suc. Vistas'!G116</f>
        <v>0</v>
      </c>
      <c r="K116" s="5">
        <f>'Suc. Xalisco'!G116</f>
        <v>0</v>
      </c>
      <c r="L116" s="5">
        <f t="shared" si="67"/>
        <v>8</v>
      </c>
      <c r="M116" s="5">
        <f>'GRAL. SUC. FORANEAS'!P116</f>
        <v>8</v>
      </c>
      <c r="N116" s="5">
        <f t="shared" si="65"/>
        <v>0</v>
      </c>
      <c r="O116" s="5"/>
      <c r="P116" s="5">
        <f t="shared" si="66"/>
        <v>0</v>
      </c>
      <c r="R116" s="200" t="s">
        <v>248</v>
      </c>
      <c r="S116" s="198">
        <v>0</v>
      </c>
    </row>
    <row r="117" spans="1:19" ht="18" thickBot="1" x14ac:dyDescent="0.4">
      <c r="A117" s="110" t="s">
        <v>86</v>
      </c>
      <c r="B117" s="59">
        <f t="shared" ref="B117:P117" si="68">B79+B91+B105+B113</f>
        <v>18</v>
      </c>
      <c r="C117" s="59">
        <f t="shared" si="68"/>
        <v>19</v>
      </c>
      <c r="D117" s="59">
        <f t="shared" si="68"/>
        <v>48</v>
      </c>
      <c r="E117" s="59">
        <f t="shared" si="68"/>
        <v>38</v>
      </c>
      <c r="F117" s="59">
        <f t="shared" si="68"/>
        <v>48</v>
      </c>
      <c r="G117" s="59">
        <f t="shared" si="68"/>
        <v>0</v>
      </c>
      <c r="H117" s="59">
        <f t="shared" si="68"/>
        <v>61</v>
      </c>
      <c r="I117" s="59">
        <f t="shared" si="68"/>
        <v>56</v>
      </c>
      <c r="J117" s="59">
        <f t="shared" si="68"/>
        <v>83</v>
      </c>
      <c r="K117" s="59">
        <f t="shared" si="68"/>
        <v>45</v>
      </c>
      <c r="L117" s="59">
        <f t="shared" si="68"/>
        <v>416</v>
      </c>
      <c r="M117" s="59">
        <f t="shared" si="68"/>
        <v>1234</v>
      </c>
      <c r="N117" s="59">
        <f t="shared" si="68"/>
        <v>818</v>
      </c>
      <c r="O117" s="59">
        <f t="shared" si="68"/>
        <v>0</v>
      </c>
      <c r="P117" s="59">
        <f t="shared" si="68"/>
        <v>818</v>
      </c>
      <c r="R117" s="200" t="s">
        <v>250</v>
      </c>
      <c r="S117" s="198">
        <v>0</v>
      </c>
    </row>
    <row r="118" spans="1:19" ht="17.399999999999999" x14ac:dyDescent="0.35">
      <c r="A118" s="95" t="s">
        <v>975</v>
      </c>
      <c r="B118" s="4">
        <f>'Suc. Amado Nervo'!G118</f>
        <v>2</v>
      </c>
      <c r="C118" s="4">
        <f>'Suc. León'!G118</f>
        <v>1</v>
      </c>
      <c r="D118" s="5">
        <f>'San Cayetano'!G118</f>
        <v>4</v>
      </c>
      <c r="E118" s="5">
        <f>'Suc. Boulevard'!G118</f>
        <v>0</v>
      </c>
      <c r="F118" s="5">
        <f>'Suc. Dos de Agosto'!G118</f>
        <v>3</v>
      </c>
      <c r="G118" s="5">
        <f>'Suc. La Nueva Canasta'!G118</f>
        <v>0</v>
      </c>
      <c r="H118" s="5">
        <f>'Suc. Mololoa'!G118</f>
        <v>3</v>
      </c>
      <c r="I118" s="5">
        <f>'Suc. Plaza'!G118</f>
        <v>1</v>
      </c>
      <c r="J118" s="5">
        <f>'Suc. Vistas'!G118</f>
        <v>3</v>
      </c>
      <c r="K118" s="5">
        <f>'Suc. Xalisco'!G118</f>
        <v>0</v>
      </c>
      <c r="L118" s="5">
        <f t="shared" ref="L118:L148" si="69">SUM(B118:K118)</f>
        <v>17</v>
      </c>
      <c r="M118" s="5">
        <f>'GRAL. SUC. FORANEAS'!P118</f>
        <v>17</v>
      </c>
      <c r="N118" s="5">
        <f t="shared" ref="N118:N148" si="70">M118-L118</f>
        <v>0</v>
      </c>
      <c r="O118" s="5"/>
      <c r="P118" s="5">
        <f t="shared" ref="P118:P148" si="71">N118+O118</f>
        <v>0</v>
      </c>
      <c r="R118" s="200" t="s">
        <v>53</v>
      </c>
      <c r="S118" s="198">
        <v>7</v>
      </c>
    </row>
    <row r="119" spans="1:19" ht="17.399999999999999" x14ac:dyDescent="0.35">
      <c r="A119" s="95" t="s">
        <v>974</v>
      </c>
      <c r="B119" s="4">
        <f>'Suc. Amado Nervo'!G119</f>
        <v>0</v>
      </c>
      <c r="C119" s="4">
        <f>'Suc. León'!G119</f>
        <v>0</v>
      </c>
      <c r="D119" s="5">
        <f>'San Cayetano'!G119</f>
        <v>0</v>
      </c>
      <c r="E119" s="5">
        <f>'Suc. Boulevard'!G119</f>
        <v>0</v>
      </c>
      <c r="F119" s="5">
        <f>'Suc. Dos de Agosto'!G119</f>
        <v>0</v>
      </c>
      <c r="G119" s="5">
        <f>'Suc. La Nueva Canasta'!G119</f>
        <v>0</v>
      </c>
      <c r="H119" s="5">
        <f>'Suc. Mololoa'!G119</f>
        <v>0</v>
      </c>
      <c r="I119" s="5">
        <f>'Suc. Plaza'!G119</f>
        <v>0</v>
      </c>
      <c r="J119" s="5">
        <f>'Suc. Vistas'!G119</f>
        <v>0</v>
      </c>
      <c r="K119" s="5">
        <f>'Suc. Xalisco'!G119</f>
        <v>0</v>
      </c>
      <c r="L119" s="5">
        <f t="shared" ref="L119:L140" si="72">SUM(B119:K119)</f>
        <v>0</v>
      </c>
      <c r="M119" s="5">
        <f>'GRAL. SUC. FORANEAS'!P119</f>
        <v>0</v>
      </c>
      <c r="N119" s="5">
        <f t="shared" si="70"/>
        <v>0</v>
      </c>
      <c r="O119" s="5"/>
      <c r="P119" s="5">
        <f t="shared" si="71"/>
        <v>0</v>
      </c>
      <c r="R119" s="200" t="s">
        <v>251</v>
      </c>
      <c r="S119" s="198">
        <v>0</v>
      </c>
    </row>
    <row r="120" spans="1:19" ht="17.399999999999999" x14ac:dyDescent="0.35">
      <c r="A120" s="95" t="s">
        <v>1077</v>
      </c>
      <c r="B120" s="4">
        <f>'Suc. Amado Nervo'!G120</f>
        <v>0</v>
      </c>
      <c r="C120" s="4">
        <f>'Suc. León'!G120</f>
        <v>0</v>
      </c>
      <c r="D120" s="5">
        <f>'San Cayetano'!G120</f>
        <v>0</v>
      </c>
      <c r="E120" s="5">
        <f>'Suc. Boulevard'!G120</f>
        <v>0</v>
      </c>
      <c r="F120" s="5">
        <f>'Suc. Dos de Agosto'!G120</f>
        <v>0</v>
      </c>
      <c r="G120" s="5">
        <f>'Suc. La Nueva Canasta'!G120</f>
        <v>0</v>
      </c>
      <c r="H120" s="5">
        <f>'Suc. Mololoa'!G120</f>
        <v>0</v>
      </c>
      <c r="I120" s="5">
        <f>'Suc. Plaza'!G120</f>
        <v>0</v>
      </c>
      <c r="J120" s="5">
        <f>'Suc. Vistas'!G120</f>
        <v>0</v>
      </c>
      <c r="K120" s="5">
        <f>'Suc. Xalisco'!G120</f>
        <v>0</v>
      </c>
      <c r="L120" s="5">
        <f t="shared" si="72"/>
        <v>0</v>
      </c>
      <c r="M120" s="5">
        <f>'GRAL. SUC. FORANEAS'!P120</f>
        <v>0</v>
      </c>
      <c r="N120" s="5">
        <f t="shared" si="70"/>
        <v>0</v>
      </c>
      <c r="O120" s="5"/>
      <c r="P120" s="5">
        <f t="shared" si="71"/>
        <v>0</v>
      </c>
      <c r="R120" s="200" t="s">
        <v>1065</v>
      </c>
      <c r="S120" s="198">
        <v>0</v>
      </c>
    </row>
    <row r="121" spans="1:19" ht="17.399999999999999" x14ac:dyDescent="0.35">
      <c r="A121" s="95" t="s">
        <v>1076</v>
      </c>
      <c r="B121" s="4">
        <f>'Suc. Amado Nervo'!G121</f>
        <v>0</v>
      </c>
      <c r="C121" s="4">
        <f>'Suc. León'!G121</f>
        <v>0</v>
      </c>
      <c r="D121" s="5">
        <f>'San Cayetano'!G121</f>
        <v>0</v>
      </c>
      <c r="E121" s="5">
        <f>'Suc. Boulevard'!G121</f>
        <v>0</v>
      </c>
      <c r="F121" s="5">
        <f>'Suc. Dos de Agosto'!G121</f>
        <v>0</v>
      </c>
      <c r="G121" s="5">
        <f>'Suc. La Nueva Canasta'!G121</f>
        <v>0</v>
      </c>
      <c r="H121" s="5">
        <f>'Suc. Mololoa'!G121</f>
        <v>0</v>
      </c>
      <c r="I121" s="5">
        <f>'Suc. Plaza'!G121</f>
        <v>0</v>
      </c>
      <c r="J121" s="5">
        <f>'Suc. Vistas'!G121</f>
        <v>0</v>
      </c>
      <c r="K121" s="5">
        <f>'Suc. Xalisco'!G121</f>
        <v>0</v>
      </c>
      <c r="L121" s="5">
        <f t="shared" si="72"/>
        <v>0</v>
      </c>
      <c r="M121" s="5">
        <f>'GRAL. SUC. FORANEAS'!P121</f>
        <v>0</v>
      </c>
      <c r="N121" s="5">
        <f t="shared" si="70"/>
        <v>0</v>
      </c>
      <c r="O121" s="5"/>
      <c r="P121" s="5">
        <f t="shared" si="71"/>
        <v>0</v>
      </c>
      <c r="R121" s="200" t="s">
        <v>254</v>
      </c>
      <c r="S121" s="198">
        <v>0</v>
      </c>
    </row>
    <row r="122" spans="1:19" ht="17.399999999999999" x14ac:dyDescent="0.35">
      <c r="A122" s="95" t="s">
        <v>1014</v>
      </c>
      <c r="B122" s="4">
        <f>'Suc. Amado Nervo'!G122</f>
        <v>0</v>
      </c>
      <c r="C122" s="4">
        <f>'Suc. León'!G122</f>
        <v>0</v>
      </c>
      <c r="D122" s="5">
        <f>'San Cayetano'!G122</f>
        <v>0</v>
      </c>
      <c r="E122" s="5">
        <f>'Suc. Boulevard'!G122</f>
        <v>0</v>
      </c>
      <c r="F122" s="5">
        <f>'Suc. Dos de Agosto'!G122</f>
        <v>0</v>
      </c>
      <c r="G122" s="5">
        <f>'Suc. La Nueva Canasta'!G122</f>
        <v>0</v>
      </c>
      <c r="H122" s="5">
        <f>'Suc. Mololoa'!G122</f>
        <v>0</v>
      </c>
      <c r="I122" s="5">
        <f>'Suc. Plaza'!G122</f>
        <v>1</v>
      </c>
      <c r="J122" s="5">
        <f>'Suc. Vistas'!G122</f>
        <v>6</v>
      </c>
      <c r="K122" s="5">
        <f>'Suc. Xalisco'!G122</f>
        <v>1</v>
      </c>
      <c r="L122" s="5">
        <f t="shared" si="72"/>
        <v>8</v>
      </c>
      <c r="M122" s="5">
        <f>'GRAL. SUC. FORANEAS'!P122</f>
        <v>35</v>
      </c>
      <c r="N122" s="5">
        <f t="shared" si="70"/>
        <v>27</v>
      </c>
      <c r="O122" s="5"/>
      <c r="P122" s="5">
        <f t="shared" si="71"/>
        <v>27</v>
      </c>
      <c r="R122" s="200" t="s">
        <v>255</v>
      </c>
      <c r="S122" s="198">
        <v>0</v>
      </c>
    </row>
    <row r="123" spans="1:19" ht="17.399999999999999" x14ac:dyDescent="0.35">
      <c r="A123" s="95" t="s">
        <v>1015</v>
      </c>
      <c r="B123" s="4">
        <f>'Suc. Amado Nervo'!G123</f>
        <v>0</v>
      </c>
      <c r="C123" s="4">
        <f>'Suc. León'!G123</f>
        <v>0</v>
      </c>
      <c r="D123" s="5">
        <f>'San Cayetano'!G123</f>
        <v>0</v>
      </c>
      <c r="E123" s="5">
        <f>'Suc. Boulevard'!G123</f>
        <v>0</v>
      </c>
      <c r="F123" s="5">
        <f>'Suc. Dos de Agosto'!G123</f>
        <v>0</v>
      </c>
      <c r="G123" s="5">
        <f>'Suc. La Nueva Canasta'!G123</f>
        <v>0</v>
      </c>
      <c r="H123" s="5">
        <f>'Suc. Mololoa'!G123</f>
        <v>0</v>
      </c>
      <c r="I123" s="5">
        <f>'Suc. Plaza'!G123</f>
        <v>0</v>
      </c>
      <c r="J123" s="5">
        <f>'Suc. Vistas'!G123</f>
        <v>0</v>
      </c>
      <c r="K123" s="5">
        <f>'Suc. Xalisco'!G123</f>
        <v>0</v>
      </c>
      <c r="L123" s="5">
        <f t="shared" si="72"/>
        <v>0</v>
      </c>
      <c r="M123" s="5">
        <f>'GRAL. SUC. FORANEAS'!P123</f>
        <v>12</v>
      </c>
      <c r="N123" s="5">
        <f t="shared" si="70"/>
        <v>12</v>
      </c>
      <c r="O123" s="5"/>
      <c r="P123" s="5">
        <f t="shared" si="71"/>
        <v>12</v>
      </c>
      <c r="R123" s="200" t="s">
        <v>258</v>
      </c>
      <c r="S123" s="198">
        <v>0</v>
      </c>
    </row>
    <row r="124" spans="1:19" ht="17.399999999999999" x14ac:dyDescent="0.35">
      <c r="A124" s="95" t="s">
        <v>1016</v>
      </c>
      <c r="B124" s="4">
        <f>'Suc. Amado Nervo'!G124</f>
        <v>0</v>
      </c>
      <c r="C124" s="4">
        <f>'Suc. León'!G124</f>
        <v>0</v>
      </c>
      <c r="D124" s="5">
        <f>'San Cayetano'!G124</f>
        <v>0</v>
      </c>
      <c r="E124" s="5">
        <f>'Suc. Boulevard'!G124</f>
        <v>0</v>
      </c>
      <c r="F124" s="5">
        <f>'Suc. Dos de Agosto'!G124</f>
        <v>0</v>
      </c>
      <c r="G124" s="5">
        <f>'Suc. La Nueva Canasta'!G124</f>
        <v>0</v>
      </c>
      <c r="H124" s="5">
        <f>'Suc. Mololoa'!G124</f>
        <v>2</v>
      </c>
      <c r="I124" s="5">
        <f>'Suc. Plaza'!G124</f>
        <v>0</v>
      </c>
      <c r="J124" s="5">
        <f>'Suc. Vistas'!G124</f>
        <v>0</v>
      </c>
      <c r="K124" s="5">
        <f>'Suc. Xalisco'!G124</f>
        <v>0</v>
      </c>
      <c r="L124" s="5">
        <f t="shared" si="72"/>
        <v>2</v>
      </c>
      <c r="M124" s="5">
        <f>'GRAL. SUC. FORANEAS'!P124</f>
        <v>10</v>
      </c>
      <c r="N124" s="5">
        <f t="shared" si="70"/>
        <v>8</v>
      </c>
      <c r="O124" s="5"/>
      <c r="P124" s="5">
        <f t="shared" si="71"/>
        <v>8</v>
      </c>
      <c r="R124" s="200" t="s">
        <v>972</v>
      </c>
      <c r="S124" s="198">
        <v>0</v>
      </c>
    </row>
    <row r="125" spans="1:19" ht="17.399999999999999" x14ac:dyDescent="0.35">
      <c r="A125" s="95" t="s">
        <v>1017</v>
      </c>
      <c r="B125" s="4">
        <f>'Suc. Amado Nervo'!G125</f>
        <v>0</v>
      </c>
      <c r="C125" s="4">
        <f>'Suc. León'!G125</f>
        <v>0</v>
      </c>
      <c r="D125" s="5">
        <f>'San Cayetano'!G125</f>
        <v>0</v>
      </c>
      <c r="E125" s="5">
        <f>'Suc. Boulevard'!G125</f>
        <v>0</v>
      </c>
      <c r="F125" s="5">
        <f>'Suc. Dos de Agosto'!G125</f>
        <v>1</v>
      </c>
      <c r="G125" s="5">
        <f>'Suc. La Nueva Canasta'!G125</f>
        <v>0</v>
      </c>
      <c r="H125" s="5">
        <f>'Suc. Mololoa'!G125</f>
        <v>0</v>
      </c>
      <c r="I125" s="5">
        <f>'Suc. Plaza'!G125</f>
        <v>0</v>
      </c>
      <c r="J125" s="5">
        <f>'Suc. Vistas'!G125</f>
        <v>0</v>
      </c>
      <c r="K125" s="5">
        <f>'Suc. Xalisco'!G125</f>
        <v>0</v>
      </c>
      <c r="L125" s="5">
        <f t="shared" si="72"/>
        <v>1</v>
      </c>
      <c r="M125" s="5">
        <f>'GRAL. SUC. FORANEAS'!P125</f>
        <v>1</v>
      </c>
      <c r="N125" s="5">
        <f t="shared" si="70"/>
        <v>0</v>
      </c>
      <c r="O125" s="5"/>
      <c r="P125" s="5">
        <f t="shared" si="71"/>
        <v>0</v>
      </c>
      <c r="R125" s="200" t="s">
        <v>259</v>
      </c>
      <c r="S125" s="198">
        <v>0</v>
      </c>
    </row>
    <row r="126" spans="1:19" ht="17.399999999999999" x14ac:dyDescent="0.35">
      <c r="A126" s="95" t="s">
        <v>1125</v>
      </c>
      <c r="B126" s="4">
        <f>'Suc. Amado Nervo'!G126</f>
        <v>0</v>
      </c>
      <c r="C126" s="4">
        <f>'Suc. León'!G126</f>
        <v>0</v>
      </c>
      <c r="D126" s="5">
        <f>'San Cayetano'!G126</f>
        <v>0</v>
      </c>
      <c r="E126" s="5">
        <f>'Suc. Boulevard'!G126</f>
        <v>0</v>
      </c>
      <c r="F126" s="5">
        <f>'Suc. Dos de Agosto'!G126</f>
        <v>0</v>
      </c>
      <c r="G126" s="5">
        <f>'Suc. La Nueva Canasta'!G126</f>
        <v>0</v>
      </c>
      <c r="H126" s="5">
        <f>'Suc. Mololoa'!G126</f>
        <v>0</v>
      </c>
      <c r="I126" s="5">
        <f>'Suc. Plaza'!G126</f>
        <v>0</v>
      </c>
      <c r="J126" s="5">
        <f>'Suc. Vistas'!G126</f>
        <v>0</v>
      </c>
      <c r="K126" s="5">
        <f>'Suc. Xalisco'!G126</f>
        <v>0</v>
      </c>
      <c r="L126" s="5">
        <f t="shared" si="72"/>
        <v>0</v>
      </c>
      <c r="M126" s="5">
        <f>'GRAL. SUC. FORANEAS'!P126</f>
        <v>0</v>
      </c>
      <c r="N126" s="5">
        <f t="shared" si="70"/>
        <v>0</v>
      </c>
      <c r="O126" s="5"/>
      <c r="P126" s="5">
        <f t="shared" si="71"/>
        <v>0</v>
      </c>
      <c r="R126" s="200" t="s">
        <v>260</v>
      </c>
      <c r="S126" s="198">
        <v>0</v>
      </c>
    </row>
    <row r="127" spans="1:19" ht="17.399999999999999" x14ac:dyDescent="0.35">
      <c r="A127" s="95" t="s">
        <v>1126</v>
      </c>
      <c r="B127" s="4">
        <f>'Suc. Amado Nervo'!G127</f>
        <v>0</v>
      </c>
      <c r="C127" s="4">
        <f>'Suc. León'!G127</f>
        <v>0</v>
      </c>
      <c r="D127" s="5">
        <f>'San Cayetano'!G127</f>
        <v>0</v>
      </c>
      <c r="E127" s="5">
        <f>'Suc. Boulevard'!G127</f>
        <v>0</v>
      </c>
      <c r="F127" s="5">
        <f>'Suc. Dos de Agosto'!G127</f>
        <v>0</v>
      </c>
      <c r="G127" s="5">
        <f>'Suc. La Nueva Canasta'!G127</f>
        <v>0</v>
      </c>
      <c r="H127" s="5">
        <f>'Suc. Mololoa'!G127</f>
        <v>0</v>
      </c>
      <c r="I127" s="5">
        <f>'Suc. Plaza'!G127</f>
        <v>0</v>
      </c>
      <c r="J127" s="5">
        <f>'Suc. Vistas'!G127</f>
        <v>0</v>
      </c>
      <c r="K127" s="5">
        <f>'Suc. Xalisco'!G127</f>
        <v>0</v>
      </c>
      <c r="L127" s="5">
        <f t="shared" si="72"/>
        <v>0</v>
      </c>
      <c r="M127" s="5">
        <f>'GRAL. SUC. FORANEAS'!P127</f>
        <v>0</v>
      </c>
      <c r="N127" s="5">
        <f t="shared" si="70"/>
        <v>0</v>
      </c>
      <c r="O127" s="5"/>
      <c r="P127" s="5">
        <f t="shared" si="71"/>
        <v>0</v>
      </c>
      <c r="R127" s="200" t="s">
        <v>261</v>
      </c>
      <c r="S127" s="198">
        <v>0</v>
      </c>
    </row>
    <row r="128" spans="1:19" ht="17.399999999999999" x14ac:dyDescent="0.35">
      <c r="A128" s="95" t="s">
        <v>568</v>
      </c>
      <c r="B128" s="4">
        <f>'Suc. Amado Nervo'!G128</f>
        <v>0</v>
      </c>
      <c r="C128" s="4">
        <f>'Suc. León'!G128</f>
        <v>0</v>
      </c>
      <c r="D128" s="5">
        <f>'San Cayetano'!G128</f>
        <v>0</v>
      </c>
      <c r="E128" s="5">
        <f>'Suc. Boulevard'!G128</f>
        <v>3</v>
      </c>
      <c r="F128" s="5">
        <f>'Suc. Dos de Agosto'!G128</f>
        <v>0</v>
      </c>
      <c r="G128" s="5">
        <f>'Suc. La Nueva Canasta'!G128</f>
        <v>0</v>
      </c>
      <c r="H128" s="5">
        <f>'Suc. Mololoa'!G128</f>
        <v>0</v>
      </c>
      <c r="I128" s="5">
        <f>'Suc. Plaza'!G128</f>
        <v>1</v>
      </c>
      <c r="J128" s="5">
        <f>'Suc. Vistas'!G128</f>
        <v>2</v>
      </c>
      <c r="K128" s="5">
        <f>'Suc. Xalisco'!G128</f>
        <v>3</v>
      </c>
      <c r="L128" s="5">
        <f t="shared" si="72"/>
        <v>9</v>
      </c>
      <c r="M128" s="5">
        <f>'GRAL. SUC. FORANEAS'!P128</f>
        <v>9</v>
      </c>
      <c r="N128" s="5">
        <f t="shared" si="70"/>
        <v>0</v>
      </c>
      <c r="O128" s="5"/>
      <c r="P128" s="5">
        <f t="shared" si="71"/>
        <v>0</v>
      </c>
      <c r="R128" s="200" t="s">
        <v>1112</v>
      </c>
      <c r="S128" s="198">
        <v>0</v>
      </c>
    </row>
    <row r="129" spans="1:19" ht="17.399999999999999" x14ac:dyDescent="0.35">
      <c r="A129" s="95" t="s">
        <v>565</v>
      </c>
      <c r="B129" s="4">
        <f>'Suc. Amado Nervo'!G129</f>
        <v>0</v>
      </c>
      <c r="C129" s="4">
        <f>'Suc. León'!G129</f>
        <v>0</v>
      </c>
      <c r="D129" s="5">
        <f>'San Cayetano'!G129</f>
        <v>0</v>
      </c>
      <c r="E129" s="5">
        <f>'Suc. Boulevard'!G129</f>
        <v>0</v>
      </c>
      <c r="F129" s="5">
        <f>'Suc. Dos de Agosto'!G129</f>
        <v>0</v>
      </c>
      <c r="G129" s="5">
        <f>'Suc. La Nueva Canasta'!G129</f>
        <v>0</v>
      </c>
      <c r="H129" s="5">
        <f>'Suc. Mololoa'!G129</f>
        <v>0</v>
      </c>
      <c r="I129" s="5">
        <f>'Suc. Plaza'!G129</f>
        <v>0</v>
      </c>
      <c r="J129" s="5">
        <f>'Suc. Vistas'!G129</f>
        <v>0</v>
      </c>
      <c r="K129" s="5">
        <f>'Suc. Xalisco'!G129</f>
        <v>0</v>
      </c>
      <c r="L129" s="5">
        <f t="shared" si="72"/>
        <v>0</v>
      </c>
      <c r="M129" s="5">
        <f>'GRAL. SUC. FORANEAS'!P129</f>
        <v>0</v>
      </c>
      <c r="N129" s="5">
        <f t="shared" si="70"/>
        <v>0</v>
      </c>
      <c r="O129" s="5"/>
      <c r="P129" s="5">
        <f t="shared" si="71"/>
        <v>0</v>
      </c>
      <c r="R129" s="200" t="s">
        <v>263</v>
      </c>
      <c r="S129" s="198">
        <v>0</v>
      </c>
    </row>
    <row r="130" spans="1:19" ht="17.399999999999999" x14ac:dyDescent="0.35">
      <c r="A130" s="95" t="s">
        <v>912</v>
      </c>
      <c r="B130" s="4">
        <f>'Suc. Amado Nervo'!G130</f>
        <v>2</v>
      </c>
      <c r="C130" s="4">
        <f>'Suc. León'!G130</f>
        <v>2</v>
      </c>
      <c r="D130" s="5">
        <f>'San Cayetano'!G130</f>
        <v>2</v>
      </c>
      <c r="E130" s="5">
        <f>'Suc. Boulevard'!G130</f>
        <v>2</v>
      </c>
      <c r="F130" s="5">
        <f>'Suc. Dos de Agosto'!G130</f>
        <v>0</v>
      </c>
      <c r="G130" s="5">
        <f>'Suc. La Nueva Canasta'!G130</f>
        <v>0</v>
      </c>
      <c r="H130" s="5">
        <f>'Suc. Mololoa'!G130</f>
        <v>2</v>
      </c>
      <c r="I130" s="5">
        <f>'Suc. Plaza'!G130</f>
        <v>2</v>
      </c>
      <c r="J130" s="5">
        <f>'Suc. Vistas'!G130</f>
        <v>2</v>
      </c>
      <c r="K130" s="5">
        <f>'Suc. Xalisco'!G130</f>
        <v>1</v>
      </c>
      <c r="L130" s="5">
        <f t="shared" si="72"/>
        <v>15</v>
      </c>
      <c r="M130" s="5">
        <f>'GRAL. SUC. FORANEAS'!P130</f>
        <v>15</v>
      </c>
      <c r="N130" s="5">
        <f t="shared" si="70"/>
        <v>0</v>
      </c>
      <c r="O130" s="5"/>
      <c r="P130" s="5">
        <f t="shared" si="71"/>
        <v>0</v>
      </c>
      <c r="R130" s="200" t="s">
        <v>264</v>
      </c>
      <c r="S130" s="198">
        <v>0</v>
      </c>
    </row>
    <row r="131" spans="1:19" ht="17.399999999999999" x14ac:dyDescent="0.35">
      <c r="A131" s="95" t="s">
        <v>557</v>
      </c>
      <c r="B131" s="4">
        <f>'Suc. Amado Nervo'!G131</f>
        <v>1</v>
      </c>
      <c r="C131" s="4">
        <f>'Suc. León'!G131</f>
        <v>2</v>
      </c>
      <c r="D131" s="5">
        <f>'San Cayetano'!G131</f>
        <v>1</v>
      </c>
      <c r="E131" s="5">
        <f>'Suc. Boulevard'!G131</f>
        <v>0</v>
      </c>
      <c r="F131" s="5">
        <f>'Suc. Dos de Agosto'!G131</f>
        <v>1</v>
      </c>
      <c r="G131" s="5">
        <f>'Suc. La Nueva Canasta'!G131</f>
        <v>0</v>
      </c>
      <c r="H131" s="5">
        <f>'Suc. Mololoa'!G131</f>
        <v>0</v>
      </c>
      <c r="I131" s="5">
        <f>'Suc. Plaza'!G131</f>
        <v>1</v>
      </c>
      <c r="J131" s="5">
        <f>'Suc. Vistas'!G131</f>
        <v>1</v>
      </c>
      <c r="K131" s="5">
        <f>'Suc. Xalisco'!G131</f>
        <v>0</v>
      </c>
      <c r="L131" s="5">
        <f t="shared" si="72"/>
        <v>7</v>
      </c>
      <c r="M131" s="5">
        <f>'GRAL. SUC. FORANEAS'!P131</f>
        <v>9</v>
      </c>
      <c r="N131" s="5">
        <f t="shared" si="70"/>
        <v>2</v>
      </c>
      <c r="O131" s="5"/>
      <c r="P131" s="5">
        <f t="shared" si="71"/>
        <v>2</v>
      </c>
      <c r="R131" s="200" t="s">
        <v>265</v>
      </c>
      <c r="S131" s="198">
        <v>0</v>
      </c>
    </row>
    <row r="132" spans="1:19" ht="17.399999999999999" x14ac:dyDescent="0.35">
      <c r="A132" s="95" t="s">
        <v>573</v>
      </c>
      <c r="B132" s="4">
        <f>'Suc. Amado Nervo'!G132</f>
        <v>0</v>
      </c>
      <c r="C132" s="4">
        <f>'Suc. León'!G132</f>
        <v>0</v>
      </c>
      <c r="D132" s="5">
        <f>'San Cayetano'!G132</f>
        <v>0</v>
      </c>
      <c r="E132" s="5">
        <f>'Suc. Boulevard'!G132</f>
        <v>0</v>
      </c>
      <c r="F132" s="5">
        <f>'Suc. Dos de Agosto'!G132</f>
        <v>0</v>
      </c>
      <c r="G132" s="5">
        <f>'Suc. La Nueva Canasta'!G132</f>
        <v>0</v>
      </c>
      <c r="H132" s="5">
        <f>'Suc. Mololoa'!G132</f>
        <v>0</v>
      </c>
      <c r="I132" s="5">
        <f>'Suc. Plaza'!G132</f>
        <v>0</v>
      </c>
      <c r="J132" s="5">
        <f>'Suc. Vistas'!G132</f>
        <v>0</v>
      </c>
      <c r="K132" s="5">
        <f>'Suc. Xalisco'!G132</f>
        <v>0</v>
      </c>
      <c r="L132" s="5">
        <f t="shared" si="72"/>
        <v>0</v>
      </c>
      <c r="M132" s="5">
        <f>'GRAL. SUC. FORANEAS'!P132</f>
        <v>0</v>
      </c>
      <c r="N132" s="5">
        <f t="shared" si="70"/>
        <v>0</v>
      </c>
      <c r="O132" s="5"/>
      <c r="P132" s="5">
        <f t="shared" si="71"/>
        <v>0</v>
      </c>
      <c r="R132" s="200" t="s">
        <v>266</v>
      </c>
      <c r="S132" s="198">
        <v>0</v>
      </c>
    </row>
    <row r="133" spans="1:19" ht="17.399999999999999" x14ac:dyDescent="0.35">
      <c r="A133" s="95" t="s">
        <v>421</v>
      </c>
      <c r="B133" s="4">
        <f>'Suc. Amado Nervo'!G133</f>
        <v>0</v>
      </c>
      <c r="C133" s="4">
        <f>'Suc. León'!G133</f>
        <v>1</v>
      </c>
      <c r="D133" s="5">
        <f>'San Cayetano'!G133</f>
        <v>0</v>
      </c>
      <c r="E133" s="5">
        <f>'Suc. Boulevard'!G133</f>
        <v>0</v>
      </c>
      <c r="F133" s="5">
        <f>'Suc. Dos de Agosto'!G133</f>
        <v>0</v>
      </c>
      <c r="G133" s="5">
        <f>'Suc. La Nueva Canasta'!G133</f>
        <v>0</v>
      </c>
      <c r="H133" s="5">
        <f>'Suc. Mololoa'!G133</f>
        <v>0</v>
      </c>
      <c r="I133" s="5">
        <f>'Suc. Plaza'!G133</f>
        <v>0</v>
      </c>
      <c r="J133" s="5">
        <f>'Suc. Vistas'!G133</f>
        <v>1</v>
      </c>
      <c r="K133" s="5">
        <f>'Suc. Xalisco'!G133</f>
        <v>0</v>
      </c>
      <c r="L133" s="5">
        <f t="shared" si="72"/>
        <v>2</v>
      </c>
      <c r="M133" s="5">
        <f>'GRAL. SUC. FORANEAS'!P133</f>
        <v>3</v>
      </c>
      <c r="N133" s="5">
        <f t="shared" si="70"/>
        <v>1</v>
      </c>
      <c r="O133" s="5"/>
      <c r="P133" s="5">
        <f t="shared" si="71"/>
        <v>1</v>
      </c>
      <c r="R133" s="200" t="s">
        <v>267</v>
      </c>
      <c r="S133" s="198">
        <v>0</v>
      </c>
    </row>
    <row r="134" spans="1:19" ht="17.399999999999999" x14ac:dyDescent="0.35">
      <c r="A134" s="95" t="s">
        <v>249</v>
      </c>
      <c r="B134" s="4">
        <f>'Suc. Amado Nervo'!G134</f>
        <v>1</v>
      </c>
      <c r="C134" s="4">
        <f>'Suc. León'!G134</f>
        <v>0</v>
      </c>
      <c r="D134" s="5">
        <f>'San Cayetano'!G134</f>
        <v>2</v>
      </c>
      <c r="E134" s="5">
        <f>'Suc. Boulevard'!G134</f>
        <v>1</v>
      </c>
      <c r="F134" s="5">
        <f>'Suc. Dos de Agosto'!G134</f>
        <v>2</v>
      </c>
      <c r="G134" s="5">
        <f>'Suc. La Nueva Canasta'!G134</f>
        <v>0</v>
      </c>
      <c r="H134" s="5">
        <f>'Suc. Mololoa'!G134</f>
        <v>2</v>
      </c>
      <c r="I134" s="5">
        <f>'Suc. Plaza'!G134</f>
        <v>0</v>
      </c>
      <c r="J134" s="5">
        <f>'Suc. Vistas'!G134</f>
        <v>0</v>
      </c>
      <c r="K134" s="5">
        <f>'Suc. Xalisco'!G134</f>
        <v>0</v>
      </c>
      <c r="L134" s="5">
        <f t="shared" si="72"/>
        <v>8</v>
      </c>
      <c r="M134" s="5">
        <f>'GRAL. SUC. FORANEAS'!P134</f>
        <v>8</v>
      </c>
      <c r="N134" s="5">
        <f t="shared" si="70"/>
        <v>0</v>
      </c>
      <c r="O134" s="5"/>
      <c r="P134" s="5">
        <f t="shared" si="71"/>
        <v>0</v>
      </c>
      <c r="R134" s="200" t="s">
        <v>269</v>
      </c>
      <c r="S134" s="198">
        <v>0</v>
      </c>
    </row>
    <row r="135" spans="1:19" ht="17.399999999999999" x14ac:dyDescent="0.35">
      <c r="A135" s="95" t="s">
        <v>1030</v>
      </c>
      <c r="B135" s="4">
        <f>'Suc. Amado Nervo'!G135</f>
        <v>0</v>
      </c>
      <c r="C135" s="4">
        <f>'Suc. León'!G135</f>
        <v>0</v>
      </c>
      <c r="D135" s="5">
        <f>'San Cayetano'!G135</f>
        <v>0</v>
      </c>
      <c r="E135" s="5">
        <f>'Suc. Boulevard'!G135</f>
        <v>0</v>
      </c>
      <c r="F135" s="5">
        <f>'Suc. Dos de Agosto'!G135</f>
        <v>0</v>
      </c>
      <c r="G135" s="5">
        <f>'Suc. La Nueva Canasta'!G135</f>
        <v>0</v>
      </c>
      <c r="H135" s="5">
        <f>'Suc. Mololoa'!G135</f>
        <v>0</v>
      </c>
      <c r="I135" s="5">
        <f>'Suc. Plaza'!G135</f>
        <v>0</v>
      </c>
      <c r="J135" s="5">
        <f>'Suc. Vistas'!G135</f>
        <v>0</v>
      </c>
      <c r="K135" s="5">
        <f>'Suc. Xalisco'!G135</f>
        <v>0</v>
      </c>
      <c r="L135" s="5">
        <f t="shared" si="72"/>
        <v>0</v>
      </c>
      <c r="M135" s="5">
        <f>'GRAL. SUC. FORANEAS'!P135</f>
        <v>0</v>
      </c>
      <c r="N135" s="5">
        <f t="shared" si="70"/>
        <v>0</v>
      </c>
      <c r="O135" s="5"/>
      <c r="P135" s="5">
        <f t="shared" si="71"/>
        <v>0</v>
      </c>
      <c r="R135" s="200" t="s">
        <v>269</v>
      </c>
      <c r="S135" s="198">
        <v>0</v>
      </c>
    </row>
    <row r="136" spans="1:19" ht="17.399999999999999" x14ac:dyDescent="0.35">
      <c r="A136" s="95" t="s">
        <v>253</v>
      </c>
      <c r="B136" s="4">
        <f>'Suc. Amado Nervo'!G136</f>
        <v>0</v>
      </c>
      <c r="C136" s="4">
        <f>'Suc. León'!G136</f>
        <v>0</v>
      </c>
      <c r="D136" s="5">
        <f>'San Cayetano'!G136</f>
        <v>0</v>
      </c>
      <c r="E136" s="5">
        <f>'Suc. Boulevard'!G136</f>
        <v>0</v>
      </c>
      <c r="F136" s="5">
        <f>'Suc. Dos de Agosto'!G136</f>
        <v>0</v>
      </c>
      <c r="G136" s="5">
        <f>'Suc. La Nueva Canasta'!G136</f>
        <v>0</v>
      </c>
      <c r="H136" s="5">
        <f>'Suc. Mololoa'!G136</f>
        <v>0</v>
      </c>
      <c r="I136" s="5">
        <f>'Suc. Plaza'!G136</f>
        <v>0</v>
      </c>
      <c r="J136" s="5">
        <f>'Suc. Vistas'!G136</f>
        <v>0</v>
      </c>
      <c r="K136" s="5">
        <f>'Suc. Xalisco'!G136</f>
        <v>0</v>
      </c>
      <c r="L136" s="5">
        <f t="shared" si="72"/>
        <v>0</v>
      </c>
      <c r="M136" s="5">
        <f>'GRAL. SUC. FORANEAS'!P136</f>
        <v>16</v>
      </c>
      <c r="N136" s="5">
        <f t="shared" si="70"/>
        <v>16</v>
      </c>
      <c r="O136" s="5"/>
      <c r="P136" s="5">
        <f t="shared" si="71"/>
        <v>16</v>
      </c>
      <c r="R136" s="200" t="s">
        <v>269</v>
      </c>
      <c r="S136" s="198">
        <v>0</v>
      </c>
    </row>
    <row r="137" spans="1:19" ht="17.399999999999999" x14ac:dyDescent="0.35">
      <c r="A137" s="95" t="s">
        <v>240</v>
      </c>
      <c r="B137" s="4">
        <f>'Suc. Amado Nervo'!G137</f>
        <v>0</v>
      </c>
      <c r="C137" s="4">
        <f>'Suc. León'!G137</f>
        <v>0</v>
      </c>
      <c r="D137" s="5">
        <f>'San Cayetano'!G137</f>
        <v>0</v>
      </c>
      <c r="E137" s="5">
        <f>'Suc. Boulevard'!G137</f>
        <v>0</v>
      </c>
      <c r="F137" s="5">
        <f>'Suc. Dos de Agosto'!G137</f>
        <v>0</v>
      </c>
      <c r="G137" s="5">
        <f>'Suc. La Nueva Canasta'!G137</f>
        <v>0</v>
      </c>
      <c r="H137" s="5">
        <f>'Suc. Mololoa'!G137</f>
        <v>0</v>
      </c>
      <c r="I137" s="5">
        <f>'Suc. Plaza'!G137</f>
        <v>0</v>
      </c>
      <c r="J137" s="5">
        <f>'Suc. Vistas'!G137</f>
        <v>0</v>
      </c>
      <c r="K137" s="5">
        <f>'Suc. Xalisco'!G137</f>
        <v>0</v>
      </c>
      <c r="L137" s="5">
        <f t="shared" si="72"/>
        <v>0</v>
      </c>
      <c r="M137" s="5">
        <f>'GRAL. SUC. FORANEAS'!P137</f>
        <v>0</v>
      </c>
      <c r="N137" s="5">
        <f t="shared" si="70"/>
        <v>0</v>
      </c>
      <c r="O137" s="5"/>
      <c r="P137" s="5">
        <f t="shared" si="71"/>
        <v>0</v>
      </c>
      <c r="R137" s="200" t="s">
        <v>269</v>
      </c>
      <c r="S137" s="198">
        <v>0</v>
      </c>
    </row>
    <row r="138" spans="1:19" ht="17.399999999999999" x14ac:dyDescent="0.35">
      <c r="A138" s="95" t="s">
        <v>204</v>
      </c>
      <c r="B138" s="4">
        <f>'Suc. Amado Nervo'!G138</f>
        <v>0</v>
      </c>
      <c r="C138" s="4">
        <f>'Suc. León'!G138</f>
        <v>0</v>
      </c>
      <c r="D138" s="5">
        <f>'San Cayetano'!G138</f>
        <v>0</v>
      </c>
      <c r="E138" s="5">
        <f>'Suc. Boulevard'!G138</f>
        <v>0</v>
      </c>
      <c r="F138" s="5">
        <f>'Suc. Dos de Agosto'!G138</f>
        <v>0</v>
      </c>
      <c r="G138" s="5">
        <f>'Suc. La Nueva Canasta'!G138</f>
        <v>0</v>
      </c>
      <c r="H138" s="5">
        <f>'Suc. Mololoa'!G138</f>
        <v>0</v>
      </c>
      <c r="I138" s="5">
        <f>'Suc. Plaza'!G138</f>
        <v>0</v>
      </c>
      <c r="J138" s="5">
        <f>'Suc. Vistas'!G138</f>
        <v>0</v>
      </c>
      <c r="K138" s="5">
        <f>'Suc. Xalisco'!G138</f>
        <v>0</v>
      </c>
      <c r="L138" s="5">
        <f t="shared" si="72"/>
        <v>0</v>
      </c>
      <c r="M138" s="5">
        <f>'GRAL. SUC. FORANEAS'!P138</f>
        <v>0</v>
      </c>
      <c r="N138" s="5">
        <f t="shared" si="70"/>
        <v>0</v>
      </c>
      <c r="O138" s="5"/>
      <c r="P138" s="5">
        <f t="shared" si="71"/>
        <v>0</v>
      </c>
      <c r="R138" s="200" t="s">
        <v>269</v>
      </c>
      <c r="S138" s="198">
        <v>0</v>
      </c>
    </row>
    <row r="139" spans="1:19" ht="17.399999999999999" x14ac:dyDescent="0.35">
      <c r="A139" s="95" t="s">
        <v>1132</v>
      </c>
      <c r="B139" s="4">
        <f>'Suc. Amado Nervo'!G139</f>
        <v>0</v>
      </c>
      <c r="C139" s="4">
        <f>'Suc. León'!G139</f>
        <v>0</v>
      </c>
      <c r="D139" s="5">
        <f>'San Cayetano'!G139</f>
        <v>0</v>
      </c>
      <c r="E139" s="5">
        <f>'Suc. Boulevard'!G139</f>
        <v>0</v>
      </c>
      <c r="F139" s="5">
        <f>'Suc. Dos de Agosto'!G139</f>
        <v>0</v>
      </c>
      <c r="G139" s="5">
        <f>'Suc. La Nueva Canasta'!G139</f>
        <v>0</v>
      </c>
      <c r="H139" s="5">
        <f>'Suc. Mololoa'!G139</f>
        <v>1</v>
      </c>
      <c r="I139" s="5">
        <f>'Suc. Plaza'!G139</f>
        <v>1</v>
      </c>
      <c r="J139" s="5">
        <f>'Suc. Vistas'!G139</f>
        <v>0</v>
      </c>
      <c r="K139" s="5">
        <f>'Suc. Xalisco'!G139</f>
        <v>1</v>
      </c>
      <c r="L139" s="5">
        <f t="shared" si="72"/>
        <v>3</v>
      </c>
      <c r="M139" s="5">
        <f>'GRAL. SUC. FORANEAS'!P139</f>
        <v>13</v>
      </c>
      <c r="N139" s="5">
        <f t="shared" si="70"/>
        <v>10</v>
      </c>
      <c r="O139" s="5"/>
      <c r="P139" s="5">
        <f t="shared" si="71"/>
        <v>10</v>
      </c>
      <c r="R139" s="200" t="s">
        <v>269</v>
      </c>
      <c r="S139" s="198">
        <v>0</v>
      </c>
    </row>
    <row r="140" spans="1:19" ht="17.399999999999999" x14ac:dyDescent="0.35">
      <c r="A140" s="95" t="s">
        <v>914</v>
      </c>
      <c r="B140" s="4">
        <f>'Suc. Amado Nervo'!G140</f>
        <v>0</v>
      </c>
      <c r="C140" s="4">
        <f>'Suc. León'!G140</f>
        <v>0</v>
      </c>
      <c r="D140" s="5">
        <f>'San Cayetano'!G140</f>
        <v>0</v>
      </c>
      <c r="E140" s="5">
        <f>'Suc. Boulevard'!G140</f>
        <v>0</v>
      </c>
      <c r="F140" s="5">
        <f>'Suc. Dos de Agosto'!G140</f>
        <v>0</v>
      </c>
      <c r="G140" s="5">
        <f>'Suc. La Nueva Canasta'!G140</f>
        <v>0</v>
      </c>
      <c r="H140" s="5">
        <f>'Suc. Mololoa'!G140</f>
        <v>0</v>
      </c>
      <c r="I140" s="5">
        <f>'Suc. Plaza'!G140</f>
        <v>0</v>
      </c>
      <c r="J140" s="5">
        <f>'Suc. Vistas'!G140</f>
        <v>0</v>
      </c>
      <c r="K140" s="5">
        <f>'Suc. Xalisco'!G140</f>
        <v>0</v>
      </c>
      <c r="L140" s="5">
        <f t="shared" si="72"/>
        <v>0</v>
      </c>
      <c r="M140" s="5">
        <f>'GRAL. SUC. FORANEAS'!P140</f>
        <v>0</v>
      </c>
      <c r="N140" s="5">
        <f t="shared" si="70"/>
        <v>0</v>
      </c>
      <c r="O140" s="5"/>
      <c r="P140" s="5">
        <f t="shared" si="71"/>
        <v>0</v>
      </c>
      <c r="R140" s="200" t="s">
        <v>269</v>
      </c>
      <c r="S140" s="198">
        <v>0</v>
      </c>
    </row>
    <row r="141" spans="1:19" ht="17.399999999999999" x14ac:dyDescent="0.35">
      <c r="A141" s="243" t="s">
        <v>1120</v>
      </c>
      <c r="B141" s="4">
        <f>'Suc. Amado Nervo'!G141</f>
        <v>0</v>
      </c>
      <c r="C141" s="4">
        <f>'Suc. León'!G141</f>
        <v>0</v>
      </c>
      <c r="D141" s="5">
        <f>'San Cayetano'!G141</f>
        <v>0</v>
      </c>
      <c r="E141" s="5">
        <f>'Suc. Boulevard'!G141</f>
        <v>0</v>
      </c>
      <c r="F141" s="5">
        <f>'Suc. Dos de Agosto'!G141</f>
        <v>0</v>
      </c>
      <c r="G141" s="5">
        <f>'Suc. La Nueva Canasta'!G141</f>
        <v>0</v>
      </c>
      <c r="H141" s="5">
        <f>'Suc. Mololoa'!G141</f>
        <v>0</v>
      </c>
      <c r="I141" s="5">
        <f>'Suc. Plaza'!G141</f>
        <v>0</v>
      </c>
      <c r="J141" s="5">
        <f>'Suc. Vistas'!G141</f>
        <v>0</v>
      </c>
      <c r="K141" s="5">
        <f>'Suc. Xalisco'!G141</f>
        <v>0</v>
      </c>
      <c r="L141" s="5">
        <f t="shared" si="69"/>
        <v>0</v>
      </c>
      <c r="M141" s="5">
        <f>'GRAL. SUC. FORANEAS'!P141</f>
        <v>0</v>
      </c>
      <c r="N141" s="5">
        <f t="shared" si="70"/>
        <v>0</v>
      </c>
      <c r="O141" s="5"/>
      <c r="P141" s="5">
        <f t="shared" si="71"/>
        <v>0</v>
      </c>
      <c r="R141" s="200" t="s">
        <v>269</v>
      </c>
      <c r="S141" s="198">
        <v>0</v>
      </c>
    </row>
    <row r="142" spans="1:19" ht="17.399999999999999" x14ac:dyDescent="0.35">
      <c r="A142" s="95"/>
      <c r="B142" s="4">
        <f>'Suc. Amado Nervo'!G142</f>
        <v>0</v>
      </c>
      <c r="C142" s="4">
        <f>'Suc. León'!G142</f>
        <v>0</v>
      </c>
      <c r="D142" s="5">
        <f>'San Cayetano'!G142</f>
        <v>0</v>
      </c>
      <c r="E142" s="5">
        <f>'Suc. Boulevard'!G142</f>
        <v>0</v>
      </c>
      <c r="F142" s="5">
        <f>'Suc. Dos de Agosto'!G142</f>
        <v>0</v>
      </c>
      <c r="G142" s="5">
        <f>'Suc. La Nueva Canasta'!G142</f>
        <v>0</v>
      </c>
      <c r="H142" s="5">
        <f>'Suc. Mololoa'!G142</f>
        <v>0</v>
      </c>
      <c r="I142" s="5">
        <f>'Suc. Plaza'!G142</f>
        <v>0</v>
      </c>
      <c r="J142" s="5">
        <f>'Suc. Vistas'!G142</f>
        <v>0</v>
      </c>
      <c r="K142" s="5">
        <f>'Suc. Xalisco'!G142</f>
        <v>0</v>
      </c>
      <c r="L142" s="5">
        <f t="shared" si="69"/>
        <v>0</v>
      </c>
      <c r="M142" s="5">
        <f>'GRAL. SUC. FORANEAS'!P142</f>
        <v>0</v>
      </c>
      <c r="N142" s="5">
        <f t="shared" si="70"/>
        <v>0</v>
      </c>
      <c r="O142" s="5"/>
      <c r="P142" s="5">
        <f t="shared" si="71"/>
        <v>0</v>
      </c>
      <c r="R142" s="200" t="s">
        <v>270</v>
      </c>
      <c r="S142" s="198">
        <v>0</v>
      </c>
    </row>
    <row r="143" spans="1:19" ht="17.399999999999999" x14ac:dyDescent="0.35">
      <c r="A143" s="95"/>
      <c r="B143" s="4">
        <f>'Suc. Amado Nervo'!G143</f>
        <v>0</v>
      </c>
      <c r="C143" s="4">
        <f>'Suc. León'!G143</f>
        <v>0</v>
      </c>
      <c r="D143" s="5">
        <f>'San Cayetano'!G143</f>
        <v>0</v>
      </c>
      <c r="E143" s="5">
        <f>'Suc. Boulevard'!G143</f>
        <v>0</v>
      </c>
      <c r="F143" s="5">
        <f>'Suc. Dos de Agosto'!G143</f>
        <v>0</v>
      </c>
      <c r="G143" s="5">
        <f>'Suc. La Nueva Canasta'!G143</f>
        <v>0</v>
      </c>
      <c r="H143" s="5">
        <f>'Suc. Mololoa'!G143</f>
        <v>0</v>
      </c>
      <c r="I143" s="5">
        <f>'Suc. Plaza'!G143</f>
        <v>0</v>
      </c>
      <c r="J143" s="5">
        <f>'Suc. Vistas'!G143</f>
        <v>0</v>
      </c>
      <c r="K143" s="5">
        <f>'Suc. Xalisco'!G143</f>
        <v>0</v>
      </c>
      <c r="L143" s="5">
        <f t="shared" si="69"/>
        <v>0</v>
      </c>
      <c r="M143" s="5">
        <f>'GRAL. SUC. FORANEAS'!P143</f>
        <v>0</v>
      </c>
      <c r="N143" s="5">
        <f t="shared" si="70"/>
        <v>0</v>
      </c>
      <c r="O143" s="5"/>
      <c r="P143" s="5">
        <f t="shared" si="71"/>
        <v>0</v>
      </c>
      <c r="R143" s="200" t="s">
        <v>271</v>
      </c>
      <c r="S143" s="198">
        <v>0</v>
      </c>
    </row>
    <row r="144" spans="1:19" ht="17.399999999999999" x14ac:dyDescent="0.35">
      <c r="A144" s="95"/>
      <c r="B144" s="4">
        <f>'Suc. Amado Nervo'!G144</f>
        <v>0</v>
      </c>
      <c r="C144" s="4">
        <f>'Suc. León'!G144</f>
        <v>0</v>
      </c>
      <c r="D144" s="5">
        <f>'San Cayetano'!G144</f>
        <v>0</v>
      </c>
      <c r="E144" s="5">
        <f>'Suc. Boulevard'!G144</f>
        <v>0</v>
      </c>
      <c r="F144" s="5">
        <f>'Suc. Dos de Agosto'!G144</f>
        <v>0</v>
      </c>
      <c r="G144" s="5">
        <f>'Suc. La Nueva Canasta'!G144</f>
        <v>0</v>
      </c>
      <c r="H144" s="5">
        <f>'Suc. Mololoa'!G144</f>
        <v>0</v>
      </c>
      <c r="I144" s="5">
        <f>'Suc. Plaza'!G144</f>
        <v>0</v>
      </c>
      <c r="J144" s="5">
        <f>'Suc. Vistas'!G144</f>
        <v>0</v>
      </c>
      <c r="K144" s="5">
        <f>'Suc. Xalisco'!G144</f>
        <v>0</v>
      </c>
      <c r="L144" s="5">
        <f t="shared" si="69"/>
        <v>0</v>
      </c>
      <c r="M144" s="5">
        <f>'GRAL. SUC. FORANEAS'!P144</f>
        <v>0</v>
      </c>
      <c r="N144" s="5">
        <f t="shared" si="70"/>
        <v>0</v>
      </c>
      <c r="O144" s="5"/>
      <c r="P144" s="5">
        <f t="shared" si="71"/>
        <v>0</v>
      </c>
      <c r="R144" s="200" t="s">
        <v>914</v>
      </c>
      <c r="S144" s="198">
        <v>0</v>
      </c>
    </row>
    <row r="145" spans="1:19" ht="17.399999999999999" x14ac:dyDescent="0.35">
      <c r="A145" s="95"/>
      <c r="B145" s="4">
        <f>'Suc. Amado Nervo'!G145</f>
        <v>0</v>
      </c>
      <c r="C145" s="4">
        <f>'Suc. León'!G145</f>
        <v>0</v>
      </c>
      <c r="D145" s="5">
        <f>'San Cayetano'!G145</f>
        <v>0</v>
      </c>
      <c r="E145" s="5">
        <f>'Suc. Boulevard'!G145</f>
        <v>0</v>
      </c>
      <c r="F145" s="5">
        <f>'Suc. Dos de Agosto'!G145</f>
        <v>0</v>
      </c>
      <c r="G145" s="5">
        <f>'Suc. La Nueva Canasta'!G145</f>
        <v>0</v>
      </c>
      <c r="H145" s="5">
        <f>'Suc. Mololoa'!G145</f>
        <v>0</v>
      </c>
      <c r="I145" s="5">
        <f>'Suc. Plaza'!G145</f>
        <v>0</v>
      </c>
      <c r="J145" s="5">
        <f>'Suc. Vistas'!G145</f>
        <v>0</v>
      </c>
      <c r="K145" s="5">
        <f>'Suc. Xalisco'!G145</f>
        <v>0</v>
      </c>
      <c r="L145" s="5">
        <f t="shared" si="69"/>
        <v>0</v>
      </c>
      <c r="M145" s="5">
        <f>'GRAL. SUC. FORANEAS'!P145</f>
        <v>0</v>
      </c>
      <c r="N145" s="5">
        <f t="shared" si="70"/>
        <v>0</v>
      </c>
      <c r="O145" s="5"/>
      <c r="P145" s="5">
        <f t="shared" si="71"/>
        <v>0</v>
      </c>
      <c r="R145" s="200" t="s">
        <v>272</v>
      </c>
      <c r="S145" s="198">
        <v>0</v>
      </c>
    </row>
    <row r="146" spans="1:19" ht="17.25" customHeight="1" x14ac:dyDescent="0.35">
      <c r="A146" s="95"/>
      <c r="B146" s="4">
        <f>'Suc. Amado Nervo'!G146</f>
        <v>0</v>
      </c>
      <c r="C146" s="4">
        <f>'Suc. León'!G146</f>
        <v>0</v>
      </c>
      <c r="D146" s="5">
        <f>'San Cayetano'!G146</f>
        <v>0</v>
      </c>
      <c r="E146" s="5">
        <f>'Suc. Boulevard'!G146</f>
        <v>0</v>
      </c>
      <c r="F146" s="5">
        <f>'Suc. Dos de Agosto'!G146</f>
        <v>0</v>
      </c>
      <c r="G146" s="5">
        <f>'Suc. La Nueva Canasta'!G146</f>
        <v>0</v>
      </c>
      <c r="H146" s="5">
        <f>'Suc. Mololoa'!G146</f>
        <v>0</v>
      </c>
      <c r="I146" s="5">
        <f>'Suc. Plaza'!G146</f>
        <v>0</v>
      </c>
      <c r="J146" s="5">
        <f>'Suc. Vistas'!G146</f>
        <v>0</v>
      </c>
      <c r="K146" s="5">
        <f>'Suc. Xalisco'!G146</f>
        <v>0</v>
      </c>
      <c r="L146" s="5">
        <f t="shared" si="69"/>
        <v>0</v>
      </c>
      <c r="M146" s="5">
        <f>'GRAL. SUC. FORANEAS'!P146</f>
        <v>0</v>
      </c>
      <c r="N146" s="5">
        <f t="shared" si="70"/>
        <v>0</v>
      </c>
      <c r="O146" s="5"/>
      <c r="P146" s="5">
        <f t="shared" si="71"/>
        <v>0</v>
      </c>
      <c r="R146" s="200" t="s">
        <v>274</v>
      </c>
      <c r="S146" s="198">
        <v>0</v>
      </c>
    </row>
    <row r="147" spans="1:19" ht="17.25" customHeight="1" x14ac:dyDescent="0.35">
      <c r="A147" s="95"/>
      <c r="B147" s="4">
        <f>'Suc. Amado Nervo'!G147</f>
        <v>0</v>
      </c>
      <c r="C147" s="4">
        <f>'Suc. León'!G147</f>
        <v>0</v>
      </c>
      <c r="D147" s="5">
        <f>'San Cayetano'!G147</f>
        <v>0</v>
      </c>
      <c r="E147" s="5">
        <f>'Suc. Boulevard'!G147</f>
        <v>0</v>
      </c>
      <c r="F147" s="5">
        <f>'Suc. Dos de Agosto'!G147</f>
        <v>0</v>
      </c>
      <c r="G147" s="5">
        <f>'Suc. La Nueva Canasta'!G147</f>
        <v>0</v>
      </c>
      <c r="H147" s="5">
        <f>'Suc. Mololoa'!G147</f>
        <v>0</v>
      </c>
      <c r="I147" s="5">
        <f>'Suc. Plaza'!G147</f>
        <v>0</v>
      </c>
      <c r="J147" s="5">
        <f>'Suc. Vistas'!G147</f>
        <v>0</v>
      </c>
      <c r="K147" s="5">
        <f>'Suc. Xalisco'!G147</f>
        <v>0</v>
      </c>
      <c r="L147" s="5">
        <f t="shared" si="69"/>
        <v>0</v>
      </c>
      <c r="M147" s="5">
        <f>'GRAL. SUC. FORANEAS'!P147</f>
        <v>0</v>
      </c>
      <c r="N147" s="5">
        <f t="shared" si="70"/>
        <v>0</v>
      </c>
      <c r="O147" s="5"/>
      <c r="P147" s="5">
        <f t="shared" si="71"/>
        <v>0</v>
      </c>
      <c r="R147" s="200" t="s">
        <v>275</v>
      </c>
      <c r="S147" s="198">
        <v>0</v>
      </c>
    </row>
    <row r="148" spans="1:19" ht="18" thickBot="1" x14ac:dyDescent="0.4">
      <c r="A148" s="95"/>
      <c r="B148" s="4">
        <f>'Suc. Amado Nervo'!G148</f>
        <v>0</v>
      </c>
      <c r="C148" s="4">
        <f>'Suc. León'!G148</f>
        <v>0</v>
      </c>
      <c r="D148" s="5">
        <f>'San Cayetano'!G148</f>
        <v>0</v>
      </c>
      <c r="E148" s="5">
        <f>'Suc. Boulevard'!G148</f>
        <v>0</v>
      </c>
      <c r="F148" s="5">
        <f>'Suc. Dos de Agosto'!G148</f>
        <v>0</v>
      </c>
      <c r="G148" s="5">
        <f>'Suc. La Nueva Canasta'!G148</f>
        <v>0</v>
      </c>
      <c r="H148" s="5">
        <f>'Suc. Mololoa'!G148</f>
        <v>0</v>
      </c>
      <c r="I148" s="5">
        <f>'Suc. Plaza'!G148</f>
        <v>0</v>
      </c>
      <c r="J148" s="5">
        <f>'Suc. Vistas'!G148</f>
        <v>0</v>
      </c>
      <c r="K148" s="5">
        <f>'Suc. Xalisco'!G148</f>
        <v>0</v>
      </c>
      <c r="L148" s="5">
        <f t="shared" si="69"/>
        <v>0</v>
      </c>
      <c r="M148" s="5">
        <f>'GRAL. SUC. FORANEAS'!P148</f>
        <v>0</v>
      </c>
      <c r="N148" s="5">
        <f t="shared" si="70"/>
        <v>0</v>
      </c>
      <c r="O148" s="5"/>
      <c r="P148" s="5">
        <f t="shared" si="71"/>
        <v>0</v>
      </c>
      <c r="R148" s="200" t="s">
        <v>276</v>
      </c>
      <c r="S148" s="198">
        <v>0</v>
      </c>
    </row>
    <row r="149" spans="1:19" ht="18" thickBot="1" x14ac:dyDescent="0.4">
      <c r="A149" s="173"/>
      <c r="B149" s="57">
        <f t="shared" ref="B149:P149" si="73">SUM(B118:B127)</f>
        <v>2</v>
      </c>
      <c r="C149" s="57">
        <f t="shared" si="73"/>
        <v>1</v>
      </c>
      <c r="D149" s="57">
        <f t="shared" si="73"/>
        <v>4</v>
      </c>
      <c r="E149" s="57">
        <f t="shared" si="73"/>
        <v>0</v>
      </c>
      <c r="F149" s="57">
        <f t="shared" si="73"/>
        <v>4</v>
      </c>
      <c r="G149" s="57">
        <f>SUM(G118:G148,)</f>
        <v>0</v>
      </c>
      <c r="H149" s="57">
        <f t="shared" si="73"/>
        <v>5</v>
      </c>
      <c r="I149" s="57">
        <f t="shared" si="73"/>
        <v>2</v>
      </c>
      <c r="J149" s="57">
        <f t="shared" si="73"/>
        <v>9</v>
      </c>
      <c r="K149" s="57">
        <f t="shared" si="73"/>
        <v>1</v>
      </c>
      <c r="L149" s="57">
        <f t="shared" si="73"/>
        <v>28</v>
      </c>
      <c r="M149" s="57">
        <f t="shared" si="73"/>
        <v>75</v>
      </c>
      <c r="N149" s="57">
        <f t="shared" si="73"/>
        <v>47</v>
      </c>
      <c r="O149" s="57">
        <f t="shared" si="73"/>
        <v>0</v>
      </c>
      <c r="P149" s="57">
        <f t="shared" si="73"/>
        <v>47</v>
      </c>
      <c r="R149" s="200" t="s">
        <v>277</v>
      </c>
      <c r="S149" s="198">
        <v>0</v>
      </c>
    </row>
    <row r="150" spans="1:19" ht="18" thickBot="1" x14ac:dyDescent="0.4">
      <c r="A150" s="110" t="s">
        <v>86</v>
      </c>
      <c r="B150" s="59">
        <f t="shared" ref="B150:P150" si="74">B117+B149</f>
        <v>20</v>
      </c>
      <c r="C150" s="59">
        <f t="shared" si="74"/>
        <v>20</v>
      </c>
      <c r="D150" s="59">
        <f t="shared" si="74"/>
        <v>52</v>
      </c>
      <c r="E150" s="59">
        <f t="shared" si="74"/>
        <v>38</v>
      </c>
      <c r="F150" s="59">
        <f t="shared" si="74"/>
        <v>52</v>
      </c>
      <c r="G150" s="59">
        <f t="shared" si="74"/>
        <v>0</v>
      </c>
      <c r="H150" s="59">
        <f t="shared" si="74"/>
        <v>66</v>
      </c>
      <c r="I150" s="59">
        <f t="shared" si="74"/>
        <v>58</v>
      </c>
      <c r="J150" s="59">
        <f t="shared" si="74"/>
        <v>92</v>
      </c>
      <c r="K150" s="59">
        <f t="shared" si="74"/>
        <v>46</v>
      </c>
      <c r="L150" s="59">
        <f t="shared" si="74"/>
        <v>444</v>
      </c>
      <c r="M150" s="59">
        <f t="shared" si="74"/>
        <v>1309</v>
      </c>
      <c r="N150" s="59">
        <f t="shared" si="74"/>
        <v>865</v>
      </c>
      <c r="O150" s="59">
        <f t="shared" si="74"/>
        <v>0</v>
      </c>
      <c r="P150" s="59">
        <f t="shared" si="74"/>
        <v>865</v>
      </c>
      <c r="R150" s="200" t="s">
        <v>278</v>
      </c>
      <c r="S150" s="198">
        <v>0</v>
      </c>
    </row>
    <row r="151" spans="1:19" x14ac:dyDescent="0.3">
      <c r="R151" s="200" t="s">
        <v>279</v>
      </c>
      <c r="S151" s="198">
        <v>0</v>
      </c>
    </row>
    <row r="152" spans="1:19" x14ac:dyDescent="0.3">
      <c r="R152" s="200" t="s">
        <v>280</v>
      </c>
      <c r="S152" s="198">
        <v>0</v>
      </c>
    </row>
    <row r="153" spans="1:19" x14ac:dyDescent="0.3">
      <c r="R153" s="200" t="s">
        <v>957</v>
      </c>
      <c r="S153" s="198">
        <v>0</v>
      </c>
    </row>
    <row r="154" spans="1:19" x14ac:dyDescent="0.3">
      <c r="R154" s="200" t="s">
        <v>281</v>
      </c>
      <c r="S154" s="198">
        <v>0</v>
      </c>
    </row>
    <row r="155" spans="1:19" x14ac:dyDescent="0.3">
      <c r="R155" s="200" t="s">
        <v>282</v>
      </c>
      <c r="S155" s="198">
        <v>0</v>
      </c>
    </row>
    <row r="156" spans="1:19" x14ac:dyDescent="0.3">
      <c r="R156" s="200" t="s">
        <v>283</v>
      </c>
      <c r="S156" s="198">
        <v>0</v>
      </c>
    </row>
    <row r="157" spans="1:19" x14ac:dyDescent="0.3">
      <c r="R157" s="200" t="s">
        <v>284</v>
      </c>
      <c r="S157" s="198">
        <v>0</v>
      </c>
    </row>
    <row r="158" spans="1:19" x14ac:dyDescent="0.3">
      <c r="R158" s="200" t="s">
        <v>285</v>
      </c>
      <c r="S158" s="198">
        <v>0</v>
      </c>
    </row>
    <row r="159" spans="1:19" x14ac:dyDescent="0.3">
      <c r="R159" s="200" t="s">
        <v>971</v>
      </c>
      <c r="S159" s="198">
        <v>0</v>
      </c>
    </row>
    <row r="160" spans="1:19" x14ac:dyDescent="0.3">
      <c r="R160" s="200" t="s">
        <v>287</v>
      </c>
      <c r="S160" s="198">
        <v>0</v>
      </c>
    </row>
    <row r="161" spans="18:19" x14ac:dyDescent="0.3">
      <c r="R161" s="200" t="s">
        <v>288</v>
      </c>
      <c r="S161" s="198">
        <v>0</v>
      </c>
    </row>
    <row r="162" spans="18:19" x14ac:dyDescent="0.3">
      <c r="R162" s="200" t="s">
        <v>289</v>
      </c>
      <c r="S162" s="198">
        <v>0</v>
      </c>
    </row>
    <row r="163" spans="18:19" x14ac:dyDescent="0.3">
      <c r="R163" s="200" t="s">
        <v>290</v>
      </c>
      <c r="S163" s="198">
        <v>0</v>
      </c>
    </row>
    <row r="164" spans="18:19" x14ac:dyDescent="0.3">
      <c r="R164" s="200" t="s">
        <v>44</v>
      </c>
      <c r="S164" s="198">
        <v>9</v>
      </c>
    </row>
    <row r="165" spans="18:19" x14ac:dyDescent="0.3">
      <c r="R165" s="200" t="s">
        <v>45</v>
      </c>
      <c r="S165" s="198">
        <v>6</v>
      </c>
    </row>
    <row r="166" spans="18:19" x14ac:dyDescent="0.3">
      <c r="R166" s="200" t="s">
        <v>1028</v>
      </c>
      <c r="S166" s="198">
        <v>4</v>
      </c>
    </row>
    <row r="167" spans="18:19" x14ac:dyDescent="0.3">
      <c r="R167" s="200" t="s">
        <v>46</v>
      </c>
      <c r="S167" s="198">
        <v>13</v>
      </c>
    </row>
    <row r="168" spans="18:19" x14ac:dyDescent="0.3">
      <c r="R168" s="200" t="s">
        <v>291</v>
      </c>
      <c r="S168" s="198">
        <v>0</v>
      </c>
    </row>
    <row r="169" spans="18:19" x14ac:dyDescent="0.3">
      <c r="R169" s="200" t="s">
        <v>292</v>
      </c>
      <c r="S169" s="198">
        <v>0</v>
      </c>
    </row>
    <row r="170" spans="18:19" x14ac:dyDescent="0.3">
      <c r="R170" s="200" t="s">
        <v>294</v>
      </c>
      <c r="S170" s="198">
        <v>0</v>
      </c>
    </row>
    <row r="171" spans="18:19" x14ac:dyDescent="0.3">
      <c r="R171" s="200" t="s">
        <v>47</v>
      </c>
      <c r="S171" s="198">
        <v>0</v>
      </c>
    </row>
    <row r="172" spans="18:19" x14ac:dyDescent="0.3">
      <c r="R172" s="200" t="s">
        <v>295</v>
      </c>
      <c r="S172" s="198">
        <v>0</v>
      </c>
    </row>
    <row r="173" spans="18:19" x14ac:dyDescent="0.3">
      <c r="R173" s="200" t="s">
        <v>296</v>
      </c>
      <c r="S173" s="198">
        <v>0</v>
      </c>
    </row>
    <row r="174" spans="18:19" x14ac:dyDescent="0.3">
      <c r="R174" s="200" t="s">
        <v>297</v>
      </c>
      <c r="S174" s="198">
        <v>0</v>
      </c>
    </row>
    <row r="175" spans="18:19" x14ac:dyDescent="0.3">
      <c r="R175" s="200" t="s">
        <v>298</v>
      </c>
      <c r="S175" s="198">
        <v>0</v>
      </c>
    </row>
    <row r="176" spans="18:19" x14ac:dyDescent="0.3">
      <c r="R176" s="200" t="s">
        <v>24</v>
      </c>
      <c r="S176" s="198">
        <v>19</v>
      </c>
    </row>
    <row r="177" spans="18:19" x14ac:dyDescent="0.3">
      <c r="R177" s="200" t="s">
        <v>8</v>
      </c>
      <c r="S177" s="198">
        <v>22</v>
      </c>
    </row>
    <row r="178" spans="18:19" x14ac:dyDescent="0.3">
      <c r="R178" s="200" t="s">
        <v>299</v>
      </c>
      <c r="S178" s="198">
        <v>0</v>
      </c>
    </row>
    <row r="179" spans="18:19" x14ac:dyDescent="0.3">
      <c r="R179" s="200" t="s">
        <v>12</v>
      </c>
      <c r="S179" s="198">
        <v>15</v>
      </c>
    </row>
    <row r="180" spans="18:19" x14ac:dyDescent="0.3">
      <c r="R180" s="200" t="s">
        <v>300</v>
      </c>
      <c r="S180" s="198">
        <v>0</v>
      </c>
    </row>
    <row r="181" spans="18:19" x14ac:dyDescent="0.3">
      <c r="R181" s="200" t="s">
        <v>40</v>
      </c>
      <c r="S181" s="198">
        <v>1</v>
      </c>
    </row>
    <row r="182" spans="18:19" x14ac:dyDescent="0.3">
      <c r="R182" s="200" t="s">
        <v>301</v>
      </c>
      <c r="S182" s="198">
        <v>0</v>
      </c>
    </row>
    <row r="183" spans="18:19" x14ac:dyDescent="0.3">
      <c r="R183" s="200" t="s">
        <v>302</v>
      </c>
      <c r="S183" s="198">
        <v>0</v>
      </c>
    </row>
    <row r="184" spans="18:19" x14ac:dyDescent="0.3">
      <c r="R184" s="200" t="s">
        <v>910</v>
      </c>
      <c r="S184" s="198">
        <v>0</v>
      </c>
    </row>
    <row r="185" spans="18:19" x14ac:dyDescent="0.3">
      <c r="R185" s="200" t="s">
        <v>303</v>
      </c>
      <c r="S185" s="198">
        <v>0</v>
      </c>
    </row>
    <row r="186" spans="18:19" x14ac:dyDescent="0.3">
      <c r="R186" s="200" t="s">
        <v>20</v>
      </c>
      <c r="S186" s="198">
        <v>0</v>
      </c>
    </row>
    <row r="187" spans="18:19" x14ac:dyDescent="0.3">
      <c r="R187" s="200" t="s">
        <v>322</v>
      </c>
      <c r="S187" s="198">
        <v>0</v>
      </c>
    </row>
    <row r="188" spans="18:19" x14ac:dyDescent="0.3">
      <c r="R188" s="200" t="s">
        <v>323</v>
      </c>
      <c r="S188" s="198">
        <v>0</v>
      </c>
    </row>
    <row r="189" spans="18:19" x14ac:dyDescent="0.3">
      <c r="R189" s="200" t="s">
        <v>325</v>
      </c>
      <c r="S189" s="198">
        <v>0</v>
      </c>
    </row>
    <row r="190" spans="18:19" x14ac:dyDescent="0.3">
      <c r="R190" s="200" t="s">
        <v>326</v>
      </c>
      <c r="S190" s="198">
        <v>0</v>
      </c>
    </row>
    <row r="191" spans="18:19" x14ac:dyDescent="0.3">
      <c r="R191" s="200" t="s">
        <v>327</v>
      </c>
      <c r="S191" s="198">
        <v>0</v>
      </c>
    </row>
    <row r="192" spans="18:19" x14ac:dyDescent="0.3">
      <c r="R192" s="200" t="s">
        <v>330</v>
      </c>
      <c r="S192" s="198">
        <v>0</v>
      </c>
    </row>
    <row r="193" spans="18:19" x14ac:dyDescent="0.3">
      <c r="R193" s="200" t="s">
        <v>331</v>
      </c>
      <c r="S193" s="198">
        <v>0</v>
      </c>
    </row>
    <row r="194" spans="18:19" x14ac:dyDescent="0.3">
      <c r="R194" s="200" t="s">
        <v>332</v>
      </c>
      <c r="S194" s="198">
        <v>0</v>
      </c>
    </row>
    <row r="195" spans="18:19" x14ac:dyDescent="0.3">
      <c r="R195" s="200" t="s">
        <v>333</v>
      </c>
      <c r="S195" s="198">
        <v>0</v>
      </c>
    </row>
    <row r="196" spans="18:19" x14ac:dyDescent="0.3">
      <c r="R196" s="200" t="s">
        <v>334</v>
      </c>
      <c r="S196" s="198">
        <v>0</v>
      </c>
    </row>
    <row r="197" spans="18:19" x14ac:dyDescent="0.3">
      <c r="R197" s="200" t="s">
        <v>335</v>
      </c>
      <c r="S197" s="198">
        <v>0</v>
      </c>
    </row>
    <row r="198" spans="18:19" x14ac:dyDescent="0.3">
      <c r="R198" s="200" t="s">
        <v>336</v>
      </c>
      <c r="S198" s="198">
        <v>0</v>
      </c>
    </row>
    <row r="199" spans="18:19" x14ac:dyDescent="0.3">
      <c r="R199" s="200" t="s">
        <v>337</v>
      </c>
      <c r="S199" s="198">
        <v>0</v>
      </c>
    </row>
    <row r="200" spans="18:19" x14ac:dyDescent="0.3">
      <c r="R200" s="200" t="s">
        <v>338</v>
      </c>
      <c r="S200" s="198">
        <v>0</v>
      </c>
    </row>
    <row r="201" spans="18:19" x14ac:dyDescent="0.3">
      <c r="R201" s="200" t="s">
        <v>339</v>
      </c>
      <c r="S201" s="198">
        <v>0</v>
      </c>
    </row>
    <row r="202" spans="18:19" x14ac:dyDescent="0.3">
      <c r="R202" s="200" t="s">
        <v>340</v>
      </c>
      <c r="S202" s="198">
        <v>0</v>
      </c>
    </row>
    <row r="203" spans="18:19" x14ac:dyDescent="0.3">
      <c r="R203" s="200" t="s">
        <v>1008</v>
      </c>
      <c r="S203" s="198">
        <v>0</v>
      </c>
    </row>
    <row r="204" spans="18:19" x14ac:dyDescent="0.3">
      <c r="R204" s="200" t="s">
        <v>341</v>
      </c>
      <c r="S204" s="198">
        <v>0</v>
      </c>
    </row>
    <row r="205" spans="18:19" x14ac:dyDescent="0.3">
      <c r="R205" s="200" t="s">
        <v>342</v>
      </c>
      <c r="S205" s="198">
        <v>0</v>
      </c>
    </row>
    <row r="206" spans="18:19" x14ac:dyDescent="0.3">
      <c r="R206" s="200" t="s">
        <v>343</v>
      </c>
      <c r="S206" s="198">
        <v>0</v>
      </c>
    </row>
    <row r="207" spans="18:19" x14ac:dyDescent="0.3">
      <c r="R207" s="200" t="s">
        <v>19</v>
      </c>
      <c r="S207" s="198">
        <v>0</v>
      </c>
    </row>
    <row r="208" spans="18:19" x14ac:dyDescent="0.3">
      <c r="R208" s="200" t="s">
        <v>5</v>
      </c>
      <c r="S208" s="198">
        <v>12</v>
      </c>
    </row>
    <row r="209" spans="18:19" x14ac:dyDescent="0.3">
      <c r="R209" s="200" t="s">
        <v>344</v>
      </c>
      <c r="S209" s="198">
        <v>10</v>
      </c>
    </row>
    <row r="210" spans="18:19" x14ac:dyDescent="0.3">
      <c r="R210" s="200" t="s">
        <v>15</v>
      </c>
      <c r="S210" s="198">
        <v>11</v>
      </c>
    </row>
    <row r="211" spans="18:19" x14ac:dyDescent="0.3">
      <c r="R211" s="200" t="s">
        <v>2</v>
      </c>
      <c r="S211" s="198">
        <v>10</v>
      </c>
    </row>
    <row r="212" spans="18:19" x14ac:dyDescent="0.3">
      <c r="R212" s="200" t="s">
        <v>345</v>
      </c>
      <c r="S212" s="198">
        <v>0</v>
      </c>
    </row>
    <row r="213" spans="18:19" x14ac:dyDescent="0.3">
      <c r="R213" s="200" t="s">
        <v>346</v>
      </c>
      <c r="S213" s="198">
        <v>0</v>
      </c>
    </row>
    <row r="214" spans="18:19" x14ac:dyDescent="0.3">
      <c r="R214" s="200" t="s">
        <v>347</v>
      </c>
      <c r="S214" s="198">
        <v>0</v>
      </c>
    </row>
    <row r="215" spans="18:19" x14ac:dyDescent="0.3">
      <c r="R215" s="200" t="s">
        <v>348</v>
      </c>
      <c r="S215" s="198">
        <v>0</v>
      </c>
    </row>
    <row r="216" spans="18:19" x14ac:dyDescent="0.3">
      <c r="R216" s="200" t="s">
        <v>992</v>
      </c>
      <c r="S216" s="198">
        <v>0</v>
      </c>
    </row>
    <row r="217" spans="18:19" x14ac:dyDescent="0.3">
      <c r="R217" s="200" t="s">
        <v>351</v>
      </c>
      <c r="S217" s="198">
        <v>0</v>
      </c>
    </row>
    <row r="218" spans="18:19" x14ac:dyDescent="0.3">
      <c r="R218" s="200" t="s">
        <v>352</v>
      </c>
      <c r="S218" s="198">
        <v>0</v>
      </c>
    </row>
    <row r="219" spans="18:19" x14ac:dyDescent="0.3">
      <c r="R219" s="200" t="s">
        <v>353</v>
      </c>
      <c r="S219" s="198">
        <v>0</v>
      </c>
    </row>
    <row r="220" spans="18:19" x14ac:dyDescent="0.3">
      <c r="R220" s="200" t="s">
        <v>354</v>
      </c>
      <c r="S220" s="198">
        <v>0</v>
      </c>
    </row>
    <row r="221" spans="18:19" x14ac:dyDescent="0.3">
      <c r="R221" s="200" t="s">
        <v>823</v>
      </c>
      <c r="S221" s="198">
        <v>0</v>
      </c>
    </row>
    <row r="222" spans="18:19" x14ac:dyDescent="0.3">
      <c r="R222" s="200" t="s">
        <v>355</v>
      </c>
      <c r="S222" s="198">
        <v>0</v>
      </c>
    </row>
    <row r="223" spans="18:19" x14ac:dyDescent="0.3">
      <c r="R223" s="200" t="s">
        <v>356</v>
      </c>
      <c r="S223" s="198">
        <v>0</v>
      </c>
    </row>
    <row r="224" spans="18:19" x14ac:dyDescent="0.3">
      <c r="R224" s="200" t="s">
        <v>85</v>
      </c>
      <c r="S224" s="198">
        <v>1</v>
      </c>
    </row>
    <row r="225" spans="18:19" x14ac:dyDescent="0.3">
      <c r="R225" s="200" t="s">
        <v>357</v>
      </c>
      <c r="S225" s="198">
        <v>0</v>
      </c>
    </row>
    <row r="226" spans="18:19" x14ac:dyDescent="0.3">
      <c r="R226" s="200" t="s">
        <v>358</v>
      </c>
      <c r="S226" s="198">
        <v>0</v>
      </c>
    </row>
    <row r="227" spans="18:19" x14ac:dyDescent="0.3">
      <c r="R227" s="200" t="s">
        <v>16</v>
      </c>
      <c r="S227" s="198">
        <v>13</v>
      </c>
    </row>
    <row r="228" spans="18:19" x14ac:dyDescent="0.3">
      <c r="R228" s="200" t="s">
        <v>362</v>
      </c>
      <c r="S228" s="198">
        <v>0</v>
      </c>
    </row>
    <row r="229" spans="18:19" x14ac:dyDescent="0.3">
      <c r="R229" s="200" t="s">
        <v>363</v>
      </c>
      <c r="S229" s="198">
        <v>0</v>
      </c>
    </row>
    <row r="230" spans="18:19" x14ac:dyDescent="0.3">
      <c r="R230" s="200" t="s">
        <v>18</v>
      </c>
      <c r="S230" s="198">
        <v>14</v>
      </c>
    </row>
    <row r="231" spans="18:19" x14ac:dyDescent="0.3">
      <c r="R231" s="200" t="s">
        <v>4</v>
      </c>
      <c r="S231" s="198">
        <v>17</v>
      </c>
    </row>
    <row r="232" spans="18:19" x14ac:dyDescent="0.3">
      <c r="R232" s="200" t="s">
        <v>11</v>
      </c>
      <c r="S232" s="198">
        <v>14</v>
      </c>
    </row>
    <row r="233" spans="18:19" x14ac:dyDescent="0.3">
      <c r="R233" s="200" t="s">
        <v>1125</v>
      </c>
      <c r="S233" s="198">
        <v>13</v>
      </c>
    </row>
    <row r="234" spans="18:19" x14ac:dyDescent="0.3">
      <c r="R234" s="200" t="s">
        <v>1126</v>
      </c>
      <c r="S234" s="198">
        <v>16</v>
      </c>
    </row>
    <row r="235" spans="18:19" x14ac:dyDescent="0.3">
      <c r="R235" s="200" t="s">
        <v>365</v>
      </c>
      <c r="S235" s="198">
        <v>0</v>
      </c>
    </row>
    <row r="236" spans="18:19" x14ac:dyDescent="0.3">
      <c r="R236" s="200" t="s">
        <v>1014</v>
      </c>
      <c r="S236" s="198">
        <v>136</v>
      </c>
    </row>
    <row r="237" spans="18:19" x14ac:dyDescent="0.3">
      <c r="R237" s="200" t="s">
        <v>366</v>
      </c>
      <c r="S237" s="198">
        <v>0</v>
      </c>
    </row>
    <row r="238" spans="18:19" x14ac:dyDescent="0.3">
      <c r="R238" s="200" t="s">
        <v>369</v>
      </c>
      <c r="S238" s="198">
        <v>0</v>
      </c>
    </row>
    <row r="239" spans="18:19" x14ac:dyDescent="0.3">
      <c r="R239" s="200" t="s">
        <v>373</v>
      </c>
      <c r="S239" s="198">
        <v>0</v>
      </c>
    </row>
    <row r="240" spans="18:19" x14ac:dyDescent="0.3">
      <c r="R240" s="200" t="s">
        <v>1023</v>
      </c>
      <c r="S240" s="198">
        <v>10</v>
      </c>
    </row>
    <row r="241" spans="18:19" x14ac:dyDescent="0.3">
      <c r="R241" s="200" t="s">
        <v>374</v>
      </c>
      <c r="S241" s="198">
        <v>0</v>
      </c>
    </row>
    <row r="242" spans="18:19" x14ac:dyDescent="0.3">
      <c r="R242" s="200" t="s">
        <v>378</v>
      </c>
      <c r="S242" s="198">
        <v>157</v>
      </c>
    </row>
    <row r="243" spans="18:19" x14ac:dyDescent="0.3">
      <c r="R243" s="200" t="s">
        <v>379</v>
      </c>
      <c r="S243" s="198">
        <v>0</v>
      </c>
    </row>
    <row r="244" spans="18:19" x14ac:dyDescent="0.3">
      <c r="R244" s="200" t="s">
        <v>380</v>
      </c>
      <c r="S244" s="198">
        <v>0</v>
      </c>
    </row>
    <row r="245" spans="18:19" x14ac:dyDescent="0.3">
      <c r="R245" s="200" t="s">
        <v>835</v>
      </c>
      <c r="S245" s="198">
        <v>18</v>
      </c>
    </row>
    <row r="246" spans="18:19" x14ac:dyDescent="0.3">
      <c r="R246" s="200" t="s">
        <v>67</v>
      </c>
      <c r="S246" s="198">
        <v>0</v>
      </c>
    </row>
    <row r="247" spans="18:19" x14ac:dyDescent="0.3">
      <c r="R247" s="200" t="s">
        <v>65</v>
      </c>
      <c r="S247" s="198">
        <v>9</v>
      </c>
    </row>
    <row r="248" spans="18:19" x14ac:dyDescent="0.3">
      <c r="R248" s="200" t="s">
        <v>993</v>
      </c>
      <c r="S248" s="198">
        <v>0</v>
      </c>
    </row>
    <row r="249" spans="18:19" x14ac:dyDescent="0.3">
      <c r="R249" s="200" t="s">
        <v>69</v>
      </c>
      <c r="S249" s="198">
        <v>30</v>
      </c>
    </row>
    <row r="250" spans="18:19" x14ac:dyDescent="0.3">
      <c r="R250" s="200" t="s">
        <v>70</v>
      </c>
      <c r="S250" s="198">
        <v>22</v>
      </c>
    </row>
    <row r="251" spans="18:19" x14ac:dyDescent="0.3">
      <c r="R251" s="200" t="s">
        <v>381</v>
      </c>
      <c r="S251" s="198">
        <v>0</v>
      </c>
    </row>
    <row r="252" spans="18:19" x14ac:dyDescent="0.3">
      <c r="R252" s="200" t="s">
        <v>68</v>
      </c>
      <c r="S252" s="198">
        <v>6</v>
      </c>
    </row>
    <row r="253" spans="18:19" x14ac:dyDescent="0.3">
      <c r="R253" s="200" t="s">
        <v>383</v>
      </c>
      <c r="S253" s="198">
        <v>0</v>
      </c>
    </row>
    <row r="254" spans="18:19" x14ac:dyDescent="0.3">
      <c r="R254" s="200" t="s">
        <v>384</v>
      </c>
      <c r="S254" s="198">
        <v>0</v>
      </c>
    </row>
    <row r="255" spans="18:19" x14ac:dyDescent="0.3">
      <c r="R255" s="200" t="s">
        <v>66</v>
      </c>
      <c r="S255" s="198">
        <v>9</v>
      </c>
    </row>
    <row r="256" spans="18:19" x14ac:dyDescent="0.3">
      <c r="R256" s="200" t="s">
        <v>385</v>
      </c>
      <c r="S256" s="198">
        <v>0</v>
      </c>
    </row>
    <row r="257" spans="18:19" x14ac:dyDescent="0.3">
      <c r="R257" s="200" t="s">
        <v>905</v>
      </c>
      <c r="S257" s="198">
        <v>0</v>
      </c>
    </row>
    <row r="258" spans="18:19" x14ac:dyDescent="0.3">
      <c r="R258" s="200" t="s">
        <v>857</v>
      </c>
      <c r="S258" s="198">
        <v>24</v>
      </c>
    </row>
    <row r="259" spans="18:19" x14ac:dyDescent="0.3">
      <c r="R259" s="200" t="s">
        <v>386</v>
      </c>
      <c r="S259" s="198">
        <v>0</v>
      </c>
    </row>
    <row r="260" spans="18:19" x14ac:dyDescent="0.3">
      <c r="R260" s="200" t="s">
        <v>387</v>
      </c>
      <c r="S260" s="198">
        <v>0</v>
      </c>
    </row>
    <row r="261" spans="18:19" x14ac:dyDescent="0.3">
      <c r="R261" s="200" t="s">
        <v>388</v>
      </c>
      <c r="S261" s="198">
        <v>0</v>
      </c>
    </row>
    <row r="262" spans="18:19" x14ac:dyDescent="0.3">
      <c r="R262" s="200" t="s">
        <v>389</v>
      </c>
      <c r="S262" s="198">
        <v>0</v>
      </c>
    </row>
    <row r="263" spans="18:19" x14ac:dyDescent="0.3">
      <c r="R263" s="200" t="s">
        <v>390</v>
      </c>
      <c r="S263" s="198">
        <v>0</v>
      </c>
    </row>
    <row r="264" spans="18:19" x14ac:dyDescent="0.3">
      <c r="R264" s="200" t="s">
        <v>391</v>
      </c>
      <c r="S264" s="198">
        <v>0</v>
      </c>
    </row>
    <row r="265" spans="18:19" x14ac:dyDescent="0.3">
      <c r="R265" s="200" t="s">
        <v>881</v>
      </c>
      <c r="S265" s="198">
        <v>8</v>
      </c>
    </row>
    <row r="266" spans="18:19" x14ac:dyDescent="0.3">
      <c r="R266" s="200" t="s">
        <v>422</v>
      </c>
      <c r="S266" s="198">
        <v>0</v>
      </c>
    </row>
    <row r="267" spans="18:19" x14ac:dyDescent="0.3">
      <c r="R267" s="200" t="s">
        <v>423</v>
      </c>
      <c r="S267" s="198">
        <v>9</v>
      </c>
    </row>
    <row r="268" spans="18:19" x14ac:dyDescent="0.3">
      <c r="R268" s="200" t="s">
        <v>424</v>
      </c>
      <c r="S268" s="198">
        <v>0</v>
      </c>
    </row>
    <row r="269" spans="18:19" x14ac:dyDescent="0.3">
      <c r="R269" s="200" t="s">
        <v>427</v>
      </c>
      <c r="S269" s="198">
        <v>0</v>
      </c>
    </row>
    <row r="270" spans="18:19" x14ac:dyDescent="0.3">
      <c r="R270" s="200" t="s">
        <v>428</v>
      </c>
      <c r="S270" s="198">
        <v>0</v>
      </c>
    </row>
    <row r="271" spans="18:19" x14ac:dyDescent="0.3">
      <c r="R271" s="200" t="s">
        <v>958</v>
      </c>
      <c r="S271" s="198">
        <v>0</v>
      </c>
    </row>
    <row r="272" spans="18:19" x14ac:dyDescent="0.3">
      <c r="R272" s="200" t="s">
        <v>430</v>
      </c>
      <c r="S272" s="198">
        <v>2</v>
      </c>
    </row>
    <row r="273" spans="18:19" x14ac:dyDescent="0.3">
      <c r="R273" s="200" t="s">
        <v>431</v>
      </c>
      <c r="S273" s="198">
        <v>0</v>
      </c>
    </row>
    <row r="274" spans="18:19" x14ac:dyDescent="0.3">
      <c r="R274" s="200" t="s">
        <v>25</v>
      </c>
      <c r="S274" s="198">
        <v>20</v>
      </c>
    </row>
    <row r="275" spans="18:19" x14ac:dyDescent="0.3">
      <c r="R275" s="200" t="s">
        <v>9</v>
      </c>
      <c r="S275" s="198">
        <v>2</v>
      </c>
    </row>
    <row r="276" spans="18:19" x14ac:dyDescent="0.3">
      <c r="R276" s="200" t="s">
        <v>432</v>
      </c>
      <c r="S276" s="198">
        <v>8</v>
      </c>
    </row>
    <row r="277" spans="18:19" x14ac:dyDescent="0.3">
      <c r="R277" s="200" t="s">
        <v>434</v>
      </c>
      <c r="S277" s="198">
        <v>0</v>
      </c>
    </row>
    <row r="278" spans="18:19" x14ac:dyDescent="0.3">
      <c r="R278" s="200" t="s">
        <v>435</v>
      </c>
      <c r="S278" s="198">
        <v>0</v>
      </c>
    </row>
    <row r="279" spans="18:19" x14ac:dyDescent="0.3">
      <c r="R279" s="200" t="s">
        <v>31</v>
      </c>
      <c r="S279" s="198">
        <v>23</v>
      </c>
    </row>
    <row r="280" spans="18:19" x14ac:dyDescent="0.3">
      <c r="R280" s="200" t="s">
        <v>436</v>
      </c>
      <c r="S280" s="198">
        <v>0</v>
      </c>
    </row>
    <row r="281" spans="18:19" x14ac:dyDescent="0.3">
      <c r="R281" s="200" t="s">
        <v>437</v>
      </c>
      <c r="S281" s="198">
        <v>0</v>
      </c>
    </row>
    <row r="282" spans="18:19" x14ac:dyDescent="0.3">
      <c r="R282" s="200" t="s">
        <v>438</v>
      </c>
      <c r="S282" s="198">
        <v>0</v>
      </c>
    </row>
    <row r="283" spans="18:19" x14ac:dyDescent="0.3">
      <c r="R283" s="200" t="s">
        <v>30</v>
      </c>
      <c r="S283" s="198">
        <v>16</v>
      </c>
    </row>
    <row r="284" spans="18:19" x14ac:dyDescent="0.3">
      <c r="R284" s="200" t="s">
        <v>994</v>
      </c>
      <c r="S284" s="198">
        <v>0</v>
      </c>
    </row>
    <row r="285" spans="18:19" x14ac:dyDescent="0.3">
      <c r="R285" s="200" t="s">
        <v>439</v>
      </c>
      <c r="S285" s="198">
        <v>0</v>
      </c>
    </row>
    <row r="286" spans="18:19" x14ac:dyDescent="0.3">
      <c r="R286" s="200" t="s">
        <v>34</v>
      </c>
      <c r="S286" s="198">
        <v>38</v>
      </c>
    </row>
    <row r="287" spans="18:19" x14ac:dyDescent="0.3">
      <c r="R287" s="200" t="s">
        <v>33</v>
      </c>
      <c r="S287" s="198">
        <v>48</v>
      </c>
    </row>
    <row r="288" spans="18:19" x14ac:dyDescent="0.3">
      <c r="R288" s="200" t="s">
        <v>440</v>
      </c>
      <c r="S288" s="198">
        <v>0</v>
      </c>
    </row>
    <row r="289" spans="18:19" x14ac:dyDescent="0.3">
      <c r="R289" s="200" t="s">
        <v>441</v>
      </c>
      <c r="S289" s="198">
        <v>0</v>
      </c>
    </row>
    <row r="290" spans="18:19" x14ac:dyDescent="0.3">
      <c r="R290" s="200" t="s">
        <v>821</v>
      </c>
      <c r="S290" s="198">
        <v>0</v>
      </c>
    </row>
    <row r="291" spans="18:19" x14ac:dyDescent="0.3">
      <c r="R291" s="200" t="s">
        <v>22</v>
      </c>
      <c r="S291" s="198">
        <v>13</v>
      </c>
    </row>
    <row r="292" spans="18:19" x14ac:dyDescent="0.3">
      <c r="R292" s="200" t="s">
        <v>467</v>
      </c>
      <c r="S292" s="198">
        <v>0</v>
      </c>
    </row>
    <row r="293" spans="18:19" x14ac:dyDescent="0.3">
      <c r="R293" s="200" t="s">
        <v>6</v>
      </c>
      <c r="S293" s="198">
        <v>23</v>
      </c>
    </row>
    <row r="294" spans="18:19" x14ac:dyDescent="0.3">
      <c r="R294" s="200" t="s">
        <v>468</v>
      </c>
      <c r="S294" s="198">
        <v>28</v>
      </c>
    </row>
    <row r="295" spans="18:19" x14ac:dyDescent="0.3">
      <c r="R295" s="200" t="s">
        <v>469</v>
      </c>
      <c r="S295" s="198">
        <v>0</v>
      </c>
    </row>
    <row r="296" spans="18:19" x14ac:dyDescent="0.3">
      <c r="R296" s="200" t="s">
        <v>470</v>
      </c>
      <c r="S296" s="198">
        <v>0</v>
      </c>
    </row>
    <row r="297" spans="18:19" x14ac:dyDescent="0.3">
      <c r="R297" s="200" t="s">
        <v>471</v>
      </c>
      <c r="S297" s="198">
        <v>0</v>
      </c>
    </row>
    <row r="298" spans="18:19" x14ac:dyDescent="0.3">
      <c r="R298" s="200" t="s">
        <v>545</v>
      </c>
      <c r="S298" s="198">
        <v>0</v>
      </c>
    </row>
    <row r="299" spans="18:19" x14ac:dyDescent="0.3">
      <c r="R299" s="200" t="s">
        <v>546</v>
      </c>
      <c r="S299" s="198">
        <v>0</v>
      </c>
    </row>
    <row r="300" spans="18:19" x14ac:dyDescent="0.3">
      <c r="R300" s="200" t="s">
        <v>548</v>
      </c>
      <c r="S300" s="198">
        <v>0</v>
      </c>
    </row>
    <row r="301" spans="18:19" x14ac:dyDescent="0.3">
      <c r="R301" s="200" t="s">
        <v>23</v>
      </c>
      <c r="S301" s="198">
        <v>3</v>
      </c>
    </row>
    <row r="302" spans="18:19" x14ac:dyDescent="0.3">
      <c r="R302" s="200" t="s">
        <v>7</v>
      </c>
      <c r="S302" s="198">
        <v>2</v>
      </c>
    </row>
    <row r="303" spans="18:19" x14ac:dyDescent="0.3">
      <c r="R303" s="200" t="s">
        <v>26</v>
      </c>
      <c r="S303" s="198">
        <v>0</v>
      </c>
    </row>
    <row r="304" spans="18:19" x14ac:dyDescent="0.3">
      <c r="R304" s="200" t="s">
        <v>550</v>
      </c>
      <c r="S304" s="198">
        <v>0</v>
      </c>
    </row>
    <row r="305" spans="18:19" x14ac:dyDescent="0.3">
      <c r="R305" s="200" t="s">
        <v>551</v>
      </c>
      <c r="S305" s="198">
        <v>12</v>
      </c>
    </row>
    <row r="306" spans="18:19" x14ac:dyDescent="0.3">
      <c r="R306" s="200" t="s">
        <v>1076</v>
      </c>
      <c r="S306" s="198">
        <v>0</v>
      </c>
    </row>
    <row r="307" spans="18:19" x14ac:dyDescent="0.3">
      <c r="R307" s="200" t="s">
        <v>1077</v>
      </c>
      <c r="S307" s="198">
        <v>0</v>
      </c>
    </row>
    <row r="308" spans="18:19" x14ac:dyDescent="0.3">
      <c r="R308" s="200" t="s">
        <v>552</v>
      </c>
      <c r="S308" s="198">
        <v>0</v>
      </c>
    </row>
    <row r="309" spans="18:19" x14ac:dyDescent="0.3">
      <c r="R309" s="200" t="s">
        <v>553</v>
      </c>
      <c r="S309" s="198">
        <v>0</v>
      </c>
    </row>
    <row r="310" spans="18:19" x14ac:dyDescent="0.3">
      <c r="R310" s="200" t="s">
        <v>554</v>
      </c>
      <c r="S310" s="198">
        <v>0</v>
      </c>
    </row>
    <row r="311" spans="18:19" x14ac:dyDescent="0.3">
      <c r="R311" s="200" t="s">
        <v>555</v>
      </c>
      <c r="S311" s="198">
        <v>0</v>
      </c>
    </row>
    <row r="312" spans="18:19" x14ac:dyDescent="0.3">
      <c r="R312" s="200" t="s">
        <v>556</v>
      </c>
      <c r="S312" s="198">
        <v>0</v>
      </c>
    </row>
    <row r="313" spans="18:19" x14ac:dyDescent="0.3">
      <c r="R313" s="200" t="s">
        <v>558</v>
      </c>
      <c r="S313" s="198">
        <v>0</v>
      </c>
    </row>
    <row r="314" spans="18:19" x14ac:dyDescent="0.3">
      <c r="R314" s="200" t="s">
        <v>559</v>
      </c>
      <c r="S314" s="198">
        <v>0</v>
      </c>
    </row>
    <row r="315" spans="18:19" x14ac:dyDescent="0.3">
      <c r="R315" s="200" t="s">
        <v>561</v>
      </c>
      <c r="S315" s="198">
        <v>0</v>
      </c>
    </row>
    <row r="316" spans="18:19" x14ac:dyDescent="0.3">
      <c r="R316" s="200" t="s">
        <v>562</v>
      </c>
      <c r="S316" s="198">
        <v>0</v>
      </c>
    </row>
    <row r="317" spans="18:19" x14ac:dyDescent="0.3">
      <c r="R317" s="200" t="s">
        <v>563</v>
      </c>
      <c r="S317" s="198">
        <v>0</v>
      </c>
    </row>
    <row r="318" spans="18:19" x14ac:dyDescent="0.3">
      <c r="R318" s="200" t="s">
        <v>564</v>
      </c>
      <c r="S318" s="198">
        <v>0</v>
      </c>
    </row>
    <row r="319" spans="18:19" x14ac:dyDescent="0.3">
      <c r="R319" s="200" t="s">
        <v>565</v>
      </c>
      <c r="S319" s="198">
        <v>0</v>
      </c>
    </row>
    <row r="320" spans="18:19" x14ac:dyDescent="0.3">
      <c r="R320" s="200" t="s">
        <v>566</v>
      </c>
      <c r="S320" s="198">
        <v>0</v>
      </c>
    </row>
    <row r="321" spans="18:19" x14ac:dyDescent="0.3">
      <c r="R321" s="200" t="s">
        <v>567</v>
      </c>
      <c r="S321" s="198">
        <v>0</v>
      </c>
    </row>
    <row r="322" spans="18:19" x14ac:dyDescent="0.3">
      <c r="R322" s="200" t="s">
        <v>568</v>
      </c>
      <c r="S322" s="198">
        <v>0</v>
      </c>
    </row>
    <row r="323" spans="18:19" x14ac:dyDescent="0.3">
      <c r="R323" s="200" t="s">
        <v>569</v>
      </c>
      <c r="S323" s="198">
        <v>0</v>
      </c>
    </row>
    <row r="324" spans="18:19" x14ac:dyDescent="0.3">
      <c r="R324" s="200" t="s">
        <v>571</v>
      </c>
      <c r="S324" s="198">
        <v>0</v>
      </c>
    </row>
    <row r="325" spans="18:19" x14ac:dyDescent="0.3">
      <c r="R325" s="200" t="s">
        <v>572</v>
      </c>
      <c r="S325" s="198">
        <v>0</v>
      </c>
    </row>
    <row r="326" spans="18:19" x14ac:dyDescent="0.3">
      <c r="R326" s="200" t="s">
        <v>573</v>
      </c>
      <c r="S326" s="198">
        <v>0</v>
      </c>
    </row>
    <row r="327" spans="18:19" x14ac:dyDescent="0.3">
      <c r="R327" s="200" t="s">
        <v>574</v>
      </c>
      <c r="S327" s="198">
        <v>0</v>
      </c>
    </row>
    <row r="328" spans="18:19" x14ac:dyDescent="0.3">
      <c r="R328" s="200" t="s">
        <v>1120</v>
      </c>
      <c r="S328" s="198">
        <v>8</v>
      </c>
    </row>
    <row r="329" spans="18:19" x14ac:dyDescent="0.3">
      <c r="R329" s="200" t="s">
        <v>581</v>
      </c>
      <c r="S329" s="198">
        <v>0</v>
      </c>
    </row>
    <row r="330" spans="18:19" x14ac:dyDescent="0.3">
      <c r="R330" s="200" t="s">
        <v>582</v>
      </c>
      <c r="S330" s="198">
        <v>0</v>
      </c>
    </row>
    <row r="331" spans="18:19" x14ac:dyDescent="0.3">
      <c r="R331" s="200" t="s">
        <v>583</v>
      </c>
      <c r="S331" s="198">
        <v>0</v>
      </c>
    </row>
    <row r="332" spans="18:19" x14ac:dyDescent="0.3">
      <c r="R332" s="200" t="s">
        <v>584</v>
      </c>
      <c r="S332" s="198">
        <v>0</v>
      </c>
    </row>
    <row r="333" spans="18:19" x14ac:dyDescent="0.3">
      <c r="R333" s="200" t="s">
        <v>1043</v>
      </c>
      <c r="S333" s="198">
        <v>0</v>
      </c>
    </row>
    <row r="334" spans="18:19" x14ac:dyDescent="0.3">
      <c r="R334" s="200" t="s">
        <v>1044</v>
      </c>
      <c r="S334" s="198">
        <v>0</v>
      </c>
    </row>
    <row r="335" spans="18:19" x14ac:dyDescent="0.3">
      <c r="R335" s="200" t="s">
        <v>585</v>
      </c>
      <c r="S335" s="198">
        <v>0</v>
      </c>
    </row>
    <row r="336" spans="18:19" x14ac:dyDescent="0.3">
      <c r="R336" s="200" t="s">
        <v>586</v>
      </c>
      <c r="S336" s="198">
        <v>0</v>
      </c>
    </row>
    <row r="337" spans="18:19" x14ac:dyDescent="0.3">
      <c r="R337" s="200" t="s">
        <v>1045</v>
      </c>
      <c r="S337" s="198">
        <v>0</v>
      </c>
    </row>
    <row r="338" spans="18:19" x14ac:dyDescent="0.3">
      <c r="R338" s="200" t="s">
        <v>1046</v>
      </c>
      <c r="S338" s="198">
        <v>0</v>
      </c>
    </row>
    <row r="339" spans="18:19" x14ac:dyDescent="0.3">
      <c r="R339" s="200" t="s">
        <v>1047</v>
      </c>
      <c r="S339" s="198">
        <v>0</v>
      </c>
    </row>
    <row r="340" spans="18:19" x14ac:dyDescent="0.3">
      <c r="R340" s="200" t="s">
        <v>1048</v>
      </c>
      <c r="S340" s="198">
        <v>0</v>
      </c>
    </row>
    <row r="341" spans="18:19" x14ac:dyDescent="0.3">
      <c r="R341" s="200" t="s">
        <v>1049</v>
      </c>
      <c r="S341" s="198">
        <v>0</v>
      </c>
    </row>
    <row r="342" spans="18:19" x14ac:dyDescent="0.3">
      <c r="R342" s="200" t="s">
        <v>587</v>
      </c>
      <c r="S342" s="198">
        <v>0</v>
      </c>
    </row>
    <row r="343" spans="18:19" x14ac:dyDescent="0.3">
      <c r="R343" s="200" t="s">
        <v>588</v>
      </c>
      <c r="S343" s="198">
        <v>0</v>
      </c>
    </row>
    <row r="344" spans="18:19" x14ac:dyDescent="0.3">
      <c r="R344" s="200" t="s">
        <v>965</v>
      </c>
      <c r="S344" s="198">
        <v>0</v>
      </c>
    </row>
    <row r="345" spans="18:19" x14ac:dyDescent="0.3">
      <c r="R345" s="200" t="s">
        <v>590</v>
      </c>
      <c r="S345" s="198">
        <v>0</v>
      </c>
    </row>
    <row r="346" spans="18:19" x14ac:dyDescent="0.3">
      <c r="R346" s="200" t="s">
        <v>594</v>
      </c>
      <c r="S346" s="198">
        <v>0</v>
      </c>
    </row>
    <row r="347" spans="18:19" x14ac:dyDescent="0.3">
      <c r="R347" s="200" t="s">
        <v>595</v>
      </c>
      <c r="S347" s="198">
        <v>0</v>
      </c>
    </row>
    <row r="348" spans="18:19" x14ac:dyDescent="0.3">
      <c r="R348" s="200" t="s">
        <v>596</v>
      </c>
      <c r="S348" s="198">
        <v>0</v>
      </c>
    </row>
    <row r="349" spans="18:19" x14ac:dyDescent="0.3">
      <c r="R349" s="200" t="s">
        <v>1130</v>
      </c>
      <c r="S349" s="198">
        <v>0</v>
      </c>
    </row>
    <row r="350" spans="18:19" x14ac:dyDescent="0.3">
      <c r="R350" s="200" t="s">
        <v>597</v>
      </c>
      <c r="S350" s="198">
        <v>0</v>
      </c>
    </row>
    <row r="351" spans="18:19" x14ac:dyDescent="0.3">
      <c r="R351" s="200" t="s">
        <v>598</v>
      </c>
      <c r="S351" s="198">
        <v>0</v>
      </c>
    </row>
    <row r="352" spans="18:19" x14ac:dyDescent="0.3">
      <c r="R352" s="200" t="s">
        <v>599</v>
      </c>
      <c r="S352" s="198">
        <v>0</v>
      </c>
    </row>
    <row r="353" spans="18:19" x14ac:dyDescent="0.3">
      <c r="R353" s="200" t="s">
        <v>601</v>
      </c>
      <c r="S353" s="198">
        <v>0</v>
      </c>
    </row>
    <row r="354" spans="18:19" x14ac:dyDescent="0.3">
      <c r="R354" s="200" t="s">
        <v>602</v>
      </c>
      <c r="S354" s="198">
        <v>0</v>
      </c>
    </row>
    <row r="355" spans="18:19" x14ac:dyDescent="0.3">
      <c r="R355" s="200" t="s">
        <v>603</v>
      </c>
      <c r="S355" s="198">
        <v>0</v>
      </c>
    </row>
    <row r="356" spans="18:19" x14ac:dyDescent="0.3">
      <c r="R356" s="200" t="s">
        <v>604</v>
      </c>
      <c r="S356" s="198">
        <v>0</v>
      </c>
    </row>
    <row r="357" spans="18:19" x14ac:dyDescent="0.3">
      <c r="R357" s="200" t="s">
        <v>605</v>
      </c>
      <c r="S357" s="198">
        <v>0</v>
      </c>
    </row>
    <row r="358" spans="18:19" x14ac:dyDescent="0.3">
      <c r="R358" s="200" t="s">
        <v>606</v>
      </c>
      <c r="S358" s="198">
        <v>0</v>
      </c>
    </row>
    <row r="359" spans="18:19" x14ac:dyDescent="0.3">
      <c r="R359" s="200" t="s">
        <v>959</v>
      </c>
      <c r="S359" s="198">
        <v>0</v>
      </c>
    </row>
    <row r="360" spans="18:19" x14ac:dyDescent="0.3">
      <c r="R360" s="200" t="s">
        <v>608</v>
      </c>
      <c r="S360" s="198">
        <v>0</v>
      </c>
    </row>
    <row r="361" spans="18:19" x14ac:dyDescent="0.3">
      <c r="R361" s="200" t="s">
        <v>960</v>
      </c>
      <c r="S361" s="198">
        <v>0</v>
      </c>
    </row>
    <row r="362" spans="18:19" x14ac:dyDescent="0.3">
      <c r="R362" s="200" t="s">
        <v>611</v>
      </c>
      <c r="S362" s="198">
        <v>0</v>
      </c>
    </row>
    <row r="363" spans="18:19" x14ac:dyDescent="0.3">
      <c r="R363" s="200" t="s">
        <v>612</v>
      </c>
      <c r="S363" s="198">
        <v>0</v>
      </c>
    </row>
    <row r="364" spans="18:19" x14ac:dyDescent="0.3">
      <c r="R364" s="200" t="s">
        <v>613</v>
      </c>
      <c r="S364" s="198">
        <v>0</v>
      </c>
    </row>
    <row r="365" spans="18:19" x14ac:dyDescent="0.3">
      <c r="R365" s="200" t="s">
        <v>614</v>
      </c>
      <c r="S365" s="198">
        <v>0</v>
      </c>
    </row>
    <row r="366" spans="18:19" x14ac:dyDescent="0.3">
      <c r="R366" s="200" t="s">
        <v>73</v>
      </c>
      <c r="S366" s="198">
        <v>14</v>
      </c>
    </row>
    <row r="367" spans="18:19" x14ac:dyDescent="0.3">
      <c r="R367" s="200" t="s">
        <v>616</v>
      </c>
      <c r="S367" s="198">
        <v>0</v>
      </c>
    </row>
    <row r="368" spans="18:19" x14ac:dyDescent="0.3">
      <c r="R368" s="200" t="s">
        <v>74</v>
      </c>
      <c r="S368" s="198">
        <v>7</v>
      </c>
    </row>
    <row r="369" spans="18:19" x14ac:dyDescent="0.3">
      <c r="R369" s="200" t="s">
        <v>617</v>
      </c>
      <c r="S369" s="198">
        <v>0</v>
      </c>
    </row>
    <row r="370" spans="18:19" x14ac:dyDescent="0.3">
      <c r="R370" s="200" t="s">
        <v>618</v>
      </c>
      <c r="S370" s="198">
        <v>0</v>
      </c>
    </row>
    <row r="371" spans="18:19" x14ac:dyDescent="0.3">
      <c r="R371" s="200" t="s">
        <v>619</v>
      </c>
      <c r="S371" s="198">
        <v>0</v>
      </c>
    </row>
    <row r="372" spans="18:19" x14ac:dyDescent="0.3">
      <c r="R372" s="200" t="s">
        <v>621</v>
      </c>
      <c r="S372" s="198">
        <v>0</v>
      </c>
    </row>
    <row r="373" spans="18:19" x14ac:dyDescent="0.3">
      <c r="R373" s="200" t="s">
        <v>622</v>
      </c>
      <c r="S373" s="198">
        <v>0</v>
      </c>
    </row>
    <row r="374" spans="18:19" x14ac:dyDescent="0.3">
      <c r="R374" s="200" t="s">
        <v>623</v>
      </c>
      <c r="S374" s="198">
        <v>5</v>
      </c>
    </row>
    <row r="375" spans="18:19" x14ac:dyDescent="0.3">
      <c r="R375" s="200" t="s">
        <v>78</v>
      </c>
      <c r="S375" s="198">
        <v>0</v>
      </c>
    </row>
    <row r="376" spans="18:19" x14ac:dyDescent="0.3">
      <c r="R376" s="200" t="s">
        <v>624</v>
      </c>
      <c r="S376" s="198">
        <v>0</v>
      </c>
    </row>
    <row r="377" spans="18:19" x14ac:dyDescent="0.3">
      <c r="R377" s="200" t="s">
        <v>626</v>
      </c>
      <c r="S377" s="198">
        <v>0</v>
      </c>
    </row>
    <row r="378" spans="18:19" x14ac:dyDescent="0.3">
      <c r="R378" s="200" t="s">
        <v>627</v>
      </c>
      <c r="S378" s="198">
        <v>0</v>
      </c>
    </row>
    <row r="379" spans="18:19" x14ac:dyDescent="0.3">
      <c r="R379" s="200" t="s">
        <v>628</v>
      </c>
      <c r="S379" s="198">
        <v>0</v>
      </c>
    </row>
    <row r="380" spans="18:19" x14ac:dyDescent="0.3">
      <c r="R380" s="200" t="s">
        <v>974</v>
      </c>
      <c r="S380" s="198">
        <v>17</v>
      </c>
    </row>
    <row r="381" spans="18:19" x14ac:dyDescent="0.3">
      <c r="R381" s="200" t="s">
        <v>975</v>
      </c>
      <c r="S381" s="198">
        <v>13</v>
      </c>
    </row>
    <row r="382" spans="18:19" x14ac:dyDescent="0.3">
      <c r="R382" s="200" t="s">
        <v>1083</v>
      </c>
      <c r="S382" s="198">
        <v>0</v>
      </c>
    </row>
    <row r="383" spans="18:19" x14ac:dyDescent="0.3">
      <c r="R383" s="200" t="s">
        <v>629</v>
      </c>
      <c r="S383" s="198">
        <v>0</v>
      </c>
    </row>
    <row r="384" spans="18:19" x14ac:dyDescent="0.3">
      <c r="R384" s="200" t="s">
        <v>63</v>
      </c>
      <c r="S384" s="198">
        <v>8</v>
      </c>
    </row>
    <row r="385" spans="18:19" x14ac:dyDescent="0.3">
      <c r="R385" s="200" t="s">
        <v>630</v>
      </c>
      <c r="S385" s="198">
        <v>0</v>
      </c>
    </row>
    <row r="386" spans="18:19" x14ac:dyDescent="0.3">
      <c r="R386" s="200" t="s">
        <v>631</v>
      </c>
      <c r="S386" s="198">
        <v>0</v>
      </c>
    </row>
    <row r="387" spans="18:19" x14ac:dyDescent="0.3">
      <c r="R387" s="200" t="s">
        <v>14</v>
      </c>
      <c r="S387" s="198">
        <v>10</v>
      </c>
    </row>
    <row r="388" spans="18:19" x14ac:dyDescent="0.3">
      <c r="R388" s="200" t="s">
        <v>1</v>
      </c>
      <c r="S388" s="198">
        <v>12</v>
      </c>
    </row>
    <row r="389" spans="18:19" x14ac:dyDescent="0.3">
      <c r="R389" s="200" t="s">
        <v>832</v>
      </c>
      <c r="S389" s="198">
        <v>20</v>
      </c>
    </row>
    <row r="390" spans="18:19" x14ac:dyDescent="0.3">
      <c r="R390" s="200" t="s">
        <v>632</v>
      </c>
      <c r="S390" s="198">
        <v>0</v>
      </c>
    </row>
    <row r="391" spans="18:19" x14ac:dyDescent="0.3">
      <c r="R391" s="200" t="s">
        <v>59</v>
      </c>
      <c r="S391" s="198">
        <v>3</v>
      </c>
    </row>
    <row r="392" spans="18:19" x14ac:dyDescent="0.3">
      <c r="R392" s="200" t="s">
        <v>633</v>
      </c>
      <c r="S392" s="198">
        <v>0</v>
      </c>
    </row>
    <row r="393" spans="18:19" x14ac:dyDescent="0.3">
      <c r="R393" s="200" t="s">
        <v>60</v>
      </c>
      <c r="S393" s="198">
        <v>4</v>
      </c>
    </row>
    <row r="394" spans="18:19" x14ac:dyDescent="0.3">
      <c r="R394" s="200" t="s">
        <v>634</v>
      </c>
      <c r="S394" s="198">
        <v>0</v>
      </c>
    </row>
    <row r="395" spans="18:19" x14ac:dyDescent="0.3">
      <c r="R395" s="200" t="s">
        <v>635</v>
      </c>
      <c r="S395" s="198">
        <v>0</v>
      </c>
    </row>
    <row r="396" spans="18:19" x14ac:dyDescent="0.3">
      <c r="R396" s="200" t="s">
        <v>636</v>
      </c>
      <c r="S396" s="198">
        <v>0</v>
      </c>
    </row>
    <row r="397" spans="18:19" x14ac:dyDescent="0.3">
      <c r="R397" s="200" t="s">
        <v>888</v>
      </c>
      <c r="S397" s="198">
        <v>0</v>
      </c>
    </row>
    <row r="398" spans="18:19" x14ac:dyDescent="0.3">
      <c r="R398" s="200" t="s">
        <v>639</v>
      </c>
      <c r="S398" s="198">
        <v>0</v>
      </c>
    </row>
    <row r="399" spans="18:19" x14ac:dyDescent="0.3">
      <c r="R399" s="200" t="s">
        <v>42</v>
      </c>
      <c r="S399" s="198">
        <v>6</v>
      </c>
    </row>
    <row r="400" spans="18:19" x14ac:dyDescent="0.3">
      <c r="R400" s="200" t="s">
        <v>43</v>
      </c>
      <c r="S400" s="198">
        <v>9</v>
      </c>
    </row>
    <row r="401" spans="18:19" x14ac:dyDescent="0.3">
      <c r="R401" s="200" t="s">
        <v>640</v>
      </c>
      <c r="S401" s="198">
        <v>0</v>
      </c>
    </row>
    <row r="402" spans="18:19" x14ac:dyDescent="0.3">
      <c r="R402" s="200" t="s">
        <v>641</v>
      </c>
      <c r="S402" s="198">
        <v>0</v>
      </c>
    </row>
    <row r="403" spans="18:19" x14ac:dyDescent="0.3">
      <c r="R403" s="200" t="s">
        <v>642</v>
      </c>
      <c r="S403" s="198">
        <v>0</v>
      </c>
    </row>
    <row r="404" spans="18:19" x14ac:dyDescent="0.3">
      <c r="R404" s="200" t="s">
        <v>644</v>
      </c>
      <c r="S404" s="198">
        <v>0</v>
      </c>
    </row>
    <row r="405" spans="18:19" x14ac:dyDescent="0.3">
      <c r="R405" s="200" t="s">
        <v>646</v>
      </c>
      <c r="S405" s="198">
        <v>0</v>
      </c>
    </row>
    <row r="406" spans="18:19" x14ac:dyDescent="0.3">
      <c r="R406" s="200" t="s">
        <v>51</v>
      </c>
      <c r="S406" s="198">
        <v>1</v>
      </c>
    </row>
    <row r="407" spans="18:19" x14ac:dyDescent="0.3">
      <c r="R407" s="200" t="s">
        <v>647</v>
      </c>
      <c r="S407" s="198">
        <v>0</v>
      </c>
    </row>
    <row r="408" spans="18:19" x14ac:dyDescent="0.3">
      <c r="R408" s="200" t="s">
        <v>961</v>
      </c>
      <c r="S408" s="198">
        <v>0</v>
      </c>
    </row>
    <row r="409" spans="18:19" x14ac:dyDescent="0.3">
      <c r="R409" s="200" t="s">
        <v>1022</v>
      </c>
      <c r="S409" s="198">
        <v>0</v>
      </c>
    </row>
    <row r="410" spans="18:19" x14ac:dyDescent="0.3">
      <c r="R410" s="200" t="s">
        <v>650</v>
      </c>
      <c r="S410" s="198">
        <v>0</v>
      </c>
    </row>
    <row r="411" spans="18:19" x14ac:dyDescent="0.3">
      <c r="R411" s="200" t="s">
        <v>651</v>
      </c>
      <c r="S411" s="198">
        <v>0</v>
      </c>
    </row>
    <row r="412" spans="18:19" x14ac:dyDescent="0.3">
      <c r="R412" s="200" t="s">
        <v>652</v>
      </c>
      <c r="S412" s="198">
        <v>0</v>
      </c>
    </row>
    <row r="413" spans="18:19" x14ac:dyDescent="0.3">
      <c r="R413" s="200" t="s">
        <v>62</v>
      </c>
      <c r="S413" s="198">
        <v>0</v>
      </c>
    </row>
    <row r="414" spans="18:19" x14ac:dyDescent="0.3">
      <c r="R414" s="200" t="s">
        <v>653</v>
      </c>
      <c r="S414" s="198">
        <v>0</v>
      </c>
    </row>
    <row r="415" spans="18:19" x14ac:dyDescent="0.3">
      <c r="R415" s="200" t="s">
        <v>654</v>
      </c>
      <c r="S415" s="198">
        <v>0</v>
      </c>
    </row>
    <row r="416" spans="18:19" x14ac:dyDescent="0.3">
      <c r="R416" s="200" t="s">
        <v>1066</v>
      </c>
      <c r="S416" s="198">
        <v>0</v>
      </c>
    </row>
    <row r="417" spans="18:19" x14ac:dyDescent="0.3">
      <c r="R417" s="200" t="s">
        <v>655</v>
      </c>
      <c r="S417" s="198">
        <v>0</v>
      </c>
    </row>
    <row r="418" spans="18:19" x14ac:dyDescent="0.3">
      <c r="R418" s="200" t="s">
        <v>656</v>
      </c>
      <c r="S418" s="198">
        <v>0</v>
      </c>
    </row>
    <row r="419" spans="18:19" x14ac:dyDescent="0.3">
      <c r="R419" s="200" t="s">
        <v>657</v>
      </c>
      <c r="S419" s="198">
        <v>0</v>
      </c>
    </row>
    <row r="420" spans="18:19" x14ac:dyDescent="0.3">
      <c r="R420" s="200" t="s">
        <v>658</v>
      </c>
      <c r="S420" s="198">
        <v>0</v>
      </c>
    </row>
    <row r="421" spans="18:19" x14ac:dyDescent="0.3">
      <c r="R421" s="200" t="s">
        <v>659</v>
      </c>
      <c r="S421" s="198">
        <v>0</v>
      </c>
    </row>
    <row r="422" spans="18:19" x14ac:dyDescent="0.3">
      <c r="R422" s="200" t="s">
        <v>1068</v>
      </c>
      <c r="S422" s="198">
        <v>0</v>
      </c>
    </row>
    <row r="423" spans="18:19" x14ac:dyDescent="0.3">
      <c r="R423" s="200" t="s">
        <v>660</v>
      </c>
      <c r="S423" s="198">
        <v>0</v>
      </c>
    </row>
    <row r="424" spans="18:19" x14ac:dyDescent="0.3">
      <c r="R424" s="200" t="s">
        <v>661</v>
      </c>
      <c r="S424" s="198">
        <v>0</v>
      </c>
    </row>
    <row r="425" spans="18:19" x14ac:dyDescent="0.3">
      <c r="R425" s="200" t="s">
        <v>662</v>
      </c>
      <c r="S425" s="198">
        <v>0</v>
      </c>
    </row>
    <row r="426" spans="18:19" x14ac:dyDescent="0.3">
      <c r="R426" s="200" t="s">
        <v>663</v>
      </c>
      <c r="S426" s="198">
        <v>0</v>
      </c>
    </row>
    <row r="427" spans="18:19" x14ac:dyDescent="0.3">
      <c r="R427" s="200" t="s">
        <v>666</v>
      </c>
      <c r="S427" s="198">
        <v>0</v>
      </c>
    </row>
    <row r="428" spans="18:19" x14ac:dyDescent="0.3">
      <c r="R428" s="200" t="s">
        <v>667</v>
      </c>
      <c r="S428" s="198">
        <v>0</v>
      </c>
    </row>
    <row r="429" spans="18:19" x14ac:dyDescent="0.3">
      <c r="R429" s="200" t="s">
        <v>668</v>
      </c>
      <c r="S429" s="198">
        <v>0</v>
      </c>
    </row>
    <row r="430" spans="18:19" x14ac:dyDescent="0.3">
      <c r="R430" s="200" t="s">
        <v>38</v>
      </c>
      <c r="S430" s="198">
        <v>0</v>
      </c>
    </row>
    <row r="431" spans="18:19" x14ac:dyDescent="0.3">
      <c r="R431" s="200" t="s">
        <v>39</v>
      </c>
      <c r="S431" s="198">
        <v>7</v>
      </c>
    </row>
    <row r="432" spans="18:19" x14ac:dyDescent="0.3">
      <c r="R432" s="200" t="s">
        <v>669</v>
      </c>
      <c r="S432" s="198">
        <v>0</v>
      </c>
    </row>
    <row r="433" spans="18:19" x14ac:dyDescent="0.3">
      <c r="R433" s="200" t="s">
        <v>670</v>
      </c>
      <c r="S433" s="198">
        <v>0</v>
      </c>
    </row>
    <row r="434" spans="18:19" x14ac:dyDescent="0.3">
      <c r="R434" s="200" t="s">
        <v>671</v>
      </c>
      <c r="S434" s="198">
        <v>0</v>
      </c>
    </row>
    <row r="435" spans="18:19" x14ac:dyDescent="0.3">
      <c r="R435" s="200" t="s">
        <v>672</v>
      </c>
      <c r="S435" s="198">
        <v>0</v>
      </c>
    </row>
    <row r="436" spans="18:19" x14ac:dyDescent="0.3">
      <c r="R436" s="200" t="s">
        <v>674</v>
      </c>
      <c r="S436" s="198">
        <v>6</v>
      </c>
    </row>
    <row r="437" spans="18:19" x14ac:dyDescent="0.3">
      <c r="R437" s="200" t="s">
        <v>675</v>
      </c>
      <c r="S437" s="198">
        <v>0</v>
      </c>
    </row>
    <row r="438" spans="18:19" x14ac:dyDescent="0.3">
      <c r="R438" s="200" t="s">
        <v>676</v>
      </c>
      <c r="S438" s="198">
        <v>10</v>
      </c>
    </row>
    <row r="439" spans="18:19" x14ac:dyDescent="0.3">
      <c r="R439" s="200" t="s">
        <v>677</v>
      </c>
      <c r="S439" s="198">
        <v>0</v>
      </c>
    </row>
    <row r="440" spans="18:19" x14ac:dyDescent="0.3">
      <c r="R440" s="200" t="s">
        <v>678</v>
      </c>
      <c r="S440" s="198">
        <v>0</v>
      </c>
    </row>
    <row r="441" spans="18:19" x14ac:dyDescent="0.3">
      <c r="R441" s="200" t="s">
        <v>83</v>
      </c>
      <c r="S441" s="198">
        <v>9</v>
      </c>
    </row>
    <row r="442" spans="18:19" x14ac:dyDescent="0.3">
      <c r="R442" s="200" t="s">
        <v>679</v>
      </c>
      <c r="S442" s="198">
        <v>0</v>
      </c>
    </row>
    <row r="443" spans="18:19" x14ac:dyDescent="0.3">
      <c r="R443" s="200" t="s">
        <v>680</v>
      </c>
      <c r="S443" s="198">
        <v>0</v>
      </c>
    </row>
    <row r="444" spans="18:19" x14ac:dyDescent="0.3">
      <c r="R444" s="200" t="s">
        <v>969</v>
      </c>
      <c r="S444" s="198">
        <v>0</v>
      </c>
    </row>
    <row r="445" spans="18:19" x14ac:dyDescent="0.3">
      <c r="R445" s="200" t="s">
        <v>681</v>
      </c>
      <c r="S445" s="198">
        <v>0</v>
      </c>
    </row>
    <row r="446" spans="18:19" x14ac:dyDescent="0.3">
      <c r="R446" s="200" t="s">
        <v>682</v>
      </c>
      <c r="S446" s="198">
        <v>0</v>
      </c>
    </row>
    <row r="447" spans="18:19" x14ac:dyDescent="0.3">
      <c r="R447" s="200" t="s">
        <v>683</v>
      </c>
      <c r="S447" s="198">
        <v>0</v>
      </c>
    </row>
    <row r="448" spans="18:19" x14ac:dyDescent="0.3">
      <c r="R448" s="200" t="s">
        <v>684</v>
      </c>
      <c r="S448" s="198">
        <v>0</v>
      </c>
    </row>
    <row r="449" spans="18:19" x14ac:dyDescent="0.3">
      <c r="R449" s="200" t="s">
        <v>57</v>
      </c>
      <c r="S449" s="198">
        <v>2</v>
      </c>
    </row>
    <row r="450" spans="18:19" x14ac:dyDescent="0.3">
      <c r="R450" s="200" t="s">
        <v>685</v>
      </c>
      <c r="S450" s="198">
        <v>0</v>
      </c>
    </row>
    <row r="451" spans="18:19" x14ac:dyDescent="0.3">
      <c r="R451" s="200" t="s">
        <v>58</v>
      </c>
      <c r="S451" s="198">
        <v>4</v>
      </c>
    </row>
    <row r="452" spans="18:19" x14ac:dyDescent="0.3">
      <c r="R452" s="200" t="s">
        <v>61</v>
      </c>
      <c r="S452" s="198">
        <v>1</v>
      </c>
    </row>
    <row r="453" spans="18:19" x14ac:dyDescent="0.3">
      <c r="R453" s="200" t="s">
        <v>84</v>
      </c>
      <c r="S453" s="198">
        <v>16</v>
      </c>
    </row>
    <row r="454" spans="18:19" x14ac:dyDescent="0.3">
      <c r="R454" s="200" t="s">
        <v>686</v>
      </c>
      <c r="S454" s="198">
        <v>0</v>
      </c>
    </row>
    <row r="455" spans="18:19" x14ac:dyDescent="0.3">
      <c r="R455" s="200" t="s">
        <v>687</v>
      </c>
      <c r="S455" s="198">
        <v>125</v>
      </c>
    </row>
    <row r="456" spans="18:19" x14ac:dyDescent="0.3">
      <c r="R456" s="200" t="s">
        <v>688</v>
      </c>
      <c r="S456" s="198">
        <v>0</v>
      </c>
    </row>
    <row r="457" spans="18:19" x14ac:dyDescent="0.3">
      <c r="R457" s="200" t="s">
        <v>689</v>
      </c>
      <c r="S457" s="198">
        <v>0</v>
      </c>
    </row>
    <row r="458" spans="18:19" x14ac:dyDescent="0.3">
      <c r="R458" s="200" t="s">
        <v>49</v>
      </c>
      <c r="S458" s="198">
        <v>7</v>
      </c>
    </row>
    <row r="459" spans="18:19" x14ac:dyDescent="0.3">
      <c r="R459" s="200" t="s">
        <v>48</v>
      </c>
      <c r="S459" s="198">
        <v>5</v>
      </c>
    </row>
    <row r="460" spans="18:19" x14ac:dyDescent="0.3">
      <c r="R460" s="200" t="s">
        <v>698</v>
      </c>
      <c r="S460" s="198">
        <v>0</v>
      </c>
    </row>
    <row r="461" spans="18:19" x14ac:dyDescent="0.3">
      <c r="R461" s="200" t="s">
        <v>50</v>
      </c>
      <c r="S461" s="198">
        <v>12</v>
      </c>
    </row>
    <row r="462" spans="18:19" x14ac:dyDescent="0.3">
      <c r="R462" s="200" t="s">
        <v>700</v>
      </c>
      <c r="S462" s="198">
        <v>0</v>
      </c>
    </row>
    <row r="463" spans="18:19" x14ac:dyDescent="0.3">
      <c r="R463" s="200" t="s">
        <v>106</v>
      </c>
      <c r="S463" s="198">
        <v>1439</v>
      </c>
    </row>
  </sheetData>
  <mergeCells count="1">
    <mergeCell ref="B1:L1"/>
  </mergeCells>
  <conditionalFormatting sqref="N3:N150">
    <cfRule type="cellIs" dxfId="267" priority="2" operator="lessThan">
      <formula>1</formula>
    </cfRule>
  </conditionalFormatting>
  <conditionalFormatting sqref="P1:P1048576">
    <cfRule type="cellIs" dxfId="266" priority="1" operator="between">
      <formula>-0.1</formula>
      <formula>-10000</formula>
    </cfRule>
  </conditionalFormatting>
  <conditionalFormatting sqref="R1">
    <cfRule type="duplicateValues" dxfId="265" priority="25"/>
    <cfRule type="duplicateValues" dxfId="264" priority="26"/>
    <cfRule type="duplicateValues" dxfId="263" priority="27"/>
  </conditionalFormatting>
  <conditionalFormatting sqref="R35">
    <cfRule type="duplicateValues" dxfId="262" priority="19"/>
    <cfRule type="duplicateValues" dxfId="261" priority="20"/>
  </conditionalFormatting>
  <conditionalFormatting sqref="R36">
    <cfRule type="duplicateValues" dxfId="260" priority="21"/>
    <cfRule type="duplicateValues" dxfId="259" priority="22"/>
  </conditionalFormatting>
  <conditionalFormatting sqref="R37:R94 R2:R21 R24:R34">
    <cfRule type="duplicateValues" dxfId="258" priority="28"/>
    <cfRule type="duplicateValues" dxfId="257" priority="29"/>
  </conditionalFormatting>
  <conditionalFormatting sqref="R95">
    <cfRule type="duplicateValues" dxfId="256" priority="23"/>
    <cfRule type="duplicateValues" dxfId="255" priority="24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83DFF-7763-42A1-B5DC-47E8885A1194}">
  <sheetPr codeName="Hoja21">
    <tabColor theme="9" tint="0.59999389629810485"/>
  </sheetPr>
  <dimension ref="A1:S150"/>
  <sheetViews>
    <sheetView zoomScale="80" zoomScaleNormal="80" workbookViewId="0">
      <pane xSplit="1" ySplit="2" topLeftCell="O101" activePane="bottomRight" state="frozen"/>
      <selection activeCell="A135" sqref="A135:XFD135"/>
      <selection pane="topRight" activeCell="A135" sqref="A135:XFD135"/>
      <selection pane="bottomLeft" activeCell="A135" sqref="A135:XFD135"/>
      <selection pane="bottomRight" activeCell="A135" sqref="A135:XFD135"/>
    </sheetView>
  </sheetViews>
  <sheetFormatPr baseColWidth="10" defaultRowHeight="14.4" x14ac:dyDescent="0.3"/>
  <cols>
    <col min="1" max="1" width="55.6640625" customWidth="1"/>
    <col min="2" max="2" width="13.33203125" customWidth="1"/>
    <col min="3" max="3" width="14.88671875" customWidth="1"/>
    <col min="7" max="7" width="13.33203125" customWidth="1"/>
    <col min="18" max="18" width="41.109375" bestFit="1" customWidth="1"/>
    <col min="19" max="19" width="10.21875" bestFit="1" customWidth="1"/>
  </cols>
  <sheetData>
    <row r="1" spans="1:19" ht="18" thickBot="1" x14ac:dyDescent="0.4">
      <c r="A1" s="1">
        <f>RAIZ!B1</f>
        <v>46301</v>
      </c>
      <c r="B1" s="257" t="s">
        <v>716</v>
      </c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84"/>
      <c r="R1" s="204">
        <v>46308</v>
      </c>
      <c r="S1" s="205"/>
    </row>
    <row r="2" spans="1:19" ht="26.25" customHeight="1" thickBot="1" x14ac:dyDescent="0.35">
      <c r="A2" s="90" t="s">
        <v>0</v>
      </c>
      <c r="B2" s="62" t="s">
        <v>717</v>
      </c>
      <c r="C2" s="62" t="s">
        <v>718</v>
      </c>
      <c r="D2" s="62" t="s">
        <v>719</v>
      </c>
      <c r="E2" s="62" t="s">
        <v>720</v>
      </c>
      <c r="F2" s="62" t="s">
        <v>721</v>
      </c>
      <c r="G2" s="62" t="s">
        <v>722</v>
      </c>
      <c r="H2" s="62" t="s">
        <v>723</v>
      </c>
      <c r="I2" s="62" t="s">
        <v>724</v>
      </c>
      <c r="J2" s="62" t="s">
        <v>860</v>
      </c>
      <c r="K2" s="62" t="s">
        <v>942</v>
      </c>
      <c r="L2" s="62" t="s">
        <v>1000</v>
      </c>
      <c r="M2" s="62" t="s">
        <v>1033</v>
      </c>
      <c r="N2" s="61" t="s">
        <v>715</v>
      </c>
      <c r="O2" s="62" t="s">
        <v>752</v>
      </c>
      <c r="P2" s="61" t="s">
        <v>753</v>
      </c>
      <c r="R2" s="90" t="s">
        <v>0</v>
      </c>
      <c r="S2" s="244" t="s">
        <v>1161</v>
      </c>
    </row>
    <row r="3" spans="1:19" ht="17.399999999999999" x14ac:dyDescent="0.35">
      <c r="A3" s="93" t="s">
        <v>1</v>
      </c>
      <c r="B3" s="4">
        <f>'Suc. Acaponeta'!G3</f>
        <v>0</v>
      </c>
      <c r="C3" s="4">
        <f>'Suc. Compostela'!G3</f>
        <v>0</v>
      </c>
      <c r="D3" s="5">
        <f>'Suc. Ruiz'!G3</f>
        <v>0</v>
      </c>
      <c r="E3" s="5">
        <f>'Suc. Sanblas'!G3</f>
        <v>0</v>
      </c>
      <c r="F3" s="5">
        <f>'LALO VARAS'!G3</f>
        <v>0</v>
      </c>
      <c r="G3" s="5">
        <f>'Suc. Santiago 2'!G3</f>
        <v>0</v>
      </c>
      <c r="H3" s="5">
        <f>'Suc. Tecuala'!G3</f>
        <v>0</v>
      </c>
      <c r="I3" s="5">
        <f>'Suc. Tuxpan'!G3</f>
        <v>2</v>
      </c>
      <c r="J3" s="5">
        <f>'Suc. Varas'!G3</f>
        <v>0</v>
      </c>
      <c r="K3" s="5">
        <f>'Suc. Santa María del Oro'!G3</f>
        <v>0</v>
      </c>
      <c r="L3" s="5">
        <f>'Suc. Villa Hidalgo'!G3</f>
        <v>0</v>
      </c>
      <c r="M3" s="5">
        <f>'Suc. Peñita'!G3</f>
        <v>0</v>
      </c>
      <c r="N3" s="5">
        <f t="shared" ref="N3:N17" si="0">SUM(B3:M3)</f>
        <v>2</v>
      </c>
      <c r="O3" s="5">
        <f>+IFERROR(VLOOKUP(A3,$R:$S,2,0),0)-VLOOKUP(A3,'ETIQUETAS CF'!A:B,2,0)</f>
        <v>15</v>
      </c>
      <c r="P3" s="5">
        <f t="shared" ref="P3:P17" si="1">O3-N3</f>
        <v>13</v>
      </c>
      <c r="R3" s="93" t="s">
        <v>1</v>
      </c>
      <c r="S3" s="245">
        <v>15</v>
      </c>
    </row>
    <row r="4" spans="1:19" ht="17.399999999999999" x14ac:dyDescent="0.35">
      <c r="A4" s="93" t="s">
        <v>2</v>
      </c>
      <c r="B4" s="4">
        <f>'Suc. Acaponeta'!G4</f>
        <v>0</v>
      </c>
      <c r="C4" s="4">
        <f>'Suc. Compostela'!G4</f>
        <v>0</v>
      </c>
      <c r="D4" s="5">
        <f>'Suc. Ruiz'!G4</f>
        <v>0</v>
      </c>
      <c r="E4" s="5">
        <f>'Suc. Sanblas'!G4</f>
        <v>0</v>
      </c>
      <c r="F4" s="5">
        <f>'LALO VARAS'!G4</f>
        <v>1</v>
      </c>
      <c r="G4" s="5">
        <f>'Suc. Santiago 2'!G4</f>
        <v>0</v>
      </c>
      <c r="H4" s="5">
        <f>'Suc. Tecuala'!G4</f>
        <v>0</v>
      </c>
      <c r="I4" s="5">
        <f>'Suc. Tuxpan'!G4</f>
        <v>2</v>
      </c>
      <c r="J4" s="5">
        <f>'Suc. Varas'!G4</f>
        <v>0</v>
      </c>
      <c r="K4" s="5">
        <f>'Suc. Santa María del Oro'!G4</f>
        <v>0</v>
      </c>
      <c r="L4" s="5">
        <f>'Suc. Villa Hidalgo'!G4</f>
        <v>0</v>
      </c>
      <c r="M4" s="5">
        <f>'Suc. Peñita'!G4</f>
        <v>0</v>
      </c>
      <c r="N4" s="5">
        <f t="shared" si="0"/>
        <v>3</v>
      </c>
      <c r="O4" s="5">
        <f>+IFERROR(VLOOKUP(A4,$R:$S,2,0),0)-VLOOKUP(A4,'ETIQUETAS CF'!A:B,2,0)</f>
        <v>16</v>
      </c>
      <c r="P4" s="5">
        <f t="shared" si="1"/>
        <v>13</v>
      </c>
      <c r="R4" s="93" t="s">
        <v>2</v>
      </c>
      <c r="S4" s="245">
        <v>16</v>
      </c>
    </row>
    <row r="5" spans="1:19" ht="17.399999999999999" x14ac:dyDescent="0.35">
      <c r="A5" s="93" t="s">
        <v>3</v>
      </c>
      <c r="B5" s="4">
        <f>'Suc. Acaponeta'!G5</f>
        <v>0</v>
      </c>
      <c r="C5" s="4">
        <f>'Suc. Compostela'!G5</f>
        <v>1</v>
      </c>
      <c r="D5" s="5">
        <f>'Suc. Ruiz'!G5</f>
        <v>0</v>
      </c>
      <c r="E5" s="5">
        <f>'Suc. Sanblas'!G5</f>
        <v>0</v>
      </c>
      <c r="F5" s="5">
        <f>'LALO VARAS'!G5</f>
        <v>4</v>
      </c>
      <c r="G5" s="5">
        <f>'Suc. Santiago 2'!G5</f>
        <v>0</v>
      </c>
      <c r="H5" s="5">
        <f>'Suc. Tecuala'!G5</f>
        <v>0</v>
      </c>
      <c r="I5" s="5">
        <f>'Suc. Tuxpan'!G5</f>
        <v>2</v>
      </c>
      <c r="J5" s="5">
        <f>'Suc. Varas'!G5</f>
        <v>0</v>
      </c>
      <c r="K5" s="5">
        <f>'Suc. Santa María del Oro'!G5</f>
        <v>0</v>
      </c>
      <c r="L5" s="5">
        <f>'Suc. Villa Hidalgo'!G5</f>
        <v>0</v>
      </c>
      <c r="M5" s="5">
        <f>'Suc. Peñita'!G5</f>
        <v>0</v>
      </c>
      <c r="N5" s="5">
        <f t="shared" si="0"/>
        <v>7</v>
      </c>
      <c r="O5" s="5">
        <f>+IFERROR(VLOOKUP(A5,$R:$S,2,0),0)-VLOOKUP(A5,'ETIQUETAS CF'!A:B,2,0)</f>
        <v>11</v>
      </c>
      <c r="P5" s="5">
        <f t="shared" si="1"/>
        <v>4</v>
      </c>
      <c r="R5" s="93" t="s">
        <v>3</v>
      </c>
      <c r="S5" s="245">
        <v>11</v>
      </c>
    </row>
    <row r="6" spans="1:19" ht="17.399999999999999" x14ac:dyDescent="0.35">
      <c r="A6" s="93" t="s">
        <v>4</v>
      </c>
      <c r="B6" s="4">
        <f>'Suc. Acaponeta'!G6</f>
        <v>0</v>
      </c>
      <c r="C6" s="4">
        <f>'Suc. Compostela'!G6</f>
        <v>0</v>
      </c>
      <c r="D6" s="5">
        <f>'Suc. Ruiz'!G6</f>
        <v>0</v>
      </c>
      <c r="E6" s="5">
        <f>'Suc. Sanblas'!G6</f>
        <v>0</v>
      </c>
      <c r="F6" s="5">
        <f>'LALO VARAS'!G6</f>
        <v>2</v>
      </c>
      <c r="G6" s="5">
        <f>'Suc. Santiago 2'!G6</f>
        <v>0</v>
      </c>
      <c r="H6" s="5">
        <f>'Suc. Tecuala'!G6</f>
        <v>0</v>
      </c>
      <c r="I6" s="5">
        <f>'Suc. Tuxpan'!G6</f>
        <v>2</v>
      </c>
      <c r="J6" s="5">
        <f>'Suc. Varas'!G6</f>
        <v>0</v>
      </c>
      <c r="K6" s="5">
        <f>'Suc. Santa María del Oro'!G6</f>
        <v>0</v>
      </c>
      <c r="L6" s="5">
        <f>'Suc. Villa Hidalgo'!G6</f>
        <v>0</v>
      </c>
      <c r="M6" s="5">
        <f>'Suc. Peñita'!G6</f>
        <v>0</v>
      </c>
      <c r="N6" s="5">
        <f t="shared" si="0"/>
        <v>4</v>
      </c>
      <c r="O6" s="5">
        <f>+IFERROR(VLOOKUP(A6,$R:$S,2,0),0)-VLOOKUP(A6,'ETIQUETAS CF'!A:B,2,0)</f>
        <v>29</v>
      </c>
      <c r="P6" s="5">
        <f t="shared" si="1"/>
        <v>25</v>
      </c>
      <c r="R6" s="93" t="s">
        <v>4</v>
      </c>
      <c r="S6" s="245">
        <v>29</v>
      </c>
    </row>
    <row r="7" spans="1:19" ht="17.399999999999999" x14ac:dyDescent="0.35">
      <c r="A7" s="93" t="s">
        <v>5</v>
      </c>
      <c r="B7" s="4">
        <f>'Suc. Acaponeta'!G7</f>
        <v>0</v>
      </c>
      <c r="C7" s="4">
        <f>'Suc. Compostela'!G7</f>
        <v>0</v>
      </c>
      <c r="D7" s="5">
        <f>'Suc. Ruiz'!G7</f>
        <v>0</v>
      </c>
      <c r="E7" s="5">
        <f>'Suc. Sanblas'!G7</f>
        <v>0</v>
      </c>
      <c r="F7" s="5">
        <f>'LALO VARAS'!G7</f>
        <v>0</v>
      </c>
      <c r="G7" s="5">
        <f>'Suc. Santiago 2'!G7</f>
        <v>0</v>
      </c>
      <c r="H7" s="5">
        <f>'Suc. Tecuala'!G7</f>
        <v>0</v>
      </c>
      <c r="I7" s="5">
        <f>'Suc. Tuxpan'!G7</f>
        <v>2</v>
      </c>
      <c r="J7" s="5">
        <f>'Suc. Varas'!G7</f>
        <v>0</v>
      </c>
      <c r="K7" s="5">
        <f>'Suc. Santa María del Oro'!G7</f>
        <v>1</v>
      </c>
      <c r="L7" s="5">
        <f>'Suc. Villa Hidalgo'!G7</f>
        <v>0</v>
      </c>
      <c r="M7" s="5">
        <f>'Suc. Peñita'!G7</f>
        <v>0</v>
      </c>
      <c r="N7" s="5">
        <f t="shared" si="0"/>
        <v>3</v>
      </c>
      <c r="O7" s="5">
        <f>+IFERROR(VLOOKUP(A7,$R:$S,2,0),0)-VLOOKUP(A7,'ETIQUETAS CF'!A:B,2,0)</f>
        <v>19</v>
      </c>
      <c r="P7" s="5">
        <f t="shared" si="1"/>
        <v>16</v>
      </c>
      <c r="R7" s="93" t="s">
        <v>5</v>
      </c>
      <c r="S7" s="245">
        <v>19</v>
      </c>
    </row>
    <row r="8" spans="1:19" ht="17.399999999999999" x14ac:dyDescent="0.35">
      <c r="A8" s="93" t="s">
        <v>6</v>
      </c>
      <c r="B8" s="4">
        <f>'Suc. Acaponeta'!G8</f>
        <v>0</v>
      </c>
      <c r="C8" s="4">
        <f>'Suc. Compostela'!G8</f>
        <v>1</v>
      </c>
      <c r="D8" s="5">
        <f>'Suc. Ruiz'!G8</f>
        <v>0</v>
      </c>
      <c r="E8" s="5">
        <f>'Suc. Sanblas'!G8</f>
        <v>0</v>
      </c>
      <c r="F8" s="5">
        <f>'LALO VARAS'!G8</f>
        <v>4</v>
      </c>
      <c r="G8" s="5">
        <f>'Suc. Santiago 2'!G8</f>
        <v>0</v>
      </c>
      <c r="H8" s="5">
        <f>'Suc. Tecuala'!G8</f>
        <v>0</v>
      </c>
      <c r="I8" s="5">
        <f>'Suc. Tuxpan'!G8</f>
        <v>2</v>
      </c>
      <c r="J8" s="5">
        <f>'Suc. Varas'!G8</f>
        <v>0</v>
      </c>
      <c r="K8" s="5">
        <f>'Suc. Santa María del Oro'!G8</f>
        <v>1</v>
      </c>
      <c r="L8" s="5">
        <f>'Suc. Villa Hidalgo'!G8</f>
        <v>0</v>
      </c>
      <c r="M8" s="5">
        <f>'Suc. Peñita'!G8</f>
        <v>0</v>
      </c>
      <c r="N8" s="5">
        <f t="shared" si="0"/>
        <v>8</v>
      </c>
      <c r="O8" s="5">
        <f>+IFERROR(VLOOKUP(A8,$R:$S,2,0),0)-VLOOKUP(A8,'ETIQUETAS CF'!A:B,2,0)</f>
        <v>25</v>
      </c>
      <c r="P8" s="5">
        <f t="shared" si="1"/>
        <v>17</v>
      </c>
      <c r="R8" s="93" t="s">
        <v>6</v>
      </c>
      <c r="S8" s="163">
        <v>25</v>
      </c>
    </row>
    <row r="9" spans="1:19" ht="17.399999999999999" x14ac:dyDescent="0.35">
      <c r="A9" s="93" t="s">
        <v>7</v>
      </c>
      <c r="B9" s="4">
        <f>'Suc. Acaponeta'!G9</f>
        <v>0</v>
      </c>
      <c r="C9" s="4">
        <f>'Suc. Compostela'!G9</f>
        <v>0</v>
      </c>
      <c r="D9" s="5">
        <f>'Suc. Ruiz'!G9</f>
        <v>0</v>
      </c>
      <c r="E9" s="5">
        <f>'Suc. Sanblas'!G9</f>
        <v>0</v>
      </c>
      <c r="F9" s="5">
        <f>'LALO VARAS'!G9</f>
        <v>0</v>
      </c>
      <c r="G9" s="5">
        <f>'Suc. Santiago 2'!G9</f>
        <v>0</v>
      </c>
      <c r="H9" s="5">
        <f>'Suc. Tecuala'!G9</f>
        <v>0</v>
      </c>
      <c r="I9" s="5">
        <f>'Suc. Tuxpan'!G9</f>
        <v>2</v>
      </c>
      <c r="J9" s="5">
        <f>'Suc. Varas'!G9</f>
        <v>0</v>
      </c>
      <c r="K9" s="5">
        <f>'Suc. Santa María del Oro'!G9</f>
        <v>0</v>
      </c>
      <c r="L9" s="5">
        <f>'Suc. Villa Hidalgo'!G9</f>
        <v>0</v>
      </c>
      <c r="M9" s="5">
        <f>'Suc. Peñita'!G9</f>
        <v>0</v>
      </c>
      <c r="N9" s="5">
        <f t="shared" si="0"/>
        <v>2</v>
      </c>
      <c r="O9" s="5">
        <f>+IFERROR(VLOOKUP(A9,$R:$S,2,0),0)-VLOOKUP(A9,'ETIQUETAS CF'!A:B,2,0)</f>
        <v>10</v>
      </c>
      <c r="P9" s="5">
        <f t="shared" si="1"/>
        <v>8</v>
      </c>
      <c r="R9" s="93" t="s">
        <v>7</v>
      </c>
      <c r="S9" s="163">
        <v>10</v>
      </c>
    </row>
    <row r="10" spans="1:19" ht="17.399999999999999" x14ac:dyDescent="0.35">
      <c r="A10" s="93" t="s">
        <v>8</v>
      </c>
      <c r="B10" s="4">
        <f>'Suc. Acaponeta'!G10</f>
        <v>0</v>
      </c>
      <c r="C10" s="4">
        <f>'Suc. Compostela'!G10</f>
        <v>1</v>
      </c>
      <c r="D10" s="5">
        <f>'Suc. Ruiz'!G10</f>
        <v>0</v>
      </c>
      <c r="E10" s="5">
        <f>'Suc. Sanblas'!G10</f>
        <v>0</v>
      </c>
      <c r="F10" s="5">
        <f>'LALO VARAS'!G10</f>
        <v>4</v>
      </c>
      <c r="G10" s="5">
        <f>'Suc. Santiago 2'!G10</f>
        <v>0</v>
      </c>
      <c r="H10" s="5">
        <f>'Suc. Tecuala'!G10</f>
        <v>0</v>
      </c>
      <c r="I10" s="5">
        <f>'Suc. Tuxpan'!G10</f>
        <v>2</v>
      </c>
      <c r="J10" s="5">
        <f>'Suc. Varas'!G10</f>
        <v>0</v>
      </c>
      <c r="K10" s="5">
        <f>'Suc. Santa María del Oro'!G10</f>
        <v>1</v>
      </c>
      <c r="L10" s="5">
        <f>'Suc. Villa Hidalgo'!G10</f>
        <v>0</v>
      </c>
      <c r="M10" s="5">
        <f>'Suc. Peñita'!G10</f>
        <v>0</v>
      </c>
      <c r="N10" s="5">
        <f t="shared" si="0"/>
        <v>8</v>
      </c>
      <c r="O10" s="5">
        <f>+IFERROR(VLOOKUP(A10,$R:$S,2,0),0)-VLOOKUP(A10,'ETIQUETAS CF'!A:B,2,0)</f>
        <v>22</v>
      </c>
      <c r="P10" s="5">
        <f t="shared" si="1"/>
        <v>14</v>
      </c>
      <c r="R10" s="93" t="s">
        <v>8</v>
      </c>
      <c r="S10" s="163">
        <v>22</v>
      </c>
    </row>
    <row r="11" spans="1:19" ht="17.399999999999999" x14ac:dyDescent="0.35">
      <c r="A11" s="93" t="s">
        <v>9</v>
      </c>
      <c r="B11" s="4">
        <f>'Suc. Acaponeta'!G11</f>
        <v>0</v>
      </c>
      <c r="C11" s="4">
        <f>'Suc. Compostela'!G11</f>
        <v>0</v>
      </c>
      <c r="D11" s="5">
        <f>'Suc. Ruiz'!G11</f>
        <v>0</v>
      </c>
      <c r="E11" s="5">
        <f>'Suc. Sanblas'!G11</f>
        <v>0</v>
      </c>
      <c r="F11" s="5">
        <f>'LALO VARAS'!G11</f>
        <v>0</v>
      </c>
      <c r="G11" s="5">
        <f>'Suc. Santiago 2'!G11</f>
        <v>0</v>
      </c>
      <c r="H11" s="5">
        <f>'Suc. Tecuala'!G11</f>
        <v>0</v>
      </c>
      <c r="I11" s="5">
        <f>'Suc. Tuxpan'!G11</f>
        <v>2</v>
      </c>
      <c r="J11" s="5">
        <f>'Suc. Varas'!G11</f>
        <v>0</v>
      </c>
      <c r="K11" s="5">
        <f>'Suc. Santa María del Oro'!G11</f>
        <v>0</v>
      </c>
      <c r="L11" s="5">
        <f>'Suc. Villa Hidalgo'!G11</f>
        <v>0</v>
      </c>
      <c r="M11" s="5">
        <f>'Suc. Peñita'!G11</f>
        <v>0</v>
      </c>
      <c r="N11" s="5">
        <f t="shared" si="0"/>
        <v>2</v>
      </c>
      <c r="O11" s="5">
        <f>+IFERROR(VLOOKUP(A11,$R:$S,2,0),0)-VLOOKUP(A11,'ETIQUETAS CF'!A:B,2,0)</f>
        <v>14</v>
      </c>
      <c r="P11" s="5">
        <f t="shared" si="1"/>
        <v>12</v>
      </c>
      <c r="R11" s="93" t="s">
        <v>9</v>
      </c>
      <c r="S11" s="146">
        <v>14</v>
      </c>
    </row>
    <row r="12" spans="1:19" ht="17.399999999999999" x14ac:dyDescent="0.35">
      <c r="A12" s="93"/>
      <c r="B12" s="4">
        <f>'Suc. Acaponeta'!G12</f>
        <v>0</v>
      </c>
      <c r="C12" s="4">
        <f>'Suc. Compostela'!G12</f>
        <v>0</v>
      </c>
      <c r="D12" s="5">
        <f>'Suc. Ruiz'!G12</f>
        <v>0</v>
      </c>
      <c r="E12" s="5">
        <f>'Suc. Sanblas'!G12</f>
        <v>0</v>
      </c>
      <c r="F12" s="5">
        <f>'LALO VARAS'!G12</f>
        <v>0</v>
      </c>
      <c r="G12" s="5">
        <f>'Suc. Santiago 2'!G12</f>
        <v>0</v>
      </c>
      <c r="H12" s="5">
        <f>'Suc. Tecuala'!G12</f>
        <v>0</v>
      </c>
      <c r="I12" s="5">
        <f>'Suc. Tuxpan'!G12</f>
        <v>0</v>
      </c>
      <c r="J12" s="5">
        <f>'Suc. Varas'!G12</f>
        <v>0</v>
      </c>
      <c r="K12" s="5">
        <f>'Suc. Santa María del Oro'!G12</f>
        <v>0</v>
      </c>
      <c r="L12" s="5">
        <f>'Suc. Villa Hidalgo'!G12</f>
        <v>0</v>
      </c>
      <c r="M12" s="5">
        <f>'Suc. Peñita'!G12</f>
        <v>0</v>
      </c>
      <c r="N12" s="5">
        <f t="shared" si="0"/>
        <v>0</v>
      </c>
      <c r="O12" s="5">
        <f t="shared" ref="O12:O17" si="2">+IFERROR(VLOOKUP(A12,$R:$S,2,0),0)</f>
        <v>0</v>
      </c>
      <c r="P12" s="5">
        <f t="shared" si="1"/>
        <v>0</v>
      </c>
      <c r="R12" s="93"/>
      <c r="S12" s="146">
        <v>0</v>
      </c>
    </row>
    <row r="13" spans="1:19" ht="18" thickBot="1" x14ac:dyDescent="0.4">
      <c r="A13" s="93"/>
      <c r="B13" s="4">
        <f>'Suc. Acaponeta'!G13</f>
        <v>0</v>
      </c>
      <c r="C13" s="4">
        <f>'Suc. Compostela'!G13</f>
        <v>0</v>
      </c>
      <c r="D13" s="5">
        <f>'Suc. Ruiz'!G13</f>
        <v>0</v>
      </c>
      <c r="E13" s="5">
        <f>'Suc. Sanblas'!G13</f>
        <v>0</v>
      </c>
      <c r="F13" s="5">
        <f>'LALO VARAS'!G13</f>
        <v>0</v>
      </c>
      <c r="G13" s="5">
        <f>'Suc. Santiago 2'!G13</f>
        <v>0</v>
      </c>
      <c r="H13" s="5">
        <f>'Suc. Tecuala'!G13</f>
        <v>0</v>
      </c>
      <c r="I13" s="5">
        <f>'Suc. Tuxpan'!G13</f>
        <v>0</v>
      </c>
      <c r="J13" s="5">
        <f>'Suc. Varas'!G13</f>
        <v>0</v>
      </c>
      <c r="K13" s="5">
        <f>'Suc. Santa María del Oro'!G13</f>
        <v>0</v>
      </c>
      <c r="L13" s="5">
        <f>'Suc. Villa Hidalgo'!G13</f>
        <v>0</v>
      </c>
      <c r="M13" s="5">
        <f>'Suc. Peñita'!G13</f>
        <v>0</v>
      </c>
      <c r="N13" s="5">
        <f t="shared" si="0"/>
        <v>0</v>
      </c>
      <c r="O13" s="5">
        <f t="shared" si="2"/>
        <v>0</v>
      </c>
      <c r="P13" s="5">
        <f t="shared" si="1"/>
        <v>0</v>
      </c>
      <c r="R13" s="93"/>
      <c r="S13" s="146">
        <v>0</v>
      </c>
    </row>
    <row r="14" spans="1:19" ht="18" thickBot="1" x14ac:dyDescent="0.4">
      <c r="A14" s="93"/>
      <c r="B14" s="4">
        <f>'Suc. Acaponeta'!G14</f>
        <v>0</v>
      </c>
      <c r="C14" s="4">
        <f>'Suc. Compostela'!G14</f>
        <v>0</v>
      </c>
      <c r="D14" s="5">
        <f>'Suc. Ruiz'!G14</f>
        <v>0</v>
      </c>
      <c r="E14" s="5">
        <f>'Suc. Sanblas'!G14</f>
        <v>0</v>
      </c>
      <c r="F14" s="5">
        <f>'LALO VARAS'!G14</f>
        <v>0</v>
      </c>
      <c r="G14" s="5">
        <f>'Suc. Santiago 2'!G14</f>
        <v>0</v>
      </c>
      <c r="H14" s="5">
        <f>'Suc. Tecuala'!G14</f>
        <v>0</v>
      </c>
      <c r="I14" s="5">
        <f>'Suc. Tuxpan'!G14</f>
        <v>0</v>
      </c>
      <c r="J14" s="5">
        <f>'Suc. Varas'!G14</f>
        <v>0</v>
      </c>
      <c r="K14" s="5">
        <f>'Suc. Santa María del Oro'!G14</f>
        <v>0</v>
      </c>
      <c r="L14" s="5">
        <f>'Suc. Villa Hidalgo'!G14</f>
        <v>0</v>
      </c>
      <c r="M14" s="5">
        <f>'Suc. Peñita'!G14</f>
        <v>0</v>
      </c>
      <c r="N14" s="5">
        <f t="shared" si="0"/>
        <v>0</v>
      </c>
      <c r="O14" s="5">
        <f t="shared" si="2"/>
        <v>0</v>
      </c>
      <c r="P14" s="5">
        <f t="shared" si="1"/>
        <v>0</v>
      </c>
      <c r="R14" s="96" t="s">
        <v>10</v>
      </c>
      <c r="S14" s="235">
        <v>161</v>
      </c>
    </row>
    <row r="15" spans="1:19" ht="17.399999999999999" x14ac:dyDescent="0.35">
      <c r="A15" s="93"/>
      <c r="B15" s="4">
        <f>'Suc. Acaponeta'!G15</f>
        <v>0</v>
      </c>
      <c r="C15" s="4">
        <f>'Suc. Compostela'!G15</f>
        <v>0</v>
      </c>
      <c r="D15" s="5">
        <f>'Suc. Ruiz'!G15</f>
        <v>0</v>
      </c>
      <c r="E15" s="5">
        <f>'Suc. Sanblas'!G15</f>
        <v>0</v>
      </c>
      <c r="F15" s="5">
        <f>'LALO VARAS'!G15</f>
        <v>0</v>
      </c>
      <c r="G15" s="5">
        <f>'Suc. Santiago 2'!G15</f>
        <v>0</v>
      </c>
      <c r="H15" s="5">
        <f>'Suc. Tecuala'!G15</f>
        <v>0</v>
      </c>
      <c r="I15" s="5">
        <f>'Suc. Tuxpan'!G15</f>
        <v>0</v>
      </c>
      <c r="J15" s="5">
        <f>'Suc. Varas'!G15</f>
        <v>0</v>
      </c>
      <c r="K15" s="5">
        <f>'Suc. Santa María del Oro'!G15</f>
        <v>0</v>
      </c>
      <c r="L15" s="5">
        <f>'Suc. Villa Hidalgo'!G15</f>
        <v>0</v>
      </c>
      <c r="M15" s="5">
        <f>'Suc. Peñita'!G15</f>
        <v>0</v>
      </c>
      <c r="N15" s="5">
        <f t="shared" si="0"/>
        <v>0</v>
      </c>
      <c r="O15" s="5">
        <f t="shared" si="2"/>
        <v>0</v>
      </c>
      <c r="P15" s="5">
        <f t="shared" si="1"/>
        <v>0</v>
      </c>
      <c r="R15" s="97" t="s">
        <v>676</v>
      </c>
      <c r="S15" s="245">
        <v>12</v>
      </c>
    </row>
    <row r="16" spans="1:19" ht="17.399999999999999" x14ac:dyDescent="0.35">
      <c r="A16" s="93"/>
      <c r="B16" s="4">
        <f>'Suc. Acaponeta'!G16</f>
        <v>0</v>
      </c>
      <c r="C16" s="4">
        <f>'Suc. Compostela'!G16</f>
        <v>0</v>
      </c>
      <c r="D16" s="5">
        <f>'Suc. Ruiz'!G16</f>
        <v>0</v>
      </c>
      <c r="E16" s="5">
        <f>'Suc. Sanblas'!G16</f>
        <v>0</v>
      </c>
      <c r="F16" s="5">
        <f>'LALO VARAS'!G16</f>
        <v>0</v>
      </c>
      <c r="G16" s="5">
        <f>'Suc. Santiago 2'!G16</f>
        <v>0</v>
      </c>
      <c r="H16" s="5">
        <f>'Suc. Tecuala'!G16</f>
        <v>0</v>
      </c>
      <c r="I16" s="5">
        <f>'Suc. Tuxpan'!G16</f>
        <v>0</v>
      </c>
      <c r="J16" s="5">
        <f>'Suc. Varas'!G16</f>
        <v>0</v>
      </c>
      <c r="K16" s="5">
        <f>'Suc. Santa María del Oro'!G16</f>
        <v>0</v>
      </c>
      <c r="L16" s="5">
        <f>'Suc. Villa Hidalgo'!G16</f>
        <v>0</v>
      </c>
      <c r="M16" s="5">
        <f>'Suc. Peñita'!G16</f>
        <v>0</v>
      </c>
      <c r="N16" s="5">
        <f t="shared" si="0"/>
        <v>0</v>
      </c>
      <c r="O16" s="5">
        <f t="shared" si="2"/>
        <v>0</v>
      </c>
      <c r="P16" s="5">
        <f t="shared" si="1"/>
        <v>0</v>
      </c>
      <c r="R16" s="97" t="s">
        <v>11</v>
      </c>
      <c r="S16" s="245">
        <v>30</v>
      </c>
    </row>
    <row r="17" spans="1:19" ht="18" thickBot="1" x14ac:dyDescent="0.4">
      <c r="A17" s="93"/>
      <c r="B17" s="4">
        <f>'Suc. Acaponeta'!G17</f>
        <v>0</v>
      </c>
      <c r="C17" s="4">
        <f>'Suc. Compostela'!G17</f>
        <v>0</v>
      </c>
      <c r="D17" s="5">
        <f>'Suc. Ruiz'!G17</f>
        <v>0</v>
      </c>
      <c r="E17" s="5">
        <f>'Suc. Sanblas'!G17</f>
        <v>0</v>
      </c>
      <c r="F17" s="5">
        <f>'LALO VARAS'!G17</f>
        <v>0</v>
      </c>
      <c r="G17" s="5">
        <f>'Suc. Santiago 2'!G17</f>
        <v>0</v>
      </c>
      <c r="H17" s="5">
        <f>'Suc. Tecuala'!G17</f>
        <v>0</v>
      </c>
      <c r="I17" s="5">
        <f>'Suc. Tuxpan'!G17</f>
        <v>0</v>
      </c>
      <c r="J17" s="5">
        <f>'Suc. Varas'!G17</f>
        <v>0</v>
      </c>
      <c r="K17" s="5">
        <f>'Suc. Santa María del Oro'!G17</f>
        <v>0</v>
      </c>
      <c r="L17" s="5">
        <f>'Suc. Villa Hidalgo'!G17</f>
        <v>0</v>
      </c>
      <c r="M17" s="5">
        <f>'Suc. Peñita'!G17</f>
        <v>0</v>
      </c>
      <c r="N17" s="5">
        <f t="shared" si="0"/>
        <v>0</v>
      </c>
      <c r="O17" s="5">
        <f t="shared" si="2"/>
        <v>0</v>
      </c>
      <c r="P17" s="5">
        <f t="shared" si="1"/>
        <v>0</v>
      </c>
      <c r="R17" s="97" t="s">
        <v>344</v>
      </c>
      <c r="S17" s="245">
        <v>10</v>
      </c>
    </row>
    <row r="18" spans="1:19" ht="18" thickBot="1" x14ac:dyDescent="0.4">
      <c r="A18" s="96" t="s">
        <v>10</v>
      </c>
      <c r="B18" s="43">
        <f t="shared" ref="B18:P18" si="3">SUM(B3:B17)</f>
        <v>0</v>
      </c>
      <c r="C18" s="43">
        <f t="shared" si="3"/>
        <v>3</v>
      </c>
      <c r="D18" s="43">
        <f t="shared" si="3"/>
        <v>0</v>
      </c>
      <c r="E18" s="43">
        <f t="shared" si="3"/>
        <v>0</v>
      </c>
      <c r="F18" s="43">
        <f t="shared" si="3"/>
        <v>15</v>
      </c>
      <c r="G18" s="43">
        <f t="shared" si="3"/>
        <v>0</v>
      </c>
      <c r="H18" s="43">
        <f t="shared" si="3"/>
        <v>0</v>
      </c>
      <c r="I18" s="43">
        <f t="shared" si="3"/>
        <v>18</v>
      </c>
      <c r="J18" s="43">
        <f t="shared" si="3"/>
        <v>0</v>
      </c>
      <c r="K18" s="43">
        <f t="shared" si="3"/>
        <v>3</v>
      </c>
      <c r="L18" s="43">
        <f t="shared" si="3"/>
        <v>0</v>
      </c>
      <c r="M18" s="43">
        <f t="shared" si="3"/>
        <v>0</v>
      </c>
      <c r="N18" s="43">
        <f t="shared" si="3"/>
        <v>39</v>
      </c>
      <c r="O18" s="43">
        <f t="shared" si="3"/>
        <v>161</v>
      </c>
      <c r="P18" s="43">
        <f t="shared" si="3"/>
        <v>122</v>
      </c>
      <c r="R18" s="97" t="s">
        <v>832</v>
      </c>
      <c r="S18" s="245">
        <v>24</v>
      </c>
    </row>
    <row r="19" spans="1:19" ht="17.399999999999999" x14ac:dyDescent="0.35">
      <c r="A19" s="97" t="s">
        <v>676</v>
      </c>
      <c r="B19" s="4">
        <f>'Suc. Acaponeta'!G19</f>
        <v>0</v>
      </c>
      <c r="C19" s="4">
        <f>'Suc. Compostela'!G19</f>
        <v>0</v>
      </c>
      <c r="D19" s="5">
        <f>'Suc. Ruiz'!G19</f>
        <v>0</v>
      </c>
      <c r="E19" s="5">
        <f>'Suc. Sanblas'!G19</f>
        <v>0</v>
      </c>
      <c r="F19" s="5">
        <f>'LALO VARAS'!G19</f>
        <v>0</v>
      </c>
      <c r="G19" s="5">
        <f>'Suc. Santiago 2'!G19</f>
        <v>0</v>
      </c>
      <c r="H19" s="5">
        <f>'Suc. Tecuala'!G19</f>
        <v>0</v>
      </c>
      <c r="I19" s="5">
        <f>'Suc. Tuxpan'!G19</f>
        <v>2</v>
      </c>
      <c r="J19" s="5">
        <f>'Suc. Varas'!G19</f>
        <v>0</v>
      </c>
      <c r="K19" s="5">
        <f>'Suc. Santa María del Oro'!G19</f>
        <v>2</v>
      </c>
      <c r="L19" s="5">
        <f>'Suc. Villa Hidalgo'!G19</f>
        <v>0</v>
      </c>
      <c r="M19" s="5">
        <f>'Suc. Peñita'!G19</f>
        <v>0</v>
      </c>
      <c r="N19" s="5">
        <f t="shared" ref="N19:N31" si="4">SUM(B19:M19)</f>
        <v>4</v>
      </c>
      <c r="O19" s="5">
        <f>+IFERROR(VLOOKUP(A19,$R:$S,2,0),0)-VLOOKUP(A19,'ETIQUETAS CF'!A:B,2,0)</f>
        <v>12</v>
      </c>
      <c r="P19" s="5">
        <f t="shared" ref="P19:P31" si="5">O19-N19</f>
        <v>8</v>
      </c>
      <c r="R19" s="97" t="s">
        <v>12</v>
      </c>
      <c r="S19" s="245">
        <v>15</v>
      </c>
    </row>
    <row r="20" spans="1:19" ht="17.399999999999999" x14ac:dyDescent="0.35">
      <c r="A20" s="97" t="s">
        <v>11</v>
      </c>
      <c r="B20" s="4">
        <f>'Suc. Acaponeta'!G20</f>
        <v>0</v>
      </c>
      <c r="C20" s="4">
        <f>'Suc. Compostela'!G20</f>
        <v>0</v>
      </c>
      <c r="D20" s="5">
        <f>'Suc. Ruiz'!G20</f>
        <v>0</v>
      </c>
      <c r="E20" s="5">
        <f>'Suc. Sanblas'!G20</f>
        <v>0</v>
      </c>
      <c r="F20" s="5">
        <f>'LALO VARAS'!G20</f>
        <v>2</v>
      </c>
      <c r="G20" s="5">
        <f>'Suc. Santiago 2'!G20</f>
        <v>0</v>
      </c>
      <c r="H20" s="5">
        <f>'Suc. Tecuala'!G20</f>
        <v>0</v>
      </c>
      <c r="I20" s="5">
        <f>'Suc. Tuxpan'!G20</f>
        <v>2</v>
      </c>
      <c r="J20" s="5">
        <f>'Suc. Varas'!G20</f>
        <v>0</v>
      </c>
      <c r="K20" s="5">
        <f>'Suc. Santa María del Oro'!G20</f>
        <v>3</v>
      </c>
      <c r="L20" s="5">
        <f>'Suc. Villa Hidalgo'!G20</f>
        <v>0</v>
      </c>
      <c r="M20" s="5">
        <f>'Suc. Peñita'!G20</f>
        <v>0</v>
      </c>
      <c r="N20" s="5">
        <f t="shared" si="4"/>
        <v>7</v>
      </c>
      <c r="O20" s="5">
        <f>+IFERROR(VLOOKUP(A20,$R:$S,2,0),0)-VLOOKUP(A20,'ETIQUETAS CF'!A:B,2,0)</f>
        <v>30</v>
      </c>
      <c r="P20" s="5">
        <f t="shared" si="5"/>
        <v>23</v>
      </c>
      <c r="R20" s="97" t="s">
        <v>432</v>
      </c>
      <c r="S20" s="245">
        <v>0</v>
      </c>
    </row>
    <row r="21" spans="1:19" ht="17.399999999999999" x14ac:dyDescent="0.35">
      <c r="A21" s="97" t="s">
        <v>344</v>
      </c>
      <c r="B21" s="4">
        <f>'Suc. Acaponeta'!G21</f>
        <v>0</v>
      </c>
      <c r="C21" s="4">
        <f>'Suc. Compostela'!G21</f>
        <v>0</v>
      </c>
      <c r="D21" s="5">
        <f>'Suc. Ruiz'!G21</f>
        <v>0</v>
      </c>
      <c r="E21" s="5">
        <f>'Suc. Sanblas'!G21</f>
        <v>0</v>
      </c>
      <c r="F21" s="5">
        <f>'LALO VARAS'!G21</f>
        <v>2</v>
      </c>
      <c r="G21" s="5">
        <f>'Suc. Santiago 2'!G21</f>
        <v>0</v>
      </c>
      <c r="H21" s="5">
        <f>'Suc. Tecuala'!G21</f>
        <v>0</v>
      </c>
      <c r="I21" s="5">
        <f>'Suc. Tuxpan'!G21</f>
        <v>2</v>
      </c>
      <c r="J21" s="5">
        <f>'Suc. Varas'!G21</f>
        <v>0</v>
      </c>
      <c r="K21" s="5">
        <f>'Suc. Santa María del Oro'!G21</f>
        <v>1</v>
      </c>
      <c r="L21" s="5">
        <f>'Suc. Villa Hidalgo'!G21</f>
        <v>0</v>
      </c>
      <c r="M21" s="5">
        <f>'Suc. Peñita'!G21</f>
        <v>0</v>
      </c>
      <c r="N21" s="5">
        <f t="shared" si="4"/>
        <v>5</v>
      </c>
      <c r="O21" s="5">
        <f>+IFERROR(VLOOKUP(A21,$R:$S,2,0),0)-VLOOKUP(A21,'ETIQUETAS CF'!A:B,2,0)</f>
        <v>10</v>
      </c>
      <c r="P21" s="5">
        <f t="shared" si="5"/>
        <v>5</v>
      </c>
      <c r="R21" s="97" t="s">
        <v>468</v>
      </c>
      <c r="S21" s="245">
        <v>58</v>
      </c>
    </row>
    <row r="22" spans="1:19" ht="17.399999999999999" x14ac:dyDescent="0.35">
      <c r="A22" s="97" t="s">
        <v>832</v>
      </c>
      <c r="B22" s="4">
        <f>'Suc. Acaponeta'!G22</f>
        <v>0</v>
      </c>
      <c r="C22" s="4">
        <f>'Suc. Compostela'!G22</f>
        <v>0</v>
      </c>
      <c r="D22" s="5">
        <f>'Suc. Ruiz'!G22</f>
        <v>0</v>
      </c>
      <c r="E22" s="5">
        <f>'Suc. Sanblas'!G22</f>
        <v>0</v>
      </c>
      <c r="F22" s="5">
        <f>'LALO VARAS'!G22</f>
        <v>0</v>
      </c>
      <c r="G22" s="5">
        <f>'Suc. Santiago 2'!G22</f>
        <v>0</v>
      </c>
      <c r="H22" s="5">
        <f>'Suc. Tecuala'!G22</f>
        <v>0</v>
      </c>
      <c r="I22" s="5">
        <f>'Suc. Tuxpan'!G22</f>
        <v>2</v>
      </c>
      <c r="J22" s="5">
        <f>'Suc. Varas'!G22</f>
        <v>0</v>
      </c>
      <c r="K22" s="5">
        <f>'Suc. Santa María del Oro'!G22</f>
        <v>0</v>
      </c>
      <c r="L22" s="5">
        <f>'Suc. Villa Hidalgo'!G22</f>
        <v>0</v>
      </c>
      <c r="M22" s="5">
        <f>'Suc. Peñita'!G22</f>
        <v>0</v>
      </c>
      <c r="N22" s="5">
        <f t="shared" si="4"/>
        <v>2</v>
      </c>
      <c r="O22" s="5">
        <f>+IFERROR(VLOOKUP(A22,$R:$S,2,0),0)-VLOOKUP(A22,'ETIQUETAS CF'!A:B,2,0)</f>
        <v>24</v>
      </c>
      <c r="P22" s="5">
        <f t="shared" si="5"/>
        <v>22</v>
      </c>
      <c r="R22" s="86"/>
      <c r="S22" s="245">
        <v>0</v>
      </c>
    </row>
    <row r="23" spans="1:19" ht="17.399999999999999" x14ac:dyDescent="0.35">
      <c r="A23" s="97" t="s">
        <v>12</v>
      </c>
      <c r="B23" s="4">
        <f>'Suc. Acaponeta'!G23</f>
        <v>0</v>
      </c>
      <c r="C23" s="4">
        <f>'Suc. Compostela'!G23</f>
        <v>0</v>
      </c>
      <c r="D23" s="5">
        <f>'Suc. Ruiz'!G23</f>
        <v>0</v>
      </c>
      <c r="E23" s="5">
        <f>'Suc. Sanblas'!G23</f>
        <v>0</v>
      </c>
      <c r="F23" s="5">
        <f>'LALO VARAS'!G23</f>
        <v>2</v>
      </c>
      <c r="G23" s="5">
        <f>'Suc. Santiago 2'!G23</f>
        <v>0</v>
      </c>
      <c r="H23" s="5">
        <f>'Suc. Tecuala'!G23</f>
        <v>0</v>
      </c>
      <c r="I23" s="5">
        <f>'Suc. Tuxpan'!G23</f>
        <v>2</v>
      </c>
      <c r="J23" s="5">
        <f>'Suc. Varas'!G23</f>
        <v>0</v>
      </c>
      <c r="K23" s="5">
        <f>'Suc. Santa María del Oro'!G23</f>
        <v>0</v>
      </c>
      <c r="L23" s="5">
        <f>'Suc. Villa Hidalgo'!G23</f>
        <v>0</v>
      </c>
      <c r="M23" s="5">
        <f>'Suc. Peñita'!G23</f>
        <v>0</v>
      </c>
      <c r="N23" s="5">
        <f t="shared" si="4"/>
        <v>4</v>
      </c>
      <c r="O23" s="5">
        <f>+IFERROR(VLOOKUP(A23,$R:$S,2,0),0)-VLOOKUP(A23,'ETIQUETAS CF'!A:B,2,0)</f>
        <v>15</v>
      </c>
      <c r="P23" s="5">
        <f t="shared" si="5"/>
        <v>11</v>
      </c>
      <c r="R23" s="86"/>
      <c r="S23" s="245">
        <v>0</v>
      </c>
    </row>
    <row r="24" spans="1:19" ht="18" thickBot="1" x14ac:dyDescent="0.4">
      <c r="A24" s="97" t="s">
        <v>432</v>
      </c>
      <c r="B24" s="4">
        <f>'Suc. Acaponeta'!G24</f>
        <v>0</v>
      </c>
      <c r="C24" s="4">
        <f>'Suc. Compostela'!G24</f>
        <v>0</v>
      </c>
      <c r="D24" s="5">
        <f>'Suc. Ruiz'!G24</f>
        <v>0</v>
      </c>
      <c r="E24" s="5">
        <f>'Suc. Sanblas'!G24</f>
        <v>0</v>
      </c>
      <c r="F24" s="5">
        <f>'LALO VARAS'!G24</f>
        <v>0</v>
      </c>
      <c r="G24" s="5">
        <f>'Suc. Santiago 2'!G24</f>
        <v>0</v>
      </c>
      <c r="H24" s="5">
        <f>'Suc. Tecuala'!G24</f>
        <v>0</v>
      </c>
      <c r="I24" s="5">
        <f>'Suc. Tuxpan'!G24</f>
        <v>0</v>
      </c>
      <c r="J24" s="5">
        <f>'Suc. Varas'!G24</f>
        <v>0</v>
      </c>
      <c r="K24" s="5">
        <f>'Suc. Santa María del Oro'!G24</f>
        <v>0</v>
      </c>
      <c r="L24" s="5">
        <f>'Suc. Villa Hidalgo'!G24</f>
        <v>0</v>
      </c>
      <c r="M24" s="5">
        <f>'Suc. Peñita'!G24</f>
        <v>0</v>
      </c>
      <c r="N24" s="5">
        <f t="shared" si="4"/>
        <v>0</v>
      </c>
      <c r="O24" s="5">
        <f>+IFERROR(VLOOKUP(A24,$R:$S,2,0),0)-VLOOKUP(A24,'ETIQUETAS CF'!A:B,2,0)</f>
        <v>0</v>
      </c>
      <c r="P24" s="5">
        <f t="shared" si="5"/>
        <v>0</v>
      </c>
      <c r="R24" s="97"/>
      <c r="S24" s="245">
        <v>0</v>
      </c>
    </row>
    <row r="25" spans="1:19" ht="18" thickBot="1" x14ac:dyDescent="0.4">
      <c r="A25" s="97" t="s">
        <v>468</v>
      </c>
      <c r="B25" s="4">
        <f>'Suc. Acaponeta'!G25</f>
        <v>0</v>
      </c>
      <c r="C25" s="4">
        <f>'Suc. Compostela'!G25</f>
        <v>0</v>
      </c>
      <c r="D25" s="5">
        <f>'Suc. Ruiz'!G25</f>
        <v>0</v>
      </c>
      <c r="E25" s="5">
        <f>'Suc. Sanblas'!G25</f>
        <v>0</v>
      </c>
      <c r="F25" s="5">
        <f>'LALO VARAS'!G25</f>
        <v>2</v>
      </c>
      <c r="G25" s="5">
        <f>'Suc. Santiago 2'!G25</f>
        <v>0</v>
      </c>
      <c r="H25" s="5">
        <f>'Suc. Tecuala'!G25</f>
        <v>0</v>
      </c>
      <c r="I25" s="5">
        <f>'Suc. Tuxpan'!G25</f>
        <v>2</v>
      </c>
      <c r="J25" s="5">
        <f>'Suc. Varas'!G25</f>
        <v>0</v>
      </c>
      <c r="K25" s="5">
        <f>'Suc. Santa María del Oro'!G25</f>
        <v>3</v>
      </c>
      <c r="L25" s="5">
        <f>'Suc. Villa Hidalgo'!G25</f>
        <v>0</v>
      </c>
      <c r="M25" s="5">
        <f>'Suc. Peñita'!G25</f>
        <v>0</v>
      </c>
      <c r="N25" s="5">
        <f t="shared" si="4"/>
        <v>7</v>
      </c>
      <c r="O25" s="5">
        <f>+IFERROR(VLOOKUP(A25,$R:$S,2,0),0)-VLOOKUP(A25,'ETIQUETAS CF'!A:B,2,0)</f>
        <v>58</v>
      </c>
      <c r="P25" s="5">
        <f t="shared" si="5"/>
        <v>51</v>
      </c>
      <c r="R25" s="98" t="s">
        <v>13</v>
      </c>
      <c r="S25" s="236">
        <v>149</v>
      </c>
    </row>
    <row r="26" spans="1:19" ht="17.25" customHeight="1" x14ac:dyDescent="0.35">
      <c r="A26" s="97"/>
      <c r="B26" s="4">
        <f>'Suc. Acaponeta'!G26</f>
        <v>0</v>
      </c>
      <c r="C26" s="4">
        <f>'Suc. Compostela'!G26</f>
        <v>0</v>
      </c>
      <c r="D26" s="5">
        <f>'Suc. Ruiz'!G26</f>
        <v>0</v>
      </c>
      <c r="E26" s="5">
        <f>'Suc. Sanblas'!G26</f>
        <v>0</v>
      </c>
      <c r="F26" s="5">
        <f>'LALO VARAS'!G26</f>
        <v>0</v>
      </c>
      <c r="G26" s="5">
        <f>'Suc. Santiago 2'!G26</f>
        <v>0</v>
      </c>
      <c r="H26" s="5">
        <f>'Suc. Tecuala'!G26</f>
        <v>0</v>
      </c>
      <c r="I26" s="5">
        <f>'Suc. Tuxpan'!G26</f>
        <v>0</v>
      </c>
      <c r="J26" s="5">
        <f>'Suc. Varas'!G26</f>
        <v>0</v>
      </c>
      <c r="K26" s="5">
        <f>'Suc. Santa María del Oro'!G26</f>
        <v>0</v>
      </c>
      <c r="L26" s="5">
        <f>'Suc. Villa Hidalgo'!G26</f>
        <v>0</v>
      </c>
      <c r="M26" s="5">
        <f>'Suc. Peñita'!G26</f>
        <v>0</v>
      </c>
      <c r="N26" s="5">
        <f t="shared" si="4"/>
        <v>0</v>
      </c>
      <c r="O26" s="5">
        <f t="shared" ref="O26:O31" si="6">+IFERROR(VLOOKUP(A26,$R:$S,2,0),0)</f>
        <v>0</v>
      </c>
      <c r="P26" s="5">
        <f t="shared" si="5"/>
        <v>0</v>
      </c>
      <c r="R26" s="97" t="s">
        <v>14</v>
      </c>
      <c r="S26" s="245">
        <v>14</v>
      </c>
    </row>
    <row r="27" spans="1:19" ht="17.25" customHeight="1" x14ac:dyDescent="0.35">
      <c r="A27" s="97"/>
      <c r="B27" s="4">
        <f>'Suc. Acaponeta'!G27</f>
        <v>0</v>
      </c>
      <c r="C27" s="4">
        <f>'Suc. Compostela'!G27</f>
        <v>0</v>
      </c>
      <c r="D27" s="5">
        <f>'Suc. Ruiz'!G27</f>
        <v>0</v>
      </c>
      <c r="E27" s="5">
        <f>'Suc. Sanblas'!G27</f>
        <v>0</v>
      </c>
      <c r="F27" s="5">
        <f>'LALO VARAS'!G27</f>
        <v>0</v>
      </c>
      <c r="G27" s="5">
        <f>'Suc. Santiago 2'!G27</f>
        <v>0</v>
      </c>
      <c r="H27" s="5">
        <f>'Suc. Tecuala'!G27</f>
        <v>0</v>
      </c>
      <c r="I27" s="5">
        <f>'Suc. Tuxpan'!G27</f>
        <v>0</v>
      </c>
      <c r="J27" s="5">
        <f>'Suc. Varas'!G27</f>
        <v>0</v>
      </c>
      <c r="K27" s="5">
        <f>'Suc. Santa María del Oro'!G27</f>
        <v>0</v>
      </c>
      <c r="L27" s="5">
        <f>'Suc. Villa Hidalgo'!G27</f>
        <v>0</v>
      </c>
      <c r="M27" s="5">
        <f>'Suc. Peñita'!G27</f>
        <v>0</v>
      </c>
      <c r="N27" s="5">
        <f t="shared" si="4"/>
        <v>0</v>
      </c>
      <c r="O27" s="5">
        <f t="shared" si="6"/>
        <v>0</v>
      </c>
      <c r="P27" s="5">
        <f t="shared" si="5"/>
        <v>0</v>
      </c>
      <c r="R27" s="97" t="s">
        <v>15</v>
      </c>
      <c r="S27" s="245">
        <v>17</v>
      </c>
    </row>
    <row r="28" spans="1:19" ht="17.399999999999999" x14ac:dyDescent="0.35">
      <c r="A28" s="97"/>
      <c r="B28" s="4">
        <f>'Suc. Acaponeta'!G28</f>
        <v>0</v>
      </c>
      <c r="C28" s="4">
        <f>'Suc. Compostela'!G28</f>
        <v>0</v>
      </c>
      <c r="D28" s="5">
        <f>'Suc. Ruiz'!G28</f>
        <v>0</v>
      </c>
      <c r="E28" s="5">
        <f>'Suc. Sanblas'!G28</f>
        <v>0</v>
      </c>
      <c r="F28" s="5">
        <f>'LALO VARAS'!G28</f>
        <v>0</v>
      </c>
      <c r="G28" s="5">
        <f>'Suc. Santiago 2'!G28</f>
        <v>0</v>
      </c>
      <c r="H28" s="5">
        <f>'Suc. Tecuala'!G28</f>
        <v>0</v>
      </c>
      <c r="I28" s="5">
        <f>'Suc. Tuxpan'!G28</f>
        <v>0</v>
      </c>
      <c r="J28" s="5">
        <f>'Suc. Varas'!G28</f>
        <v>0</v>
      </c>
      <c r="K28" s="5">
        <f>'Suc. Santa María del Oro'!G28</f>
        <v>0</v>
      </c>
      <c r="L28" s="5">
        <f>'Suc. Villa Hidalgo'!G28</f>
        <v>0</v>
      </c>
      <c r="M28" s="5">
        <f>'Suc. Peñita'!G28</f>
        <v>0</v>
      </c>
      <c r="N28" s="5">
        <f t="shared" si="4"/>
        <v>0</v>
      </c>
      <c r="O28" s="5">
        <f t="shared" si="6"/>
        <v>0</v>
      </c>
      <c r="P28" s="5">
        <f t="shared" si="5"/>
        <v>0</v>
      </c>
      <c r="R28" s="97" t="s">
        <v>16</v>
      </c>
      <c r="S28" s="245">
        <v>14</v>
      </c>
    </row>
    <row r="29" spans="1:19" ht="17.399999999999999" x14ac:dyDescent="0.35">
      <c r="A29" s="97"/>
      <c r="B29" s="4">
        <f>'Suc. Acaponeta'!G29</f>
        <v>0</v>
      </c>
      <c r="C29" s="4">
        <f>'Suc. Compostela'!G29</f>
        <v>0</v>
      </c>
      <c r="D29" s="5">
        <f>'Suc. Ruiz'!G29</f>
        <v>0</v>
      </c>
      <c r="E29" s="5">
        <f>'Suc. Sanblas'!G29</f>
        <v>0</v>
      </c>
      <c r="F29" s="5">
        <f>'LALO VARAS'!G29</f>
        <v>0</v>
      </c>
      <c r="G29" s="5">
        <f>'Suc. Santiago 2'!G29</f>
        <v>0</v>
      </c>
      <c r="H29" s="5">
        <f>'Suc. Tecuala'!G29</f>
        <v>0</v>
      </c>
      <c r="I29" s="5">
        <f>'Suc. Tuxpan'!G29</f>
        <v>0</v>
      </c>
      <c r="J29" s="5">
        <f>'Suc. Varas'!G29</f>
        <v>0</v>
      </c>
      <c r="K29" s="5">
        <f>'Suc. Santa María del Oro'!G29</f>
        <v>0</v>
      </c>
      <c r="L29" s="5">
        <f>'Suc. Villa Hidalgo'!G29</f>
        <v>0</v>
      </c>
      <c r="M29" s="5">
        <f>'Suc. Peñita'!G29</f>
        <v>0</v>
      </c>
      <c r="N29" s="5">
        <f t="shared" si="4"/>
        <v>0</v>
      </c>
      <c r="O29" s="5">
        <f t="shared" si="6"/>
        <v>0</v>
      </c>
      <c r="P29" s="5">
        <f t="shared" si="5"/>
        <v>0</v>
      </c>
      <c r="R29" s="97" t="s">
        <v>17</v>
      </c>
      <c r="S29" s="245">
        <v>15</v>
      </c>
    </row>
    <row r="30" spans="1:19" ht="17.399999999999999" x14ac:dyDescent="0.35">
      <c r="A30" s="97"/>
      <c r="B30" s="4">
        <f>'Suc. Acaponeta'!G30</f>
        <v>0</v>
      </c>
      <c r="C30" s="4">
        <f>'Suc. Compostela'!G30</f>
        <v>0</v>
      </c>
      <c r="D30" s="5">
        <f>'Suc. Ruiz'!G30</f>
        <v>0</v>
      </c>
      <c r="E30" s="5">
        <f>'Suc. Sanblas'!G30</f>
        <v>0</v>
      </c>
      <c r="F30" s="5">
        <f>'LALO VARAS'!G30</f>
        <v>0</v>
      </c>
      <c r="G30" s="5">
        <f>'Suc. Santiago 2'!G30</f>
        <v>0</v>
      </c>
      <c r="H30" s="5">
        <f>'Suc. Tecuala'!G30</f>
        <v>0</v>
      </c>
      <c r="I30" s="5">
        <f>'Suc. Tuxpan'!G30</f>
        <v>0</v>
      </c>
      <c r="J30" s="5">
        <f>'Suc. Varas'!G30</f>
        <v>0</v>
      </c>
      <c r="K30" s="5">
        <f>'Suc. Santa María del Oro'!G30</f>
        <v>0</v>
      </c>
      <c r="L30" s="5">
        <f>'Suc. Villa Hidalgo'!G30</f>
        <v>0</v>
      </c>
      <c r="M30" s="5">
        <f>'Suc. Peñita'!G30</f>
        <v>0</v>
      </c>
      <c r="N30" s="5">
        <f t="shared" si="4"/>
        <v>0</v>
      </c>
      <c r="O30" s="5">
        <f t="shared" si="6"/>
        <v>0</v>
      </c>
      <c r="P30" s="5">
        <f t="shared" si="5"/>
        <v>0</v>
      </c>
      <c r="R30" s="97" t="s">
        <v>18</v>
      </c>
      <c r="S30" s="245">
        <v>22</v>
      </c>
    </row>
    <row r="31" spans="1:19" ht="18" thickBot="1" x14ac:dyDescent="0.4">
      <c r="A31" s="97"/>
      <c r="B31" s="4">
        <f>'Suc. Acaponeta'!G31</f>
        <v>0</v>
      </c>
      <c r="C31" s="4">
        <f>'Suc. Compostela'!G31</f>
        <v>0</v>
      </c>
      <c r="D31" s="5">
        <f>'Suc. Ruiz'!G31</f>
        <v>0</v>
      </c>
      <c r="E31" s="5">
        <f>'Suc. Sanblas'!G31</f>
        <v>0</v>
      </c>
      <c r="F31" s="5">
        <f>'LALO VARAS'!G31</f>
        <v>0</v>
      </c>
      <c r="G31" s="5">
        <f>'Suc. Santiago 2'!G31</f>
        <v>0</v>
      </c>
      <c r="H31" s="5">
        <f>'Suc. Tecuala'!G31</f>
        <v>0</v>
      </c>
      <c r="I31" s="5">
        <f>'Suc. Tuxpan'!G31</f>
        <v>0</v>
      </c>
      <c r="J31" s="5">
        <f>'Suc. Varas'!G31</f>
        <v>0</v>
      </c>
      <c r="K31" s="5">
        <f>'Suc. Santa María del Oro'!G31</f>
        <v>0</v>
      </c>
      <c r="L31" s="5">
        <f>'Suc. Villa Hidalgo'!G31</f>
        <v>0</v>
      </c>
      <c r="M31" s="5">
        <f>'Suc. Peñita'!G31</f>
        <v>0</v>
      </c>
      <c r="N31" s="5">
        <f t="shared" si="4"/>
        <v>0</v>
      </c>
      <c r="O31" s="5">
        <f t="shared" si="6"/>
        <v>0</v>
      </c>
      <c r="P31" s="5">
        <f t="shared" si="5"/>
        <v>0</v>
      </c>
      <c r="R31" s="97" t="s">
        <v>22</v>
      </c>
      <c r="S31" s="245">
        <v>27</v>
      </c>
    </row>
    <row r="32" spans="1:19" ht="18" thickBot="1" x14ac:dyDescent="0.4">
      <c r="A32" s="98" t="s">
        <v>13</v>
      </c>
      <c r="B32" s="45">
        <f t="shared" ref="B32:P32" si="7">SUM(B19:B31)</f>
        <v>0</v>
      </c>
      <c r="C32" s="45">
        <f t="shared" si="7"/>
        <v>0</v>
      </c>
      <c r="D32" s="45">
        <f t="shared" si="7"/>
        <v>0</v>
      </c>
      <c r="E32" s="45">
        <f t="shared" si="7"/>
        <v>0</v>
      </c>
      <c r="F32" s="45">
        <f t="shared" si="7"/>
        <v>8</v>
      </c>
      <c r="G32" s="45">
        <f t="shared" si="7"/>
        <v>0</v>
      </c>
      <c r="H32" s="45">
        <f t="shared" si="7"/>
        <v>0</v>
      </c>
      <c r="I32" s="45">
        <f t="shared" si="7"/>
        <v>12</v>
      </c>
      <c r="J32" s="45">
        <f t="shared" si="7"/>
        <v>0</v>
      </c>
      <c r="K32" s="45">
        <f t="shared" si="7"/>
        <v>9</v>
      </c>
      <c r="L32" s="45">
        <f t="shared" si="7"/>
        <v>0</v>
      </c>
      <c r="M32" s="45">
        <f t="shared" si="7"/>
        <v>0</v>
      </c>
      <c r="N32" s="45">
        <f t="shared" si="7"/>
        <v>29</v>
      </c>
      <c r="O32" s="45">
        <f t="shared" si="7"/>
        <v>149</v>
      </c>
      <c r="P32" s="45">
        <f t="shared" si="7"/>
        <v>120</v>
      </c>
      <c r="R32" s="97" t="s">
        <v>23</v>
      </c>
      <c r="S32" s="245">
        <v>10</v>
      </c>
    </row>
    <row r="33" spans="1:19" ht="17.399999999999999" x14ac:dyDescent="0.35">
      <c r="A33" s="97" t="s">
        <v>14</v>
      </c>
      <c r="B33" s="4">
        <f>'Suc. Acaponeta'!G33</f>
        <v>0</v>
      </c>
      <c r="C33" s="4">
        <f>'Suc. Compostela'!G33</f>
        <v>1</v>
      </c>
      <c r="D33" s="5">
        <f>'Suc. Ruiz'!G33</f>
        <v>0</v>
      </c>
      <c r="E33" s="5">
        <f>'Suc. Sanblas'!G33</f>
        <v>0</v>
      </c>
      <c r="F33" s="5">
        <f>'LALO VARAS'!G33</f>
        <v>1</v>
      </c>
      <c r="G33" s="5">
        <f>'Suc. Santiago 2'!G33</f>
        <v>0</v>
      </c>
      <c r="H33" s="5">
        <f>'Suc. Tecuala'!G33</f>
        <v>0</v>
      </c>
      <c r="I33" s="5">
        <f>'Suc. Tuxpan'!G33</f>
        <v>2</v>
      </c>
      <c r="J33" s="5">
        <f>'Suc. Varas'!G33</f>
        <v>0</v>
      </c>
      <c r="K33" s="5">
        <f>'Suc. Santa María del Oro'!G33</f>
        <v>0</v>
      </c>
      <c r="L33" s="5">
        <f>'Suc. Villa Hidalgo'!G33</f>
        <v>0</v>
      </c>
      <c r="M33" s="5">
        <f>'Suc. Peñita'!G33</f>
        <v>0</v>
      </c>
      <c r="N33" s="5">
        <f t="shared" ref="N33:N48" si="8">SUM(B33:M33)</f>
        <v>4</v>
      </c>
      <c r="O33" s="5">
        <f>+IFERROR(VLOOKUP(A33,$R:$S,2,0),0)-VLOOKUP(A33,'ETIQUETAS CF'!A:B,2,0)</f>
        <v>14</v>
      </c>
      <c r="P33" s="5">
        <f t="shared" ref="P33:P48" si="9">O33-N33</f>
        <v>10</v>
      </c>
      <c r="R33" s="97" t="s">
        <v>24</v>
      </c>
      <c r="S33" s="245">
        <v>25</v>
      </c>
    </row>
    <row r="34" spans="1:19" ht="17.399999999999999" x14ac:dyDescent="0.35">
      <c r="A34" s="97" t="s">
        <v>15</v>
      </c>
      <c r="B34" s="4">
        <f>'Suc. Acaponeta'!G34</f>
        <v>0</v>
      </c>
      <c r="C34" s="4">
        <f>'Suc. Compostela'!G34</f>
        <v>2</v>
      </c>
      <c r="D34" s="5">
        <f>'Suc. Ruiz'!G34</f>
        <v>0</v>
      </c>
      <c r="E34" s="5">
        <f>'Suc. Sanblas'!G34</f>
        <v>0</v>
      </c>
      <c r="F34" s="5">
        <f>'LALO VARAS'!G34</f>
        <v>1</v>
      </c>
      <c r="G34" s="5">
        <f>'Suc. Santiago 2'!G34</f>
        <v>0</v>
      </c>
      <c r="H34" s="5">
        <f>'Suc. Tecuala'!G34</f>
        <v>0</v>
      </c>
      <c r="I34" s="5">
        <f>'Suc. Tuxpan'!G34</f>
        <v>2</v>
      </c>
      <c r="J34" s="5">
        <f>'Suc. Varas'!G34</f>
        <v>0</v>
      </c>
      <c r="K34" s="5">
        <f>'Suc. Santa María del Oro'!G34</f>
        <v>3</v>
      </c>
      <c r="L34" s="5">
        <f>'Suc. Villa Hidalgo'!G34</f>
        <v>0</v>
      </c>
      <c r="M34" s="5">
        <f>'Suc. Peñita'!G34</f>
        <v>0</v>
      </c>
      <c r="N34" s="5">
        <f t="shared" si="8"/>
        <v>8</v>
      </c>
      <c r="O34" s="5">
        <f>+IFERROR(VLOOKUP(A34,$R:$S,2,0),0)-VLOOKUP(A34,'ETIQUETAS CF'!A:B,2,0)</f>
        <v>17</v>
      </c>
      <c r="P34" s="5">
        <f t="shared" si="9"/>
        <v>9</v>
      </c>
      <c r="R34" s="97" t="s">
        <v>25</v>
      </c>
      <c r="S34" s="245">
        <v>13</v>
      </c>
    </row>
    <row r="35" spans="1:19" ht="17.399999999999999" x14ac:dyDescent="0.35">
      <c r="A35" s="97" t="s">
        <v>16</v>
      </c>
      <c r="B35" s="4">
        <f>'Suc. Acaponeta'!G35</f>
        <v>0</v>
      </c>
      <c r="C35" s="4">
        <f>'Suc. Compostela'!G35</f>
        <v>1</v>
      </c>
      <c r="D35" s="5">
        <f>'Suc. Ruiz'!G35</f>
        <v>0</v>
      </c>
      <c r="E35" s="5">
        <f>'Suc. Sanblas'!G35</f>
        <v>0</v>
      </c>
      <c r="F35" s="5">
        <f>'LALO VARAS'!G35</f>
        <v>1</v>
      </c>
      <c r="G35" s="5">
        <f>'Suc. Santiago 2'!G35</f>
        <v>0</v>
      </c>
      <c r="H35" s="5">
        <f>'Suc. Tecuala'!G35</f>
        <v>0</v>
      </c>
      <c r="I35" s="5">
        <f>'Suc. Tuxpan'!G35</f>
        <v>2</v>
      </c>
      <c r="J35" s="5">
        <f>'Suc. Varas'!G35</f>
        <v>0</v>
      </c>
      <c r="K35" s="5">
        <f>'Suc. Santa María del Oro'!G35</f>
        <v>0</v>
      </c>
      <c r="L35" s="5">
        <f>'Suc. Villa Hidalgo'!G35</f>
        <v>0</v>
      </c>
      <c r="M35" s="5">
        <f>'Suc. Peñita'!G35</f>
        <v>0</v>
      </c>
      <c r="N35" s="5">
        <f t="shared" si="8"/>
        <v>4</v>
      </c>
      <c r="O35" s="5">
        <f>+IFERROR(VLOOKUP(A35,$R:$S,2,0),0)-VLOOKUP(A35,'ETIQUETAS CF'!A:B,2,0)</f>
        <v>14</v>
      </c>
      <c r="P35" s="5">
        <f t="shared" si="9"/>
        <v>10</v>
      </c>
      <c r="R35" s="97"/>
      <c r="S35" s="245">
        <v>0</v>
      </c>
    </row>
    <row r="36" spans="1:19" ht="17.399999999999999" x14ac:dyDescent="0.35">
      <c r="A36" s="97" t="s">
        <v>17</v>
      </c>
      <c r="B36" s="4">
        <f>'Suc. Acaponeta'!G36</f>
        <v>0</v>
      </c>
      <c r="C36" s="4">
        <f>'Suc. Compostela'!G36</f>
        <v>1</v>
      </c>
      <c r="D36" s="5">
        <f>'Suc. Ruiz'!G36</f>
        <v>0</v>
      </c>
      <c r="E36" s="5">
        <f>'Suc. Sanblas'!G36</f>
        <v>0</v>
      </c>
      <c r="F36" s="5">
        <f>'LALO VARAS'!G36</f>
        <v>1</v>
      </c>
      <c r="G36" s="5">
        <f>'Suc. Santiago 2'!G36</f>
        <v>0</v>
      </c>
      <c r="H36" s="5">
        <f>'Suc. Tecuala'!G36</f>
        <v>0</v>
      </c>
      <c r="I36" s="5">
        <f>'Suc. Tuxpan'!G36</f>
        <v>2</v>
      </c>
      <c r="J36" s="5">
        <f>'Suc. Varas'!G36</f>
        <v>0</v>
      </c>
      <c r="K36" s="5">
        <f>'Suc. Santa María del Oro'!G36</f>
        <v>2</v>
      </c>
      <c r="L36" s="5">
        <f>'Suc. Villa Hidalgo'!G36</f>
        <v>0</v>
      </c>
      <c r="M36" s="5">
        <f>'Suc. Peñita'!G36</f>
        <v>0</v>
      </c>
      <c r="N36" s="5">
        <f t="shared" si="8"/>
        <v>6</v>
      </c>
      <c r="O36" s="5">
        <f>+IFERROR(VLOOKUP(A36,$R:$S,2,0),0)-VLOOKUP(A36,'ETIQUETAS CF'!A:B,2,0)</f>
        <v>15</v>
      </c>
      <c r="P36" s="5">
        <f t="shared" si="9"/>
        <v>9</v>
      </c>
      <c r="R36" s="97"/>
      <c r="S36" s="245">
        <v>0</v>
      </c>
    </row>
    <row r="37" spans="1:19" ht="17.399999999999999" x14ac:dyDescent="0.35">
      <c r="A37" s="97" t="s">
        <v>18</v>
      </c>
      <c r="B37" s="4">
        <f>'Suc. Acaponeta'!G37</f>
        <v>0</v>
      </c>
      <c r="C37" s="4">
        <f>'Suc. Compostela'!G37</f>
        <v>2</v>
      </c>
      <c r="D37" s="5">
        <f>'Suc. Ruiz'!G37</f>
        <v>0</v>
      </c>
      <c r="E37" s="5">
        <f>'Suc. Sanblas'!G37</f>
        <v>0</v>
      </c>
      <c r="F37" s="5">
        <f>'LALO VARAS'!G37</f>
        <v>1</v>
      </c>
      <c r="G37" s="5">
        <f>'Suc. Santiago 2'!G37</f>
        <v>0</v>
      </c>
      <c r="H37" s="5">
        <f>'Suc. Tecuala'!G37</f>
        <v>0</v>
      </c>
      <c r="I37" s="5">
        <f>'Suc. Tuxpan'!G37</f>
        <v>2</v>
      </c>
      <c r="J37" s="5">
        <f>'Suc. Varas'!G37</f>
        <v>0</v>
      </c>
      <c r="K37" s="5">
        <f>'Suc. Santa María del Oro'!G37</f>
        <v>0</v>
      </c>
      <c r="L37" s="5">
        <f>'Suc. Villa Hidalgo'!G37</f>
        <v>0</v>
      </c>
      <c r="M37" s="5">
        <f>'Suc. Peñita'!G37</f>
        <v>0</v>
      </c>
      <c r="N37" s="5">
        <f t="shared" si="8"/>
        <v>5</v>
      </c>
      <c r="O37" s="5">
        <f>+IFERROR(VLOOKUP(A37,$R:$S,2,0),0)-VLOOKUP(A37,'ETIQUETAS CF'!A:B,2,0)</f>
        <v>22</v>
      </c>
      <c r="P37" s="5">
        <f t="shared" si="9"/>
        <v>17</v>
      </c>
      <c r="R37" s="97"/>
      <c r="S37" s="245">
        <v>0</v>
      </c>
    </row>
    <row r="38" spans="1:19" ht="18" thickBot="1" x14ac:dyDescent="0.4">
      <c r="A38" s="97" t="s">
        <v>22</v>
      </c>
      <c r="B38" s="4">
        <f>'Suc. Acaponeta'!G38</f>
        <v>0</v>
      </c>
      <c r="C38" s="4">
        <f>'Suc. Compostela'!G38</f>
        <v>1</v>
      </c>
      <c r="D38" s="5">
        <f>'Suc. Ruiz'!G38</f>
        <v>0</v>
      </c>
      <c r="E38" s="5">
        <f>'Suc. Sanblas'!G38</f>
        <v>0</v>
      </c>
      <c r="F38" s="5">
        <f>'LALO VARAS'!G38</f>
        <v>2</v>
      </c>
      <c r="G38" s="5">
        <f>'Suc. Santiago 2'!G38</f>
        <v>0</v>
      </c>
      <c r="H38" s="5">
        <f>'Suc. Tecuala'!G38</f>
        <v>0</v>
      </c>
      <c r="I38" s="5">
        <f>'Suc. Tuxpan'!G38</f>
        <v>2</v>
      </c>
      <c r="J38" s="5">
        <f>'Suc. Varas'!G38</f>
        <v>0</v>
      </c>
      <c r="K38" s="5">
        <f>'Suc. Santa María del Oro'!G38</f>
        <v>2</v>
      </c>
      <c r="L38" s="5">
        <f>'Suc. Villa Hidalgo'!G38</f>
        <v>0</v>
      </c>
      <c r="M38" s="5">
        <f>'Suc. Peñita'!G38</f>
        <v>0</v>
      </c>
      <c r="N38" s="5">
        <f t="shared" si="8"/>
        <v>7</v>
      </c>
      <c r="O38" s="5">
        <f>+IFERROR(VLOOKUP(A38,$R:$S,2,0),0)-VLOOKUP(A38,'ETIQUETAS CF'!A:B,2,0)</f>
        <v>27</v>
      </c>
      <c r="P38" s="5">
        <f t="shared" si="9"/>
        <v>20</v>
      </c>
      <c r="R38" s="97"/>
      <c r="S38" s="245">
        <v>0</v>
      </c>
    </row>
    <row r="39" spans="1:19" ht="18" thickBot="1" x14ac:dyDescent="0.4">
      <c r="A39" s="97" t="s">
        <v>23</v>
      </c>
      <c r="B39" s="4">
        <f>'Suc. Acaponeta'!G39</f>
        <v>0</v>
      </c>
      <c r="C39" s="4">
        <f>'Suc. Compostela'!G39</f>
        <v>1</v>
      </c>
      <c r="D39" s="5">
        <f>'Suc. Ruiz'!G39</f>
        <v>0</v>
      </c>
      <c r="E39" s="5">
        <f>'Suc. Sanblas'!G39</f>
        <v>0</v>
      </c>
      <c r="F39" s="5">
        <f>'LALO VARAS'!G39</f>
        <v>0</v>
      </c>
      <c r="G39" s="5">
        <f>'Suc. Santiago 2'!G39</f>
        <v>0</v>
      </c>
      <c r="H39" s="5">
        <f>'Suc. Tecuala'!G39</f>
        <v>0</v>
      </c>
      <c r="I39" s="5">
        <f>'Suc. Tuxpan'!G39</f>
        <v>2</v>
      </c>
      <c r="J39" s="5">
        <f>'Suc. Varas'!G39</f>
        <v>0</v>
      </c>
      <c r="K39" s="5">
        <f>'Suc. Santa María del Oro'!G39</f>
        <v>3</v>
      </c>
      <c r="L39" s="5">
        <f>'Suc. Villa Hidalgo'!G39</f>
        <v>0</v>
      </c>
      <c r="M39" s="5">
        <f>'Suc. Peñita'!G39</f>
        <v>0</v>
      </c>
      <c r="N39" s="5">
        <f t="shared" si="8"/>
        <v>6</v>
      </c>
      <c r="O39" s="5">
        <f>+IFERROR(VLOOKUP(A39,$R:$S,2,0),0)-VLOOKUP(A39,'ETIQUETAS CF'!A:B,2,0)</f>
        <v>10</v>
      </c>
      <c r="P39" s="5">
        <f t="shared" si="9"/>
        <v>4</v>
      </c>
      <c r="R39" s="99" t="s">
        <v>29</v>
      </c>
      <c r="S39" s="236">
        <v>157</v>
      </c>
    </row>
    <row r="40" spans="1:19" ht="17.399999999999999" x14ac:dyDescent="0.35">
      <c r="A40" s="97" t="s">
        <v>24</v>
      </c>
      <c r="B40" s="4">
        <f>'Suc. Acaponeta'!G40</f>
        <v>0</v>
      </c>
      <c r="C40" s="4">
        <f>'Suc. Compostela'!G40</f>
        <v>1</v>
      </c>
      <c r="D40" s="5">
        <f>'Suc. Ruiz'!G40</f>
        <v>0</v>
      </c>
      <c r="E40" s="5">
        <f>'Suc. Sanblas'!G40</f>
        <v>0</v>
      </c>
      <c r="F40" s="5">
        <f>'LALO VARAS'!G40</f>
        <v>2</v>
      </c>
      <c r="G40" s="5">
        <f>'Suc. Santiago 2'!G40</f>
        <v>0</v>
      </c>
      <c r="H40" s="5">
        <f>'Suc. Tecuala'!G40</f>
        <v>0</v>
      </c>
      <c r="I40" s="5">
        <f>'Suc. Tuxpan'!G40</f>
        <v>2</v>
      </c>
      <c r="J40" s="5">
        <f>'Suc. Varas'!G40</f>
        <v>0</v>
      </c>
      <c r="K40" s="5">
        <f>'Suc. Santa María del Oro'!G40</f>
        <v>1</v>
      </c>
      <c r="L40" s="5">
        <f>'Suc. Villa Hidalgo'!G40</f>
        <v>0</v>
      </c>
      <c r="M40" s="5">
        <f>'Suc. Peñita'!G40</f>
        <v>0</v>
      </c>
      <c r="N40" s="5">
        <f t="shared" si="8"/>
        <v>6</v>
      </c>
      <c r="O40" s="5">
        <f>+IFERROR(VLOOKUP(A40,$R:$S,2,0),0)-VLOOKUP(A40,'ETIQUETAS CF'!A:B,2,0)</f>
        <v>25</v>
      </c>
      <c r="P40" s="5">
        <f t="shared" si="9"/>
        <v>19</v>
      </c>
      <c r="R40" s="93" t="s">
        <v>30</v>
      </c>
      <c r="S40" s="245">
        <v>37</v>
      </c>
    </row>
    <row r="41" spans="1:19" ht="18" thickBot="1" x14ac:dyDescent="0.4">
      <c r="A41" s="97" t="s">
        <v>25</v>
      </c>
      <c r="B41" s="4">
        <f>'Suc. Acaponeta'!G41</f>
        <v>0</v>
      </c>
      <c r="C41" s="4">
        <f>'Suc. Compostela'!G41</f>
        <v>0</v>
      </c>
      <c r="D41" s="5">
        <f>'Suc. Ruiz'!G41</f>
        <v>0</v>
      </c>
      <c r="E41" s="5">
        <f>'Suc. Sanblas'!G41</f>
        <v>0</v>
      </c>
      <c r="F41" s="5">
        <f>'LALO VARAS'!G41</f>
        <v>0</v>
      </c>
      <c r="G41" s="5">
        <f>'Suc. Santiago 2'!G41</f>
        <v>0</v>
      </c>
      <c r="H41" s="5">
        <f>'Suc. Tecuala'!G41</f>
        <v>0</v>
      </c>
      <c r="I41" s="5">
        <f>'Suc. Tuxpan'!G41</f>
        <v>2</v>
      </c>
      <c r="J41" s="5">
        <f>'Suc. Varas'!G41</f>
        <v>0</v>
      </c>
      <c r="K41" s="5">
        <f>'Suc. Santa María del Oro'!G41</f>
        <v>1</v>
      </c>
      <c r="L41" s="5">
        <f>'Suc. Villa Hidalgo'!G41</f>
        <v>0</v>
      </c>
      <c r="M41" s="5">
        <f>'Suc. Peñita'!G41</f>
        <v>0</v>
      </c>
      <c r="N41" s="5">
        <f t="shared" si="8"/>
        <v>3</v>
      </c>
      <c r="O41" s="5">
        <f>+IFERROR(VLOOKUP(A41,$R:$S,2,0),0)-VLOOKUP(A41,'ETIQUETAS CF'!A:B,2,0)</f>
        <v>13</v>
      </c>
      <c r="P41" s="5">
        <f t="shared" si="9"/>
        <v>10</v>
      </c>
      <c r="R41" s="95" t="s">
        <v>31</v>
      </c>
      <c r="S41" s="245">
        <v>64</v>
      </c>
    </row>
    <row r="42" spans="1:19" ht="18" thickBot="1" x14ac:dyDescent="0.4">
      <c r="A42" s="97"/>
      <c r="B42" s="4">
        <f>'Suc. Acaponeta'!G42</f>
        <v>0</v>
      </c>
      <c r="C42" s="4">
        <f>'Suc. Compostela'!G42</f>
        <v>0</v>
      </c>
      <c r="D42" s="5">
        <f>'Suc. Ruiz'!G42</f>
        <v>0</v>
      </c>
      <c r="E42" s="5">
        <f>'Suc. Sanblas'!G42</f>
        <v>0</v>
      </c>
      <c r="F42" s="5">
        <f>'LALO VARAS'!G42</f>
        <v>0</v>
      </c>
      <c r="G42" s="5">
        <f>'Suc. Santiago 2'!G42</f>
        <v>0</v>
      </c>
      <c r="H42" s="5">
        <f>'Suc. Tecuala'!G42</f>
        <v>0</v>
      </c>
      <c r="I42" s="5">
        <f>'Suc. Tuxpan'!G42</f>
        <v>0</v>
      </c>
      <c r="J42" s="5">
        <f>'Suc. Varas'!G42</f>
        <v>0</v>
      </c>
      <c r="K42" s="5">
        <f>'Suc. Santa María del Oro'!G42</f>
        <v>0</v>
      </c>
      <c r="L42" s="5">
        <f>'Suc. Villa Hidalgo'!G42</f>
        <v>0</v>
      </c>
      <c r="M42" s="5">
        <f>'Suc. Peñita'!G42</f>
        <v>0</v>
      </c>
      <c r="N42" s="5">
        <f t="shared" si="8"/>
        <v>0</v>
      </c>
      <c r="O42" s="5">
        <f t="shared" ref="O42:O48" si="10">+IFERROR(VLOOKUP(A42,$R:$S,2,0),0)</f>
        <v>0</v>
      </c>
      <c r="P42" s="5">
        <f t="shared" si="9"/>
        <v>0</v>
      </c>
      <c r="R42" s="100" t="s">
        <v>32</v>
      </c>
      <c r="S42" s="236">
        <v>101</v>
      </c>
    </row>
    <row r="43" spans="1:19" ht="17.399999999999999" x14ac:dyDescent="0.35">
      <c r="A43" s="97"/>
      <c r="B43" s="4">
        <f>'Suc. Acaponeta'!G43</f>
        <v>0</v>
      </c>
      <c r="C43" s="4">
        <f>'Suc. Compostela'!G43</f>
        <v>0</v>
      </c>
      <c r="D43" s="5">
        <f>'Suc. Ruiz'!G43</f>
        <v>0</v>
      </c>
      <c r="E43" s="5">
        <f>'Suc. Sanblas'!G43</f>
        <v>0</v>
      </c>
      <c r="F43" s="5">
        <f>'LALO VARAS'!G43</f>
        <v>0</v>
      </c>
      <c r="G43" s="5">
        <f>'Suc. Santiago 2'!G43</f>
        <v>0</v>
      </c>
      <c r="H43" s="5">
        <f>'Suc. Tecuala'!G43</f>
        <v>0</v>
      </c>
      <c r="I43" s="5">
        <f>'Suc. Tuxpan'!G43</f>
        <v>0</v>
      </c>
      <c r="J43" s="5">
        <f>'Suc. Varas'!G43</f>
        <v>0</v>
      </c>
      <c r="K43" s="5">
        <f>'Suc. Santa María del Oro'!G43</f>
        <v>0</v>
      </c>
      <c r="L43" s="5">
        <f>'Suc. Villa Hidalgo'!G43</f>
        <v>0</v>
      </c>
      <c r="M43" s="5">
        <f>'Suc. Peñita'!G43</f>
        <v>0</v>
      </c>
      <c r="N43" s="5">
        <f t="shared" si="8"/>
        <v>0</v>
      </c>
      <c r="O43" s="5">
        <f t="shared" si="10"/>
        <v>0</v>
      </c>
      <c r="P43" s="5">
        <f t="shared" si="9"/>
        <v>0</v>
      </c>
      <c r="R43" s="93" t="s">
        <v>33</v>
      </c>
      <c r="S43" s="245">
        <v>32</v>
      </c>
    </row>
    <row r="44" spans="1:19" ht="18" thickBot="1" x14ac:dyDescent="0.4">
      <c r="A44" s="97"/>
      <c r="B44" s="4">
        <f>'Suc. Acaponeta'!G44</f>
        <v>0</v>
      </c>
      <c r="C44" s="4">
        <f>'Suc. Compostela'!G44</f>
        <v>0</v>
      </c>
      <c r="D44" s="5">
        <f>'Suc. Ruiz'!G44</f>
        <v>0</v>
      </c>
      <c r="E44" s="5">
        <f>'Suc. Sanblas'!G44</f>
        <v>0</v>
      </c>
      <c r="F44" s="5">
        <f>'LALO VARAS'!G44</f>
        <v>0</v>
      </c>
      <c r="G44" s="5">
        <f>'Suc. Santiago 2'!G44</f>
        <v>0</v>
      </c>
      <c r="H44" s="5">
        <f>'Suc. Tecuala'!G44</f>
        <v>0</v>
      </c>
      <c r="I44" s="5">
        <f>'Suc. Tuxpan'!G44</f>
        <v>0</v>
      </c>
      <c r="J44" s="5">
        <f>'Suc. Varas'!G44</f>
        <v>0</v>
      </c>
      <c r="K44" s="5">
        <f>'Suc. Santa María del Oro'!G44</f>
        <v>0</v>
      </c>
      <c r="L44" s="5">
        <f>'Suc. Villa Hidalgo'!G44</f>
        <v>0</v>
      </c>
      <c r="M44" s="5">
        <f>'Suc. Peñita'!G44</f>
        <v>0</v>
      </c>
      <c r="N44" s="5">
        <f t="shared" si="8"/>
        <v>0</v>
      </c>
      <c r="O44" s="5">
        <f t="shared" si="10"/>
        <v>0</v>
      </c>
      <c r="P44" s="5">
        <f t="shared" si="9"/>
        <v>0</v>
      </c>
      <c r="R44" s="95" t="s">
        <v>34</v>
      </c>
      <c r="S44" s="245">
        <v>56</v>
      </c>
    </row>
    <row r="45" spans="1:19" ht="18" thickBot="1" x14ac:dyDescent="0.4">
      <c r="A45" s="97"/>
      <c r="B45" s="4">
        <f>'Suc. Acaponeta'!G45</f>
        <v>0</v>
      </c>
      <c r="C45" s="4">
        <f>'Suc. Compostela'!G45</f>
        <v>0</v>
      </c>
      <c r="D45" s="5">
        <f>'Suc. Ruiz'!G45</f>
        <v>0</v>
      </c>
      <c r="E45" s="5">
        <f>'Suc. Sanblas'!G45</f>
        <v>0</v>
      </c>
      <c r="F45" s="5">
        <f>'LALO VARAS'!G45</f>
        <v>0</v>
      </c>
      <c r="G45" s="5">
        <f>'Suc. Santiago 2'!G45</f>
        <v>0</v>
      </c>
      <c r="H45" s="5">
        <f>'Suc. Tecuala'!G45</f>
        <v>0</v>
      </c>
      <c r="I45" s="5">
        <f>'Suc. Tuxpan'!G45</f>
        <v>0</v>
      </c>
      <c r="J45" s="5">
        <f>'Suc. Varas'!G45</f>
        <v>0</v>
      </c>
      <c r="K45" s="5">
        <f>'Suc. Santa María del Oro'!G45</f>
        <v>0</v>
      </c>
      <c r="L45" s="5">
        <f>'Suc. Villa Hidalgo'!G45</f>
        <v>0</v>
      </c>
      <c r="M45" s="5">
        <f>'Suc. Peñita'!G45</f>
        <v>0</v>
      </c>
      <c r="N45" s="5">
        <f t="shared" si="8"/>
        <v>0</v>
      </c>
      <c r="O45" s="5">
        <f t="shared" si="10"/>
        <v>0</v>
      </c>
      <c r="P45" s="5">
        <f t="shared" si="9"/>
        <v>0</v>
      </c>
      <c r="R45" s="99" t="s">
        <v>35</v>
      </c>
      <c r="S45" s="236">
        <v>88</v>
      </c>
    </row>
    <row r="46" spans="1:19" ht="17.399999999999999" x14ac:dyDescent="0.35">
      <c r="A46" s="97"/>
      <c r="B46" s="4">
        <f>'Suc. Acaponeta'!G46</f>
        <v>0</v>
      </c>
      <c r="C46" s="4">
        <f>'Suc. Compostela'!G46</f>
        <v>0</v>
      </c>
      <c r="D46" s="5">
        <f>'Suc. Ruiz'!G46</f>
        <v>0</v>
      </c>
      <c r="E46" s="5">
        <f>'Suc. Sanblas'!G46</f>
        <v>0</v>
      </c>
      <c r="F46" s="5">
        <f>'LALO VARAS'!G46</f>
        <v>0</v>
      </c>
      <c r="G46" s="5">
        <f>'Suc. Santiago 2'!G46</f>
        <v>0</v>
      </c>
      <c r="H46" s="5">
        <f>'Suc. Tecuala'!G46</f>
        <v>0</v>
      </c>
      <c r="I46" s="5">
        <f>'Suc. Tuxpan'!G46</f>
        <v>0</v>
      </c>
      <c r="J46" s="5">
        <f>'Suc. Varas'!G46</f>
        <v>0</v>
      </c>
      <c r="K46" s="5">
        <f>'Suc. Santa María del Oro'!G46</f>
        <v>0</v>
      </c>
      <c r="L46" s="5">
        <f>'Suc. Villa Hidalgo'!G46</f>
        <v>0</v>
      </c>
      <c r="M46" s="5">
        <f>'Suc. Peñita'!G46</f>
        <v>0</v>
      </c>
      <c r="N46" s="5">
        <f t="shared" si="8"/>
        <v>0</v>
      </c>
      <c r="O46" s="5">
        <f t="shared" si="10"/>
        <v>0</v>
      </c>
      <c r="P46" s="5">
        <f t="shared" si="9"/>
        <v>0</v>
      </c>
      <c r="R46" s="93" t="s">
        <v>36</v>
      </c>
      <c r="S46" s="245">
        <v>15</v>
      </c>
    </row>
    <row r="47" spans="1:19" ht="17.399999999999999" x14ac:dyDescent="0.35">
      <c r="A47" s="97"/>
      <c r="B47" s="4">
        <f>'Suc. Acaponeta'!G47</f>
        <v>0</v>
      </c>
      <c r="C47" s="4">
        <f>'Suc. Compostela'!G47</f>
        <v>0</v>
      </c>
      <c r="D47" s="5">
        <f>'Suc. Ruiz'!G47</f>
        <v>0</v>
      </c>
      <c r="E47" s="5">
        <f>'Suc. Sanblas'!G47</f>
        <v>0</v>
      </c>
      <c r="F47" s="5">
        <f>'LALO VARAS'!G47</f>
        <v>0</v>
      </c>
      <c r="G47" s="5">
        <f>'Suc. Santiago 2'!G47</f>
        <v>0</v>
      </c>
      <c r="H47" s="5">
        <f>'Suc. Tecuala'!G47</f>
        <v>0</v>
      </c>
      <c r="I47" s="5">
        <f>'Suc. Tuxpan'!G47</f>
        <v>0</v>
      </c>
      <c r="J47" s="5">
        <f>'Suc. Varas'!G47</f>
        <v>0</v>
      </c>
      <c r="K47" s="5">
        <f>'Suc. Santa María del Oro'!G47</f>
        <v>0</v>
      </c>
      <c r="L47" s="5">
        <f>'Suc. Villa Hidalgo'!G47</f>
        <v>0</v>
      </c>
      <c r="M47" s="5">
        <f>'Suc. Peñita'!G47</f>
        <v>0</v>
      </c>
      <c r="N47" s="5">
        <f t="shared" si="8"/>
        <v>0</v>
      </c>
      <c r="O47" s="5">
        <f t="shared" si="10"/>
        <v>0</v>
      </c>
      <c r="P47" s="5">
        <f t="shared" si="9"/>
        <v>0</v>
      </c>
      <c r="R47" s="93" t="s">
        <v>37</v>
      </c>
      <c r="S47" s="245">
        <v>9</v>
      </c>
    </row>
    <row r="48" spans="1:19" ht="18" thickBot="1" x14ac:dyDescent="0.4">
      <c r="A48" s="97"/>
      <c r="B48" s="4">
        <f>'Suc. Acaponeta'!G48</f>
        <v>0</v>
      </c>
      <c r="C48" s="4">
        <f>'Suc. Compostela'!G48</f>
        <v>0</v>
      </c>
      <c r="D48" s="5">
        <f>'Suc. Ruiz'!G48</f>
        <v>0</v>
      </c>
      <c r="E48" s="5">
        <f>'Suc. Sanblas'!G48</f>
        <v>0</v>
      </c>
      <c r="F48" s="5">
        <f>'LALO VARAS'!G48</f>
        <v>0</v>
      </c>
      <c r="G48" s="5">
        <f>'Suc. Santiago 2'!G48</f>
        <v>0</v>
      </c>
      <c r="H48" s="5">
        <f>'Suc. Tecuala'!G48</f>
        <v>0</v>
      </c>
      <c r="I48" s="5">
        <f>'Suc. Tuxpan'!G48</f>
        <v>0</v>
      </c>
      <c r="J48" s="5">
        <f>'Suc. Varas'!G48</f>
        <v>0</v>
      </c>
      <c r="K48" s="5">
        <f>'Suc. Santa María del Oro'!G48</f>
        <v>0</v>
      </c>
      <c r="L48" s="5">
        <f>'Suc. Villa Hidalgo'!G48</f>
        <v>0</v>
      </c>
      <c r="M48" s="5">
        <f>'Suc. Peñita'!G48</f>
        <v>0</v>
      </c>
      <c r="N48" s="5">
        <f t="shared" si="8"/>
        <v>0</v>
      </c>
      <c r="O48" s="5">
        <f t="shared" si="10"/>
        <v>0</v>
      </c>
      <c r="P48" s="5">
        <f t="shared" si="9"/>
        <v>0</v>
      </c>
      <c r="R48" s="93" t="s">
        <v>39</v>
      </c>
      <c r="S48" s="245">
        <v>6</v>
      </c>
    </row>
    <row r="49" spans="1:19" ht="18" thickBot="1" x14ac:dyDescent="0.4">
      <c r="A49" s="99" t="s">
        <v>29</v>
      </c>
      <c r="B49" s="47">
        <f t="shared" ref="B49:P49" si="11">SUM(B33:B48)</f>
        <v>0</v>
      </c>
      <c r="C49" s="47">
        <f t="shared" si="11"/>
        <v>10</v>
      </c>
      <c r="D49" s="47">
        <f t="shared" si="11"/>
        <v>0</v>
      </c>
      <c r="E49" s="47">
        <f t="shared" si="11"/>
        <v>0</v>
      </c>
      <c r="F49" s="47">
        <f t="shared" si="11"/>
        <v>9</v>
      </c>
      <c r="G49" s="47">
        <f t="shared" si="11"/>
        <v>0</v>
      </c>
      <c r="H49" s="47">
        <f t="shared" si="11"/>
        <v>0</v>
      </c>
      <c r="I49" s="47">
        <f t="shared" si="11"/>
        <v>18</v>
      </c>
      <c r="J49" s="47">
        <f t="shared" si="11"/>
        <v>0</v>
      </c>
      <c r="K49" s="47">
        <f t="shared" si="11"/>
        <v>12</v>
      </c>
      <c r="L49" s="47">
        <f t="shared" si="11"/>
        <v>0</v>
      </c>
      <c r="M49" s="47">
        <f t="shared" si="11"/>
        <v>0</v>
      </c>
      <c r="N49" s="47">
        <f t="shared" si="11"/>
        <v>49</v>
      </c>
      <c r="O49" s="47">
        <f t="shared" si="11"/>
        <v>157</v>
      </c>
      <c r="P49" s="47">
        <f t="shared" si="11"/>
        <v>108</v>
      </c>
      <c r="R49" s="93" t="s">
        <v>40</v>
      </c>
      <c r="S49" s="245">
        <v>0</v>
      </c>
    </row>
    <row r="50" spans="1:19" ht="17.399999999999999" x14ac:dyDescent="0.35">
      <c r="A50" s="93" t="s">
        <v>30</v>
      </c>
      <c r="B50" s="4">
        <f>'Suc. Acaponeta'!G50</f>
        <v>0</v>
      </c>
      <c r="C50" s="4">
        <f>'Suc. Compostela'!G50</f>
        <v>0</v>
      </c>
      <c r="D50" s="5">
        <f>'Suc. Ruiz'!G50</f>
        <v>0</v>
      </c>
      <c r="E50" s="5">
        <f>'Suc. Sanblas'!G50</f>
        <v>0</v>
      </c>
      <c r="F50" s="5">
        <f>'LALO VARAS'!G50</f>
        <v>0</v>
      </c>
      <c r="G50" s="5">
        <f>'Suc. Santiago 2'!G50</f>
        <v>0</v>
      </c>
      <c r="H50" s="5">
        <f>'Suc. Tecuala'!G50</f>
        <v>0</v>
      </c>
      <c r="I50" s="5">
        <f>'Suc. Tuxpan'!G50</f>
        <v>5</v>
      </c>
      <c r="J50" s="5">
        <f>'Suc. Varas'!G50</f>
        <v>0</v>
      </c>
      <c r="K50" s="5">
        <f>'Suc. Santa María del Oro'!G50</f>
        <v>0</v>
      </c>
      <c r="L50" s="5">
        <f>'Suc. Villa Hidalgo'!G50</f>
        <v>0</v>
      </c>
      <c r="M50" s="5">
        <f>'Suc. Peñita'!G50</f>
        <v>0</v>
      </c>
      <c r="N50" s="5">
        <f>SUM(B50:M50)</f>
        <v>5</v>
      </c>
      <c r="O50" s="5">
        <f>+IFERROR(VLOOKUP(A50,$R:$S,2,0),0)-VLOOKUP(A50,'ETIQUETAS CF'!A:B,2,0)</f>
        <v>37</v>
      </c>
      <c r="P50" s="5">
        <f>O50-N50</f>
        <v>32</v>
      </c>
      <c r="R50" s="93" t="s">
        <v>41</v>
      </c>
      <c r="S50" s="245">
        <v>0</v>
      </c>
    </row>
    <row r="51" spans="1:19" ht="18" thickBot="1" x14ac:dyDescent="0.4">
      <c r="A51" s="95" t="s">
        <v>31</v>
      </c>
      <c r="B51" s="4">
        <f>'Suc. Acaponeta'!G51</f>
        <v>0</v>
      </c>
      <c r="C51" s="4">
        <f>'Suc. Compostela'!G51</f>
        <v>5</v>
      </c>
      <c r="D51" s="5">
        <f>'Suc. Ruiz'!G51</f>
        <v>0</v>
      </c>
      <c r="E51" s="5">
        <f>'Suc. Sanblas'!G51</f>
        <v>0</v>
      </c>
      <c r="F51" s="5">
        <f>'LALO VARAS'!G51</f>
        <v>0</v>
      </c>
      <c r="G51" s="5">
        <f>'Suc. Santiago 2'!G51</f>
        <v>0</v>
      </c>
      <c r="H51" s="5">
        <f>'Suc. Tecuala'!G51</f>
        <v>0</v>
      </c>
      <c r="I51" s="5">
        <f>'Suc. Tuxpan'!G51</f>
        <v>5</v>
      </c>
      <c r="J51" s="5">
        <f>'Suc. Varas'!G51</f>
        <v>0</v>
      </c>
      <c r="K51" s="5">
        <f>'Suc. Santa María del Oro'!G51</f>
        <v>0</v>
      </c>
      <c r="L51" s="5">
        <f>'Suc. Villa Hidalgo'!G51</f>
        <v>0</v>
      </c>
      <c r="M51" s="5">
        <f>'Suc. Peñita'!G51</f>
        <v>0</v>
      </c>
      <c r="N51" s="5">
        <f>SUM(B51:M51)</f>
        <v>10</v>
      </c>
      <c r="O51" s="5">
        <f>+IFERROR(VLOOKUP(A51,$R:$S,2,0),0)-VLOOKUP(A51,'ETIQUETAS CF'!A:B,2,0)</f>
        <v>64</v>
      </c>
      <c r="P51" s="5">
        <f>O51-N51</f>
        <v>54</v>
      </c>
      <c r="R51" s="101" t="s">
        <v>42</v>
      </c>
      <c r="S51" s="245">
        <v>0</v>
      </c>
    </row>
    <row r="52" spans="1:19" ht="18" thickBot="1" x14ac:dyDescent="0.4">
      <c r="A52" s="100" t="s">
        <v>32</v>
      </c>
      <c r="B52" s="49">
        <f t="shared" ref="B52:P52" si="12">SUM(B50:B51)</f>
        <v>0</v>
      </c>
      <c r="C52" s="49">
        <f t="shared" si="12"/>
        <v>5</v>
      </c>
      <c r="D52" s="49">
        <f t="shared" si="12"/>
        <v>0</v>
      </c>
      <c r="E52" s="49">
        <f t="shared" si="12"/>
        <v>0</v>
      </c>
      <c r="F52" s="49">
        <f t="shared" si="12"/>
        <v>0</v>
      </c>
      <c r="G52" s="49">
        <f t="shared" si="12"/>
        <v>0</v>
      </c>
      <c r="H52" s="49">
        <f t="shared" si="12"/>
        <v>0</v>
      </c>
      <c r="I52" s="49">
        <f t="shared" si="12"/>
        <v>10</v>
      </c>
      <c r="J52" s="49">
        <f t="shared" si="12"/>
        <v>0</v>
      </c>
      <c r="K52" s="49">
        <f t="shared" si="12"/>
        <v>0</v>
      </c>
      <c r="L52" s="49">
        <f t="shared" si="12"/>
        <v>0</v>
      </c>
      <c r="M52" s="49">
        <f t="shared" si="12"/>
        <v>0</v>
      </c>
      <c r="N52" s="49">
        <f t="shared" si="12"/>
        <v>15</v>
      </c>
      <c r="O52" s="49">
        <f t="shared" si="12"/>
        <v>101</v>
      </c>
      <c r="P52" s="49">
        <f t="shared" si="12"/>
        <v>86</v>
      </c>
      <c r="R52" s="102" t="s">
        <v>43</v>
      </c>
      <c r="S52" s="245">
        <v>7</v>
      </c>
    </row>
    <row r="53" spans="1:19" ht="17.399999999999999" x14ac:dyDescent="0.35">
      <c r="A53" s="93" t="s">
        <v>33</v>
      </c>
      <c r="B53" s="4">
        <f>'Suc. Acaponeta'!G53</f>
        <v>0</v>
      </c>
      <c r="C53" s="4">
        <f>'Suc. Compostela'!G53</f>
        <v>0</v>
      </c>
      <c r="D53" s="5">
        <f>'Suc. Ruiz'!G53</f>
        <v>0</v>
      </c>
      <c r="E53" s="5">
        <f>'Suc. Sanblas'!G53</f>
        <v>0</v>
      </c>
      <c r="F53" s="5">
        <f>'LALO VARAS'!G53</f>
        <v>0</v>
      </c>
      <c r="G53" s="5">
        <f>'Suc. Santiago 2'!G53</f>
        <v>0</v>
      </c>
      <c r="H53" s="5">
        <f>'Suc. Tecuala'!G53</f>
        <v>0</v>
      </c>
      <c r="I53" s="5">
        <f>'Suc. Tuxpan'!G53</f>
        <v>0</v>
      </c>
      <c r="J53" s="5">
        <f>'Suc. Varas'!G53</f>
        <v>0</v>
      </c>
      <c r="K53" s="5">
        <f>'Suc. Santa María del Oro'!G53</f>
        <v>3</v>
      </c>
      <c r="L53" s="5">
        <f>'Suc. Villa Hidalgo'!G53</f>
        <v>0</v>
      </c>
      <c r="M53" s="5">
        <f>'Suc. Peñita'!G53</f>
        <v>0</v>
      </c>
      <c r="N53" s="5">
        <f>SUM(B53:M53)</f>
        <v>3</v>
      </c>
      <c r="O53" s="5">
        <f>+IFERROR(VLOOKUP(A53,$R:$S,2,0),0)-VLOOKUP(A53,'ETIQUETAS CF'!A:B,2,0)</f>
        <v>32</v>
      </c>
      <c r="P53" s="5">
        <f>O53-N53</f>
        <v>29</v>
      </c>
      <c r="R53" s="93" t="s">
        <v>44</v>
      </c>
      <c r="S53" s="245">
        <v>7</v>
      </c>
    </row>
    <row r="54" spans="1:19" ht="18" thickBot="1" x14ac:dyDescent="0.4">
      <c r="A54" s="95" t="s">
        <v>34</v>
      </c>
      <c r="B54" s="4">
        <f>'Suc. Acaponeta'!G54</f>
        <v>0</v>
      </c>
      <c r="C54" s="4">
        <f>'Suc. Compostela'!G54</f>
        <v>6</v>
      </c>
      <c r="D54" s="5">
        <f>'Suc. Ruiz'!G54</f>
        <v>0</v>
      </c>
      <c r="E54" s="5">
        <f>'Suc. Sanblas'!G54</f>
        <v>0</v>
      </c>
      <c r="F54" s="5">
        <f>'LALO VARAS'!G54</f>
        <v>0</v>
      </c>
      <c r="G54" s="5">
        <f>'Suc. Santiago 2'!G54</f>
        <v>0</v>
      </c>
      <c r="H54" s="5">
        <f>'Suc. Tecuala'!G54</f>
        <v>0</v>
      </c>
      <c r="I54" s="5">
        <f>'Suc. Tuxpan'!G54</f>
        <v>0</v>
      </c>
      <c r="J54" s="5">
        <f>'Suc. Varas'!G54</f>
        <v>0</v>
      </c>
      <c r="K54" s="5">
        <f>'Suc. Santa María del Oro'!G54</f>
        <v>0</v>
      </c>
      <c r="L54" s="5">
        <f>'Suc. Villa Hidalgo'!G54</f>
        <v>0</v>
      </c>
      <c r="M54" s="5">
        <f>'Suc. Peñita'!G54</f>
        <v>0</v>
      </c>
      <c r="N54" s="5">
        <f>SUM(B54:M54)</f>
        <v>6</v>
      </c>
      <c r="O54" s="5">
        <f>+IFERROR(VLOOKUP(A54,$R:$S,2,0),0)-VLOOKUP(A54,'ETIQUETAS CF'!A:B,2,0)</f>
        <v>56</v>
      </c>
      <c r="P54" s="5">
        <f>O54-N54</f>
        <v>50</v>
      </c>
      <c r="R54" s="93" t="s">
        <v>45</v>
      </c>
      <c r="S54" s="245">
        <v>11</v>
      </c>
    </row>
    <row r="55" spans="1:19" ht="18" thickBot="1" x14ac:dyDescent="0.4">
      <c r="A55" s="99" t="s">
        <v>35</v>
      </c>
      <c r="B55" s="47">
        <f t="shared" ref="B55:P55" si="13">SUM(B53:B54)</f>
        <v>0</v>
      </c>
      <c r="C55" s="47">
        <f t="shared" si="13"/>
        <v>6</v>
      </c>
      <c r="D55" s="47">
        <f t="shared" si="13"/>
        <v>0</v>
      </c>
      <c r="E55" s="47">
        <f t="shared" si="13"/>
        <v>0</v>
      </c>
      <c r="F55" s="47">
        <f t="shared" si="13"/>
        <v>0</v>
      </c>
      <c r="G55" s="47">
        <f t="shared" si="13"/>
        <v>0</v>
      </c>
      <c r="H55" s="47">
        <f t="shared" si="13"/>
        <v>0</v>
      </c>
      <c r="I55" s="47">
        <f t="shared" si="13"/>
        <v>0</v>
      </c>
      <c r="J55" s="47">
        <f t="shared" si="13"/>
        <v>0</v>
      </c>
      <c r="K55" s="47">
        <f t="shared" si="13"/>
        <v>3</v>
      </c>
      <c r="L55" s="47">
        <f t="shared" si="13"/>
        <v>0</v>
      </c>
      <c r="M55" s="47">
        <f t="shared" si="13"/>
        <v>0</v>
      </c>
      <c r="N55" s="47">
        <f t="shared" si="13"/>
        <v>9</v>
      </c>
      <c r="O55" s="47">
        <f t="shared" si="13"/>
        <v>88</v>
      </c>
      <c r="P55" s="47">
        <f t="shared" si="13"/>
        <v>79</v>
      </c>
      <c r="R55" s="93" t="s">
        <v>46</v>
      </c>
      <c r="S55" s="245">
        <v>24</v>
      </c>
    </row>
    <row r="56" spans="1:19" ht="17.399999999999999" x14ac:dyDescent="0.35">
      <c r="A56" s="93" t="s">
        <v>36</v>
      </c>
      <c r="B56" s="4">
        <f>'Suc. Acaponeta'!G56</f>
        <v>0</v>
      </c>
      <c r="C56" s="4">
        <f>'Suc. Compostela'!G56</f>
        <v>0</v>
      </c>
      <c r="D56" s="5">
        <f>'Suc. Ruiz'!G56</f>
        <v>0</v>
      </c>
      <c r="E56" s="5">
        <f>'Suc. Sanblas'!G56</f>
        <v>0</v>
      </c>
      <c r="F56" s="5">
        <f>'LALO VARAS'!G56</f>
        <v>1</v>
      </c>
      <c r="G56" s="5">
        <f>'Suc. Santiago 2'!G56</f>
        <v>0</v>
      </c>
      <c r="H56" s="5">
        <f>'Suc. Tecuala'!G56</f>
        <v>0</v>
      </c>
      <c r="I56" s="5">
        <f>'Suc. Tuxpan'!G56</f>
        <v>1</v>
      </c>
      <c r="J56" s="5">
        <f>'Suc. Varas'!G56</f>
        <v>0</v>
      </c>
      <c r="K56" s="5">
        <f>'Suc. Santa María del Oro'!G56</f>
        <v>0</v>
      </c>
      <c r="L56" s="5">
        <f>'Suc. Villa Hidalgo'!G56</f>
        <v>0</v>
      </c>
      <c r="M56" s="5">
        <f>'Suc. Peñita'!G56</f>
        <v>0</v>
      </c>
      <c r="N56" s="5">
        <f t="shared" ref="N56:N77" si="14">SUM(B56:M56)</f>
        <v>2</v>
      </c>
      <c r="O56" s="5">
        <f>+IFERROR(VLOOKUP(A56,$R:$S,2,0),0)-VLOOKUP(A56,'ETIQUETAS CF'!A:B,2,0)</f>
        <v>15</v>
      </c>
      <c r="P56" s="5">
        <f t="shared" ref="P56:P77" si="15">O56-N56</f>
        <v>13</v>
      </c>
      <c r="R56" s="93" t="s">
        <v>48</v>
      </c>
      <c r="S56" s="245">
        <v>8</v>
      </c>
    </row>
    <row r="57" spans="1:19" ht="17.399999999999999" x14ac:dyDescent="0.35">
      <c r="A57" s="93" t="s">
        <v>37</v>
      </c>
      <c r="B57" s="4">
        <f>'Suc. Acaponeta'!G57</f>
        <v>0</v>
      </c>
      <c r="C57" s="4">
        <f>'Suc. Compostela'!G57</f>
        <v>0</v>
      </c>
      <c r="D57" s="5">
        <f>'Suc. Ruiz'!G57</f>
        <v>0</v>
      </c>
      <c r="E57" s="5">
        <f>'Suc. Sanblas'!G57</f>
        <v>0</v>
      </c>
      <c r="F57" s="5">
        <f>'LALO VARAS'!G57</f>
        <v>0</v>
      </c>
      <c r="G57" s="5">
        <f>'Suc. Santiago 2'!G57</f>
        <v>0</v>
      </c>
      <c r="H57" s="5">
        <f>'Suc. Tecuala'!G57</f>
        <v>0</v>
      </c>
      <c r="I57" s="5">
        <f>'Suc. Tuxpan'!G57</f>
        <v>0</v>
      </c>
      <c r="J57" s="5">
        <f>'Suc. Varas'!G57</f>
        <v>0</v>
      </c>
      <c r="K57" s="5">
        <f>'Suc. Santa María del Oro'!G57</f>
        <v>0</v>
      </c>
      <c r="L57" s="5">
        <f>'Suc. Villa Hidalgo'!G57</f>
        <v>0</v>
      </c>
      <c r="M57" s="5">
        <f>'Suc. Peñita'!G57</f>
        <v>0</v>
      </c>
      <c r="N57" s="5">
        <f t="shared" si="14"/>
        <v>0</v>
      </c>
      <c r="O57" s="5">
        <f>+IFERROR(VLOOKUP(A57,$R:$S,2,0),0)-VLOOKUP(A57,'ETIQUETAS CF'!A:B,2,0)</f>
        <v>9</v>
      </c>
      <c r="P57" s="5">
        <f t="shared" si="15"/>
        <v>9</v>
      </c>
      <c r="R57" s="93" t="s">
        <v>49</v>
      </c>
      <c r="S57" s="245">
        <v>17</v>
      </c>
    </row>
    <row r="58" spans="1:19" ht="17.399999999999999" x14ac:dyDescent="0.35">
      <c r="A58" s="93" t="s">
        <v>39</v>
      </c>
      <c r="B58" s="4">
        <f>'Suc. Acaponeta'!G58</f>
        <v>0</v>
      </c>
      <c r="C58" s="4">
        <f>'Suc. Compostela'!G58</f>
        <v>0</v>
      </c>
      <c r="D58" s="5">
        <f>'Suc. Ruiz'!G58</f>
        <v>0</v>
      </c>
      <c r="E58" s="5">
        <f>'Suc. Sanblas'!G58</f>
        <v>0</v>
      </c>
      <c r="F58" s="5">
        <f>'LALO VARAS'!G58</f>
        <v>1</v>
      </c>
      <c r="G58" s="5">
        <f>'Suc. Santiago 2'!G58</f>
        <v>0</v>
      </c>
      <c r="H58" s="5">
        <f>'Suc. Tecuala'!G58</f>
        <v>0</v>
      </c>
      <c r="I58" s="5">
        <f>'Suc. Tuxpan'!G58</f>
        <v>0</v>
      </c>
      <c r="J58" s="5">
        <f>'Suc. Varas'!G58</f>
        <v>0</v>
      </c>
      <c r="K58" s="5">
        <f>'Suc. Santa María del Oro'!G58</f>
        <v>0</v>
      </c>
      <c r="L58" s="5">
        <f>'Suc. Villa Hidalgo'!G58</f>
        <v>0</v>
      </c>
      <c r="M58" s="5">
        <f>'Suc. Peñita'!G58</f>
        <v>0</v>
      </c>
      <c r="N58" s="5">
        <f t="shared" si="14"/>
        <v>1</v>
      </c>
      <c r="O58" s="5">
        <f>+IFERROR(VLOOKUP(A58,$R:$S,2,0),0)-VLOOKUP(A58,'ETIQUETAS CF'!A:B,2,0)</f>
        <v>6</v>
      </c>
      <c r="P58" s="5">
        <f t="shared" si="15"/>
        <v>5</v>
      </c>
      <c r="R58" s="93" t="s">
        <v>50</v>
      </c>
      <c r="S58" s="245">
        <v>9</v>
      </c>
    </row>
    <row r="59" spans="1:19" ht="17.399999999999999" x14ac:dyDescent="0.35">
      <c r="A59" s="93" t="s">
        <v>40</v>
      </c>
      <c r="B59" s="4">
        <f>'Suc. Acaponeta'!G59</f>
        <v>0</v>
      </c>
      <c r="C59" s="4">
        <f>'Suc. Compostela'!G59</f>
        <v>0</v>
      </c>
      <c r="D59" s="5">
        <f>'Suc. Ruiz'!G59</f>
        <v>0</v>
      </c>
      <c r="E59" s="5">
        <f>'Suc. Sanblas'!G59</f>
        <v>0</v>
      </c>
      <c r="F59" s="5">
        <f>'LALO VARAS'!G59</f>
        <v>0</v>
      </c>
      <c r="G59" s="5">
        <f>'Suc. Santiago 2'!G59</f>
        <v>0</v>
      </c>
      <c r="H59" s="5">
        <f>'Suc. Tecuala'!G59</f>
        <v>0</v>
      </c>
      <c r="I59" s="5">
        <f>'Suc. Tuxpan'!G59</f>
        <v>0</v>
      </c>
      <c r="J59" s="5">
        <f>'Suc. Varas'!G59</f>
        <v>0</v>
      </c>
      <c r="K59" s="5">
        <f>'Suc. Santa María del Oro'!G59</f>
        <v>0</v>
      </c>
      <c r="L59" s="5">
        <f>'Suc. Villa Hidalgo'!G59</f>
        <v>0</v>
      </c>
      <c r="M59" s="5">
        <f>'Suc. Peñita'!G59</f>
        <v>0</v>
      </c>
      <c r="N59" s="5">
        <f t="shared" si="14"/>
        <v>0</v>
      </c>
      <c r="O59" s="5">
        <f>+IFERROR(VLOOKUP(A59,$R:$S,2,0),0)-VLOOKUP(A59,'ETIQUETAS CF'!A:B,2,0)</f>
        <v>0</v>
      </c>
      <c r="P59" s="5">
        <f t="shared" si="15"/>
        <v>0</v>
      </c>
      <c r="R59" s="93" t="s">
        <v>51</v>
      </c>
      <c r="S59" s="245">
        <v>0</v>
      </c>
    </row>
    <row r="60" spans="1:19" ht="17.399999999999999" x14ac:dyDescent="0.35">
      <c r="A60" s="93" t="s">
        <v>41</v>
      </c>
      <c r="B60" s="4">
        <f>'Suc. Acaponeta'!G60</f>
        <v>0</v>
      </c>
      <c r="C60" s="4">
        <f>'Suc. Compostela'!G60</f>
        <v>0</v>
      </c>
      <c r="D60" s="5">
        <f>'Suc. Ruiz'!G60</f>
        <v>0</v>
      </c>
      <c r="E60" s="5">
        <f>'Suc. Sanblas'!G60</f>
        <v>0</v>
      </c>
      <c r="F60" s="5">
        <f>'LALO VARAS'!G60</f>
        <v>0</v>
      </c>
      <c r="G60" s="5">
        <f>'Suc. Santiago 2'!G60</f>
        <v>0</v>
      </c>
      <c r="H60" s="5">
        <f>'Suc. Tecuala'!G60</f>
        <v>0</v>
      </c>
      <c r="I60" s="5">
        <f>'Suc. Tuxpan'!G60</f>
        <v>0</v>
      </c>
      <c r="J60" s="5">
        <f>'Suc. Varas'!G60</f>
        <v>0</v>
      </c>
      <c r="K60" s="5">
        <f>'Suc. Santa María del Oro'!G60</f>
        <v>0</v>
      </c>
      <c r="L60" s="5">
        <f>'Suc. Villa Hidalgo'!G60</f>
        <v>0</v>
      </c>
      <c r="M60" s="5">
        <f>'Suc. Peñita'!G60</f>
        <v>0</v>
      </c>
      <c r="N60" s="5">
        <f t="shared" si="14"/>
        <v>0</v>
      </c>
      <c r="O60" s="5">
        <f>+IFERROR(VLOOKUP(A60,$R:$S,2,0),0)-VLOOKUP(A60,'ETIQUETAS CF'!A:B,2,0)</f>
        <v>0</v>
      </c>
      <c r="P60" s="5">
        <f t="shared" si="15"/>
        <v>0</v>
      </c>
      <c r="R60" s="93" t="s">
        <v>53</v>
      </c>
      <c r="S60" s="245">
        <v>20</v>
      </c>
    </row>
    <row r="61" spans="1:19" ht="18" thickBot="1" x14ac:dyDescent="0.4">
      <c r="A61" s="101" t="s">
        <v>42</v>
      </c>
      <c r="B61" s="4">
        <f>'Suc. Acaponeta'!G61</f>
        <v>0</v>
      </c>
      <c r="C61" s="4">
        <f>'Suc. Compostela'!G61</f>
        <v>0</v>
      </c>
      <c r="D61" s="5">
        <f>'Suc. Ruiz'!G61</f>
        <v>0</v>
      </c>
      <c r="E61" s="5">
        <f>'Suc. Sanblas'!G61</f>
        <v>0</v>
      </c>
      <c r="F61" s="5">
        <f>'LALO VARAS'!G61</f>
        <v>0</v>
      </c>
      <c r="G61" s="5">
        <f>'Suc. Santiago 2'!G61</f>
        <v>0</v>
      </c>
      <c r="H61" s="5">
        <f>'Suc. Tecuala'!G61</f>
        <v>0</v>
      </c>
      <c r="I61" s="5">
        <f>'Suc. Tuxpan'!G61</f>
        <v>0</v>
      </c>
      <c r="J61" s="5">
        <f>'Suc. Varas'!G61</f>
        <v>0</v>
      </c>
      <c r="K61" s="5">
        <f>'Suc. Santa María del Oro'!G61</f>
        <v>0</v>
      </c>
      <c r="L61" s="5">
        <f>'Suc. Villa Hidalgo'!G61</f>
        <v>0</v>
      </c>
      <c r="M61" s="5">
        <f>'Suc. Peñita'!G61</f>
        <v>0</v>
      </c>
      <c r="N61" s="5">
        <f t="shared" si="14"/>
        <v>0</v>
      </c>
      <c r="O61" s="5">
        <f>+IFERROR(VLOOKUP(A61,$R:$S,2,0),0)-VLOOKUP(A61,'ETIQUETAS CF'!A:B,2,0)</f>
        <v>0</v>
      </c>
      <c r="P61" s="5">
        <f t="shared" si="15"/>
        <v>0</v>
      </c>
      <c r="R61" s="93" t="s">
        <v>47</v>
      </c>
      <c r="S61" s="245">
        <v>2</v>
      </c>
    </row>
    <row r="62" spans="1:19" ht="18" thickBot="1" x14ac:dyDescent="0.4">
      <c r="A62" s="102" t="s">
        <v>43</v>
      </c>
      <c r="B62" s="4">
        <f>'Suc. Acaponeta'!G62</f>
        <v>0</v>
      </c>
      <c r="C62" s="4">
        <f>'Suc. Compostela'!G62</f>
        <v>0</v>
      </c>
      <c r="D62" s="5">
        <f>'Suc. Ruiz'!G62</f>
        <v>0</v>
      </c>
      <c r="E62" s="5">
        <f>'Suc. Sanblas'!G62</f>
        <v>0</v>
      </c>
      <c r="F62" s="5">
        <f>'LALO VARAS'!G62</f>
        <v>0</v>
      </c>
      <c r="G62" s="5">
        <f>'Suc. Santiago 2'!G62</f>
        <v>0</v>
      </c>
      <c r="H62" s="5">
        <f>'Suc. Tecuala'!G62</f>
        <v>0</v>
      </c>
      <c r="I62" s="5">
        <f>'Suc. Tuxpan'!G62</f>
        <v>1</v>
      </c>
      <c r="J62" s="5">
        <f>'Suc. Varas'!G62</f>
        <v>0</v>
      </c>
      <c r="K62" s="5">
        <f>'Suc. Santa María del Oro'!G62</f>
        <v>0</v>
      </c>
      <c r="L62" s="5">
        <f>'Suc. Villa Hidalgo'!G62</f>
        <v>0</v>
      </c>
      <c r="M62" s="5">
        <f>'Suc. Peñita'!G62</f>
        <v>0</v>
      </c>
      <c r="N62" s="5">
        <f t="shared" si="14"/>
        <v>1</v>
      </c>
      <c r="O62" s="5">
        <f>+IFERROR(VLOOKUP(A62,$R:$S,2,0),0)-VLOOKUP(A62,'ETIQUETAS CF'!A:B,2,0)</f>
        <v>7</v>
      </c>
      <c r="P62" s="5">
        <f t="shared" si="15"/>
        <v>6</v>
      </c>
      <c r="R62" s="99" t="s">
        <v>54</v>
      </c>
      <c r="S62" s="237">
        <v>134</v>
      </c>
    </row>
    <row r="63" spans="1:19" ht="18.600000000000001" thickBot="1" x14ac:dyDescent="0.4">
      <c r="A63" s="93" t="s">
        <v>44</v>
      </c>
      <c r="B63" s="4">
        <f>'Suc. Acaponeta'!G63</f>
        <v>0</v>
      </c>
      <c r="C63" s="4">
        <f>'Suc. Compostela'!G63</f>
        <v>0</v>
      </c>
      <c r="D63" s="5">
        <f>'Suc. Ruiz'!G63</f>
        <v>0</v>
      </c>
      <c r="E63" s="5">
        <f>'Suc. Sanblas'!G63</f>
        <v>0</v>
      </c>
      <c r="F63" s="5">
        <f>'LALO VARAS'!G63</f>
        <v>0</v>
      </c>
      <c r="G63" s="5">
        <f>'Suc. Santiago 2'!G63</f>
        <v>0</v>
      </c>
      <c r="H63" s="5">
        <f>'Suc. Tecuala'!G63</f>
        <v>0</v>
      </c>
      <c r="I63" s="5">
        <f>'Suc. Tuxpan'!G63</f>
        <v>0</v>
      </c>
      <c r="J63" s="5">
        <f>'Suc. Varas'!G63</f>
        <v>0</v>
      </c>
      <c r="K63" s="5">
        <f>'Suc. Santa María del Oro'!G63</f>
        <v>0</v>
      </c>
      <c r="L63" s="5">
        <f>'Suc. Villa Hidalgo'!G63</f>
        <v>0</v>
      </c>
      <c r="M63" s="5">
        <f>'Suc. Peñita'!G63</f>
        <v>0</v>
      </c>
      <c r="N63" s="5">
        <f t="shared" si="14"/>
        <v>0</v>
      </c>
      <c r="O63" s="5">
        <f>+IFERROR(VLOOKUP(A63,$R:$S,2,0),0)-VLOOKUP(A63,'ETIQUETAS CF'!A:B,2,0)</f>
        <v>7</v>
      </c>
      <c r="P63" s="5">
        <f t="shared" si="15"/>
        <v>7</v>
      </c>
      <c r="R63" s="103" t="s">
        <v>55</v>
      </c>
      <c r="S63" s="238">
        <v>790</v>
      </c>
    </row>
    <row r="64" spans="1:19" ht="17.399999999999999" x14ac:dyDescent="0.35">
      <c r="A64" s="93" t="s">
        <v>45</v>
      </c>
      <c r="B64" s="4">
        <f>'Suc. Acaponeta'!G64</f>
        <v>0</v>
      </c>
      <c r="C64" s="4">
        <f>'Suc. Compostela'!G64</f>
        <v>0</v>
      </c>
      <c r="D64" s="5">
        <f>'Suc. Ruiz'!G64</f>
        <v>0</v>
      </c>
      <c r="E64" s="5">
        <f>'Suc. Sanblas'!G64</f>
        <v>0</v>
      </c>
      <c r="F64" s="5">
        <f>'LALO VARAS'!G64</f>
        <v>0</v>
      </c>
      <c r="G64" s="5">
        <f>'Suc. Santiago 2'!G64</f>
        <v>0</v>
      </c>
      <c r="H64" s="5">
        <f>'Suc. Tecuala'!G64</f>
        <v>0</v>
      </c>
      <c r="I64" s="5">
        <f>'Suc. Tuxpan'!G64</f>
        <v>0</v>
      </c>
      <c r="J64" s="5">
        <f>'Suc. Varas'!G64</f>
        <v>0</v>
      </c>
      <c r="K64" s="5">
        <f>'Suc. Santa María del Oro'!G64</f>
        <v>0</v>
      </c>
      <c r="L64" s="5">
        <f>'Suc. Villa Hidalgo'!G64</f>
        <v>0</v>
      </c>
      <c r="M64" s="5">
        <f>'Suc. Peñita'!G64</f>
        <v>0</v>
      </c>
      <c r="N64" s="5">
        <f t="shared" si="14"/>
        <v>0</v>
      </c>
      <c r="O64" s="5">
        <f>+IFERROR(VLOOKUP(A64,$R:$S,2,0),0)-VLOOKUP(A64,'ETIQUETAS CF'!A:B,2,0)</f>
        <v>11</v>
      </c>
      <c r="P64" s="5">
        <f t="shared" si="15"/>
        <v>11</v>
      </c>
      <c r="R64" s="104" t="s">
        <v>56</v>
      </c>
      <c r="S64" s="246">
        <v>0</v>
      </c>
    </row>
    <row r="65" spans="1:19" ht="17.399999999999999" x14ac:dyDescent="0.35">
      <c r="A65" s="93" t="s">
        <v>46</v>
      </c>
      <c r="B65" s="4">
        <f>'Suc. Acaponeta'!G65</f>
        <v>0</v>
      </c>
      <c r="C65" s="4">
        <f>'Suc. Compostela'!G65</f>
        <v>2</v>
      </c>
      <c r="D65" s="5">
        <f>'Suc. Ruiz'!G65</f>
        <v>0</v>
      </c>
      <c r="E65" s="5">
        <f>'Suc. Sanblas'!G65</f>
        <v>0</v>
      </c>
      <c r="F65" s="5">
        <f>'LALO VARAS'!G65</f>
        <v>0</v>
      </c>
      <c r="G65" s="5">
        <f>'Suc. Santiago 2'!G65</f>
        <v>0</v>
      </c>
      <c r="H65" s="5">
        <f>'Suc. Tecuala'!G65</f>
        <v>0</v>
      </c>
      <c r="I65" s="5">
        <f>'Suc. Tuxpan'!G65</f>
        <v>0</v>
      </c>
      <c r="J65" s="5">
        <f>'Suc. Varas'!G65</f>
        <v>0</v>
      </c>
      <c r="K65" s="5">
        <f>'Suc. Santa María del Oro'!G65</f>
        <v>0</v>
      </c>
      <c r="L65" s="5">
        <f>'Suc. Villa Hidalgo'!G65</f>
        <v>0</v>
      </c>
      <c r="M65" s="5">
        <f>'Suc. Peñita'!G65</f>
        <v>0</v>
      </c>
      <c r="N65" s="5">
        <f t="shared" si="14"/>
        <v>2</v>
      </c>
      <c r="O65" s="5">
        <f>+IFERROR(VLOOKUP(A65,$R:$S,2,0),0)-VLOOKUP(A65,'ETIQUETAS CF'!A:B,2,0)</f>
        <v>24</v>
      </c>
      <c r="P65" s="5">
        <f t="shared" si="15"/>
        <v>22</v>
      </c>
      <c r="R65" s="94" t="s">
        <v>57</v>
      </c>
      <c r="S65" s="245">
        <v>7</v>
      </c>
    </row>
    <row r="66" spans="1:19" ht="17.399999999999999" x14ac:dyDescent="0.35">
      <c r="A66" s="93" t="s">
        <v>48</v>
      </c>
      <c r="B66" s="4">
        <f>'Suc. Acaponeta'!G66</f>
        <v>0</v>
      </c>
      <c r="C66" s="4">
        <f>'Suc. Compostela'!G66</f>
        <v>0</v>
      </c>
      <c r="D66" s="5">
        <f>'Suc. Ruiz'!G66</f>
        <v>0</v>
      </c>
      <c r="E66" s="5">
        <f>'Suc. Sanblas'!G66</f>
        <v>0</v>
      </c>
      <c r="F66" s="5">
        <f>'LALO VARAS'!G66</f>
        <v>1</v>
      </c>
      <c r="G66" s="5">
        <f>'Suc. Santiago 2'!G66</f>
        <v>0</v>
      </c>
      <c r="H66" s="5">
        <f>'Suc. Tecuala'!G66</f>
        <v>0</v>
      </c>
      <c r="I66" s="5">
        <f>'Suc. Tuxpan'!G66</f>
        <v>1</v>
      </c>
      <c r="J66" s="5">
        <f>'Suc. Varas'!G66</f>
        <v>0</v>
      </c>
      <c r="K66" s="5">
        <f>'Suc. Santa María del Oro'!G66</f>
        <v>0</v>
      </c>
      <c r="L66" s="5">
        <f>'Suc. Villa Hidalgo'!G66</f>
        <v>0</v>
      </c>
      <c r="M66" s="5">
        <f>'Suc. Peñita'!G66</f>
        <v>0</v>
      </c>
      <c r="N66" s="5">
        <f t="shared" si="14"/>
        <v>2</v>
      </c>
      <c r="O66" s="5">
        <f>+IFERROR(VLOOKUP(A66,$R:$S,2,0),0)-VLOOKUP(A66,'ETIQUETAS CF'!A:B,2,0)</f>
        <v>8</v>
      </c>
      <c r="P66" s="5">
        <f t="shared" si="15"/>
        <v>6</v>
      </c>
      <c r="R66" s="94" t="s">
        <v>58</v>
      </c>
      <c r="S66" s="245">
        <v>5</v>
      </c>
    </row>
    <row r="67" spans="1:19" ht="17.399999999999999" x14ac:dyDescent="0.35">
      <c r="A67" s="93" t="s">
        <v>49</v>
      </c>
      <c r="B67" s="4">
        <f>'Suc. Acaponeta'!G67</f>
        <v>0</v>
      </c>
      <c r="C67" s="4">
        <f>'Suc. Compostela'!G67</f>
        <v>0</v>
      </c>
      <c r="D67" s="5">
        <f>'Suc. Ruiz'!G67</f>
        <v>0</v>
      </c>
      <c r="E67" s="5">
        <f>'Suc. Sanblas'!G67</f>
        <v>0</v>
      </c>
      <c r="F67" s="5">
        <f>'LALO VARAS'!G67</f>
        <v>2</v>
      </c>
      <c r="G67" s="5">
        <f>'Suc. Santiago 2'!G67</f>
        <v>0</v>
      </c>
      <c r="H67" s="5">
        <f>'Suc. Tecuala'!G67</f>
        <v>0</v>
      </c>
      <c r="I67" s="5">
        <f>'Suc. Tuxpan'!G67</f>
        <v>0</v>
      </c>
      <c r="J67" s="5">
        <f>'Suc. Varas'!G67</f>
        <v>0</v>
      </c>
      <c r="K67" s="5">
        <f>'Suc. Santa María del Oro'!G67</f>
        <v>1</v>
      </c>
      <c r="L67" s="5">
        <f>'Suc. Villa Hidalgo'!G67</f>
        <v>0</v>
      </c>
      <c r="M67" s="5">
        <f>'Suc. Peñita'!G67</f>
        <v>0</v>
      </c>
      <c r="N67" s="5">
        <f t="shared" si="14"/>
        <v>3</v>
      </c>
      <c r="O67" s="5">
        <f>+IFERROR(VLOOKUP(A67,$R:$S,2,0),0)-VLOOKUP(A67,'ETIQUETAS CF'!A:B,2,0)</f>
        <v>17</v>
      </c>
      <c r="P67" s="5">
        <f t="shared" si="15"/>
        <v>14</v>
      </c>
      <c r="R67" s="94" t="s">
        <v>59</v>
      </c>
      <c r="S67" s="245">
        <v>6</v>
      </c>
    </row>
    <row r="68" spans="1:19" ht="17.399999999999999" x14ac:dyDescent="0.35">
      <c r="A68" s="93" t="s">
        <v>50</v>
      </c>
      <c r="B68" s="4">
        <f>'Suc. Acaponeta'!G68</f>
        <v>0</v>
      </c>
      <c r="C68" s="4">
        <f>'Suc. Compostela'!G68</f>
        <v>0</v>
      </c>
      <c r="D68" s="5">
        <f>'Suc. Ruiz'!G68</f>
        <v>0</v>
      </c>
      <c r="E68" s="5">
        <f>'Suc. Sanblas'!G68</f>
        <v>0</v>
      </c>
      <c r="F68" s="5">
        <f>'LALO VARAS'!G68</f>
        <v>0</v>
      </c>
      <c r="G68" s="5">
        <f>'Suc. Santiago 2'!G68</f>
        <v>0</v>
      </c>
      <c r="H68" s="5">
        <f>'Suc. Tecuala'!G68</f>
        <v>0</v>
      </c>
      <c r="I68" s="5">
        <f>'Suc. Tuxpan'!G68</f>
        <v>0</v>
      </c>
      <c r="J68" s="5">
        <f>'Suc. Varas'!G68</f>
        <v>0</v>
      </c>
      <c r="K68" s="5">
        <f>'Suc. Santa María del Oro'!G68</f>
        <v>0</v>
      </c>
      <c r="L68" s="5">
        <f>'Suc. Villa Hidalgo'!G68</f>
        <v>0</v>
      </c>
      <c r="M68" s="5">
        <f>'Suc. Peñita'!G68</f>
        <v>0</v>
      </c>
      <c r="N68" s="5">
        <f t="shared" si="14"/>
        <v>0</v>
      </c>
      <c r="O68" s="5">
        <f>+IFERROR(VLOOKUP(A68,$R:$S,2,0),0)-VLOOKUP(A68,'ETIQUETAS CF'!A:B,2,0)</f>
        <v>9</v>
      </c>
      <c r="P68" s="5">
        <f t="shared" si="15"/>
        <v>9</v>
      </c>
      <c r="R68" s="94" t="s">
        <v>60</v>
      </c>
      <c r="S68" s="245">
        <v>7</v>
      </c>
    </row>
    <row r="69" spans="1:19" ht="17.399999999999999" x14ac:dyDescent="0.35">
      <c r="A69" s="93" t="s">
        <v>51</v>
      </c>
      <c r="B69" s="4">
        <f>'Suc. Acaponeta'!G69</f>
        <v>0</v>
      </c>
      <c r="C69" s="4">
        <f>'Suc. Compostela'!G69</f>
        <v>0</v>
      </c>
      <c r="D69" s="5">
        <f>'Suc. Ruiz'!G69</f>
        <v>0</v>
      </c>
      <c r="E69" s="5">
        <f>'Suc. Sanblas'!G69</f>
        <v>0</v>
      </c>
      <c r="F69" s="5">
        <f>'LALO VARAS'!G69</f>
        <v>0</v>
      </c>
      <c r="G69" s="5">
        <f>'Suc. Santiago 2'!G69</f>
        <v>0</v>
      </c>
      <c r="H69" s="5">
        <f>'Suc. Tecuala'!G69</f>
        <v>0</v>
      </c>
      <c r="I69" s="5">
        <f>'Suc. Tuxpan'!G69</f>
        <v>0</v>
      </c>
      <c r="J69" s="5">
        <f>'Suc. Varas'!G69</f>
        <v>0</v>
      </c>
      <c r="K69" s="5">
        <f>'Suc. Santa María del Oro'!G69</f>
        <v>1</v>
      </c>
      <c r="L69" s="5">
        <f>'Suc. Villa Hidalgo'!G69</f>
        <v>0</v>
      </c>
      <c r="M69" s="5">
        <f>'Suc. Peñita'!G69</f>
        <v>0</v>
      </c>
      <c r="N69" s="5">
        <f t="shared" si="14"/>
        <v>1</v>
      </c>
      <c r="O69" s="5">
        <f>+IFERROR(VLOOKUP(A69,$R:$S,2,0),0)-VLOOKUP(A69,'ETIQUETAS CF'!A:B,2,0)</f>
        <v>0</v>
      </c>
      <c r="P69" s="5">
        <f t="shared" si="15"/>
        <v>-1</v>
      </c>
      <c r="R69" s="94" t="s">
        <v>61</v>
      </c>
      <c r="S69" s="245">
        <v>11</v>
      </c>
    </row>
    <row r="70" spans="1:19" ht="18" thickBot="1" x14ac:dyDescent="0.4">
      <c r="A70" s="93" t="s">
        <v>53</v>
      </c>
      <c r="B70" s="4">
        <f>'Suc. Acaponeta'!G70</f>
        <v>0</v>
      </c>
      <c r="C70" s="4">
        <f>'Suc. Compostela'!G70</f>
        <v>2</v>
      </c>
      <c r="D70" s="5">
        <f>'Suc. Ruiz'!G70</f>
        <v>0</v>
      </c>
      <c r="E70" s="5">
        <f>'Suc. Sanblas'!G70</f>
        <v>0</v>
      </c>
      <c r="F70" s="5">
        <f>'LALO VARAS'!G70</f>
        <v>0</v>
      </c>
      <c r="G70" s="5">
        <f>'Suc. Santiago 2'!G70</f>
        <v>0</v>
      </c>
      <c r="H70" s="5">
        <f>'Suc. Tecuala'!G70</f>
        <v>0</v>
      </c>
      <c r="I70" s="5">
        <f>'Suc. Tuxpan'!G70</f>
        <v>6</v>
      </c>
      <c r="J70" s="5">
        <f>'Suc. Varas'!G70</f>
        <v>0</v>
      </c>
      <c r="K70" s="5">
        <f>'Suc. Santa María del Oro'!G70</f>
        <v>0</v>
      </c>
      <c r="L70" s="5">
        <f>'Suc. Villa Hidalgo'!G70</f>
        <v>0</v>
      </c>
      <c r="M70" s="5">
        <f>'Suc. Peñita'!G70</f>
        <v>0</v>
      </c>
      <c r="N70" s="5">
        <f t="shared" si="14"/>
        <v>8</v>
      </c>
      <c r="O70" s="5">
        <f>+IFERROR(VLOOKUP(A70,$R:$S,2,0),0)-VLOOKUP(A70,'ETIQUETAS CF'!A:B,2,0)</f>
        <v>20</v>
      </c>
      <c r="P70" s="5">
        <f t="shared" si="15"/>
        <v>12</v>
      </c>
      <c r="R70" s="94" t="s">
        <v>63</v>
      </c>
      <c r="S70" s="245">
        <v>15</v>
      </c>
    </row>
    <row r="71" spans="1:19" ht="18.600000000000001" thickBot="1" x14ac:dyDescent="0.4">
      <c r="A71" s="93" t="s">
        <v>47</v>
      </c>
      <c r="B71" s="4">
        <f>'Suc. Acaponeta'!G71</f>
        <v>0</v>
      </c>
      <c r="C71" s="4">
        <f>'Suc. Compostela'!G71</f>
        <v>0</v>
      </c>
      <c r="D71" s="5">
        <f>'Suc. Ruiz'!G71</f>
        <v>0</v>
      </c>
      <c r="E71" s="5">
        <f>'Suc. Sanblas'!G71</f>
        <v>0</v>
      </c>
      <c r="F71" s="5">
        <f>'LALO VARAS'!G71</f>
        <v>0</v>
      </c>
      <c r="G71" s="5">
        <f>'Suc. Santiago 2'!G71</f>
        <v>0</v>
      </c>
      <c r="H71" s="5">
        <f>'Suc. Tecuala'!G71</f>
        <v>0</v>
      </c>
      <c r="I71" s="5">
        <f>'Suc. Tuxpan'!G71</f>
        <v>0</v>
      </c>
      <c r="J71" s="5">
        <f>'Suc. Varas'!G71</f>
        <v>0</v>
      </c>
      <c r="K71" s="5">
        <f>'Suc. Santa María del Oro'!G71</f>
        <v>0</v>
      </c>
      <c r="L71" s="5">
        <f>'Suc. Villa Hidalgo'!G71</f>
        <v>0</v>
      </c>
      <c r="M71" s="5">
        <f>'Suc. Peñita'!G71</f>
        <v>0</v>
      </c>
      <c r="N71" s="5">
        <f t="shared" si="14"/>
        <v>0</v>
      </c>
      <c r="O71" s="5">
        <f t="shared" ref="O71:O77" si="16">+IFERROR(VLOOKUP(A71,$R:$S,2,0),0)</f>
        <v>2</v>
      </c>
      <c r="P71" s="5">
        <f t="shared" si="15"/>
        <v>2</v>
      </c>
      <c r="R71" s="105" t="s">
        <v>55</v>
      </c>
      <c r="S71" s="239">
        <v>-22</v>
      </c>
    </row>
    <row r="72" spans="1:19" ht="17.25" hidden="1" customHeight="1" x14ac:dyDescent="0.35">
      <c r="A72" s="86" t="s">
        <v>1089</v>
      </c>
      <c r="B72" s="4">
        <f>'Suc. Acaponeta'!G72</f>
        <v>0</v>
      </c>
      <c r="C72" s="4">
        <f>'Suc. Compostela'!G72</f>
        <v>0</v>
      </c>
      <c r="D72" s="5">
        <f>'Suc. Ruiz'!G72</f>
        <v>0</v>
      </c>
      <c r="E72" s="5">
        <f>'Suc. Sanblas'!G72</f>
        <v>0</v>
      </c>
      <c r="F72" s="5">
        <f>'LALO VARAS'!G72</f>
        <v>0</v>
      </c>
      <c r="G72" s="5">
        <f>'Suc. Santiago 2'!G72</f>
        <v>0</v>
      </c>
      <c r="H72" s="5">
        <f>'Suc. Tecuala'!G72</f>
        <v>0</v>
      </c>
      <c r="I72" s="5">
        <f>'Suc. Tuxpan'!G72</f>
        <v>0</v>
      </c>
      <c r="J72" s="5">
        <f>'Suc. Varas'!G72</f>
        <v>0</v>
      </c>
      <c r="K72" s="5">
        <f>'Suc. Santa María del Oro'!G72</f>
        <v>0</v>
      </c>
      <c r="L72" s="5">
        <f>'Suc. Villa Hidalgo'!G72</f>
        <v>0</v>
      </c>
      <c r="M72" s="5">
        <f>'Suc. Peñita'!G72</f>
        <v>0</v>
      </c>
      <c r="N72" s="5">
        <f t="shared" si="14"/>
        <v>0</v>
      </c>
      <c r="O72" s="5">
        <f t="shared" si="16"/>
        <v>0</v>
      </c>
      <c r="P72" s="5">
        <f t="shared" si="15"/>
        <v>0</v>
      </c>
      <c r="R72" s="106" t="s">
        <v>64</v>
      </c>
      <c r="S72" s="245">
        <v>0</v>
      </c>
    </row>
    <row r="73" spans="1:19" ht="17.399999999999999" x14ac:dyDescent="0.35">
      <c r="A73" s="93"/>
      <c r="B73" s="4">
        <f>'Suc. Acaponeta'!G73</f>
        <v>0</v>
      </c>
      <c r="C73" s="4">
        <f>'Suc. Compostela'!G73</f>
        <v>0</v>
      </c>
      <c r="D73" s="5">
        <f>'Suc. Ruiz'!G73</f>
        <v>0</v>
      </c>
      <c r="E73" s="5">
        <f>'Suc. Sanblas'!G73</f>
        <v>0</v>
      </c>
      <c r="F73" s="5">
        <f>'LALO VARAS'!G73</f>
        <v>0</v>
      </c>
      <c r="G73" s="5">
        <f>'Suc. Santiago 2'!G73</f>
        <v>0</v>
      </c>
      <c r="H73" s="5">
        <f>'Suc. Tecuala'!G73</f>
        <v>0</v>
      </c>
      <c r="I73" s="5">
        <f>'Suc. Tuxpan'!G73</f>
        <v>0</v>
      </c>
      <c r="J73" s="5">
        <f>'Suc. Varas'!G73</f>
        <v>0</v>
      </c>
      <c r="K73" s="5">
        <f>'Suc. Santa María del Oro'!G73</f>
        <v>0</v>
      </c>
      <c r="L73" s="5">
        <f>'Suc. Villa Hidalgo'!G73</f>
        <v>0</v>
      </c>
      <c r="M73" s="5">
        <f>'Suc. Peñita'!G73</f>
        <v>0</v>
      </c>
      <c r="N73" s="5">
        <f t="shared" si="14"/>
        <v>0</v>
      </c>
      <c r="O73" s="5">
        <f t="shared" si="16"/>
        <v>0</v>
      </c>
      <c r="P73" s="5">
        <f t="shared" si="15"/>
        <v>0</v>
      </c>
      <c r="R73" s="94" t="s">
        <v>65</v>
      </c>
      <c r="S73" s="245">
        <v>13</v>
      </c>
    </row>
    <row r="74" spans="1:19" ht="17.399999999999999" x14ac:dyDescent="0.35">
      <c r="A74" s="93"/>
      <c r="B74" s="4">
        <f>'Suc. Acaponeta'!G74</f>
        <v>0</v>
      </c>
      <c r="C74" s="4">
        <f>'Suc. Compostela'!G74</f>
        <v>0</v>
      </c>
      <c r="D74" s="5">
        <f>'Suc. Ruiz'!G74</f>
        <v>0</v>
      </c>
      <c r="E74" s="5">
        <f>'Suc. Sanblas'!G74</f>
        <v>0</v>
      </c>
      <c r="F74" s="5">
        <f>'LALO VARAS'!G74</f>
        <v>0</v>
      </c>
      <c r="G74" s="5">
        <f>'Suc. Santiago 2'!G74</f>
        <v>0</v>
      </c>
      <c r="H74" s="5">
        <f>'Suc. Tecuala'!G74</f>
        <v>0</v>
      </c>
      <c r="I74" s="5">
        <f>'Suc. Tuxpan'!G74</f>
        <v>0</v>
      </c>
      <c r="J74" s="5">
        <f>'Suc. Varas'!G74</f>
        <v>0</v>
      </c>
      <c r="K74" s="5">
        <f>'Suc. Santa María del Oro'!G74</f>
        <v>0</v>
      </c>
      <c r="L74" s="5">
        <f>'Suc. Villa Hidalgo'!G74</f>
        <v>0</v>
      </c>
      <c r="M74" s="5">
        <f>'Suc. Peñita'!G74</f>
        <v>0</v>
      </c>
      <c r="N74" s="5">
        <f t="shared" si="14"/>
        <v>0</v>
      </c>
      <c r="O74" s="5">
        <f t="shared" si="16"/>
        <v>0</v>
      </c>
      <c r="P74" s="5">
        <f t="shared" si="15"/>
        <v>0</v>
      </c>
      <c r="R74" s="94" t="s">
        <v>66</v>
      </c>
      <c r="S74" s="245">
        <v>14</v>
      </c>
    </row>
    <row r="75" spans="1:19" ht="17.399999999999999" x14ac:dyDescent="0.35">
      <c r="A75" s="93"/>
      <c r="B75" s="4">
        <f>'Suc. Acaponeta'!G75</f>
        <v>0</v>
      </c>
      <c r="C75" s="4">
        <f>'Suc. Compostela'!G75</f>
        <v>0</v>
      </c>
      <c r="D75" s="5">
        <f>'Suc. Ruiz'!G75</f>
        <v>0</v>
      </c>
      <c r="E75" s="5">
        <f>'Suc. Sanblas'!G75</f>
        <v>0</v>
      </c>
      <c r="F75" s="5">
        <f>'LALO VARAS'!G75</f>
        <v>0</v>
      </c>
      <c r="G75" s="5">
        <f>'Suc. Santiago 2'!G75</f>
        <v>0</v>
      </c>
      <c r="H75" s="5">
        <f>'Suc. Tecuala'!G75</f>
        <v>0</v>
      </c>
      <c r="I75" s="5">
        <f>'Suc. Tuxpan'!G75</f>
        <v>0</v>
      </c>
      <c r="J75" s="5">
        <f>'Suc. Varas'!G75</f>
        <v>0</v>
      </c>
      <c r="K75" s="5">
        <f>'Suc. Santa María del Oro'!G75</f>
        <v>0</v>
      </c>
      <c r="L75" s="5">
        <f>'Suc. Villa Hidalgo'!G75</f>
        <v>0</v>
      </c>
      <c r="M75" s="5">
        <f>'Suc. Peñita'!G75</f>
        <v>0</v>
      </c>
      <c r="N75" s="5">
        <f t="shared" si="14"/>
        <v>0</v>
      </c>
      <c r="O75" s="5">
        <f t="shared" si="16"/>
        <v>0</v>
      </c>
      <c r="P75" s="5">
        <f t="shared" si="15"/>
        <v>0</v>
      </c>
      <c r="R75" s="94" t="s">
        <v>68</v>
      </c>
      <c r="S75" s="245">
        <v>16</v>
      </c>
    </row>
    <row r="76" spans="1:19" ht="17.399999999999999" x14ac:dyDescent="0.35">
      <c r="A76" s="93"/>
      <c r="B76" s="4">
        <f>'Suc. Acaponeta'!G76</f>
        <v>0</v>
      </c>
      <c r="C76" s="4">
        <f>'Suc. Compostela'!G76</f>
        <v>0</v>
      </c>
      <c r="D76" s="5">
        <f>'Suc. Ruiz'!G76</f>
        <v>0</v>
      </c>
      <c r="E76" s="5">
        <f>'Suc. Sanblas'!G76</f>
        <v>0</v>
      </c>
      <c r="F76" s="5">
        <f>'LALO VARAS'!G76</f>
        <v>0</v>
      </c>
      <c r="G76" s="5">
        <f>'Suc. Santiago 2'!G76</f>
        <v>0</v>
      </c>
      <c r="H76" s="5">
        <f>'Suc. Tecuala'!G76</f>
        <v>0</v>
      </c>
      <c r="I76" s="5">
        <f>'Suc. Tuxpan'!G76</f>
        <v>0</v>
      </c>
      <c r="J76" s="5">
        <f>'Suc. Varas'!G76</f>
        <v>0</v>
      </c>
      <c r="K76" s="5">
        <f>'Suc. Santa María del Oro'!G76</f>
        <v>0</v>
      </c>
      <c r="L76" s="5">
        <f>'Suc. Villa Hidalgo'!G76</f>
        <v>0</v>
      </c>
      <c r="M76" s="5">
        <f>'Suc. Peñita'!G76</f>
        <v>0</v>
      </c>
      <c r="N76" s="5">
        <f t="shared" si="14"/>
        <v>0</v>
      </c>
      <c r="O76" s="5">
        <f t="shared" si="16"/>
        <v>0</v>
      </c>
      <c r="P76" s="5">
        <f t="shared" si="15"/>
        <v>0</v>
      </c>
      <c r="R76" s="94" t="s">
        <v>69</v>
      </c>
      <c r="S76" s="245">
        <v>48</v>
      </c>
    </row>
    <row r="77" spans="1:19" ht="18" thickBot="1" x14ac:dyDescent="0.4">
      <c r="A77" s="93"/>
      <c r="B77" s="4">
        <f>'Suc. Acaponeta'!G77</f>
        <v>0</v>
      </c>
      <c r="C77" s="4">
        <f>'Suc. Compostela'!G77</f>
        <v>0</v>
      </c>
      <c r="D77" s="5">
        <f>'Suc. Ruiz'!G77</f>
        <v>0</v>
      </c>
      <c r="E77" s="5">
        <f>'Suc. Sanblas'!G77</f>
        <v>0</v>
      </c>
      <c r="F77" s="5">
        <f>'LALO VARAS'!G77</f>
        <v>0</v>
      </c>
      <c r="G77" s="5">
        <f>'Suc. Santiago 2'!G77</f>
        <v>0</v>
      </c>
      <c r="H77" s="5">
        <f>'Suc. Tecuala'!G77</f>
        <v>0</v>
      </c>
      <c r="I77" s="5">
        <f>'Suc. Tuxpan'!G77</f>
        <v>0</v>
      </c>
      <c r="J77" s="5">
        <f>'Suc. Varas'!G77</f>
        <v>0</v>
      </c>
      <c r="K77" s="5">
        <f>'Suc. Santa María del Oro'!G77</f>
        <v>0</v>
      </c>
      <c r="L77" s="5">
        <f>'Suc. Villa Hidalgo'!G77</f>
        <v>0</v>
      </c>
      <c r="M77" s="5">
        <f>'Suc. Peñita'!G77</f>
        <v>0</v>
      </c>
      <c r="N77" s="5">
        <f t="shared" si="14"/>
        <v>0</v>
      </c>
      <c r="O77" s="5">
        <f t="shared" si="16"/>
        <v>0</v>
      </c>
      <c r="P77" s="5">
        <f t="shared" si="15"/>
        <v>0</v>
      </c>
      <c r="R77" s="94" t="s">
        <v>70</v>
      </c>
      <c r="S77" s="245">
        <v>26</v>
      </c>
    </row>
    <row r="78" spans="1:19" ht="18" thickBot="1" x14ac:dyDescent="0.4">
      <c r="A78" s="99" t="s">
        <v>54</v>
      </c>
      <c r="B78" s="47">
        <f t="shared" ref="B78:P78" si="17">SUM(B56:B77)</f>
        <v>0</v>
      </c>
      <c r="C78" s="47">
        <f t="shared" si="17"/>
        <v>4</v>
      </c>
      <c r="D78" s="47">
        <f t="shared" si="17"/>
        <v>0</v>
      </c>
      <c r="E78" s="47">
        <f t="shared" si="17"/>
        <v>0</v>
      </c>
      <c r="F78" s="47">
        <f t="shared" si="17"/>
        <v>5</v>
      </c>
      <c r="G78" s="47">
        <f t="shared" si="17"/>
        <v>0</v>
      </c>
      <c r="H78" s="47">
        <f t="shared" si="17"/>
        <v>0</v>
      </c>
      <c r="I78" s="47">
        <f t="shared" si="17"/>
        <v>9</v>
      </c>
      <c r="J78" s="47">
        <f t="shared" si="17"/>
        <v>0</v>
      </c>
      <c r="K78" s="47">
        <f t="shared" si="17"/>
        <v>2</v>
      </c>
      <c r="L78" s="47">
        <f t="shared" si="17"/>
        <v>0</v>
      </c>
      <c r="M78" s="47">
        <f t="shared" si="17"/>
        <v>0</v>
      </c>
      <c r="N78" s="47">
        <f t="shared" si="17"/>
        <v>20</v>
      </c>
      <c r="O78" s="47">
        <f t="shared" si="17"/>
        <v>135</v>
      </c>
      <c r="P78" s="47">
        <f t="shared" si="17"/>
        <v>115</v>
      </c>
      <c r="R78" s="94" t="s">
        <v>857</v>
      </c>
      <c r="S78" s="245">
        <v>30</v>
      </c>
    </row>
    <row r="79" spans="1:19" ht="18.600000000000001" thickBot="1" x14ac:dyDescent="0.4">
      <c r="A79" s="103" t="s">
        <v>55</v>
      </c>
      <c r="B79" s="51">
        <f t="shared" ref="B79:P79" si="18">B18+B32+B49+B52+B55+B78</f>
        <v>0</v>
      </c>
      <c r="C79" s="51">
        <f t="shared" si="18"/>
        <v>28</v>
      </c>
      <c r="D79" s="51">
        <f t="shared" si="18"/>
        <v>0</v>
      </c>
      <c r="E79" s="51">
        <f t="shared" si="18"/>
        <v>0</v>
      </c>
      <c r="F79" s="51">
        <f t="shared" si="18"/>
        <v>37</v>
      </c>
      <c r="G79" s="51">
        <f t="shared" si="18"/>
        <v>0</v>
      </c>
      <c r="H79" s="51">
        <f t="shared" si="18"/>
        <v>0</v>
      </c>
      <c r="I79" s="51">
        <f t="shared" si="18"/>
        <v>67</v>
      </c>
      <c r="J79" s="51">
        <f t="shared" si="18"/>
        <v>0</v>
      </c>
      <c r="K79" s="51">
        <f t="shared" si="18"/>
        <v>29</v>
      </c>
      <c r="L79" s="51">
        <f t="shared" si="18"/>
        <v>0</v>
      </c>
      <c r="M79" s="51">
        <f t="shared" si="18"/>
        <v>0</v>
      </c>
      <c r="N79" s="51">
        <f t="shared" si="18"/>
        <v>161</v>
      </c>
      <c r="O79" s="51">
        <f t="shared" si="18"/>
        <v>791</v>
      </c>
      <c r="P79" s="51">
        <f t="shared" si="18"/>
        <v>630</v>
      </c>
      <c r="R79" s="102" t="s">
        <v>835</v>
      </c>
      <c r="S79" s="245">
        <v>19</v>
      </c>
    </row>
    <row r="80" spans="1:19" ht="17.399999999999999" x14ac:dyDescent="0.35">
      <c r="A80" s="104" t="s">
        <v>56</v>
      </c>
      <c r="B80" s="26"/>
      <c r="C80" s="26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R80" s="102" t="s">
        <v>72</v>
      </c>
      <c r="S80" s="245">
        <v>309</v>
      </c>
    </row>
    <row r="81" spans="1:19" ht="17.399999999999999" x14ac:dyDescent="0.35">
      <c r="A81" s="94" t="s">
        <v>57</v>
      </c>
      <c r="B81" s="4">
        <f>'Suc. Acaponeta'!G81</f>
        <v>0</v>
      </c>
      <c r="C81" s="4">
        <f>'Suc. Compostela'!G81</f>
        <v>0</v>
      </c>
      <c r="D81" s="5">
        <f>'Suc. Ruiz'!G81</f>
        <v>0</v>
      </c>
      <c r="E81" s="5">
        <f>'Suc. Sanblas'!G81</f>
        <v>0</v>
      </c>
      <c r="F81" s="5">
        <f>'LALO VARAS'!G81</f>
        <v>0</v>
      </c>
      <c r="G81" s="5">
        <f>'Suc. Santiago 2'!G81</f>
        <v>0</v>
      </c>
      <c r="H81" s="5">
        <f>'Suc. Tecuala'!G81</f>
        <v>0</v>
      </c>
      <c r="I81" s="5">
        <f>'Suc. Tuxpan'!G81</f>
        <v>1</v>
      </c>
      <c r="J81" s="5">
        <f>'Suc. Varas'!G81</f>
        <v>0</v>
      </c>
      <c r="K81" s="5">
        <f>'Suc. Santa María del Oro'!G81</f>
        <v>0</v>
      </c>
      <c r="L81" s="5">
        <f>'Suc. Villa Hidalgo'!G81</f>
        <v>0</v>
      </c>
      <c r="M81" s="5">
        <f>'Suc. Peñita'!G81</f>
        <v>0</v>
      </c>
      <c r="N81" s="5">
        <f t="shared" ref="N81:N90" si="19">SUM(B81:M81)</f>
        <v>1</v>
      </c>
      <c r="O81" s="5">
        <f>+IFERROR(VLOOKUP(A81,$R:$S,2,0),0)-VLOOKUP(A81,'ETIQUETAS CF'!A:B,2,0)</f>
        <v>7</v>
      </c>
      <c r="P81" s="5">
        <f t="shared" ref="P81:P90" si="20">O81-N81</f>
        <v>6</v>
      </c>
      <c r="R81" s="94" t="s">
        <v>73</v>
      </c>
      <c r="S81" s="245">
        <v>17</v>
      </c>
    </row>
    <row r="82" spans="1:19" ht="17.399999999999999" x14ac:dyDescent="0.35">
      <c r="A82" s="94" t="s">
        <v>58</v>
      </c>
      <c r="B82" s="4">
        <f>'Suc. Acaponeta'!G82</f>
        <v>0</v>
      </c>
      <c r="C82" s="4">
        <f>'Suc. Compostela'!G82</f>
        <v>0</v>
      </c>
      <c r="D82" s="5">
        <f>'Suc. Ruiz'!G82</f>
        <v>0</v>
      </c>
      <c r="E82" s="5">
        <f>'Suc. Sanblas'!G82</f>
        <v>0</v>
      </c>
      <c r="F82" s="5">
        <f>'LALO VARAS'!G82</f>
        <v>0</v>
      </c>
      <c r="G82" s="5">
        <f>'Suc. Santiago 2'!G82</f>
        <v>0</v>
      </c>
      <c r="H82" s="5">
        <f>'Suc. Tecuala'!G82</f>
        <v>0</v>
      </c>
      <c r="I82" s="5">
        <f>'Suc. Tuxpan'!G82</f>
        <v>0</v>
      </c>
      <c r="J82" s="5">
        <f>'Suc. Varas'!G82</f>
        <v>0</v>
      </c>
      <c r="K82" s="5">
        <f>'Suc. Santa María del Oro'!G82</f>
        <v>0</v>
      </c>
      <c r="L82" s="5">
        <f>'Suc. Villa Hidalgo'!G82</f>
        <v>0</v>
      </c>
      <c r="M82" s="5">
        <f>'Suc. Peñita'!G82</f>
        <v>0</v>
      </c>
      <c r="N82" s="5">
        <f t="shared" si="19"/>
        <v>0</v>
      </c>
      <c r="O82" s="5">
        <f>+IFERROR(VLOOKUP(A82,$R:$S,2,0),0)-VLOOKUP(A82,'ETIQUETAS CF'!A:B,2,0)</f>
        <v>5</v>
      </c>
      <c r="P82" s="5">
        <f t="shared" si="20"/>
        <v>5</v>
      </c>
      <c r="R82" s="94" t="s">
        <v>74</v>
      </c>
      <c r="S82" s="245">
        <v>18</v>
      </c>
    </row>
    <row r="83" spans="1:19" ht="18" thickBot="1" x14ac:dyDescent="0.4">
      <c r="A83" s="94" t="s">
        <v>59</v>
      </c>
      <c r="B83" s="4">
        <f>'Suc. Acaponeta'!G83</f>
        <v>0</v>
      </c>
      <c r="C83" s="4">
        <f>'Suc. Compostela'!G83</f>
        <v>0</v>
      </c>
      <c r="D83" s="5">
        <f>'Suc. Ruiz'!G83</f>
        <v>0</v>
      </c>
      <c r="E83" s="5">
        <f>'Suc. Sanblas'!G83</f>
        <v>0</v>
      </c>
      <c r="F83" s="5">
        <f>'LALO VARAS'!G83</f>
        <v>0</v>
      </c>
      <c r="G83" s="5">
        <f>'Suc. Santiago 2'!G83</f>
        <v>0</v>
      </c>
      <c r="H83" s="5">
        <f>'Suc. Tecuala'!G83</f>
        <v>0</v>
      </c>
      <c r="I83" s="5">
        <f>'Suc. Tuxpan'!G83</f>
        <v>0</v>
      </c>
      <c r="J83" s="5">
        <f>'Suc. Varas'!G83</f>
        <v>0</v>
      </c>
      <c r="K83" s="5">
        <f>'Suc. Santa María del Oro'!G83</f>
        <v>0</v>
      </c>
      <c r="L83" s="5">
        <f>'Suc. Villa Hidalgo'!G83</f>
        <v>0</v>
      </c>
      <c r="M83" s="5">
        <f>'Suc. Peñita'!G83</f>
        <v>0</v>
      </c>
      <c r="N83" s="5">
        <f t="shared" si="19"/>
        <v>0</v>
      </c>
      <c r="O83" s="5">
        <f>+IFERROR(VLOOKUP(A83,$R:$S,2,0),0)-VLOOKUP(A83,'ETIQUETAS CF'!A:B,2,0)</f>
        <v>6</v>
      </c>
      <c r="P83" s="5">
        <f t="shared" si="20"/>
        <v>6</v>
      </c>
      <c r="R83" s="95" t="s">
        <v>75</v>
      </c>
      <c r="S83" s="245">
        <v>18</v>
      </c>
    </row>
    <row r="84" spans="1:19" ht="18.600000000000001" thickBot="1" x14ac:dyDescent="0.4">
      <c r="A84" s="94" t="s">
        <v>60</v>
      </c>
      <c r="B84" s="4">
        <f>'Suc. Acaponeta'!G84</f>
        <v>0</v>
      </c>
      <c r="C84" s="4">
        <f>'Suc. Compostela'!G84</f>
        <v>0</v>
      </c>
      <c r="D84" s="5">
        <f>'Suc. Ruiz'!G84</f>
        <v>0</v>
      </c>
      <c r="E84" s="5">
        <f>'Suc. Sanblas'!G84</f>
        <v>0</v>
      </c>
      <c r="F84" s="5">
        <f>'LALO VARAS'!G84</f>
        <v>0</v>
      </c>
      <c r="G84" s="5">
        <f>'Suc. Santiago 2'!G84</f>
        <v>0</v>
      </c>
      <c r="H84" s="5">
        <f>'Suc. Tecuala'!G84</f>
        <v>0</v>
      </c>
      <c r="I84" s="5">
        <f>'Suc. Tuxpan'!G84</f>
        <v>0</v>
      </c>
      <c r="J84" s="5">
        <f>'Suc. Varas'!G84</f>
        <v>0</v>
      </c>
      <c r="K84" s="5">
        <f>'Suc. Santa María del Oro'!G84</f>
        <v>0</v>
      </c>
      <c r="L84" s="5">
        <f>'Suc. Villa Hidalgo'!G84</f>
        <v>0</v>
      </c>
      <c r="M84" s="5">
        <f>'Suc. Peñita'!G84</f>
        <v>0</v>
      </c>
      <c r="N84" s="5">
        <f t="shared" si="19"/>
        <v>0</v>
      </c>
      <c r="O84" s="5">
        <f>+IFERROR(VLOOKUP(A84,$R:$S,2,0),0)-VLOOKUP(A84,'ETIQUETAS CF'!A:B,2,0)</f>
        <v>7</v>
      </c>
      <c r="P84" s="5">
        <f t="shared" si="20"/>
        <v>7</v>
      </c>
      <c r="R84" s="107" t="s">
        <v>55</v>
      </c>
      <c r="S84" s="240">
        <v>529</v>
      </c>
    </row>
    <row r="85" spans="1:19" ht="18" thickBot="1" x14ac:dyDescent="0.4">
      <c r="A85" s="94" t="s">
        <v>61</v>
      </c>
      <c r="B85" s="4">
        <f>'Suc. Acaponeta'!G85</f>
        <v>0</v>
      </c>
      <c r="C85" s="4">
        <f>'Suc. Compostela'!G85</f>
        <v>1</v>
      </c>
      <c r="D85" s="5">
        <f>'Suc. Ruiz'!G85</f>
        <v>0</v>
      </c>
      <c r="E85" s="5">
        <f>'Suc. Sanblas'!G85</f>
        <v>0</v>
      </c>
      <c r="F85" s="5">
        <f>'LALO VARAS'!G85</f>
        <v>0</v>
      </c>
      <c r="G85" s="5">
        <f>'Suc. Santiago 2'!G85</f>
        <v>0</v>
      </c>
      <c r="H85" s="5">
        <f>'Suc. Tecuala'!G85</f>
        <v>0</v>
      </c>
      <c r="I85" s="5">
        <f>'Suc. Tuxpan'!G85</f>
        <v>0</v>
      </c>
      <c r="J85" s="5">
        <f>'Suc. Varas'!G85</f>
        <v>0</v>
      </c>
      <c r="K85" s="5">
        <f>'Suc. Santa María del Oro'!G85</f>
        <v>0</v>
      </c>
      <c r="L85" s="5">
        <f>'Suc. Villa Hidalgo'!G85</f>
        <v>0</v>
      </c>
      <c r="M85" s="5">
        <f>'Suc. Peñita'!G85</f>
        <v>0</v>
      </c>
      <c r="N85" s="5">
        <f t="shared" si="19"/>
        <v>1</v>
      </c>
      <c r="O85" s="5">
        <f>+IFERROR(VLOOKUP(A85,$R:$S,2,0),0)-VLOOKUP(A85,'ETIQUETAS CF'!A:B,2,0)</f>
        <v>11</v>
      </c>
      <c r="P85" s="5">
        <f t="shared" si="20"/>
        <v>10</v>
      </c>
      <c r="R85" s="108" t="s">
        <v>76</v>
      </c>
      <c r="S85" s="247">
        <v>0</v>
      </c>
    </row>
    <row r="86" spans="1:19" ht="17.399999999999999" x14ac:dyDescent="0.35">
      <c r="A86" s="94" t="s">
        <v>63</v>
      </c>
      <c r="B86" s="4">
        <f>'Suc. Acaponeta'!G86</f>
        <v>0</v>
      </c>
      <c r="C86" s="4">
        <f>'Suc. Compostela'!G86</f>
        <v>3</v>
      </c>
      <c r="D86" s="5">
        <f>'Suc. Ruiz'!G86</f>
        <v>0</v>
      </c>
      <c r="E86" s="5">
        <f>'Suc. Sanblas'!G86</f>
        <v>0</v>
      </c>
      <c r="F86" s="5">
        <f>'LALO VARAS'!G86</f>
        <v>0</v>
      </c>
      <c r="G86" s="5">
        <f>'Suc. Santiago 2'!G86</f>
        <v>0</v>
      </c>
      <c r="H86" s="5">
        <f>'Suc. Tecuala'!G86</f>
        <v>0</v>
      </c>
      <c r="I86" s="5">
        <f>'Suc. Tuxpan'!G86</f>
        <v>0</v>
      </c>
      <c r="J86" s="5">
        <f>'Suc. Varas'!G86</f>
        <v>0</v>
      </c>
      <c r="K86" s="5">
        <f>'Suc. Santa María del Oro'!G86</f>
        <v>0</v>
      </c>
      <c r="L86" s="5">
        <f>'Suc. Villa Hidalgo'!G86</f>
        <v>0</v>
      </c>
      <c r="M86" s="5">
        <f>'Suc. Peñita'!G86</f>
        <v>0</v>
      </c>
      <c r="N86" s="5">
        <f t="shared" si="19"/>
        <v>3</v>
      </c>
      <c r="O86" s="5">
        <f>+IFERROR(VLOOKUP(A86,$R:$S,2,0),0)-VLOOKUP(A86,'ETIQUETAS CF'!A:B,2,0)</f>
        <v>15</v>
      </c>
      <c r="P86" s="5">
        <f t="shared" si="20"/>
        <v>12</v>
      </c>
      <c r="R86" s="94" t="s">
        <v>77</v>
      </c>
      <c r="S86" s="245">
        <v>19</v>
      </c>
    </row>
    <row r="87" spans="1:19" ht="17.25" customHeight="1" x14ac:dyDescent="0.35">
      <c r="A87" s="94"/>
      <c r="B87" s="4">
        <f>'Suc. Acaponeta'!G87</f>
        <v>0</v>
      </c>
      <c r="C87" s="4">
        <f>'Suc. Compostela'!G87</f>
        <v>0</v>
      </c>
      <c r="D87" s="5">
        <f>'Suc. Ruiz'!G87</f>
        <v>0</v>
      </c>
      <c r="E87" s="5">
        <f>'Suc. Sanblas'!G87</f>
        <v>0</v>
      </c>
      <c r="F87" s="5">
        <f>'LALO VARAS'!G87</f>
        <v>0</v>
      </c>
      <c r="G87" s="5">
        <f>'Suc. Santiago 2'!G87</f>
        <v>0</v>
      </c>
      <c r="H87" s="5">
        <f>'Suc. Tecuala'!G87</f>
        <v>0</v>
      </c>
      <c r="I87" s="5">
        <f>'Suc. Tuxpan'!G87</f>
        <v>0</v>
      </c>
      <c r="J87" s="5">
        <f>'Suc. Varas'!G87</f>
        <v>0</v>
      </c>
      <c r="K87" s="5">
        <f>'Suc. Santa María del Oro'!G87</f>
        <v>0</v>
      </c>
      <c r="L87" s="5">
        <f>'Suc. Villa Hidalgo'!G87</f>
        <v>0</v>
      </c>
      <c r="M87" s="5">
        <f>'Suc. Peñita'!G87</f>
        <v>0</v>
      </c>
      <c r="N87" s="5">
        <f t="shared" si="19"/>
        <v>0</v>
      </c>
      <c r="O87" s="5">
        <f>+IFERROR(VLOOKUP(A87,$R:$S,2,0),0)</f>
        <v>0</v>
      </c>
      <c r="P87" s="5">
        <f t="shared" si="20"/>
        <v>0</v>
      </c>
      <c r="R87" s="94" t="s">
        <v>621</v>
      </c>
      <c r="S87" s="245">
        <v>0</v>
      </c>
    </row>
    <row r="88" spans="1:19" ht="17.25" customHeight="1" x14ac:dyDescent="0.35">
      <c r="A88" s="94"/>
      <c r="B88" s="4">
        <f>'Suc. Acaponeta'!G88</f>
        <v>0</v>
      </c>
      <c r="C88" s="4">
        <f>'Suc. Compostela'!G88</f>
        <v>0</v>
      </c>
      <c r="D88" s="5">
        <f>'Suc. Ruiz'!G88</f>
        <v>0</v>
      </c>
      <c r="E88" s="5">
        <f>'Suc. Sanblas'!G88</f>
        <v>0</v>
      </c>
      <c r="F88" s="5">
        <f>'LALO VARAS'!G88</f>
        <v>0</v>
      </c>
      <c r="G88" s="5">
        <f>'Suc. Santiago 2'!G88</f>
        <v>0</v>
      </c>
      <c r="H88" s="5">
        <f>'Suc. Tecuala'!G88</f>
        <v>0</v>
      </c>
      <c r="I88" s="5">
        <f>'Suc. Tuxpan'!G88</f>
        <v>0</v>
      </c>
      <c r="J88" s="5">
        <f>'Suc. Varas'!G88</f>
        <v>0</v>
      </c>
      <c r="K88" s="5">
        <f>'Suc. Santa María del Oro'!G88</f>
        <v>0</v>
      </c>
      <c r="L88" s="5">
        <f>'Suc. Villa Hidalgo'!G88</f>
        <v>0</v>
      </c>
      <c r="M88" s="5">
        <f>'Suc. Peñita'!G88</f>
        <v>0</v>
      </c>
      <c r="N88" s="5">
        <f t="shared" si="19"/>
        <v>0</v>
      </c>
      <c r="O88" s="5">
        <f>+IFERROR(VLOOKUP(A88,$R:$S,2,0),0)</f>
        <v>0</v>
      </c>
      <c r="P88" s="5">
        <f t="shared" si="20"/>
        <v>0</v>
      </c>
      <c r="R88" s="94" t="s">
        <v>80</v>
      </c>
      <c r="S88" s="245">
        <v>15</v>
      </c>
    </row>
    <row r="89" spans="1:19" ht="17.25" customHeight="1" x14ac:dyDescent="0.35">
      <c r="A89" s="94"/>
      <c r="B89" s="4">
        <f>'Suc. Acaponeta'!G89</f>
        <v>0</v>
      </c>
      <c r="C89" s="4">
        <f>'Suc. Compostela'!G89</f>
        <v>0</v>
      </c>
      <c r="D89" s="5">
        <f>'Suc. Ruiz'!G89</f>
        <v>0</v>
      </c>
      <c r="E89" s="5">
        <f>'Suc. Sanblas'!G89</f>
        <v>0</v>
      </c>
      <c r="F89" s="5">
        <f>'LALO VARAS'!G89</f>
        <v>0</v>
      </c>
      <c r="G89" s="5">
        <f>'Suc. Santiago 2'!G89</f>
        <v>0</v>
      </c>
      <c r="H89" s="5">
        <f>'Suc. Tecuala'!G89</f>
        <v>0</v>
      </c>
      <c r="I89" s="5">
        <f>'Suc. Tuxpan'!G89</f>
        <v>0</v>
      </c>
      <c r="J89" s="5">
        <f>'Suc. Varas'!G89</f>
        <v>0</v>
      </c>
      <c r="K89" s="5">
        <f>'Suc. Santa María del Oro'!G89</f>
        <v>0</v>
      </c>
      <c r="L89" s="5">
        <f>'Suc. Villa Hidalgo'!G89</f>
        <v>0</v>
      </c>
      <c r="M89" s="5">
        <f>'Suc. Peñita'!G89</f>
        <v>0</v>
      </c>
      <c r="N89" s="5">
        <f t="shared" si="19"/>
        <v>0</v>
      </c>
      <c r="O89" s="5">
        <f>+IFERROR(VLOOKUP(A89,$R:$S,2,0),0)</f>
        <v>0</v>
      </c>
      <c r="P89" s="5">
        <f t="shared" si="20"/>
        <v>0</v>
      </c>
      <c r="R89" s="94" t="s">
        <v>81</v>
      </c>
      <c r="S89" s="245">
        <v>11</v>
      </c>
    </row>
    <row r="90" spans="1:19" ht="18" customHeight="1" thickBot="1" x14ac:dyDescent="0.4">
      <c r="A90" s="94"/>
      <c r="B90" s="4">
        <f>'Suc. Acaponeta'!G90</f>
        <v>0</v>
      </c>
      <c r="C90" s="4">
        <f>'Suc. Compostela'!G90</f>
        <v>0</v>
      </c>
      <c r="D90" s="5">
        <f>'Suc. Ruiz'!G90</f>
        <v>0</v>
      </c>
      <c r="E90" s="5">
        <f>'Suc. Sanblas'!G90</f>
        <v>0</v>
      </c>
      <c r="F90" s="5">
        <f>'LALO VARAS'!G90</f>
        <v>0</v>
      </c>
      <c r="G90" s="5">
        <f>'Suc. Santiago 2'!G90</f>
        <v>0</v>
      </c>
      <c r="H90" s="5">
        <f>'Suc. Tecuala'!G90</f>
        <v>0</v>
      </c>
      <c r="I90" s="5">
        <f>'Suc. Tuxpan'!G90</f>
        <v>0</v>
      </c>
      <c r="J90" s="5">
        <f>'Suc. Varas'!G90</f>
        <v>0</v>
      </c>
      <c r="K90" s="5">
        <f>'Suc. Santa María del Oro'!G90</f>
        <v>0</v>
      </c>
      <c r="L90" s="5">
        <f>'Suc. Villa Hidalgo'!G90</f>
        <v>0</v>
      </c>
      <c r="M90" s="5">
        <f>'Suc. Peñita'!G90</f>
        <v>0</v>
      </c>
      <c r="N90" s="5">
        <f t="shared" si="19"/>
        <v>0</v>
      </c>
      <c r="O90" s="5">
        <f>+IFERROR(VLOOKUP(A90,$R:$S,2,0),0)</f>
        <v>0</v>
      </c>
      <c r="P90" s="5">
        <f t="shared" si="20"/>
        <v>0</v>
      </c>
      <c r="R90" s="95" t="s">
        <v>83</v>
      </c>
      <c r="S90" s="245">
        <v>14</v>
      </c>
    </row>
    <row r="91" spans="1:19" ht="18.600000000000001" thickBot="1" x14ac:dyDescent="0.4">
      <c r="A91" s="105" t="s">
        <v>55</v>
      </c>
      <c r="B91" s="53">
        <f t="shared" ref="B91:P91" si="21">SUM(B81:B90)</f>
        <v>0</v>
      </c>
      <c r="C91" s="53">
        <f t="shared" si="21"/>
        <v>4</v>
      </c>
      <c r="D91" s="53">
        <f t="shared" si="21"/>
        <v>0</v>
      </c>
      <c r="E91" s="53">
        <f t="shared" si="21"/>
        <v>0</v>
      </c>
      <c r="F91" s="53">
        <f t="shared" si="21"/>
        <v>0</v>
      </c>
      <c r="G91" s="53">
        <f t="shared" si="21"/>
        <v>0</v>
      </c>
      <c r="H91" s="53">
        <f t="shared" si="21"/>
        <v>0</v>
      </c>
      <c r="I91" s="53">
        <f t="shared" si="21"/>
        <v>1</v>
      </c>
      <c r="J91" s="53">
        <f t="shared" si="21"/>
        <v>0</v>
      </c>
      <c r="K91" s="53">
        <f t="shared" si="21"/>
        <v>0</v>
      </c>
      <c r="L91" s="53">
        <f t="shared" si="21"/>
        <v>0</v>
      </c>
      <c r="M91" s="53">
        <f t="shared" si="21"/>
        <v>0</v>
      </c>
      <c r="N91" s="53">
        <f t="shared" si="21"/>
        <v>5</v>
      </c>
      <c r="O91" s="53">
        <f t="shared" si="21"/>
        <v>51</v>
      </c>
      <c r="P91" s="53">
        <f t="shared" si="21"/>
        <v>46</v>
      </c>
      <c r="R91" s="109" t="s">
        <v>55</v>
      </c>
      <c r="S91" s="241">
        <v>-18</v>
      </c>
    </row>
    <row r="92" spans="1:19" ht="17.399999999999999" x14ac:dyDescent="0.35">
      <c r="A92" s="106" t="s">
        <v>64</v>
      </c>
      <c r="B92" s="30"/>
      <c r="C92" s="30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R92" s="93" t="s">
        <v>84</v>
      </c>
      <c r="S92" s="245">
        <v>7</v>
      </c>
    </row>
    <row r="93" spans="1:19" ht="17.399999999999999" x14ac:dyDescent="0.35">
      <c r="A93" s="94" t="s">
        <v>65</v>
      </c>
      <c r="B93" s="4">
        <f>'Suc. Acaponeta'!G93</f>
        <v>0</v>
      </c>
      <c r="C93" s="4">
        <f>'Suc. Compostela'!G93</f>
        <v>0</v>
      </c>
      <c r="D93" s="5">
        <f>'Suc. Ruiz'!G93</f>
        <v>0</v>
      </c>
      <c r="E93" s="5">
        <f>'Suc. Sanblas'!G93</f>
        <v>0</v>
      </c>
      <c r="F93" s="5">
        <f>'LALO VARAS'!G93</f>
        <v>0</v>
      </c>
      <c r="G93" s="5">
        <f>'Suc. Santiago 2'!G93</f>
        <v>0</v>
      </c>
      <c r="H93" s="5">
        <f>'Suc. Tecuala'!G93</f>
        <v>0</v>
      </c>
      <c r="I93" s="5">
        <f>'Suc. Tuxpan'!G93</f>
        <v>0</v>
      </c>
      <c r="J93" s="5">
        <f>'Suc. Varas'!G93</f>
        <v>0</v>
      </c>
      <c r="K93" s="5">
        <f>'Suc. Santa María del Oro'!G93</f>
        <v>0</v>
      </c>
      <c r="L93" s="5">
        <f>'Suc. Villa Hidalgo'!G93</f>
        <v>0</v>
      </c>
      <c r="M93" s="5">
        <f>'Suc. Peñita'!G93</f>
        <v>0</v>
      </c>
      <c r="N93" s="5">
        <f t="shared" ref="N93:N104" si="22">SUM(B93:M93)</f>
        <v>0</v>
      </c>
      <c r="O93" s="5">
        <f>+IFERROR(VLOOKUP(A93,$R:$S,2,0),0)-VLOOKUP(A93,'ETIQUETAS CF'!A:B,2,0)</f>
        <v>13</v>
      </c>
      <c r="P93" s="5">
        <f t="shared" ref="P93:P104" si="23">O93-N93</f>
        <v>13</v>
      </c>
      <c r="R93" s="95" t="s">
        <v>85</v>
      </c>
      <c r="S93" s="245">
        <v>17</v>
      </c>
    </row>
    <row r="94" spans="1:19" ht="18" thickBot="1" x14ac:dyDescent="0.4">
      <c r="A94" s="94" t="s">
        <v>66</v>
      </c>
      <c r="B94" s="4">
        <f>'Suc. Acaponeta'!G94</f>
        <v>0</v>
      </c>
      <c r="C94" s="4">
        <f>'Suc. Compostela'!G94</f>
        <v>0</v>
      </c>
      <c r="D94" s="5">
        <f>'Suc. Ruiz'!G94</f>
        <v>0</v>
      </c>
      <c r="E94" s="5">
        <f>'Suc. Sanblas'!G94</f>
        <v>0</v>
      </c>
      <c r="F94" s="5">
        <f>'LALO VARAS'!G94</f>
        <v>0</v>
      </c>
      <c r="G94" s="5">
        <f>'Suc. Santiago 2'!G94</f>
        <v>0</v>
      </c>
      <c r="H94" s="5">
        <f>'Suc. Tecuala'!G94</f>
        <v>0</v>
      </c>
      <c r="I94" s="5">
        <f>'Suc. Tuxpan'!G94</f>
        <v>0</v>
      </c>
      <c r="J94" s="5">
        <f>'Suc. Varas'!G94</f>
        <v>0</v>
      </c>
      <c r="K94" s="5">
        <f>'Suc. Santa María del Oro'!G94</f>
        <v>0</v>
      </c>
      <c r="L94" s="5">
        <f>'Suc. Villa Hidalgo'!G94</f>
        <v>0</v>
      </c>
      <c r="M94" s="5">
        <f>'Suc. Peñita'!G94</f>
        <v>0</v>
      </c>
      <c r="N94" s="5">
        <f t="shared" si="22"/>
        <v>0</v>
      </c>
      <c r="O94" s="5">
        <f>+IFERROR(VLOOKUP(A94,$R:$S,2,0),0)-VLOOKUP(A94,'ETIQUETAS CF'!A:B,2,0)</f>
        <v>14</v>
      </c>
      <c r="P94" s="5">
        <f t="shared" si="23"/>
        <v>14</v>
      </c>
      <c r="R94" s="95" t="s">
        <v>881</v>
      </c>
      <c r="S94" s="245">
        <v>8</v>
      </c>
    </row>
    <row r="95" spans="1:19" ht="18" thickBot="1" x14ac:dyDescent="0.4">
      <c r="A95" s="94" t="s">
        <v>68</v>
      </c>
      <c r="B95" s="4">
        <f>'Suc. Acaponeta'!G95</f>
        <v>0</v>
      </c>
      <c r="C95" s="4">
        <f>'Suc. Compostela'!G95</f>
        <v>1</v>
      </c>
      <c r="D95" s="5">
        <f>'Suc. Ruiz'!G95</f>
        <v>0</v>
      </c>
      <c r="E95" s="5">
        <f>'Suc. Sanblas'!G95</f>
        <v>0</v>
      </c>
      <c r="F95" s="5">
        <f>'LALO VARAS'!G95</f>
        <v>0</v>
      </c>
      <c r="G95" s="5">
        <f>'Suc. Santiago 2'!G95</f>
        <v>0</v>
      </c>
      <c r="H95" s="5">
        <f>'Suc. Tecuala'!G95</f>
        <v>0</v>
      </c>
      <c r="I95" s="5">
        <f>'Suc. Tuxpan'!G95</f>
        <v>0</v>
      </c>
      <c r="J95" s="5">
        <f>'Suc. Varas'!G95</f>
        <v>0</v>
      </c>
      <c r="K95" s="5">
        <f>'Suc. Santa María del Oro'!G95</f>
        <v>0</v>
      </c>
      <c r="L95" s="5">
        <f>'Suc. Villa Hidalgo'!G95</f>
        <v>0</v>
      </c>
      <c r="M95" s="5">
        <f>'Suc. Peñita'!G95</f>
        <v>0</v>
      </c>
      <c r="N95" s="5">
        <f t="shared" si="22"/>
        <v>1</v>
      </c>
      <c r="O95" s="5">
        <f>+IFERROR(VLOOKUP(A95,$R:$S,2,0),0)-VLOOKUP(A95,'ETIQUETAS CF'!A:B,2,0)</f>
        <v>16</v>
      </c>
      <c r="P95" s="5">
        <f t="shared" si="23"/>
        <v>15</v>
      </c>
      <c r="R95" s="110" t="s">
        <v>86</v>
      </c>
      <c r="S95" s="242">
        <v>-155</v>
      </c>
    </row>
    <row r="96" spans="1:19" ht="17.399999999999999" x14ac:dyDescent="0.35">
      <c r="A96" s="94" t="s">
        <v>69</v>
      </c>
      <c r="B96" s="4">
        <f>'Suc. Acaponeta'!G96</f>
        <v>0</v>
      </c>
      <c r="C96" s="4">
        <f>'Suc. Compostela'!G96</f>
        <v>0</v>
      </c>
      <c r="D96" s="5">
        <f>'Suc. Ruiz'!G96</f>
        <v>0</v>
      </c>
      <c r="E96" s="5">
        <f>'Suc. Sanblas'!G96</f>
        <v>0</v>
      </c>
      <c r="F96" s="5">
        <f>'LALO VARAS'!G96</f>
        <v>0</v>
      </c>
      <c r="G96" s="5">
        <f>'Suc. Santiago 2'!G96</f>
        <v>0</v>
      </c>
      <c r="H96" s="5">
        <f>'Suc. Tecuala'!G96</f>
        <v>0</v>
      </c>
      <c r="I96" s="5">
        <f>'Suc. Tuxpan'!G96</f>
        <v>0</v>
      </c>
      <c r="J96" s="5">
        <f>'Suc. Varas'!G96</f>
        <v>0</v>
      </c>
      <c r="K96" s="5">
        <f>'Suc. Santa María del Oro'!G96</f>
        <v>0</v>
      </c>
      <c r="L96" s="5">
        <f>'Suc. Villa Hidalgo'!G96</f>
        <v>0</v>
      </c>
      <c r="M96" s="5">
        <f>'Suc. Peñita'!G96</f>
        <v>0</v>
      </c>
      <c r="N96" s="5">
        <f t="shared" si="22"/>
        <v>0</v>
      </c>
      <c r="O96" s="5">
        <f>+IFERROR(VLOOKUP(A96,$R:$S,2,0),0)-VLOOKUP(A96,'ETIQUETAS CF'!A:B,2,0)</f>
        <v>48</v>
      </c>
      <c r="P96" s="5">
        <f t="shared" si="23"/>
        <v>48</v>
      </c>
      <c r="R96" s="95" t="s">
        <v>975</v>
      </c>
      <c r="S96" s="245">
        <v>20</v>
      </c>
    </row>
    <row r="97" spans="1:19" ht="17.399999999999999" x14ac:dyDescent="0.35">
      <c r="A97" s="94" t="s">
        <v>70</v>
      </c>
      <c r="B97" s="4">
        <f>'Suc. Acaponeta'!G97</f>
        <v>0</v>
      </c>
      <c r="C97" s="4">
        <f>'Suc. Compostela'!G97</f>
        <v>0</v>
      </c>
      <c r="D97" s="5">
        <f>'Suc. Ruiz'!G97</f>
        <v>0</v>
      </c>
      <c r="E97" s="5">
        <f>'Suc. Sanblas'!G97</f>
        <v>0</v>
      </c>
      <c r="F97" s="5">
        <f>'LALO VARAS'!G97</f>
        <v>0</v>
      </c>
      <c r="G97" s="5">
        <f>'Suc. Santiago 2'!G97</f>
        <v>0</v>
      </c>
      <c r="H97" s="5">
        <f>'Suc. Tecuala'!G97</f>
        <v>0</v>
      </c>
      <c r="I97" s="5">
        <f>'Suc. Tuxpan'!G97</f>
        <v>0</v>
      </c>
      <c r="J97" s="5">
        <f>'Suc. Varas'!G97</f>
        <v>0</v>
      </c>
      <c r="K97" s="5">
        <f>'Suc. Santa María del Oro'!G97</f>
        <v>0</v>
      </c>
      <c r="L97" s="5">
        <f>'Suc. Villa Hidalgo'!G97</f>
        <v>0</v>
      </c>
      <c r="M97" s="5">
        <f>'Suc. Peñita'!G97</f>
        <v>0</v>
      </c>
      <c r="N97" s="5">
        <f t="shared" si="22"/>
        <v>0</v>
      </c>
      <c r="O97" s="5">
        <f>+IFERROR(VLOOKUP(A97,$R:$S,2,0),0)-VLOOKUP(A97,'ETIQUETAS CF'!A:B,2,0)</f>
        <v>26</v>
      </c>
      <c r="P97" s="5">
        <f t="shared" si="23"/>
        <v>26</v>
      </c>
      <c r="R97" s="95" t="s">
        <v>974</v>
      </c>
      <c r="S97" s="245">
        <v>3</v>
      </c>
    </row>
    <row r="98" spans="1:19" ht="17.399999999999999" x14ac:dyDescent="0.35">
      <c r="A98" s="94" t="s">
        <v>857</v>
      </c>
      <c r="B98" s="4">
        <f>'Suc. Acaponeta'!G98</f>
        <v>0</v>
      </c>
      <c r="C98" s="4">
        <f>'Suc. Compostela'!G98</f>
        <v>5</v>
      </c>
      <c r="D98" s="5">
        <f>'Suc. Ruiz'!G98</f>
        <v>0</v>
      </c>
      <c r="E98" s="5">
        <f>'Suc. Sanblas'!G98</f>
        <v>0</v>
      </c>
      <c r="F98" s="5">
        <f>'LALO VARAS'!G98</f>
        <v>0</v>
      </c>
      <c r="G98" s="5">
        <f>'Suc. Santiago 2'!G98</f>
        <v>0</v>
      </c>
      <c r="H98" s="5">
        <f>'Suc. Tecuala'!G98</f>
        <v>0</v>
      </c>
      <c r="I98" s="5">
        <f>'Suc. Tuxpan'!G98</f>
        <v>5</v>
      </c>
      <c r="J98" s="5">
        <f>'Suc. Varas'!G98</f>
        <v>0</v>
      </c>
      <c r="K98" s="5">
        <f>'Suc. Santa María del Oro'!G98</f>
        <v>0</v>
      </c>
      <c r="L98" s="5">
        <f>'Suc. Villa Hidalgo'!G98</f>
        <v>0</v>
      </c>
      <c r="M98" s="5">
        <f>'Suc. Peñita'!G98</f>
        <v>0</v>
      </c>
      <c r="N98" s="5">
        <f t="shared" si="22"/>
        <v>10</v>
      </c>
      <c r="O98" s="5">
        <f>+IFERROR(VLOOKUP(A98,$R:$S,2,0),0)-VLOOKUP(A98,'ETIQUETAS CF'!A:B,2,0)</f>
        <v>30</v>
      </c>
      <c r="P98" s="5">
        <f t="shared" si="23"/>
        <v>20</v>
      </c>
      <c r="R98" s="95" t="s">
        <v>1077</v>
      </c>
      <c r="S98" s="245">
        <v>0</v>
      </c>
    </row>
    <row r="99" spans="1:19" ht="17.399999999999999" x14ac:dyDescent="0.35">
      <c r="A99" s="94" t="s">
        <v>835</v>
      </c>
      <c r="B99" s="4">
        <f>'Suc. Acaponeta'!G99</f>
        <v>0</v>
      </c>
      <c r="C99" s="4">
        <f>'Suc. Compostela'!G99</f>
        <v>1</v>
      </c>
      <c r="D99" s="5">
        <f>'Suc. Ruiz'!G99</f>
        <v>0</v>
      </c>
      <c r="E99" s="5">
        <f>'Suc. Sanblas'!G99</f>
        <v>0</v>
      </c>
      <c r="F99" s="5">
        <f>'LALO VARAS'!G99</f>
        <v>0</v>
      </c>
      <c r="G99" s="5">
        <f>'Suc. Santiago 2'!G99</f>
        <v>0</v>
      </c>
      <c r="H99" s="5">
        <f>'Suc. Tecuala'!G99</f>
        <v>0</v>
      </c>
      <c r="I99" s="5">
        <f>'Suc. Tuxpan'!G99</f>
        <v>0</v>
      </c>
      <c r="J99" s="5">
        <f>'Suc. Varas'!G99</f>
        <v>0</v>
      </c>
      <c r="K99" s="5">
        <f>'Suc. Santa María del Oro'!G99</f>
        <v>0</v>
      </c>
      <c r="L99" s="5">
        <f>'Suc. Villa Hidalgo'!G99</f>
        <v>0</v>
      </c>
      <c r="M99" s="5">
        <f>'Suc. Peñita'!G99</f>
        <v>0</v>
      </c>
      <c r="N99" s="5">
        <f t="shared" si="22"/>
        <v>1</v>
      </c>
      <c r="O99" s="5">
        <f>+IFERROR(VLOOKUP(A99,$R:$S,2,0),0)-VLOOKUP(A99,'ETIQUETAS CF'!A:B,2,0)</f>
        <v>19</v>
      </c>
      <c r="P99" s="5">
        <f t="shared" si="23"/>
        <v>18</v>
      </c>
      <c r="R99" s="95" t="s">
        <v>1023</v>
      </c>
      <c r="S99" s="245">
        <v>0</v>
      </c>
    </row>
    <row r="100" spans="1:19" ht="17.399999999999999" x14ac:dyDescent="0.35">
      <c r="A100" s="94" t="s">
        <v>72</v>
      </c>
      <c r="B100" s="4">
        <f>'Suc. Acaponeta'!G100</f>
        <v>0</v>
      </c>
      <c r="C100" s="4">
        <f>'Suc. Compostela'!G100</f>
        <v>6</v>
      </c>
      <c r="D100" s="5">
        <f>'Suc. Ruiz'!G100</f>
        <v>0</v>
      </c>
      <c r="E100" s="5">
        <f>'Suc. Sanblas'!G100</f>
        <v>0</v>
      </c>
      <c r="F100" s="5">
        <f>'LALO VARAS'!G100</f>
        <v>0</v>
      </c>
      <c r="G100" s="5">
        <f>'Suc. Santiago 2'!G100</f>
        <v>0</v>
      </c>
      <c r="H100" s="5">
        <f>'Suc. Tecuala'!G100</f>
        <v>0</v>
      </c>
      <c r="I100" s="5">
        <f>'Suc. Tuxpan'!G100</f>
        <v>30</v>
      </c>
      <c r="J100" s="5">
        <f>'Suc. Varas'!G100</f>
        <v>0</v>
      </c>
      <c r="K100" s="5">
        <f>'Suc. Santa María del Oro'!G100</f>
        <v>5</v>
      </c>
      <c r="L100" s="5">
        <f>'Suc. Villa Hidalgo'!G100</f>
        <v>0</v>
      </c>
      <c r="M100" s="5">
        <f>'Suc. Peñita'!G100</f>
        <v>0</v>
      </c>
      <c r="N100" s="5">
        <f t="shared" si="22"/>
        <v>41</v>
      </c>
      <c r="O100" s="5">
        <f>+IFERROR(VLOOKUP(A100,$R:$S,2,0),0)-VLOOKUP(A100,'ETIQUETAS CF'!A:B,2,0)</f>
        <v>309</v>
      </c>
      <c r="P100" s="5">
        <f t="shared" si="23"/>
        <v>268</v>
      </c>
      <c r="R100" s="95" t="s">
        <v>1107</v>
      </c>
      <c r="S100" s="245">
        <v>0</v>
      </c>
    </row>
    <row r="101" spans="1:19" ht="17.399999999999999" x14ac:dyDescent="0.35">
      <c r="A101" s="94" t="s">
        <v>73</v>
      </c>
      <c r="B101" s="4">
        <f>'Suc. Acaponeta'!G101</f>
        <v>0</v>
      </c>
      <c r="C101" s="4">
        <f>'Suc. Compostela'!G101</f>
        <v>0</v>
      </c>
      <c r="D101" s="5">
        <f>'Suc. Ruiz'!G101</f>
        <v>0</v>
      </c>
      <c r="E101" s="5">
        <f>'Suc. Sanblas'!G101</f>
        <v>0</v>
      </c>
      <c r="F101" s="5">
        <f>'LALO VARAS'!G101</f>
        <v>0</v>
      </c>
      <c r="G101" s="5">
        <f>'Suc. Santiago 2'!G101</f>
        <v>0</v>
      </c>
      <c r="H101" s="5">
        <f>'Suc. Tecuala'!G101</f>
        <v>0</v>
      </c>
      <c r="I101" s="5">
        <f>'Suc. Tuxpan'!G101</f>
        <v>0</v>
      </c>
      <c r="J101" s="5">
        <f>'Suc. Varas'!G101</f>
        <v>0</v>
      </c>
      <c r="K101" s="5">
        <f>'Suc. Santa María del Oro'!G101</f>
        <v>0</v>
      </c>
      <c r="L101" s="5">
        <f>'Suc. Villa Hidalgo'!G101</f>
        <v>0</v>
      </c>
      <c r="M101" s="5">
        <f>'Suc. Peñita'!G101</f>
        <v>0</v>
      </c>
      <c r="N101" s="5">
        <f t="shared" si="22"/>
        <v>0</v>
      </c>
      <c r="O101" s="5">
        <f>+IFERROR(VLOOKUP(A101,$R:$S,2,0),0)-VLOOKUP(A101,'ETIQUETAS CF'!A:B,2,0)</f>
        <v>17</v>
      </c>
      <c r="P101" s="5">
        <f t="shared" si="23"/>
        <v>17</v>
      </c>
      <c r="R101" s="95" t="s">
        <v>377</v>
      </c>
      <c r="S101" s="245">
        <v>0</v>
      </c>
    </row>
    <row r="102" spans="1:19" ht="17.399999999999999" x14ac:dyDescent="0.35">
      <c r="A102" s="94" t="s">
        <v>74</v>
      </c>
      <c r="B102" s="4">
        <f>'Suc. Acaponeta'!G102</f>
        <v>0</v>
      </c>
      <c r="C102" s="4">
        <f>'Suc. Compostela'!G102</f>
        <v>0</v>
      </c>
      <c r="D102" s="5">
        <f>'Suc. Ruiz'!G102</f>
        <v>0</v>
      </c>
      <c r="E102" s="5">
        <f>'Suc. Sanblas'!G102</f>
        <v>0</v>
      </c>
      <c r="F102" s="5">
        <f>'LALO VARAS'!G102</f>
        <v>0</v>
      </c>
      <c r="G102" s="5">
        <f>'Suc. Santiago 2'!G102</f>
        <v>0</v>
      </c>
      <c r="H102" s="5">
        <f>'Suc. Tecuala'!G102</f>
        <v>0</v>
      </c>
      <c r="I102" s="5">
        <f>'Suc. Tuxpan'!G102</f>
        <v>0</v>
      </c>
      <c r="J102" s="5">
        <f>'Suc. Varas'!G102</f>
        <v>0</v>
      </c>
      <c r="K102" s="5">
        <f>'Suc. Santa María del Oro'!G102</f>
        <v>2</v>
      </c>
      <c r="L102" s="5">
        <f>'Suc. Villa Hidalgo'!G102</f>
        <v>0</v>
      </c>
      <c r="M102" s="5">
        <f>'Suc. Peñita'!G102</f>
        <v>0</v>
      </c>
      <c r="N102" s="5">
        <f t="shared" si="22"/>
        <v>2</v>
      </c>
      <c r="O102" s="5">
        <f>+IFERROR(VLOOKUP(A102,$R:$S,2,0),0)-VLOOKUP(A102,'ETIQUETAS CF'!A:B,2,0)</f>
        <v>18</v>
      </c>
      <c r="P102" s="5">
        <f t="shared" si="23"/>
        <v>16</v>
      </c>
      <c r="R102" s="95" t="s">
        <v>1014</v>
      </c>
      <c r="S102" s="245">
        <v>35</v>
      </c>
    </row>
    <row r="103" spans="1:19" ht="17.399999999999999" x14ac:dyDescent="0.35">
      <c r="A103" s="94" t="s">
        <v>75</v>
      </c>
      <c r="B103" s="4">
        <f>'Suc. Acaponeta'!G103</f>
        <v>0</v>
      </c>
      <c r="C103" s="4">
        <f>'Suc. Compostela'!G103</f>
        <v>0</v>
      </c>
      <c r="D103" s="5">
        <f>'Suc. Ruiz'!G103</f>
        <v>0</v>
      </c>
      <c r="E103" s="5">
        <f>'Suc. Sanblas'!G103</f>
        <v>0</v>
      </c>
      <c r="F103" s="5">
        <f>'LALO VARAS'!G103</f>
        <v>0</v>
      </c>
      <c r="G103" s="5">
        <f>'Suc. Santiago 2'!G103</f>
        <v>0</v>
      </c>
      <c r="H103" s="5">
        <f>'Suc. Tecuala'!G103</f>
        <v>0</v>
      </c>
      <c r="I103" s="5">
        <f>'Suc. Tuxpan'!G103</f>
        <v>0</v>
      </c>
      <c r="J103" s="5">
        <f>'Suc. Varas'!G103</f>
        <v>0</v>
      </c>
      <c r="K103" s="5">
        <f>'Suc. Santa María del Oro'!G103</f>
        <v>4</v>
      </c>
      <c r="L103" s="5">
        <f>'Suc. Villa Hidalgo'!G103</f>
        <v>0</v>
      </c>
      <c r="M103" s="5">
        <f>'Suc. Peñita'!G103</f>
        <v>0</v>
      </c>
      <c r="N103" s="5">
        <f t="shared" si="22"/>
        <v>4</v>
      </c>
      <c r="O103" s="5">
        <f>+IFERROR(VLOOKUP(A103,$R:$S,2,0),0)-VLOOKUP(A103,'ETIQUETAS CF'!A:B,2,0)</f>
        <v>18</v>
      </c>
      <c r="P103" s="5">
        <f t="shared" si="23"/>
        <v>14</v>
      </c>
      <c r="R103" s="95" t="s">
        <v>1015</v>
      </c>
      <c r="S103" s="245">
        <v>12</v>
      </c>
    </row>
    <row r="104" spans="1:19" ht="18" customHeight="1" thickBot="1" x14ac:dyDescent="0.4">
      <c r="A104" s="94"/>
      <c r="B104" s="4">
        <f>'Suc. Acaponeta'!G104</f>
        <v>0</v>
      </c>
      <c r="C104" s="4">
        <f>'Suc. Compostela'!G104</f>
        <v>0</v>
      </c>
      <c r="D104" s="5">
        <f>'Suc. Ruiz'!G104</f>
        <v>0</v>
      </c>
      <c r="E104" s="5">
        <f>'Suc. Sanblas'!G104</f>
        <v>0</v>
      </c>
      <c r="F104" s="5">
        <f>'LALO VARAS'!G104</f>
        <v>0</v>
      </c>
      <c r="G104" s="5">
        <f>'Suc. Santiago 2'!G104</f>
        <v>0</v>
      </c>
      <c r="H104" s="5">
        <f>'Suc. Tecuala'!G104</f>
        <v>0</v>
      </c>
      <c r="I104" s="5">
        <f>'Suc. Tuxpan'!G104</f>
        <v>0</v>
      </c>
      <c r="J104" s="5">
        <f>'Suc. Varas'!G104</f>
        <v>0</v>
      </c>
      <c r="K104" s="5">
        <f>'Suc. Santa María del Oro'!G104</f>
        <v>0</v>
      </c>
      <c r="L104" s="5">
        <f>'Suc. Villa Hidalgo'!G104</f>
        <v>0</v>
      </c>
      <c r="M104" s="5">
        <f>'Suc. Peñita'!G104</f>
        <v>0</v>
      </c>
      <c r="N104" s="5">
        <f t="shared" si="22"/>
        <v>0</v>
      </c>
      <c r="O104" s="5">
        <f>+IFERROR(VLOOKUP(A104,$R:$S,2,0),0)</f>
        <v>0</v>
      </c>
      <c r="P104" s="5">
        <f t="shared" si="23"/>
        <v>0</v>
      </c>
      <c r="R104" s="95" t="s">
        <v>1016</v>
      </c>
      <c r="S104" s="245">
        <v>10</v>
      </c>
    </row>
    <row r="105" spans="1:19" ht="18.600000000000001" thickBot="1" x14ac:dyDescent="0.4">
      <c r="A105" s="107" t="s">
        <v>55</v>
      </c>
      <c r="B105" s="55">
        <f t="shared" ref="B105:P105" si="24">SUM(B93:B104)</f>
        <v>0</v>
      </c>
      <c r="C105" s="55">
        <f t="shared" si="24"/>
        <v>13</v>
      </c>
      <c r="D105" s="55">
        <f t="shared" si="24"/>
        <v>0</v>
      </c>
      <c r="E105" s="55">
        <f t="shared" si="24"/>
        <v>0</v>
      </c>
      <c r="F105" s="55">
        <f t="shared" si="24"/>
        <v>0</v>
      </c>
      <c r="G105" s="55">
        <f t="shared" si="24"/>
        <v>0</v>
      </c>
      <c r="H105" s="55">
        <f t="shared" si="24"/>
        <v>0</v>
      </c>
      <c r="I105" s="55">
        <f t="shared" si="24"/>
        <v>35</v>
      </c>
      <c r="J105" s="55">
        <f t="shared" si="24"/>
        <v>0</v>
      </c>
      <c r="K105" s="55">
        <f t="shared" si="24"/>
        <v>11</v>
      </c>
      <c r="L105" s="55">
        <f t="shared" si="24"/>
        <v>0</v>
      </c>
      <c r="M105" s="55">
        <f t="shared" si="24"/>
        <v>0</v>
      </c>
      <c r="N105" s="55">
        <f t="shared" si="24"/>
        <v>59</v>
      </c>
      <c r="O105" s="55">
        <f t="shared" si="24"/>
        <v>528</v>
      </c>
      <c r="P105" s="55">
        <f t="shared" si="24"/>
        <v>469</v>
      </c>
      <c r="R105" s="95" t="s">
        <v>1017</v>
      </c>
      <c r="S105" s="245">
        <v>1</v>
      </c>
    </row>
    <row r="106" spans="1:19" ht="17.399999999999999" x14ac:dyDescent="0.35">
      <c r="A106" s="108" t="s">
        <v>76</v>
      </c>
      <c r="B106" s="34"/>
      <c r="C106" s="34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R106" s="95" t="s">
        <v>1118</v>
      </c>
      <c r="S106" s="245">
        <v>0</v>
      </c>
    </row>
    <row r="107" spans="1:19" ht="17.399999999999999" x14ac:dyDescent="0.35">
      <c r="A107" s="94" t="s">
        <v>77</v>
      </c>
      <c r="B107" s="4">
        <f>'Suc. Acaponeta'!G107</f>
        <v>0</v>
      </c>
      <c r="C107" s="4">
        <f>'Suc. Compostela'!G107</f>
        <v>0</v>
      </c>
      <c r="D107" s="5">
        <f>'Suc. Ruiz'!G107</f>
        <v>0</v>
      </c>
      <c r="E107" s="5">
        <f>'Suc. Sanblas'!G107</f>
        <v>0</v>
      </c>
      <c r="F107" s="5">
        <f>'LALO VARAS'!G107</f>
        <v>0</v>
      </c>
      <c r="G107" s="5">
        <f>'Suc. Santiago 2'!G107</f>
        <v>0</v>
      </c>
      <c r="H107" s="5">
        <f>'Suc. Tecuala'!G107</f>
        <v>0</v>
      </c>
      <c r="I107" s="5">
        <f>'Suc. Tuxpan'!G107</f>
        <v>0</v>
      </c>
      <c r="J107" s="5">
        <f>'Suc. Varas'!G107</f>
        <v>0</v>
      </c>
      <c r="K107" s="5">
        <f>'Suc. Santa María del Oro'!G107</f>
        <v>0</v>
      </c>
      <c r="L107" s="5">
        <f>'Suc. Villa Hidalgo'!G107</f>
        <v>0</v>
      </c>
      <c r="M107" s="5">
        <f>'Suc. Peñita'!G107</f>
        <v>0</v>
      </c>
      <c r="N107" s="5">
        <f t="shared" ref="N107:N112" si="25">SUM(B107:M107)</f>
        <v>0</v>
      </c>
      <c r="O107" s="5">
        <f>+IFERROR(VLOOKUP(A107,$R:$S,2,0),0)-VLOOKUP(A107,'ETIQUETAS CF'!A:B,2,0)</f>
        <v>19</v>
      </c>
      <c r="P107" s="5">
        <f t="shared" ref="P107:P112" si="26">O107-N107</f>
        <v>19</v>
      </c>
      <c r="R107" s="95" t="s">
        <v>1119</v>
      </c>
      <c r="S107" s="245">
        <v>0</v>
      </c>
    </row>
    <row r="108" spans="1:19" ht="17.399999999999999" x14ac:dyDescent="0.35">
      <c r="A108" s="94" t="s">
        <v>621</v>
      </c>
      <c r="B108" s="4">
        <f>'Suc. Acaponeta'!G108</f>
        <v>0</v>
      </c>
      <c r="C108" s="4">
        <f>'Suc. Compostela'!G108</f>
        <v>0</v>
      </c>
      <c r="D108" s="5">
        <f>'Suc. Ruiz'!G108</f>
        <v>0</v>
      </c>
      <c r="E108" s="5">
        <f>'Suc. Sanblas'!G108</f>
        <v>0</v>
      </c>
      <c r="F108" s="5">
        <f>'LALO VARAS'!G108</f>
        <v>0</v>
      </c>
      <c r="G108" s="5">
        <f>'Suc. Santiago 2'!G108</f>
        <v>0</v>
      </c>
      <c r="H108" s="5">
        <f>'Suc. Tecuala'!G108</f>
        <v>0</v>
      </c>
      <c r="I108" s="5">
        <f>'Suc. Tuxpan'!G108</f>
        <v>0</v>
      </c>
      <c r="J108" s="5">
        <f>'Suc. Varas'!G108</f>
        <v>0</v>
      </c>
      <c r="K108" s="5">
        <f>'Suc. Santa María del Oro'!G108</f>
        <v>0</v>
      </c>
      <c r="L108" s="5">
        <f>'Suc. Villa Hidalgo'!G108</f>
        <v>0</v>
      </c>
      <c r="M108" s="5">
        <f>'Suc. Peñita'!G108</f>
        <v>0</v>
      </c>
      <c r="N108" s="5">
        <f t="shared" si="25"/>
        <v>0</v>
      </c>
      <c r="O108" s="5">
        <f>+IFERROR(VLOOKUP(A108,$R:$S,2,0),0)-VLOOKUP(A108,'ETIQUETAS CF'!A:B,2,0)</f>
        <v>0</v>
      </c>
      <c r="P108" s="5">
        <f t="shared" si="26"/>
        <v>0</v>
      </c>
      <c r="R108" s="95" t="s">
        <v>1120</v>
      </c>
      <c r="S108" s="245">
        <v>0</v>
      </c>
    </row>
    <row r="109" spans="1:19" ht="17.399999999999999" x14ac:dyDescent="0.35">
      <c r="A109" s="94" t="s">
        <v>80</v>
      </c>
      <c r="B109" s="4">
        <f>'Suc. Acaponeta'!G109</f>
        <v>0</v>
      </c>
      <c r="C109" s="4">
        <f>'Suc. Compostela'!G109</f>
        <v>0</v>
      </c>
      <c r="D109" s="5">
        <f>'Suc. Ruiz'!G109</f>
        <v>0</v>
      </c>
      <c r="E109" s="5">
        <f>'Suc. Sanblas'!G109</f>
        <v>0</v>
      </c>
      <c r="F109" s="5">
        <f>'LALO VARAS'!G109</f>
        <v>0</v>
      </c>
      <c r="G109" s="5">
        <f>'Suc. Santiago 2'!G109</f>
        <v>0</v>
      </c>
      <c r="H109" s="5">
        <f>'Suc. Tecuala'!G109</f>
        <v>0</v>
      </c>
      <c r="I109" s="5">
        <f>'Suc. Tuxpan'!G109</f>
        <v>0</v>
      </c>
      <c r="J109" s="5">
        <f>'Suc. Varas'!G109</f>
        <v>0</v>
      </c>
      <c r="K109" s="5">
        <f>'Suc. Santa María del Oro'!G109</f>
        <v>0</v>
      </c>
      <c r="L109" s="5">
        <f>'Suc. Villa Hidalgo'!G109</f>
        <v>0</v>
      </c>
      <c r="M109" s="5">
        <f>'Suc. Peñita'!G109</f>
        <v>0</v>
      </c>
      <c r="N109" s="5">
        <f t="shared" si="25"/>
        <v>0</v>
      </c>
      <c r="O109" s="5">
        <f>+IFERROR(VLOOKUP(A109,$R:$S,2,0),0)-VLOOKUP(A109,'ETIQUETAS CF'!A:B,2,0)</f>
        <v>15</v>
      </c>
      <c r="P109" s="5">
        <f t="shared" si="26"/>
        <v>15</v>
      </c>
      <c r="R109" s="95" t="s">
        <v>568</v>
      </c>
      <c r="S109" s="245">
        <v>15</v>
      </c>
    </row>
    <row r="110" spans="1:19" ht="17.399999999999999" x14ac:dyDescent="0.35">
      <c r="A110" s="94" t="s">
        <v>81</v>
      </c>
      <c r="B110" s="4">
        <f>'Suc. Acaponeta'!G110</f>
        <v>0</v>
      </c>
      <c r="C110" s="4">
        <f>'Suc. Compostela'!G110</f>
        <v>0</v>
      </c>
      <c r="D110" s="5">
        <f>'Suc. Ruiz'!G110</f>
        <v>0</v>
      </c>
      <c r="E110" s="5">
        <f>'Suc. Sanblas'!G110</f>
        <v>0</v>
      </c>
      <c r="F110" s="5">
        <f>'LALO VARAS'!G110</f>
        <v>0</v>
      </c>
      <c r="G110" s="5">
        <f>'Suc. Santiago 2'!G110</f>
        <v>0</v>
      </c>
      <c r="H110" s="5">
        <f>'Suc. Tecuala'!G110</f>
        <v>0</v>
      </c>
      <c r="I110" s="5">
        <f>'Suc. Tuxpan'!G110</f>
        <v>0</v>
      </c>
      <c r="J110" s="5">
        <f>'Suc. Varas'!G110</f>
        <v>0</v>
      </c>
      <c r="K110" s="5">
        <f>'Suc. Santa María del Oro'!G110</f>
        <v>0</v>
      </c>
      <c r="L110" s="5">
        <f>'Suc. Villa Hidalgo'!G110</f>
        <v>0</v>
      </c>
      <c r="M110" s="5">
        <f>'Suc. Peñita'!G110</f>
        <v>0</v>
      </c>
      <c r="N110" s="5">
        <f t="shared" si="25"/>
        <v>0</v>
      </c>
      <c r="O110" s="5">
        <f>+IFERROR(VLOOKUP(A110,$R:$S,2,0),0)-VLOOKUP(A110,'ETIQUETAS CF'!A:B,2,0)</f>
        <v>11</v>
      </c>
      <c r="P110" s="5">
        <f t="shared" si="26"/>
        <v>11</v>
      </c>
      <c r="R110" s="95" t="s">
        <v>912</v>
      </c>
      <c r="S110" s="245">
        <v>20</v>
      </c>
    </row>
    <row r="111" spans="1:19" ht="17.399999999999999" x14ac:dyDescent="0.35">
      <c r="A111" s="95" t="s">
        <v>83</v>
      </c>
      <c r="B111" s="4">
        <f>'Suc. Acaponeta'!G111</f>
        <v>0</v>
      </c>
      <c r="C111" s="4">
        <f>'Suc. Compostela'!G111</f>
        <v>0</v>
      </c>
      <c r="D111" s="5">
        <f>'Suc. Ruiz'!G111</f>
        <v>0</v>
      </c>
      <c r="E111" s="5">
        <f>'Suc. Sanblas'!G111</f>
        <v>0</v>
      </c>
      <c r="F111" s="5">
        <f>'LALO VARAS'!G111</f>
        <v>0</v>
      </c>
      <c r="G111" s="5">
        <f>'Suc. Santiago 2'!G111</f>
        <v>0</v>
      </c>
      <c r="H111" s="5">
        <f>'Suc. Tecuala'!G111</f>
        <v>0</v>
      </c>
      <c r="I111" s="5">
        <f>'Suc. Tuxpan'!G111</f>
        <v>0</v>
      </c>
      <c r="J111" s="5">
        <f>'Suc. Varas'!G111</f>
        <v>0</v>
      </c>
      <c r="K111" s="5">
        <f>'Suc. Santa María del Oro'!G111</f>
        <v>0</v>
      </c>
      <c r="L111" s="5">
        <f>'Suc. Villa Hidalgo'!G111</f>
        <v>0</v>
      </c>
      <c r="M111" s="5">
        <f>'Suc. Peñita'!G111</f>
        <v>0</v>
      </c>
      <c r="N111" s="5">
        <f t="shared" si="25"/>
        <v>0</v>
      </c>
      <c r="O111" s="5">
        <f>+IFERROR(VLOOKUP(A111,$R:$S,2,0),0)-VLOOKUP(A111,'ETIQUETAS CF'!A:B,2,0)</f>
        <v>14</v>
      </c>
      <c r="P111" s="5">
        <f t="shared" si="26"/>
        <v>14</v>
      </c>
      <c r="R111" s="95" t="s">
        <v>557</v>
      </c>
      <c r="S111" s="245">
        <v>15</v>
      </c>
    </row>
    <row r="112" spans="1:19" ht="18" thickBot="1" x14ac:dyDescent="0.4">
      <c r="A112" s="95"/>
      <c r="B112" s="4">
        <f>'Suc. Acaponeta'!G112</f>
        <v>0</v>
      </c>
      <c r="C112" s="4">
        <f>'Suc. Compostela'!G112</f>
        <v>0</v>
      </c>
      <c r="D112" s="5">
        <f>'Suc. Ruiz'!G112</f>
        <v>0</v>
      </c>
      <c r="E112" s="5">
        <f>'Suc. Sanblas'!G112</f>
        <v>0</v>
      </c>
      <c r="F112" s="5">
        <f>'LALO VARAS'!G112</f>
        <v>0</v>
      </c>
      <c r="G112" s="5">
        <f>'Suc. Santiago 2'!G112</f>
        <v>0</v>
      </c>
      <c r="H112" s="5">
        <f>'Suc. Tecuala'!G112</f>
        <v>0</v>
      </c>
      <c r="I112" s="5">
        <f>'Suc. Tuxpan'!G112</f>
        <v>0</v>
      </c>
      <c r="J112" s="5">
        <f>'Suc. Varas'!G112</f>
        <v>0</v>
      </c>
      <c r="K112" s="5">
        <f>'Suc. Santa María del Oro'!G112</f>
        <v>0</v>
      </c>
      <c r="L112" s="5">
        <f>'Suc. Villa Hidalgo'!G112</f>
        <v>0</v>
      </c>
      <c r="M112" s="5">
        <f>'Suc. Peñita'!G112</f>
        <v>0</v>
      </c>
      <c r="N112" s="5">
        <f t="shared" si="25"/>
        <v>0</v>
      </c>
      <c r="O112" s="5">
        <f>+IFERROR(VLOOKUP(A112,$R:$S,2,0),0)</f>
        <v>0</v>
      </c>
      <c r="P112" s="5">
        <f t="shared" si="26"/>
        <v>0</v>
      </c>
      <c r="R112" s="95" t="s">
        <v>565</v>
      </c>
      <c r="S112" s="245">
        <v>1</v>
      </c>
    </row>
    <row r="113" spans="1:19" ht="18" thickBot="1" x14ac:dyDescent="0.4">
      <c r="A113" s="109" t="s">
        <v>55</v>
      </c>
      <c r="B113" s="57">
        <f t="shared" ref="B113:P113" si="27">SUM(B107:B112,B114:B116)</f>
        <v>0</v>
      </c>
      <c r="C113" s="57">
        <f t="shared" si="27"/>
        <v>2</v>
      </c>
      <c r="D113" s="57">
        <f t="shared" si="27"/>
        <v>0</v>
      </c>
      <c r="E113" s="57">
        <f t="shared" si="27"/>
        <v>0</v>
      </c>
      <c r="F113" s="57">
        <f t="shared" si="27"/>
        <v>0</v>
      </c>
      <c r="G113" s="57">
        <f t="shared" si="27"/>
        <v>0</v>
      </c>
      <c r="H113" s="57">
        <f t="shared" si="27"/>
        <v>0</v>
      </c>
      <c r="I113" s="57">
        <f t="shared" si="27"/>
        <v>0</v>
      </c>
      <c r="J113" s="57">
        <f t="shared" si="27"/>
        <v>0</v>
      </c>
      <c r="K113" s="57">
        <f t="shared" si="27"/>
        <v>0</v>
      </c>
      <c r="L113" s="57">
        <f t="shared" si="27"/>
        <v>0</v>
      </c>
      <c r="M113" s="57">
        <f t="shared" si="27"/>
        <v>0</v>
      </c>
      <c r="N113" s="57">
        <f t="shared" si="27"/>
        <v>2</v>
      </c>
      <c r="O113" s="57">
        <f t="shared" si="27"/>
        <v>91</v>
      </c>
      <c r="P113" s="57">
        <f t="shared" si="27"/>
        <v>89</v>
      </c>
      <c r="R113" s="95" t="s">
        <v>573</v>
      </c>
      <c r="S113" s="245">
        <v>0</v>
      </c>
    </row>
    <row r="114" spans="1:19" ht="17.399999999999999" x14ac:dyDescent="0.35">
      <c r="A114" s="93" t="s">
        <v>84</v>
      </c>
      <c r="B114" s="4">
        <f>'Suc. Acaponeta'!G114</f>
        <v>0</v>
      </c>
      <c r="C114" s="4">
        <f>'Suc. Compostela'!G114</f>
        <v>0</v>
      </c>
      <c r="D114" s="5">
        <f>'Suc. Ruiz'!G114</f>
        <v>0</v>
      </c>
      <c r="E114" s="5">
        <f>'Suc. Sanblas'!G114</f>
        <v>0</v>
      </c>
      <c r="F114" s="5">
        <f>'LALO VARAS'!G114</f>
        <v>0</v>
      </c>
      <c r="G114" s="5">
        <f>'Suc. Santiago 2'!G114</f>
        <v>0</v>
      </c>
      <c r="H114" s="5">
        <f>'Suc. Tecuala'!G114</f>
        <v>0</v>
      </c>
      <c r="I114" s="5">
        <f>'Suc. Tuxpan'!G114</f>
        <v>0</v>
      </c>
      <c r="J114" s="5">
        <f>'Suc. Varas'!G114</f>
        <v>0</v>
      </c>
      <c r="K114" s="5">
        <f>'Suc. Santa María del Oro'!G114</f>
        <v>0</v>
      </c>
      <c r="L114" s="5">
        <f>'Suc. Villa Hidalgo'!G114</f>
        <v>0</v>
      </c>
      <c r="M114" s="5">
        <f>'Suc. Peñita'!G114</f>
        <v>0</v>
      </c>
      <c r="N114" s="5">
        <f t="shared" ref="N114:N115" si="28">SUM(B114:M114)</f>
        <v>0</v>
      </c>
      <c r="O114" s="5">
        <f>+IFERROR(VLOOKUP(A114,$R:$S,2,0),0)-VLOOKUP(A114,'ETIQUETAS CF'!A:B,2,0)</f>
        <v>7</v>
      </c>
      <c r="P114" s="5">
        <f t="shared" ref="P114:P115" si="29">O114-N114</f>
        <v>7</v>
      </c>
      <c r="R114" s="95" t="s">
        <v>914</v>
      </c>
      <c r="S114" s="245">
        <v>0</v>
      </c>
    </row>
    <row r="115" spans="1:19" ht="17.399999999999999" x14ac:dyDescent="0.35">
      <c r="A115" s="95" t="s">
        <v>85</v>
      </c>
      <c r="B115" s="4">
        <f>'Suc. Acaponeta'!G115</f>
        <v>0</v>
      </c>
      <c r="C115" s="4">
        <f>'Suc. Compostela'!G115</f>
        <v>2</v>
      </c>
      <c r="D115" s="5">
        <f>'Suc. Ruiz'!G115</f>
        <v>0</v>
      </c>
      <c r="E115" s="5">
        <f>'Suc. Sanblas'!G115</f>
        <v>0</v>
      </c>
      <c r="F115" s="5">
        <f>'LALO VARAS'!G115</f>
        <v>0</v>
      </c>
      <c r="G115" s="5">
        <f>'Suc. Santiago 2'!G115</f>
        <v>0</v>
      </c>
      <c r="H115" s="5">
        <f>'Suc. Tecuala'!G115</f>
        <v>0</v>
      </c>
      <c r="I115" s="5">
        <f>'Suc. Tuxpan'!G115</f>
        <v>0</v>
      </c>
      <c r="J115" s="5">
        <f>'Suc. Varas'!G115</f>
        <v>0</v>
      </c>
      <c r="K115" s="5">
        <f>'Suc. Santa María del Oro'!G115</f>
        <v>0</v>
      </c>
      <c r="L115" s="5">
        <f>'Suc. Villa Hidalgo'!G115</f>
        <v>0</v>
      </c>
      <c r="M115" s="5">
        <f>'Suc. Peñita'!G115</f>
        <v>0</v>
      </c>
      <c r="N115" s="5">
        <f t="shared" si="28"/>
        <v>2</v>
      </c>
      <c r="O115" s="5">
        <f>+IFERROR(VLOOKUP(A115,$R:$S,2,0),0)-VLOOKUP(A115,'ETIQUETAS CF'!A:B,2,0)</f>
        <v>17</v>
      </c>
      <c r="P115" s="5">
        <f t="shared" si="29"/>
        <v>15</v>
      </c>
      <c r="R115" s="95" t="s">
        <v>421</v>
      </c>
      <c r="S115" s="245">
        <v>4</v>
      </c>
    </row>
    <row r="116" spans="1:19" ht="18" thickBot="1" x14ac:dyDescent="0.4">
      <c r="A116" s="95" t="s">
        <v>881</v>
      </c>
      <c r="B116" s="4">
        <f>'Suc. Acaponeta'!G116</f>
        <v>0</v>
      </c>
      <c r="C116" s="4">
        <f>'Suc. Compostela'!G116</f>
        <v>0</v>
      </c>
      <c r="D116" s="5">
        <f>'Suc. Ruiz'!G116</f>
        <v>0</v>
      </c>
      <c r="E116" s="5">
        <f>'Suc. Sanblas'!G116</f>
        <v>0</v>
      </c>
      <c r="F116" s="5">
        <f>'LALO VARAS'!G116</f>
        <v>0</v>
      </c>
      <c r="G116" s="5">
        <f>'Suc. Santiago 2'!G116</f>
        <v>0</v>
      </c>
      <c r="H116" s="5">
        <f>'Suc. Tecuala'!G116</f>
        <v>0</v>
      </c>
      <c r="I116" s="5">
        <f>'Suc. Tuxpan'!G116</f>
        <v>0</v>
      </c>
      <c r="J116" s="5">
        <f>'Suc. Varas'!G116</f>
        <v>0</v>
      </c>
      <c r="K116" s="5">
        <f>'Suc. Santa María del Oro'!G116</f>
        <v>0</v>
      </c>
      <c r="L116" s="5">
        <f>'Suc. Villa Hidalgo'!G116</f>
        <v>0</v>
      </c>
      <c r="M116" s="5">
        <f>'Suc. Peñita'!G116</f>
        <v>0</v>
      </c>
      <c r="N116" s="5">
        <f>SUM(B116:M116)</f>
        <v>0</v>
      </c>
      <c r="O116" s="5">
        <f>+IFERROR(VLOOKUP(A116,$R:$S,2,0),0)-VLOOKUP(A116,'ETIQUETAS CF'!A:B,2,0)</f>
        <v>8</v>
      </c>
      <c r="P116" s="5">
        <f>O116-N116</f>
        <v>8</v>
      </c>
      <c r="R116" s="95" t="s">
        <v>1030</v>
      </c>
      <c r="S116" s="245">
        <v>0</v>
      </c>
    </row>
    <row r="117" spans="1:19" ht="18" thickBot="1" x14ac:dyDescent="0.4">
      <c r="A117" s="110" t="s">
        <v>86</v>
      </c>
      <c r="B117" s="59">
        <f t="shared" ref="B117:P117" si="30">B79+B91+B105+B113</f>
        <v>0</v>
      </c>
      <c r="C117" s="59">
        <f t="shared" si="30"/>
        <v>47</v>
      </c>
      <c r="D117" s="59">
        <f t="shared" si="30"/>
        <v>0</v>
      </c>
      <c r="E117" s="59">
        <f t="shared" si="30"/>
        <v>0</v>
      </c>
      <c r="F117" s="59">
        <f t="shared" si="30"/>
        <v>37</v>
      </c>
      <c r="G117" s="59">
        <f t="shared" si="30"/>
        <v>0</v>
      </c>
      <c r="H117" s="59">
        <f t="shared" si="30"/>
        <v>0</v>
      </c>
      <c r="I117" s="59">
        <f t="shared" si="30"/>
        <v>103</v>
      </c>
      <c r="J117" s="59">
        <f t="shared" si="30"/>
        <v>0</v>
      </c>
      <c r="K117" s="59">
        <f t="shared" si="30"/>
        <v>40</v>
      </c>
      <c r="L117" s="59">
        <f t="shared" si="30"/>
        <v>0</v>
      </c>
      <c r="M117" s="59">
        <f t="shared" si="30"/>
        <v>0</v>
      </c>
      <c r="N117" s="59">
        <f t="shared" si="30"/>
        <v>227</v>
      </c>
      <c r="O117" s="59">
        <f t="shared" si="30"/>
        <v>1461</v>
      </c>
      <c r="P117" s="59">
        <f t="shared" si="30"/>
        <v>1234</v>
      </c>
      <c r="R117" s="95" t="s">
        <v>253</v>
      </c>
      <c r="S117" s="245">
        <v>20</v>
      </c>
    </row>
    <row r="118" spans="1:19" ht="17.399999999999999" x14ac:dyDescent="0.35">
      <c r="A118" s="95" t="s">
        <v>975</v>
      </c>
      <c r="B118" s="4">
        <f>'Suc. Acaponeta'!G118</f>
        <v>0</v>
      </c>
      <c r="C118" s="4">
        <f>'Suc. Compostela'!G118</f>
        <v>3</v>
      </c>
      <c r="D118" s="5">
        <f>'Suc. Ruiz'!G118</f>
        <v>0</v>
      </c>
      <c r="E118" s="5">
        <f>'Suc. Sanblas'!G118</f>
        <v>0</v>
      </c>
      <c r="F118" s="5">
        <f>'LALO VARAS'!G118</f>
        <v>0</v>
      </c>
      <c r="G118" s="5">
        <f>'Suc. Santiago 2'!G118</f>
        <v>0</v>
      </c>
      <c r="H118" s="5">
        <f>'Suc. Tecuala'!G118</f>
        <v>0</v>
      </c>
      <c r="I118" s="5">
        <f>'Suc. Tuxpan'!G118</f>
        <v>0</v>
      </c>
      <c r="J118" s="5">
        <f>'Suc. Varas'!G118</f>
        <v>0</v>
      </c>
      <c r="K118" s="5">
        <f>'Suc. Santa María del Oro'!G118</f>
        <v>0</v>
      </c>
      <c r="L118" s="5">
        <f>'Suc. Villa Hidalgo'!G118</f>
        <v>0</v>
      </c>
      <c r="M118" s="5">
        <f>'Suc. Peñita'!G118</f>
        <v>0</v>
      </c>
      <c r="N118" s="5">
        <f t="shared" ref="N118:N148" si="31">SUM(B118:M118)</f>
        <v>3</v>
      </c>
      <c r="O118" s="5">
        <f>+IFERROR(VLOOKUP(A118,$R:$S,2,0),0)-VLOOKUP(A118,'ETIQUETAS CF'!A:B,2,0)</f>
        <v>20</v>
      </c>
      <c r="P118" s="5">
        <f t="shared" ref="P118:P148" si="32">O118-N118</f>
        <v>17</v>
      </c>
      <c r="R118" s="95" t="s">
        <v>249</v>
      </c>
      <c r="S118" s="245">
        <v>10</v>
      </c>
    </row>
    <row r="119" spans="1:19" ht="17.399999999999999" x14ac:dyDescent="0.35">
      <c r="A119" s="95" t="s">
        <v>974</v>
      </c>
      <c r="B119" s="4">
        <f>'Suc. Acaponeta'!G119</f>
        <v>0</v>
      </c>
      <c r="C119" s="4">
        <f>'Suc. Compostela'!G119</f>
        <v>3</v>
      </c>
      <c r="D119" s="5">
        <f>'Suc. Ruiz'!G119</f>
        <v>0</v>
      </c>
      <c r="E119" s="5">
        <f>'Suc. Sanblas'!G119</f>
        <v>0</v>
      </c>
      <c r="F119" s="5">
        <f>'LALO VARAS'!G119</f>
        <v>0</v>
      </c>
      <c r="G119" s="5">
        <f>'Suc. Santiago 2'!G119</f>
        <v>0</v>
      </c>
      <c r="H119" s="5">
        <f>'Suc. Tecuala'!G119</f>
        <v>0</v>
      </c>
      <c r="I119" s="5">
        <f>'Suc. Tuxpan'!G119</f>
        <v>0</v>
      </c>
      <c r="J119" s="5">
        <f>'Suc. Varas'!G119</f>
        <v>0</v>
      </c>
      <c r="K119" s="5">
        <f>'Suc. Santa María del Oro'!G119</f>
        <v>0</v>
      </c>
      <c r="L119" s="5">
        <f>'Suc. Villa Hidalgo'!G119</f>
        <v>0</v>
      </c>
      <c r="M119" s="5">
        <f>'Suc. Peñita'!G119</f>
        <v>0</v>
      </c>
      <c r="N119" s="5">
        <f t="shared" si="31"/>
        <v>3</v>
      </c>
      <c r="O119" s="5">
        <f>+IFERROR(VLOOKUP(A119,$R:$S,2,0),0)-VLOOKUP(A119,'ETIQUETAS CF'!A:B,2,0)</f>
        <v>3</v>
      </c>
      <c r="P119" s="5">
        <f t="shared" si="32"/>
        <v>0</v>
      </c>
      <c r="R119" s="95" t="s">
        <v>240</v>
      </c>
      <c r="S119" s="245">
        <v>0</v>
      </c>
    </row>
    <row r="120" spans="1:19" ht="17.399999999999999" x14ac:dyDescent="0.35">
      <c r="A120" s="95" t="s">
        <v>1077</v>
      </c>
      <c r="B120" s="4">
        <f>'Suc. Acaponeta'!G120</f>
        <v>0</v>
      </c>
      <c r="C120" s="4">
        <f>'Suc. Compostela'!G120</f>
        <v>0</v>
      </c>
      <c r="D120" s="5">
        <f>'Suc. Ruiz'!G120</f>
        <v>0</v>
      </c>
      <c r="E120" s="5">
        <f>'Suc. Sanblas'!G120</f>
        <v>0</v>
      </c>
      <c r="F120" s="5">
        <f>'LALO VARAS'!G120</f>
        <v>0</v>
      </c>
      <c r="G120" s="5">
        <f>'Suc. Santiago 2'!G120</f>
        <v>0</v>
      </c>
      <c r="H120" s="5">
        <f>'Suc. Tecuala'!G120</f>
        <v>0</v>
      </c>
      <c r="I120" s="5">
        <f>'Suc. Tuxpan'!G120</f>
        <v>0</v>
      </c>
      <c r="J120" s="5">
        <f>'Suc. Varas'!G120</f>
        <v>0</v>
      </c>
      <c r="K120" s="5">
        <f>'Suc. Santa María del Oro'!G120</f>
        <v>0</v>
      </c>
      <c r="L120" s="5">
        <f>'Suc. Villa Hidalgo'!G120</f>
        <v>0</v>
      </c>
      <c r="M120" s="5">
        <f>'Suc. Peñita'!G120</f>
        <v>0</v>
      </c>
      <c r="N120" s="5">
        <f t="shared" si="31"/>
        <v>0</v>
      </c>
      <c r="O120" s="5">
        <f>+IFERROR(VLOOKUP(A120,$R:$S,2,0),0)-VLOOKUP(A120,'ETIQUETAS CF'!A:B,2,0)</f>
        <v>0</v>
      </c>
      <c r="P120" s="5">
        <f t="shared" si="32"/>
        <v>0</v>
      </c>
      <c r="R120" s="95" t="s">
        <v>204</v>
      </c>
      <c r="S120" s="245">
        <v>0</v>
      </c>
    </row>
    <row r="121" spans="1:19" ht="17.399999999999999" x14ac:dyDescent="0.35">
      <c r="A121" s="95" t="s">
        <v>1076</v>
      </c>
      <c r="B121" s="4">
        <f>'Suc. Acaponeta'!G121</f>
        <v>0</v>
      </c>
      <c r="C121" s="4">
        <f>'Suc. Compostela'!G121</f>
        <v>0</v>
      </c>
      <c r="D121" s="5">
        <f>'Suc. Ruiz'!G121</f>
        <v>0</v>
      </c>
      <c r="E121" s="5">
        <f>'Suc. Sanblas'!G121</f>
        <v>0</v>
      </c>
      <c r="F121" s="5">
        <f>'LALO VARAS'!G121</f>
        <v>0</v>
      </c>
      <c r="G121" s="5">
        <f>'Suc. Santiago 2'!G121</f>
        <v>0</v>
      </c>
      <c r="H121" s="5">
        <f>'Suc. Tecuala'!G121</f>
        <v>0</v>
      </c>
      <c r="I121" s="5">
        <f>'Suc. Tuxpan'!G121</f>
        <v>0</v>
      </c>
      <c r="J121" s="5">
        <f>'Suc. Varas'!G121</f>
        <v>0</v>
      </c>
      <c r="K121" s="5">
        <f>'Suc. Santa María del Oro'!G121</f>
        <v>0</v>
      </c>
      <c r="L121" s="5">
        <f>'Suc. Villa Hidalgo'!G121</f>
        <v>0</v>
      </c>
      <c r="M121" s="5">
        <f>'Suc. Peñita'!G121</f>
        <v>0</v>
      </c>
      <c r="N121" s="5">
        <f t="shared" si="31"/>
        <v>0</v>
      </c>
      <c r="O121" s="5">
        <f>+IFERROR(VLOOKUP(A121,$R:$S,2,0),0)-VLOOKUP(A121,'ETIQUETAS CF'!A:B,2,0)</f>
        <v>0</v>
      </c>
      <c r="P121" s="5">
        <f t="shared" si="32"/>
        <v>0</v>
      </c>
      <c r="R121" s="95" t="s">
        <v>1132</v>
      </c>
      <c r="S121" s="245">
        <v>16</v>
      </c>
    </row>
    <row r="122" spans="1:19" ht="17.399999999999999" x14ac:dyDescent="0.35">
      <c r="A122" s="95" t="s">
        <v>1014</v>
      </c>
      <c r="B122" s="4">
        <f>'Suc. Acaponeta'!G122</f>
        <v>0</v>
      </c>
      <c r="C122" s="4">
        <f>'Suc. Compostela'!G122</f>
        <v>0</v>
      </c>
      <c r="D122" s="5">
        <f>'Suc. Ruiz'!G122</f>
        <v>0</v>
      </c>
      <c r="E122" s="5">
        <f>'Suc. Sanblas'!G122</f>
        <v>0</v>
      </c>
      <c r="F122" s="5">
        <f>'LALO VARAS'!G122</f>
        <v>0</v>
      </c>
      <c r="G122" s="5">
        <f>'Suc. Santiago 2'!G122</f>
        <v>0</v>
      </c>
      <c r="H122" s="5">
        <f>'Suc. Tecuala'!G122</f>
        <v>0</v>
      </c>
      <c r="I122" s="5">
        <f>'Suc. Tuxpan'!G122</f>
        <v>0</v>
      </c>
      <c r="J122" s="5">
        <f>'Suc. Varas'!G122</f>
        <v>0</v>
      </c>
      <c r="K122" s="5">
        <f>'Suc. Santa María del Oro'!G122</f>
        <v>0</v>
      </c>
      <c r="L122" s="5">
        <f>'Suc. Villa Hidalgo'!G122</f>
        <v>0</v>
      </c>
      <c r="M122" s="5">
        <f>'Suc. Peñita'!G122</f>
        <v>0</v>
      </c>
      <c r="N122" s="5">
        <f t="shared" si="31"/>
        <v>0</v>
      </c>
      <c r="O122" s="5">
        <f>+IFERROR(VLOOKUP(A122,$R:$S,2,0),0)-VLOOKUP(A122,'ETIQUETAS CF'!A:B,2,0)</f>
        <v>35</v>
      </c>
      <c r="P122" s="5">
        <f t="shared" si="32"/>
        <v>35</v>
      </c>
      <c r="R122" s="95"/>
      <c r="S122" s="245">
        <v>0</v>
      </c>
    </row>
    <row r="123" spans="1:19" ht="17.399999999999999" x14ac:dyDescent="0.35">
      <c r="A123" s="95" t="s">
        <v>1015</v>
      </c>
      <c r="B123" s="4">
        <f>'Suc. Acaponeta'!G123</f>
        <v>0</v>
      </c>
      <c r="C123" s="4">
        <f>'Suc. Compostela'!G123</f>
        <v>0</v>
      </c>
      <c r="D123" s="5">
        <f>'Suc. Ruiz'!G123</f>
        <v>0</v>
      </c>
      <c r="E123" s="5">
        <f>'Suc. Sanblas'!G123</f>
        <v>0</v>
      </c>
      <c r="F123" s="5">
        <f>'LALO VARAS'!G123</f>
        <v>0</v>
      </c>
      <c r="G123" s="5">
        <f>'Suc. Santiago 2'!G123</f>
        <v>0</v>
      </c>
      <c r="H123" s="5">
        <f>'Suc. Tecuala'!G123</f>
        <v>0</v>
      </c>
      <c r="I123" s="5">
        <f>'Suc. Tuxpan'!G123</f>
        <v>0</v>
      </c>
      <c r="J123" s="5">
        <f>'Suc. Varas'!G123</f>
        <v>0</v>
      </c>
      <c r="K123" s="5">
        <f>'Suc. Santa María del Oro'!G123</f>
        <v>0</v>
      </c>
      <c r="L123" s="5">
        <f>'Suc. Villa Hidalgo'!G123</f>
        <v>0</v>
      </c>
      <c r="M123" s="5">
        <f>'Suc. Peñita'!G123</f>
        <v>0</v>
      </c>
      <c r="N123" s="5">
        <f t="shared" si="31"/>
        <v>0</v>
      </c>
      <c r="O123" s="5">
        <f>+IFERROR(VLOOKUP(A123,$R:$S,2,0),0)-VLOOKUP(A123,'ETIQUETAS CF'!A:B,2,0)</f>
        <v>12</v>
      </c>
      <c r="P123" s="5">
        <f t="shared" si="32"/>
        <v>12</v>
      </c>
      <c r="R123" s="95"/>
      <c r="S123" s="245">
        <v>0</v>
      </c>
    </row>
    <row r="124" spans="1:19" ht="17.399999999999999" x14ac:dyDescent="0.35">
      <c r="A124" s="95" t="s">
        <v>1016</v>
      </c>
      <c r="B124" s="4">
        <f>'Suc. Acaponeta'!G124</f>
        <v>0</v>
      </c>
      <c r="C124" s="4">
        <f>'Suc. Compostela'!G124</f>
        <v>0</v>
      </c>
      <c r="D124" s="5">
        <f>'Suc. Ruiz'!G124</f>
        <v>0</v>
      </c>
      <c r="E124" s="5">
        <f>'Suc. Sanblas'!G124</f>
        <v>0</v>
      </c>
      <c r="F124" s="5">
        <f>'LALO VARAS'!G124</f>
        <v>0</v>
      </c>
      <c r="G124" s="5">
        <f>'Suc. Santiago 2'!G124</f>
        <v>0</v>
      </c>
      <c r="H124" s="5">
        <f>'Suc. Tecuala'!G124</f>
        <v>0</v>
      </c>
      <c r="I124" s="5">
        <f>'Suc. Tuxpan'!G124</f>
        <v>0</v>
      </c>
      <c r="J124" s="5">
        <f>'Suc. Varas'!G124</f>
        <v>0</v>
      </c>
      <c r="K124" s="5">
        <f>'Suc. Santa María del Oro'!G124</f>
        <v>0</v>
      </c>
      <c r="L124" s="5">
        <f>'Suc. Villa Hidalgo'!G124</f>
        <v>0</v>
      </c>
      <c r="M124" s="5">
        <f>'Suc. Peñita'!G124</f>
        <v>0</v>
      </c>
      <c r="N124" s="5">
        <f t="shared" si="31"/>
        <v>0</v>
      </c>
      <c r="O124" s="5">
        <f>+IFERROR(VLOOKUP(A124,$R:$S,2,0),0)-VLOOKUP(A124,'ETIQUETAS CF'!A:B,2,0)</f>
        <v>10</v>
      </c>
      <c r="P124" s="5">
        <f t="shared" si="32"/>
        <v>10</v>
      </c>
      <c r="R124" s="95"/>
      <c r="S124" s="245">
        <v>0</v>
      </c>
    </row>
    <row r="125" spans="1:19" ht="17.399999999999999" x14ac:dyDescent="0.35">
      <c r="A125" s="95" t="s">
        <v>1017</v>
      </c>
      <c r="B125" s="4">
        <f>'Suc. Acaponeta'!G125</f>
        <v>0</v>
      </c>
      <c r="C125" s="4">
        <f>'Suc. Compostela'!G125</f>
        <v>0</v>
      </c>
      <c r="D125" s="5">
        <f>'Suc. Ruiz'!G125</f>
        <v>0</v>
      </c>
      <c r="E125" s="5">
        <f>'Suc. Sanblas'!G125</f>
        <v>0</v>
      </c>
      <c r="F125" s="5">
        <f>'LALO VARAS'!G125</f>
        <v>0</v>
      </c>
      <c r="G125" s="5">
        <f>'Suc. Santiago 2'!G125</f>
        <v>0</v>
      </c>
      <c r="H125" s="5">
        <f>'Suc. Tecuala'!G125</f>
        <v>0</v>
      </c>
      <c r="I125" s="5">
        <f>'Suc. Tuxpan'!G125</f>
        <v>0</v>
      </c>
      <c r="J125" s="5">
        <f>'Suc. Varas'!G125</f>
        <v>0</v>
      </c>
      <c r="K125" s="5">
        <f>'Suc. Santa María del Oro'!G125</f>
        <v>0</v>
      </c>
      <c r="L125" s="5">
        <f>'Suc. Villa Hidalgo'!G125</f>
        <v>0</v>
      </c>
      <c r="M125" s="5">
        <f>'Suc. Peñita'!G125</f>
        <v>0</v>
      </c>
      <c r="N125" s="5">
        <f t="shared" si="31"/>
        <v>0</v>
      </c>
      <c r="O125" s="5">
        <f>+IFERROR(VLOOKUP(A125,$R:$S,2,0),0)-VLOOKUP(A125,'ETIQUETAS CF'!A:B,2,0)</f>
        <v>1</v>
      </c>
      <c r="P125" s="5">
        <f t="shared" si="32"/>
        <v>1</v>
      </c>
      <c r="R125" s="95"/>
      <c r="S125" s="245">
        <v>0</v>
      </c>
    </row>
    <row r="126" spans="1:19" ht="17.399999999999999" x14ac:dyDescent="0.35">
      <c r="A126" s="95" t="s">
        <v>1125</v>
      </c>
      <c r="B126" s="4">
        <f>'Suc. Acaponeta'!G126</f>
        <v>0</v>
      </c>
      <c r="C126" s="4">
        <f>'Suc. Compostela'!G126</f>
        <v>0</v>
      </c>
      <c r="D126" s="5">
        <f>'Suc. Ruiz'!G126</f>
        <v>0</v>
      </c>
      <c r="E126" s="5">
        <f>'Suc. Sanblas'!G126</f>
        <v>0</v>
      </c>
      <c r="F126" s="5">
        <f>'LALO VARAS'!G126</f>
        <v>0</v>
      </c>
      <c r="G126" s="5">
        <f>'Suc. Santiago 2'!G126</f>
        <v>0</v>
      </c>
      <c r="H126" s="5">
        <f>'Suc. Tecuala'!G126</f>
        <v>0</v>
      </c>
      <c r="I126" s="5">
        <f>'Suc. Tuxpan'!G126</f>
        <v>0</v>
      </c>
      <c r="J126" s="5">
        <f>'Suc. Varas'!G126</f>
        <v>0</v>
      </c>
      <c r="K126" s="5">
        <f>'Suc. Santa María del Oro'!G126</f>
        <v>0</v>
      </c>
      <c r="L126" s="5">
        <f>'Suc. Villa Hidalgo'!G126</f>
        <v>0</v>
      </c>
      <c r="M126" s="5">
        <f>'Suc. Peñita'!G126</f>
        <v>0</v>
      </c>
      <c r="N126" s="5">
        <f t="shared" si="31"/>
        <v>0</v>
      </c>
      <c r="O126" s="5">
        <f>+IFERROR(VLOOKUP(A126,$R:$S,2,0),0)-VLOOKUP(A126,'ETIQUETAS CF'!A:B,2,0)</f>
        <v>0</v>
      </c>
      <c r="P126" s="5">
        <f t="shared" si="32"/>
        <v>0</v>
      </c>
      <c r="R126" s="95"/>
      <c r="S126" s="245">
        <v>0</v>
      </c>
    </row>
    <row r="127" spans="1:19" ht="17.399999999999999" x14ac:dyDescent="0.35">
      <c r="A127" s="95" t="s">
        <v>1126</v>
      </c>
      <c r="B127" s="4">
        <f>'Suc. Acaponeta'!G127</f>
        <v>0</v>
      </c>
      <c r="C127" s="4">
        <f>'Suc. Compostela'!G127</f>
        <v>0</v>
      </c>
      <c r="D127" s="5">
        <f>'Suc. Ruiz'!G127</f>
        <v>0</v>
      </c>
      <c r="E127" s="5">
        <f>'Suc. Sanblas'!G127</f>
        <v>0</v>
      </c>
      <c r="F127" s="5">
        <f>'LALO VARAS'!G127</f>
        <v>0</v>
      </c>
      <c r="G127" s="5">
        <f>'Suc. Santiago 2'!G127</f>
        <v>0</v>
      </c>
      <c r="H127" s="5">
        <f>'Suc. Tecuala'!G127</f>
        <v>0</v>
      </c>
      <c r="I127" s="5">
        <f>'Suc. Tuxpan'!G127</f>
        <v>0</v>
      </c>
      <c r="J127" s="5">
        <f>'Suc. Varas'!G127</f>
        <v>0</v>
      </c>
      <c r="K127" s="5">
        <f>'Suc. Santa María del Oro'!G127</f>
        <v>0</v>
      </c>
      <c r="L127" s="5">
        <f>'Suc. Villa Hidalgo'!G127</f>
        <v>0</v>
      </c>
      <c r="M127" s="5">
        <f>'Suc. Peñita'!G127</f>
        <v>0</v>
      </c>
      <c r="N127" s="5">
        <f t="shared" si="31"/>
        <v>0</v>
      </c>
      <c r="O127" s="5">
        <f>+IFERROR(VLOOKUP(A127,$R:$S,2,0),0)-VLOOKUP(A127,'ETIQUETAS CF'!A:B,2,0)</f>
        <v>0</v>
      </c>
      <c r="P127" s="5">
        <f t="shared" si="32"/>
        <v>0</v>
      </c>
      <c r="R127" s="95"/>
      <c r="S127" s="245">
        <v>0</v>
      </c>
    </row>
    <row r="128" spans="1:19" ht="17.399999999999999" x14ac:dyDescent="0.35">
      <c r="A128" s="95" t="s">
        <v>568</v>
      </c>
      <c r="B128" s="4">
        <f>'Suc. Acaponeta'!G128</f>
        <v>0</v>
      </c>
      <c r="C128" s="4">
        <f>'Suc. Compostela'!G128</f>
        <v>3</v>
      </c>
      <c r="D128" s="5">
        <f>'Suc. Ruiz'!G128</f>
        <v>0</v>
      </c>
      <c r="E128" s="5">
        <f>'Suc. Sanblas'!G128</f>
        <v>0</v>
      </c>
      <c r="F128" s="5">
        <f>'LALO VARAS'!G128</f>
        <v>0</v>
      </c>
      <c r="G128" s="5">
        <f>'Suc. Santiago 2'!G128</f>
        <v>0</v>
      </c>
      <c r="H128" s="5">
        <f>'Suc. Tecuala'!G128</f>
        <v>0</v>
      </c>
      <c r="I128" s="5">
        <f>'Suc. Tuxpan'!G128</f>
        <v>0</v>
      </c>
      <c r="J128" s="5">
        <f>'Suc. Varas'!G128</f>
        <v>0</v>
      </c>
      <c r="K128" s="5">
        <f>'Suc. Santa María del Oro'!G128</f>
        <v>3</v>
      </c>
      <c r="L128" s="5">
        <f>'Suc. Villa Hidalgo'!G128</f>
        <v>0</v>
      </c>
      <c r="M128" s="5">
        <f>'Suc. Peñita'!G128</f>
        <v>0</v>
      </c>
      <c r="N128" s="5">
        <f t="shared" si="31"/>
        <v>6</v>
      </c>
      <c r="O128" s="5">
        <f>+IFERROR(VLOOKUP(A128,$R:$S,2,0),0)-VLOOKUP(A128,'ETIQUETAS CF'!A:B,2,0)</f>
        <v>15</v>
      </c>
      <c r="P128" s="5">
        <f t="shared" si="32"/>
        <v>9</v>
      </c>
      <c r="R128" s="95"/>
      <c r="S128" s="245">
        <v>0</v>
      </c>
    </row>
    <row r="129" spans="1:19" ht="17.399999999999999" x14ac:dyDescent="0.35">
      <c r="A129" s="95" t="s">
        <v>565</v>
      </c>
      <c r="B129" s="4">
        <f>'Suc. Acaponeta'!G129</f>
        <v>0</v>
      </c>
      <c r="C129" s="4">
        <f>'Suc. Compostela'!G129</f>
        <v>0</v>
      </c>
      <c r="D129" s="5">
        <f>'Suc. Ruiz'!G129</f>
        <v>0</v>
      </c>
      <c r="E129" s="5">
        <f>'Suc. Sanblas'!G129</f>
        <v>0</v>
      </c>
      <c r="F129" s="5">
        <f>'LALO VARAS'!G129</f>
        <v>0</v>
      </c>
      <c r="G129" s="5">
        <f>'Suc. Santiago 2'!G129</f>
        <v>0</v>
      </c>
      <c r="H129" s="5">
        <f>'Suc. Tecuala'!G129</f>
        <v>0</v>
      </c>
      <c r="I129" s="5">
        <f>'Suc. Tuxpan'!G129</f>
        <v>0</v>
      </c>
      <c r="J129" s="5">
        <f>'Suc. Varas'!G129</f>
        <v>0</v>
      </c>
      <c r="K129" s="5">
        <f>'Suc. Santa María del Oro'!G129</f>
        <v>1</v>
      </c>
      <c r="L129" s="5">
        <f>'Suc. Villa Hidalgo'!G129</f>
        <v>0</v>
      </c>
      <c r="M129" s="5">
        <f>'Suc. Peñita'!G129</f>
        <v>0</v>
      </c>
      <c r="N129" s="5">
        <f t="shared" si="31"/>
        <v>1</v>
      </c>
      <c r="O129" s="5">
        <f>+IFERROR(VLOOKUP(A129,$R:$S,2,0),0)-VLOOKUP(A129,'ETIQUETAS CF'!A:B,2,0)</f>
        <v>1</v>
      </c>
      <c r="P129" s="5">
        <f t="shared" si="32"/>
        <v>0</v>
      </c>
      <c r="R129" s="95"/>
      <c r="S129" s="245">
        <v>0</v>
      </c>
    </row>
    <row r="130" spans="1:19" ht="17.399999999999999" x14ac:dyDescent="0.35">
      <c r="A130" s="95" t="s">
        <v>912</v>
      </c>
      <c r="B130" s="4">
        <f>'Suc. Acaponeta'!G130</f>
        <v>0</v>
      </c>
      <c r="C130" s="4">
        <f>'Suc. Compostela'!G130</f>
        <v>1</v>
      </c>
      <c r="D130" s="5">
        <f>'Suc. Ruiz'!G130</f>
        <v>0</v>
      </c>
      <c r="E130" s="5">
        <f>'Suc. Sanblas'!G130</f>
        <v>0</v>
      </c>
      <c r="F130" s="5">
        <f>'LALO VARAS'!G130</f>
        <v>0</v>
      </c>
      <c r="G130" s="5">
        <f>'Suc. Santiago 2'!G130</f>
        <v>0</v>
      </c>
      <c r="H130" s="5">
        <f>'Suc. Tecuala'!G130</f>
        <v>0</v>
      </c>
      <c r="I130" s="5">
        <f>'Suc. Tuxpan'!G130</f>
        <v>2</v>
      </c>
      <c r="J130" s="5">
        <f>'Suc. Varas'!G130</f>
        <v>0</v>
      </c>
      <c r="K130" s="5">
        <f>'Suc. Santa María del Oro'!G130</f>
        <v>2</v>
      </c>
      <c r="L130" s="5">
        <f>'Suc. Villa Hidalgo'!G130</f>
        <v>0</v>
      </c>
      <c r="M130" s="5">
        <f>'Suc. Peñita'!G130</f>
        <v>0</v>
      </c>
      <c r="N130" s="5">
        <f t="shared" si="31"/>
        <v>5</v>
      </c>
      <c r="O130" s="5">
        <f>+IFERROR(VLOOKUP(A130,$R:$S,2,0),0)-VLOOKUP(A130,'ETIQUETAS CF'!A:B,2,0)</f>
        <v>20</v>
      </c>
      <c r="P130" s="5">
        <f t="shared" si="32"/>
        <v>15</v>
      </c>
      <c r="R130" s="95"/>
      <c r="S130" s="245">
        <v>0</v>
      </c>
    </row>
    <row r="131" spans="1:19" ht="17.399999999999999" x14ac:dyDescent="0.35">
      <c r="A131" s="95" t="s">
        <v>557</v>
      </c>
      <c r="B131" s="4">
        <f>'Suc. Acaponeta'!G131</f>
        <v>0</v>
      </c>
      <c r="C131" s="4">
        <f>'Suc. Compostela'!G131</f>
        <v>2</v>
      </c>
      <c r="D131" s="5">
        <f>'Suc. Ruiz'!G131</f>
        <v>0</v>
      </c>
      <c r="E131" s="5">
        <f>'Suc. Sanblas'!G131</f>
        <v>0</v>
      </c>
      <c r="F131" s="5">
        <f>'LALO VARAS'!G131</f>
        <v>0</v>
      </c>
      <c r="G131" s="5">
        <f>'Suc. Santiago 2'!G131</f>
        <v>0</v>
      </c>
      <c r="H131" s="5">
        <f>'Suc. Tecuala'!G131</f>
        <v>0</v>
      </c>
      <c r="I131" s="5">
        <f>'Suc. Tuxpan'!G131</f>
        <v>2</v>
      </c>
      <c r="J131" s="5">
        <f>'Suc. Varas'!G131</f>
        <v>0</v>
      </c>
      <c r="K131" s="5">
        <f>'Suc. Santa María del Oro'!G131</f>
        <v>2</v>
      </c>
      <c r="L131" s="5">
        <f>'Suc. Villa Hidalgo'!G131</f>
        <v>0</v>
      </c>
      <c r="M131" s="5">
        <f>'Suc. Peñita'!G131</f>
        <v>0</v>
      </c>
      <c r="N131" s="5">
        <f t="shared" si="31"/>
        <v>6</v>
      </c>
      <c r="O131" s="5">
        <f>+IFERROR(VLOOKUP(A131,$R:$S,2,0),0)-VLOOKUP(A131,'ETIQUETAS CF'!A:B,2,0)</f>
        <v>15</v>
      </c>
      <c r="P131" s="5">
        <f t="shared" si="32"/>
        <v>9</v>
      </c>
      <c r="R131" s="95"/>
      <c r="S131" s="245">
        <v>0</v>
      </c>
    </row>
    <row r="132" spans="1:19" ht="17.399999999999999" x14ac:dyDescent="0.35">
      <c r="A132" s="95" t="s">
        <v>573</v>
      </c>
      <c r="B132" s="4">
        <f>'Suc. Acaponeta'!G132</f>
        <v>0</v>
      </c>
      <c r="C132" s="4">
        <f>'Suc. Compostela'!G132</f>
        <v>0</v>
      </c>
      <c r="D132" s="5">
        <f>'Suc. Ruiz'!G132</f>
        <v>0</v>
      </c>
      <c r="E132" s="5">
        <f>'Suc. Sanblas'!G132</f>
        <v>0</v>
      </c>
      <c r="F132" s="5">
        <f>'LALO VARAS'!G132</f>
        <v>0</v>
      </c>
      <c r="G132" s="5">
        <f>'Suc. Santiago 2'!G132</f>
        <v>0</v>
      </c>
      <c r="H132" s="5">
        <f>'Suc. Tecuala'!G132</f>
        <v>0</v>
      </c>
      <c r="I132" s="5">
        <f>'Suc. Tuxpan'!G132</f>
        <v>0</v>
      </c>
      <c r="J132" s="5">
        <f>'Suc. Varas'!G132</f>
        <v>0</v>
      </c>
      <c r="K132" s="5">
        <f>'Suc. Santa María del Oro'!G132</f>
        <v>0</v>
      </c>
      <c r="L132" s="5">
        <f>'Suc. Villa Hidalgo'!G132</f>
        <v>0</v>
      </c>
      <c r="M132" s="5">
        <f>'Suc. Peñita'!G132</f>
        <v>0</v>
      </c>
      <c r="N132" s="5">
        <f t="shared" si="31"/>
        <v>0</v>
      </c>
      <c r="O132" s="5">
        <f>+IFERROR(VLOOKUP(A132,$R:$S,2,0),0)-VLOOKUP(A132,'ETIQUETAS CF'!A:B,2,0)</f>
        <v>0</v>
      </c>
      <c r="P132" s="5">
        <f t="shared" si="32"/>
        <v>0</v>
      </c>
      <c r="R132" s="95"/>
      <c r="S132" s="245">
        <v>0</v>
      </c>
    </row>
    <row r="133" spans="1:19" ht="17.399999999999999" x14ac:dyDescent="0.35">
      <c r="A133" s="95" t="s">
        <v>421</v>
      </c>
      <c r="B133" s="4">
        <f>'Suc. Acaponeta'!G133</f>
        <v>0</v>
      </c>
      <c r="C133" s="4">
        <f>'Suc. Compostela'!G133</f>
        <v>1</v>
      </c>
      <c r="D133" s="5">
        <f>'Suc. Ruiz'!G133</f>
        <v>0</v>
      </c>
      <c r="E133" s="5">
        <f>'Suc. Sanblas'!G133</f>
        <v>0</v>
      </c>
      <c r="F133" s="5">
        <f>'LALO VARAS'!G133</f>
        <v>0</v>
      </c>
      <c r="G133" s="5">
        <f>'Suc. Santiago 2'!G133</f>
        <v>0</v>
      </c>
      <c r="H133" s="5">
        <f>'Suc. Tecuala'!G133</f>
        <v>0</v>
      </c>
      <c r="I133" s="5">
        <f>'Suc. Tuxpan'!G133</f>
        <v>0</v>
      </c>
      <c r="J133" s="5">
        <f>'Suc. Varas'!G133</f>
        <v>0</v>
      </c>
      <c r="K133" s="5">
        <f>'Suc. Santa María del Oro'!G133</f>
        <v>0</v>
      </c>
      <c r="L133" s="5">
        <f>'Suc. Villa Hidalgo'!G133</f>
        <v>0</v>
      </c>
      <c r="M133" s="5">
        <f>'Suc. Peñita'!G133</f>
        <v>0</v>
      </c>
      <c r="N133" s="5">
        <f t="shared" si="31"/>
        <v>1</v>
      </c>
      <c r="O133" s="5">
        <f>+IFERROR(VLOOKUP(A133,$R:$S,2,0),0)-VLOOKUP(A133,'ETIQUETAS CF'!A:B,2,0)</f>
        <v>4</v>
      </c>
      <c r="P133" s="5">
        <f t="shared" si="32"/>
        <v>3</v>
      </c>
      <c r="R133" s="95"/>
      <c r="S133" s="245">
        <v>0</v>
      </c>
    </row>
    <row r="134" spans="1:19" ht="17.399999999999999" x14ac:dyDescent="0.35">
      <c r="A134" s="95" t="s">
        <v>249</v>
      </c>
      <c r="B134" s="4">
        <f>'Suc. Acaponeta'!G134</f>
        <v>0</v>
      </c>
      <c r="C134" s="4">
        <f>'Suc. Compostela'!G134</f>
        <v>0</v>
      </c>
      <c r="D134" s="5">
        <f>'Suc. Ruiz'!G134</f>
        <v>0</v>
      </c>
      <c r="E134" s="5">
        <f>'Suc. Sanblas'!G134</f>
        <v>0</v>
      </c>
      <c r="F134" s="5">
        <f>'LALO VARAS'!G134</f>
        <v>0</v>
      </c>
      <c r="G134" s="5">
        <f>'Suc. Santiago 2'!G134</f>
        <v>0</v>
      </c>
      <c r="H134" s="5">
        <f>'Suc. Tecuala'!G134</f>
        <v>0</v>
      </c>
      <c r="I134" s="5">
        <f>'Suc. Tuxpan'!G134</f>
        <v>0</v>
      </c>
      <c r="J134" s="5">
        <f>'Suc. Varas'!G134</f>
        <v>0</v>
      </c>
      <c r="K134" s="5">
        <f>'Suc. Santa María del Oro'!G134</f>
        <v>2</v>
      </c>
      <c r="L134" s="5">
        <f>'Suc. Villa Hidalgo'!G134</f>
        <v>0</v>
      </c>
      <c r="M134" s="5">
        <f>'Suc. Peñita'!G134</f>
        <v>0</v>
      </c>
      <c r="N134" s="5">
        <f t="shared" si="31"/>
        <v>2</v>
      </c>
      <c r="O134" s="5">
        <f>+IFERROR(VLOOKUP(A134,$R:$S,2,0),0)-VLOOKUP(A134,'ETIQUETAS CF'!A:B,2,0)</f>
        <v>10</v>
      </c>
      <c r="P134" s="5">
        <f t="shared" si="32"/>
        <v>8</v>
      </c>
      <c r="R134" s="95"/>
      <c r="S134" s="245">
        <v>0</v>
      </c>
    </row>
    <row r="135" spans="1:19" ht="17.399999999999999" x14ac:dyDescent="0.35">
      <c r="A135" s="95" t="s">
        <v>1030</v>
      </c>
      <c r="B135" s="4">
        <f>'Suc. Acaponeta'!G135</f>
        <v>0</v>
      </c>
      <c r="C135" s="4">
        <f>'Suc. Compostela'!G135</f>
        <v>0</v>
      </c>
      <c r="D135" s="5">
        <f>'Suc. Ruiz'!G135</f>
        <v>0</v>
      </c>
      <c r="E135" s="5">
        <f>'Suc. Sanblas'!G135</f>
        <v>0</v>
      </c>
      <c r="F135" s="5">
        <f>'LALO VARAS'!G135</f>
        <v>0</v>
      </c>
      <c r="G135" s="5">
        <f>'Suc. Santiago 2'!G135</f>
        <v>0</v>
      </c>
      <c r="H135" s="5">
        <f>'Suc. Tecuala'!G135</f>
        <v>0</v>
      </c>
      <c r="I135" s="5">
        <f>'Suc. Tuxpan'!G135</f>
        <v>0</v>
      </c>
      <c r="J135" s="5">
        <f>'Suc. Varas'!G135</f>
        <v>0</v>
      </c>
      <c r="K135" s="5">
        <f>'Suc. Santa María del Oro'!G135</f>
        <v>0</v>
      </c>
      <c r="L135" s="5">
        <f>'Suc. Villa Hidalgo'!G135</f>
        <v>0</v>
      </c>
      <c r="M135" s="5">
        <f>'Suc. Peñita'!G135</f>
        <v>0</v>
      </c>
      <c r="N135" s="5">
        <f t="shared" si="31"/>
        <v>0</v>
      </c>
      <c r="O135" s="5">
        <f>+IFERROR(VLOOKUP(A135,$R:$S,2,0),0)-VLOOKUP(A135,'ETIQUETAS CF'!A:B,2,0)</f>
        <v>0</v>
      </c>
      <c r="P135" s="5">
        <f t="shared" si="32"/>
        <v>0</v>
      </c>
      <c r="R135" s="95"/>
      <c r="S135" s="245">
        <v>0</v>
      </c>
    </row>
    <row r="136" spans="1:19" ht="17.399999999999999" x14ac:dyDescent="0.35">
      <c r="A136" s="95" t="s">
        <v>253</v>
      </c>
      <c r="B136" s="4">
        <f>'Suc. Acaponeta'!G136</f>
        <v>0</v>
      </c>
      <c r="C136" s="4">
        <f>'Suc. Compostela'!G136</f>
        <v>2</v>
      </c>
      <c r="D136" s="5">
        <f>'Suc. Ruiz'!G136</f>
        <v>0</v>
      </c>
      <c r="E136" s="5">
        <f>'Suc. Sanblas'!G136</f>
        <v>0</v>
      </c>
      <c r="F136" s="5">
        <f>'LALO VARAS'!G136</f>
        <v>0</v>
      </c>
      <c r="G136" s="5">
        <f>'Suc. Santiago 2'!G136</f>
        <v>0</v>
      </c>
      <c r="H136" s="5">
        <f>'Suc. Tecuala'!G136</f>
        <v>0</v>
      </c>
      <c r="I136" s="5">
        <f>'Suc. Tuxpan'!G136</f>
        <v>2</v>
      </c>
      <c r="J136" s="5">
        <f>'Suc. Varas'!G136</f>
        <v>0</v>
      </c>
      <c r="K136" s="5">
        <f>'Suc. Santa María del Oro'!G136</f>
        <v>0</v>
      </c>
      <c r="L136" s="5">
        <f>'Suc. Villa Hidalgo'!G136</f>
        <v>0</v>
      </c>
      <c r="M136" s="5">
        <f>'Suc. Peñita'!G136</f>
        <v>0</v>
      </c>
      <c r="N136" s="5">
        <f t="shared" si="31"/>
        <v>4</v>
      </c>
      <c r="O136" s="5">
        <f>+IFERROR(VLOOKUP(A136,$R:$S,2,0),0)-VLOOKUP(A136,'ETIQUETAS CF'!A:B,2,0)</f>
        <v>20</v>
      </c>
      <c r="P136" s="5">
        <f t="shared" si="32"/>
        <v>16</v>
      </c>
      <c r="R136" s="95"/>
      <c r="S136" s="245">
        <v>0</v>
      </c>
    </row>
    <row r="137" spans="1:19" ht="17.399999999999999" x14ac:dyDescent="0.35">
      <c r="A137" s="95" t="s">
        <v>240</v>
      </c>
      <c r="B137" s="4">
        <f>'Suc. Acaponeta'!G137</f>
        <v>0</v>
      </c>
      <c r="C137" s="4">
        <f>'Suc. Compostela'!G137</f>
        <v>0</v>
      </c>
      <c r="D137" s="5">
        <f>'Suc. Ruiz'!G137</f>
        <v>0</v>
      </c>
      <c r="E137" s="5">
        <f>'Suc. Sanblas'!G137</f>
        <v>0</v>
      </c>
      <c r="F137" s="5">
        <f>'LALO VARAS'!G137</f>
        <v>0</v>
      </c>
      <c r="G137" s="5">
        <f>'Suc. Santiago 2'!G137</f>
        <v>0</v>
      </c>
      <c r="H137" s="5">
        <f>'Suc. Tecuala'!G137</f>
        <v>0</v>
      </c>
      <c r="I137" s="5">
        <f>'Suc. Tuxpan'!G137</f>
        <v>0</v>
      </c>
      <c r="J137" s="5">
        <f>'Suc. Varas'!G137</f>
        <v>0</v>
      </c>
      <c r="K137" s="5">
        <f>'Suc. Santa María del Oro'!G137</f>
        <v>0</v>
      </c>
      <c r="L137" s="5">
        <f>'Suc. Villa Hidalgo'!G137</f>
        <v>0</v>
      </c>
      <c r="M137" s="5">
        <f>'Suc. Peñita'!G137</f>
        <v>0</v>
      </c>
      <c r="N137" s="5">
        <f t="shared" si="31"/>
        <v>0</v>
      </c>
      <c r="O137" s="5">
        <f>+IFERROR(VLOOKUP(A137,$R:$S,2,0),0)-VLOOKUP(A137,'ETIQUETAS CF'!A:B,2,0)</f>
        <v>0</v>
      </c>
      <c r="P137" s="5">
        <f t="shared" si="32"/>
        <v>0</v>
      </c>
      <c r="R137" s="95"/>
      <c r="S137" s="245">
        <v>0</v>
      </c>
    </row>
    <row r="138" spans="1:19" ht="17.399999999999999" x14ac:dyDescent="0.35">
      <c r="A138" s="95" t="s">
        <v>204</v>
      </c>
      <c r="B138" s="4">
        <f>'Suc. Acaponeta'!G138</f>
        <v>0</v>
      </c>
      <c r="C138" s="4">
        <f>'Suc. Compostela'!G138</f>
        <v>0</v>
      </c>
      <c r="D138" s="5">
        <f>'Suc. Ruiz'!G138</f>
        <v>0</v>
      </c>
      <c r="E138" s="5">
        <f>'Suc. Sanblas'!G138</f>
        <v>0</v>
      </c>
      <c r="F138" s="5">
        <f>'LALO VARAS'!G138</f>
        <v>0</v>
      </c>
      <c r="G138" s="5">
        <f>'Suc. Santiago 2'!G138</f>
        <v>0</v>
      </c>
      <c r="H138" s="5">
        <f>'Suc. Tecuala'!G138</f>
        <v>0</v>
      </c>
      <c r="I138" s="5">
        <f>'Suc. Tuxpan'!G138</f>
        <v>0</v>
      </c>
      <c r="J138" s="5">
        <f>'Suc. Varas'!G138</f>
        <v>0</v>
      </c>
      <c r="K138" s="5">
        <f>'Suc. Santa María del Oro'!G138</f>
        <v>0</v>
      </c>
      <c r="L138" s="5">
        <f>'Suc. Villa Hidalgo'!G138</f>
        <v>0</v>
      </c>
      <c r="M138" s="5">
        <f>'Suc. Peñita'!G138</f>
        <v>0</v>
      </c>
      <c r="N138" s="5">
        <f t="shared" si="31"/>
        <v>0</v>
      </c>
      <c r="O138" s="5">
        <f>+IFERROR(VLOOKUP(A138,$R:$S,2,0),0)-VLOOKUP(A138,'ETIQUETAS CF'!A:B,2,0)</f>
        <v>0</v>
      </c>
      <c r="P138" s="5">
        <f t="shared" si="32"/>
        <v>0</v>
      </c>
      <c r="R138" s="95"/>
      <c r="S138" s="245">
        <v>0</v>
      </c>
    </row>
    <row r="139" spans="1:19" ht="17.399999999999999" x14ac:dyDescent="0.35">
      <c r="A139" s="95" t="s">
        <v>1132</v>
      </c>
      <c r="B139" s="4">
        <f>'Suc. Acaponeta'!G139</f>
        <v>0</v>
      </c>
      <c r="C139" s="4">
        <f>'Suc. Compostela'!G139</f>
        <v>1</v>
      </c>
      <c r="D139" s="5">
        <f>'Suc. Ruiz'!G139</f>
        <v>0</v>
      </c>
      <c r="E139" s="5">
        <f>'Suc. Sanblas'!G139</f>
        <v>0</v>
      </c>
      <c r="F139" s="5">
        <f>'LALO VARAS'!G139</f>
        <v>0</v>
      </c>
      <c r="G139" s="5">
        <f>'Suc. Santiago 2'!G139</f>
        <v>0</v>
      </c>
      <c r="H139" s="5">
        <f>'Suc. Tecuala'!G139</f>
        <v>0</v>
      </c>
      <c r="I139" s="5">
        <f>'Suc. Tuxpan'!G139</f>
        <v>1</v>
      </c>
      <c r="J139" s="5">
        <f>'Suc. Varas'!G139</f>
        <v>0</v>
      </c>
      <c r="K139" s="5">
        <f>'Suc. Santa María del Oro'!G139</f>
        <v>1</v>
      </c>
      <c r="L139" s="5">
        <f>'Suc. Villa Hidalgo'!G139</f>
        <v>0</v>
      </c>
      <c r="M139" s="5">
        <f>'Suc. Peñita'!G139</f>
        <v>0</v>
      </c>
      <c r="N139" s="5">
        <f t="shared" si="31"/>
        <v>3</v>
      </c>
      <c r="O139" s="5">
        <f>+IFERROR(VLOOKUP(A139,$R:$S,2,0),0)-VLOOKUP(A139,'ETIQUETAS CF'!A:B,2,0)</f>
        <v>16</v>
      </c>
      <c r="P139" s="5">
        <f t="shared" si="32"/>
        <v>13</v>
      </c>
      <c r="R139" s="95"/>
      <c r="S139" s="245">
        <v>0</v>
      </c>
    </row>
    <row r="140" spans="1:19" ht="17.399999999999999" x14ac:dyDescent="0.35">
      <c r="A140" s="95" t="s">
        <v>914</v>
      </c>
      <c r="B140" s="4">
        <f>'Suc. Acaponeta'!G140</f>
        <v>0</v>
      </c>
      <c r="C140" s="4">
        <f>'Suc. Compostela'!G140</f>
        <v>0</v>
      </c>
      <c r="D140" s="5">
        <f>'Suc. Ruiz'!G140</f>
        <v>0</v>
      </c>
      <c r="E140" s="5">
        <f>'Suc. Sanblas'!G140</f>
        <v>0</v>
      </c>
      <c r="F140" s="5">
        <f>'LALO VARAS'!G140</f>
        <v>0</v>
      </c>
      <c r="G140" s="5">
        <f>'Suc. Santiago 2'!G140</f>
        <v>0</v>
      </c>
      <c r="H140" s="5">
        <f>'Suc. Tecuala'!G140</f>
        <v>0</v>
      </c>
      <c r="I140" s="5">
        <f>'Suc. Tuxpan'!G140</f>
        <v>0</v>
      </c>
      <c r="J140" s="5">
        <f>'Suc. Varas'!G140</f>
        <v>0</v>
      </c>
      <c r="K140" s="5">
        <f>'Suc. Santa María del Oro'!G140</f>
        <v>0</v>
      </c>
      <c r="L140" s="5">
        <f>'Suc. Villa Hidalgo'!G140</f>
        <v>0</v>
      </c>
      <c r="M140" s="5">
        <f>'Suc. Peñita'!G140</f>
        <v>0</v>
      </c>
      <c r="N140" s="5">
        <f t="shared" si="31"/>
        <v>0</v>
      </c>
      <c r="O140" s="5">
        <f>+IFERROR(VLOOKUP(A140,$R:$S,2,0),0)-VLOOKUP(A140,'ETIQUETAS CF'!A:B,2,0)</f>
        <v>0</v>
      </c>
      <c r="P140" s="5">
        <f t="shared" si="32"/>
        <v>0</v>
      </c>
      <c r="R140" s="95"/>
      <c r="S140" s="245">
        <v>0</v>
      </c>
    </row>
    <row r="141" spans="1:19" ht="17.399999999999999" x14ac:dyDescent="0.35">
      <c r="A141" s="243" t="s">
        <v>1120</v>
      </c>
      <c r="B141" s="4">
        <f>'Suc. Acaponeta'!G141</f>
        <v>0</v>
      </c>
      <c r="C141" s="4">
        <f>'Suc. Compostela'!G141</f>
        <v>0</v>
      </c>
      <c r="D141" s="5">
        <f>'Suc. Ruiz'!G141</f>
        <v>0</v>
      </c>
      <c r="E141" s="5">
        <f>'Suc. Sanblas'!G141</f>
        <v>0</v>
      </c>
      <c r="F141" s="5">
        <f>'LALO VARAS'!G141</f>
        <v>0</v>
      </c>
      <c r="G141" s="5">
        <f>'Suc. Santiago 2'!G141</f>
        <v>0</v>
      </c>
      <c r="H141" s="5">
        <f>'Suc. Tecuala'!G141</f>
        <v>0</v>
      </c>
      <c r="I141" s="5">
        <f>'Suc. Tuxpan'!G141</f>
        <v>0</v>
      </c>
      <c r="J141" s="5">
        <f>'Suc. Varas'!G141</f>
        <v>0</v>
      </c>
      <c r="K141" s="5">
        <f>'Suc. Santa María del Oro'!G141</f>
        <v>0</v>
      </c>
      <c r="L141" s="5">
        <f>'Suc. Villa Hidalgo'!G141</f>
        <v>0</v>
      </c>
      <c r="M141" s="5">
        <f>'Suc. Peñita'!G141</f>
        <v>0</v>
      </c>
      <c r="N141" s="5">
        <f t="shared" si="31"/>
        <v>0</v>
      </c>
      <c r="O141" s="5">
        <f t="shared" ref="O141:O148" si="33">+IFERROR(VLOOKUP(A141,$R:$S,2,0),0)</f>
        <v>0</v>
      </c>
      <c r="P141" s="5">
        <f t="shared" si="32"/>
        <v>0</v>
      </c>
      <c r="R141" s="95"/>
      <c r="S141" s="245">
        <v>0</v>
      </c>
    </row>
    <row r="142" spans="1:19" ht="18" thickBot="1" x14ac:dyDescent="0.4">
      <c r="A142" s="95"/>
      <c r="B142" s="4">
        <f>'Suc. Acaponeta'!G142</f>
        <v>0</v>
      </c>
      <c r="C142" s="4">
        <f>'Suc. Compostela'!G142</f>
        <v>0</v>
      </c>
      <c r="D142" s="5">
        <f>'Suc. Ruiz'!G142</f>
        <v>0</v>
      </c>
      <c r="E142" s="5">
        <f>'Suc. Sanblas'!G142</f>
        <v>0</v>
      </c>
      <c r="F142" s="5">
        <f>'LALO VARAS'!G142</f>
        <v>0</v>
      </c>
      <c r="G142" s="5">
        <f>'Suc. Santiago 2'!G142</f>
        <v>0</v>
      </c>
      <c r="H142" s="5">
        <f>'Suc. Tecuala'!G142</f>
        <v>0</v>
      </c>
      <c r="I142" s="5">
        <f>'Suc. Tuxpan'!G142</f>
        <v>0</v>
      </c>
      <c r="J142" s="5">
        <f>'Suc. Varas'!G142</f>
        <v>0</v>
      </c>
      <c r="K142" s="5">
        <f>'Suc. Santa María del Oro'!G142</f>
        <v>0</v>
      </c>
      <c r="L142" s="5">
        <f>'Suc. Villa Hidalgo'!G142</f>
        <v>0</v>
      </c>
      <c r="M142" s="5">
        <f>'Suc. Peñita'!G142</f>
        <v>0</v>
      </c>
      <c r="N142" s="5">
        <f t="shared" si="31"/>
        <v>0</v>
      </c>
      <c r="O142" s="5">
        <f t="shared" si="33"/>
        <v>0</v>
      </c>
      <c r="P142" s="5">
        <f t="shared" si="32"/>
        <v>0</v>
      </c>
      <c r="R142" s="173"/>
      <c r="S142" s="207">
        <v>197</v>
      </c>
    </row>
    <row r="143" spans="1:19" ht="18.600000000000001" thickBot="1" x14ac:dyDescent="0.4">
      <c r="A143" s="95"/>
      <c r="B143" s="4">
        <f>'Suc. Acaponeta'!G143</f>
        <v>0</v>
      </c>
      <c r="C143" s="4">
        <f>'Suc. Compostela'!G143</f>
        <v>0</v>
      </c>
      <c r="D143" s="5">
        <f>'Suc. Ruiz'!G143</f>
        <v>0</v>
      </c>
      <c r="E143" s="5">
        <f>'Suc. Sanblas'!G143</f>
        <v>0</v>
      </c>
      <c r="F143" s="5">
        <f>'LALO VARAS'!G143</f>
        <v>0</v>
      </c>
      <c r="G143" s="5">
        <f>'Suc. Santiago 2'!G143</f>
        <v>0</v>
      </c>
      <c r="H143" s="5">
        <f>'Suc. Tecuala'!G143</f>
        <v>0</v>
      </c>
      <c r="I143" s="5">
        <f>'Suc. Tuxpan'!G143</f>
        <v>0</v>
      </c>
      <c r="J143" s="5">
        <f>'Suc. Varas'!G143</f>
        <v>0</v>
      </c>
      <c r="K143" s="5">
        <f>'Suc. Santa María del Oro'!G143</f>
        <v>0</v>
      </c>
      <c r="L143" s="5">
        <f>'Suc. Villa Hidalgo'!G143</f>
        <v>0</v>
      </c>
      <c r="M143" s="5">
        <f>'Suc. Peñita'!G143</f>
        <v>0</v>
      </c>
      <c r="N143" s="5">
        <f t="shared" si="31"/>
        <v>0</v>
      </c>
      <c r="O143" s="5">
        <f t="shared" si="33"/>
        <v>0</v>
      </c>
      <c r="P143" s="5">
        <f t="shared" si="32"/>
        <v>0</v>
      </c>
      <c r="R143" s="110" t="s">
        <v>86</v>
      </c>
      <c r="S143" s="208">
        <v>1657</v>
      </c>
    </row>
    <row r="144" spans="1:19" ht="17.399999999999999" x14ac:dyDescent="0.35">
      <c r="A144" s="95"/>
      <c r="B144" s="4">
        <f>'Suc. Acaponeta'!G144</f>
        <v>0</v>
      </c>
      <c r="C144" s="4">
        <f>'Suc. Compostela'!G144</f>
        <v>0</v>
      </c>
      <c r="D144" s="5">
        <f>'Suc. Ruiz'!G144</f>
        <v>0</v>
      </c>
      <c r="E144" s="5">
        <f>'Suc. Sanblas'!G144</f>
        <v>0</v>
      </c>
      <c r="F144" s="5">
        <f>'LALO VARAS'!G144</f>
        <v>0</v>
      </c>
      <c r="G144" s="5">
        <f>'Suc. Santiago 2'!G144</f>
        <v>0</v>
      </c>
      <c r="H144" s="5">
        <f>'Suc. Tecuala'!G144</f>
        <v>0</v>
      </c>
      <c r="I144" s="5">
        <f>'Suc. Tuxpan'!G144</f>
        <v>0</v>
      </c>
      <c r="J144" s="5">
        <f>'Suc. Varas'!G144</f>
        <v>0</v>
      </c>
      <c r="K144" s="5">
        <f>'Suc. Santa María del Oro'!G144</f>
        <v>0</v>
      </c>
      <c r="L144" s="5">
        <f>'Suc. Villa Hidalgo'!G144</f>
        <v>0</v>
      </c>
      <c r="M144" s="5">
        <f>'Suc. Peñita'!G144</f>
        <v>0</v>
      </c>
      <c r="N144" s="5">
        <f t="shared" si="31"/>
        <v>0</v>
      </c>
      <c r="O144" s="5">
        <f t="shared" si="33"/>
        <v>0</v>
      </c>
      <c r="P144" s="5">
        <f t="shared" si="32"/>
        <v>0</v>
      </c>
    </row>
    <row r="145" spans="1:16" ht="17.399999999999999" x14ac:dyDescent="0.35">
      <c r="A145" s="95"/>
      <c r="B145" s="4">
        <f>'Suc. Acaponeta'!G145</f>
        <v>0</v>
      </c>
      <c r="C145" s="4">
        <f>'Suc. Compostela'!G145</f>
        <v>0</v>
      </c>
      <c r="D145" s="5">
        <f>'Suc. Ruiz'!G145</f>
        <v>0</v>
      </c>
      <c r="E145" s="5">
        <f>'Suc. Sanblas'!G145</f>
        <v>0</v>
      </c>
      <c r="F145" s="5">
        <f>'LALO VARAS'!G145</f>
        <v>0</v>
      </c>
      <c r="G145" s="5">
        <f>'Suc. Santiago 2'!G145</f>
        <v>0</v>
      </c>
      <c r="H145" s="5">
        <f>'Suc. Tecuala'!G145</f>
        <v>0</v>
      </c>
      <c r="I145" s="5">
        <f>'Suc. Tuxpan'!G145</f>
        <v>0</v>
      </c>
      <c r="J145" s="5">
        <f>'Suc. Varas'!G145</f>
        <v>0</v>
      </c>
      <c r="K145" s="5">
        <f>'Suc. Santa María del Oro'!G145</f>
        <v>0</v>
      </c>
      <c r="L145" s="5">
        <f>'Suc. Villa Hidalgo'!G145</f>
        <v>0</v>
      </c>
      <c r="M145" s="5">
        <f>'Suc. Peñita'!G145</f>
        <v>0</v>
      </c>
      <c r="N145" s="5">
        <f t="shared" si="31"/>
        <v>0</v>
      </c>
      <c r="O145" s="5">
        <f t="shared" si="33"/>
        <v>0</v>
      </c>
      <c r="P145" s="5">
        <f t="shared" si="32"/>
        <v>0</v>
      </c>
    </row>
    <row r="146" spans="1:16" ht="17.25" customHeight="1" x14ac:dyDescent="0.35">
      <c r="A146" s="95"/>
      <c r="B146" s="4">
        <f>'Suc. Acaponeta'!G146</f>
        <v>0</v>
      </c>
      <c r="C146" s="4">
        <f>'Suc. Compostela'!G146</f>
        <v>0</v>
      </c>
      <c r="D146" s="5">
        <f>'Suc. Ruiz'!G146</f>
        <v>0</v>
      </c>
      <c r="E146" s="5">
        <f>'Suc. Sanblas'!G146</f>
        <v>0</v>
      </c>
      <c r="F146" s="5">
        <f>'LALO VARAS'!G146</f>
        <v>0</v>
      </c>
      <c r="G146" s="5">
        <f>'Suc. Santiago 2'!G146</f>
        <v>0</v>
      </c>
      <c r="H146" s="5">
        <f>'Suc. Tecuala'!G146</f>
        <v>0</v>
      </c>
      <c r="I146" s="5">
        <f>'Suc. Tuxpan'!G146</f>
        <v>0</v>
      </c>
      <c r="J146" s="5">
        <f>'Suc. Varas'!G146</f>
        <v>0</v>
      </c>
      <c r="K146" s="5">
        <f>'Suc. Santa María del Oro'!G146</f>
        <v>0</v>
      </c>
      <c r="L146" s="5">
        <f>'Suc. Villa Hidalgo'!G146</f>
        <v>0</v>
      </c>
      <c r="M146" s="5">
        <f>'Suc. Peñita'!G146</f>
        <v>0</v>
      </c>
      <c r="N146" s="5">
        <f t="shared" si="31"/>
        <v>0</v>
      </c>
      <c r="O146" s="5">
        <f t="shared" si="33"/>
        <v>0</v>
      </c>
      <c r="P146" s="5">
        <f t="shared" si="32"/>
        <v>0</v>
      </c>
    </row>
    <row r="147" spans="1:16" ht="17.25" customHeight="1" x14ac:dyDescent="0.35">
      <c r="A147" s="95"/>
      <c r="B147" s="4">
        <f>'Suc. Acaponeta'!G147</f>
        <v>0</v>
      </c>
      <c r="C147" s="4">
        <f>'Suc. Compostela'!G147</f>
        <v>0</v>
      </c>
      <c r="D147" s="5">
        <f>'Suc. Ruiz'!G147</f>
        <v>0</v>
      </c>
      <c r="E147" s="5">
        <f>'Suc. Sanblas'!G147</f>
        <v>0</v>
      </c>
      <c r="F147" s="5">
        <f>'LALO VARAS'!G147</f>
        <v>0</v>
      </c>
      <c r="G147" s="5">
        <f>'Suc. Santiago 2'!G147</f>
        <v>0</v>
      </c>
      <c r="H147" s="5">
        <f>'Suc. Tecuala'!G147</f>
        <v>0</v>
      </c>
      <c r="I147" s="5">
        <f>'Suc. Tuxpan'!G147</f>
        <v>0</v>
      </c>
      <c r="J147" s="5">
        <f>'Suc. Varas'!G147</f>
        <v>0</v>
      </c>
      <c r="K147" s="5">
        <f>'Suc. Santa María del Oro'!G147</f>
        <v>0</v>
      </c>
      <c r="L147" s="5">
        <f>'Suc. Villa Hidalgo'!G147</f>
        <v>0</v>
      </c>
      <c r="M147" s="5">
        <f>'Suc. Peñita'!G147</f>
        <v>0</v>
      </c>
      <c r="N147" s="5">
        <f t="shared" si="31"/>
        <v>0</v>
      </c>
      <c r="O147" s="5">
        <f t="shared" si="33"/>
        <v>0</v>
      </c>
      <c r="P147" s="5">
        <f t="shared" si="32"/>
        <v>0</v>
      </c>
    </row>
    <row r="148" spans="1:16" ht="18" thickBot="1" x14ac:dyDescent="0.4">
      <c r="A148" s="95"/>
      <c r="B148" s="4">
        <f>'Suc. Acaponeta'!G148</f>
        <v>0</v>
      </c>
      <c r="C148" s="4">
        <f>'Suc. Compostela'!G148</f>
        <v>0</v>
      </c>
      <c r="D148" s="5">
        <f>'Suc. Ruiz'!G148</f>
        <v>0</v>
      </c>
      <c r="E148" s="5">
        <f>'Suc. Sanblas'!G148</f>
        <v>0</v>
      </c>
      <c r="F148" s="5">
        <f>'LALO VARAS'!G148</f>
        <v>0</v>
      </c>
      <c r="G148" s="5">
        <f>'Suc. Santiago 2'!G148</f>
        <v>0</v>
      </c>
      <c r="H148" s="5">
        <f>'Suc. Tecuala'!G148</f>
        <v>0</v>
      </c>
      <c r="I148" s="5">
        <f>'Suc. Tuxpan'!G148</f>
        <v>0</v>
      </c>
      <c r="J148" s="5">
        <f>'Suc. Varas'!G148</f>
        <v>0</v>
      </c>
      <c r="K148" s="5">
        <f>'Suc. Santa María del Oro'!G148</f>
        <v>0</v>
      </c>
      <c r="L148" s="5">
        <f>'Suc. Villa Hidalgo'!G148</f>
        <v>0</v>
      </c>
      <c r="M148" s="5">
        <f>'Suc. Peñita'!G148</f>
        <v>0</v>
      </c>
      <c r="N148" s="5">
        <f t="shared" si="31"/>
        <v>0</v>
      </c>
      <c r="O148" s="5">
        <f t="shared" si="33"/>
        <v>0</v>
      </c>
      <c r="P148" s="5">
        <f t="shared" si="32"/>
        <v>0</v>
      </c>
    </row>
    <row r="149" spans="1:16" ht="18" thickBot="1" x14ac:dyDescent="0.4">
      <c r="A149" s="173"/>
      <c r="B149" s="114">
        <f>SUM(B118:B127)</f>
        <v>0</v>
      </c>
      <c r="C149" s="114">
        <f t="shared" ref="C149:N149" si="34">SUM(C114:C127)</f>
        <v>55</v>
      </c>
      <c r="D149" s="114">
        <f t="shared" si="34"/>
        <v>0</v>
      </c>
      <c r="E149" s="114">
        <f t="shared" si="34"/>
        <v>0</v>
      </c>
      <c r="F149" s="114">
        <f t="shared" si="34"/>
        <v>37</v>
      </c>
      <c r="G149" s="114">
        <f>SUM(G118:G148,)</f>
        <v>0</v>
      </c>
      <c r="H149" s="114">
        <f t="shared" si="34"/>
        <v>0</v>
      </c>
      <c r="I149" s="114">
        <f t="shared" si="34"/>
        <v>103</v>
      </c>
      <c r="J149" s="114">
        <f t="shared" si="34"/>
        <v>0</v>
      </c>
      <c r="K149" s="114">
        <f t="shared" si="34"/>
        <v>40</v>
      </c>
      <c r="L149" s="114">
        <f t="shared" si="34"/>
        <v>0</v>
      </c>
      <c r="M149" s="114">
        <f t="shared" si="34"/>
        <v>0</v>
      </c>
      <c r="N149" s="114">
        <f t="shared" si="34"/>
        <v>235</v>
      </c>
      <c r="O149" s="114">
        <f>SUM(O118:O127)</f>
        <v>81</v>
      </c>
      <c r="P149" s="114">
        <f>SUM(P118:P127)</f>
        <v>75</v>
      </c>
    </row>
    <row r="150" spans="1:16" ht="18" thickBot="1" x14ac:dyDescent="0.4">
      <c r="A150" s="110" t="s">
        <v>86</v>
      </c>
      <c r="B150" s="59">
        <f t="shared" ref="B150:P150" si="35">B117+B149</f>
        <v>0</v>
      </c>
      <c r="C150" s="59">
        <f t="shared" si="35"/>
        <v>102</v>
      </c>
      <c r="D150" s="59">
        <f t="shared" si="35"/>
        <v>0</v>
      </c>
      <c r="E150" s="59">
        <f t="shared" si="35"/>
        <v>0</v>
      </c>
      <c r="F150" s="59">
        <f t="shared" si="35"/>
        <v>74</v>
      </c>
      <c r="G150" s="59">
        <f t="shared" si="35"/>
        <v>0</v>
      </c>
      <c r="H150" s="59">
        <f t="shared" si="35"/>
        <v>0</v>
      </c>
      <c r="I150" s="59">
        <f t="shared" si="35"/>
        <v>206</v>
      </c>
      <c r="J150" s="59">
        <f t="shared" si="35"/>
        <v>0</v>
      </c>
      <c r="K150" s="59">
        <f t="shared" si="35"/>
        <v>80</v>
      </c>
      <c r="L150" s="59">
        <f t="shared" si="35"/>
        <v>0</v>
      </c>
      <c r="M150" s="59">
        <f t="shared" si="35"/>
        <v>0</v>
      </c>
      <c r="N150" s="59">
        <f t="shared" si="35"/>
        <v>462</v>
      </c>
      <c r="O150" s="59">
        <f t="shared" si="35"/>
        <v>1542</v>
      </c>
      <c r="P150" s="59">
        <f t="shared" si="35"/>
        <v>1309</v>
      </c>
    </row>
  </sheetData>
  <mergeCells count="1">
    <mergeCell ref="B1:N1"/>
  </mergeCells>
  <phoneticPr fontId="11" type="noConversion"/>
  <conditionalFormatting sqref="P1:P1048576">
    <cfRule type="cellIs" dxfId="254" priority="23" operator="between">
      <formula>-0.1</formula>
      <formula>-10000</formula>
    </cfRule>
  </conditionalFormatting>
  <conditionalFormatting sqref="P3:P150">
    <cfRule type="cellIs" dxfId="253" priority="24" operator="lessThan">
      <formula>1</formula>
    </cfRule>
  </conditionalFormatting>
  <conditionalFormatting sqref="R1">
    <cfRule type="duplicateValues" dxfId="252" priority="9"/>
    <cfRule type="duplicateValues" dxfId="251" priority="10"/>
    <cfRule type="duplicateValues" dxfId="250" priority="11"/>
  </conditionalFormatting>
  <conditionalFormatting sqref="R35">
    <cfRule type="duplicateValues" dxfId="249" priority="1"/>
    <cfRule type="duplicateValues" dxfId="248" priority="2"/>
  </conditionalFormatting>
  <conditionalFormatting sqref="R36">
    <cfRule type="duplicateValues" dxfId="247" priority="3"/>
    <cfRule type="duplicateValues" dxfId="246" priority="4"/>
  </conditionalFormatting>
  <conditionalFormatting sqref="R37:R94 R2:R21 R24:R34">
    <cfRule type="duplicateValues" dxfId="245" priority="7"/>
    <cfRule type="duplicateValues" dxfId="244" priority="8"/>
  </conditionalFormatting>
  <conditionalFormatting sqref="R95">
    <cfRule type="duplicateValues" dxfId="243" priority="5"/>
    <cfRule type="duplicateValues" dxfId="242" priority="6"/>
  </conditionalFormatting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02F65-714C-4470-898A-983034F691B5}">
  <sheetPr>
    <tabColor theme="9" tint="0.39997558519241921"/>
  </sheetPr>
  <dimension ref="A1:B144"/>
  <sheetViews>
    <sheetView workbookViewId="0">
      <selection activeCell="F13" sqref="F13"/>
    </sheetView>
  </sheetViews>
  <sheetFormatPr baseColWidth="10" defaultRowHeight="14.4" x14ac:dyDescent="0.3"/>
  <cols>
    <col min="1" max="1" width="41.109375" bestFit="1" customWidth="1"/>
    <col min="2" max="2" width="12.44140625" customWidth="1"/>
  </cols>
  <sheetData>
    <row r="1" spans="1:2" ht="18" thickBot="1" x14ac:dyDescent="0.4">
      <c r="A1" s="204">
        <v>46301</v>
      </c>
      <c r="B1" s="205"/>
    </row>
    <row r="2" spans="1:2" ht="18" thickBot="1" x14ac:dyDescent="0.35">
      <c r="A2" s="90" t="s">
        <v>0</v>
      </c>
      <c r="B2" s="248"/>
    </row>
    <row r="3" spans="1:2" ht="17.399999999999999" x14ac:dyDescent="0.35">
      <c r="A3" s="93" t="s">
        <v>1</v>
      </c>
      <c r="B3" s="206"/>
    </row>
    <row r="4" spans="1:2" ht="17.399999999999999" x14ac:dyDescent="0.35">
      <c r="A4" s="93" t="s">
        <v>2</v>
      </c>
      <c r="B4" s="206"/>
    </row>
    <row r="5" spans="1:2" ht="17.399999999999999" x14ac:dyDescent="0.35">
      <c r="A5" s="93" t="s">
        <v>3</v>
      </c>
      <c r="B5" s="206"/>
    </row>
    <row r="6" spans="1:2" ht="17.399999999999999" x14ac:dyDescent="0.35">
      <c r="A6" s="93" t="s">
        <v>4</v>
      </c>
      <c r="B6" s="206"/>
    </row>
    <row r="7" spans="1:2" ht="17.399999999999999" x14ac:dyDescent="0.35">
      <c r="A7" s="93" t="s">
        <v>5</v>
      </c>
      <c r="B7" s="206"/>
    </row>
    <row r="8" spans="1:2" ht="17.399999999999999" x14ac:dyDescent="0.35">
      <c r="A8" s="93" t="s">
        <v>6</v>
      </c>
      <c r="B8" s="249"/>
    </row>
    <row r="9" spans="1:2" ht="17.399999999999999" x14ac:dyDescent="0.35">
      <c r="A9" s="93" t="s">
        <v>7</v>
      </c>
      <c r="B9" s="249"/>
    </row>
    <row r="10" spans="1:2" ht="17.399999999999999" x14ac:dyDescent="0.35">
      <c r="A10" s="93" t="s">
        <v>8</v>
      </c>
      <c r="B10" s="249"/>
    </row>
    <row r="11" spans="1:2" ht="17.399999999999999" x14ac:dyDescent="0.35">
      <c r="A11" s="93" t="s">
        <v>9</v>
      </c>
      <c r="B11" s="159"/>
    </row>
    <row r="12" spans="1:2" ht="17.399999999999999" x14ac:dyDescent="0.35">
      <c r="A12" s="93"/>
      <c r="B12" s="159"/>
    </row>
    <row r="13" spans="1:2" ht="18" thickBot="1" x14ac:dyDescent="0.4">
      <c r="A13" s="93"/>
      <c r="B13" s="159"/>
    </row>
    <row r="14" spans="1:2" ht="18" thickBot="1" x14ac:dyDescent="0.4">
      <c r="A14" s="96" t="s">
        <v>10</v>
      </c>
      <c r="B14" s="235"/>
    </row>
    <row r="15" spans="1:2" ht="17.399999999999999" x14ac:dyDescent="0.35">
      <c r="A15" s="97" t="s">
        <v>676</v>
      </c>
      <c r="B15" s="206"/>
    </row>
    <row r="16" spans="1:2" ht="17.399999999999999" x14ac:dyDescent="0.35">
      <c r="A16" s="97" t="s">
        <v>11</v>
      </c>
      <c r="B16" s="206"/>
    </row>
    <row r="17" spans="1:2" ht="17.399999999999999" x14ac:dyDescent="0.35">
      <c r="A17" s="97" t="s">
        <v>344</v>
      </c>
      <c r="B17" s="206"/>
    </row>
    <row r="18" spans="1:2" ht="17.399999999999999" x14ac:dyDescent="0.35">
      <c r="A18" s="97" t="s">
        <v>832</v>
      </c>
      <c r="B18" s="206"/>
    </row>
    <row r="19" spans="1:2" ht="17.399999999999999" x14ac:dyDescent="0.35">
      <c r="A19" s="97" t="s">
        <v>12</v>
      </c>
      <c r="B19" s="206"/>
    </row>
    <row r="20" spans="1:2" ht="17.399999999999999" x14ac:dyDescent="0.35">
      <c r="A20" s="97" t="s">
        <v>432</v>
      </c>
      <c r="B20" s="206"/>
    </row>
    <row r="21" spans="1:2" ht="17.399999999999999" x14ac:dyDescent="0.35">
      <c r="A21" s="97" t="s">
        <v>468</v>
      </c>
      <c r="B21" s="206"/>
    </row>
    <row r="22" spans="1:2" ht="17.399999999999999" x14ac:dyDescent="0.3">
      <c r="A22" s="86"/>
      <c r="B22" s="206"/>
    </row>
    <row r="23" spans="1:2" ht="17.399999999999999" x14ac:dyDescent="0.3">
      <c r="A23" s="86"/>
      <c r="B23" s="206"/>
    </row>
    <row r="24" spans="1:2" ht="18" thickBot="1" x14ac:dyDescent="0.4">
      <c r="A24" s="97"/>
      <c r="B24" s="206"/>
    </row>
    <row r="25" spans="1:2" ht="18" thickBot="1" x14ac:dyDescent="0.4">
      <c r="A25" s="98" t="s">
        <v>13</v>
      </c>
      <c r="B25" s="236"/>
    </row>
    <row r="26" spans="1:2" ht="17.399999999999999" x14ac:dyDescent="0.35">
      <c r="A26" s="97" t="s">
        <v>14</v>
      </c>
      <c r="B26" s="206"/>
    </row>
    <row r="27" spans="1:2" ht="17.399999999999999" x14ac:dyDescent="0.35">
      <c r="A27" s="97" t="s">
        <v>15</v>
      </c>
      <c r="B27" s="206"/>
    </row>
    <row r="28" spans="1:2" ht="17.399999999999999" x14ac:dyDescent="0.35">
      <c r="A28" s="97" t="s">
        <v>16</v>
      </c>
      <c r="B28" s="206"/>
    </row>
    <row r="29" spans="1:2" ht="17.399999999999999" x14ac:dyDescent="0.35">
      <c r="A29" s="97" t="s">
        <v>17</v>
      </c>
      <c r="B29" s="206"/>
    </row>
    <row r="30" spans="1:2" ht="17.399999999999999" x14ac:dyDescent="0.35">
      <c r="A30" s="97" t="s">
        <v>18</v>
      </c>
      <c r="B30" s="206"/>
    </row>
    <row r="31" spans="1:2" ht="17.399999999999999" x14ac:dyDescent="0.35">
      <c r="A31" s="97" t="s">
        <v>22</v>
      </c>
      <c r="B31" s="206"/>
    </row>
    <row r="32" spans="1:2" ht="17.399999999999999" x14ac:dyDescent="0.35">
      <c r="A32" s="97" t="s">
        <v>23</v>
      </c>
      <c r="B32" s="206"/>
    </row>
    <row r="33" spans="1:2" ht="17.399999999999999" x14ac:dyDescent="0.35">
      <c r="A33" s="97" t="s">
        <v>24</v>
      </c>
      <c r="B33" s="206"/>
    </row>
    <row r="34" spans="1:2" ht="17.399999999999999" x14ac:dyDescent="0.35">
      <c r="A34" s="97" t="s">
        <v>25</v>
      </c>
      <c r="B34" s="206"/>
    </row>
    <row r="35" spans="1:2" ht="17.399999999999999" x14ac:dyDescent="0.35">
      <c r="A35" s="97"/>
      <c r="B35" s="206"/>
    </row>
    <row r="36" spans="1:2" ht="17.399999999999999" x14ac:dyDescent="0.35">
      <c r="A36" s="97"/>
      <c r="B36" s="206"/>
    </row>
    <row r="37" spans="1:2" ht="17.399999999999999" x14ac:dyDescent="0.35">
      <c r="A37" s="97"/>
      <c r="B37" s="206"/>
    </row>
    <row r="38" spans="1:2" ht="18" thickBot="1" x14ac:dyDescent="0.4">
      <c r="A38" s="97"/>
      <c r="B38" s="206"/>
    </row>
    <row r="39" spans="1:2" ht="18" thickBot="1" x14ac:dyDescent="0.4">
      <c r="A39" s="99" t="s">
        <v>29</v>
      </c>
      <c r="B39" s="236"/>
    </row>
    <row r="40" spans="1:2" ht="17.399999999999999" x14ac:dyDescent="0.35">
      <c r="A40" s="93" t="s">
        <v>30</v>
      </c>
      <c r="B40" s="206"/>
    </row>
    <row r="41" spans="1:2" ht="18" thickBot="1" x14ac:dyDescent="0.4">
      <c r="A41" s="95" t="s">
        <v>31</v>
      </c>
      <c r="B41" s="206"/>
    </row>
    <row r="42" spans="1:2" ht="18" thickBot="1" x14ac:dyDescent="0.4">
      <c r="A42" s="100" t="s">
        <v>32</v>
      </c>
      <c r="B42" s="236"/>
    </row>
    <row r="43" spans="1:2" ht="17.399999999999999" x14ac:dyDescent="0.35">
      <c r="A43" s="93" t="s">
        <v>33</v>
      </c>
      <c r="B43" s="206"/>
    </row>
    <row r="44" spans="1:2" ht="18" thickBot="1" x14ac:dyDescent="0.4">
      <c r="A44" s="95" t="s">
        <v>34</v>
      </c>
      <c r="B44" s="206"/>
    </row>
    <row r="45" spans="1:2" ht="18" thickBot="1" x14ac:dyDescent="0.4">
      <c r="A45" s="99" t="s">
        <v>35</v>
      </c>
      <c r="B45" s="236"/>
    </row>
    <row r="46" spans="1:2" ht="17.399999999999999" x14ac:dyDescent="0.35">
      <c r="A46" s="93" t="s">
        <v>36</v>
      </c>
      <c r="B46" s="206"/>
    </row>
    <row r="47" spans="1:2" ht="17.399999999999999" x14ac:dyDescent="0.35">
      <c r="A47" s="93" t="s">
        <v>37</v>
      </c>
      <c r="B47" s="206"/>
    </row>
    <row r="48" spans="1:2" ht="17.399999999999999" x14ac:dyDescent="0.35">
      <c r="A48" s="93" t="s">
        <v>39</v>
      </c>
      <c r="B48" s="206"/>
    </row>
    <row r="49" spans="1:2" ht="17.399999999999999" x14ac:dyDescent="0.35">
      <c r="A49" s="93" t="s">
        <v>40</v>
      </c>
      <c r="B49" s="206"/>
    </row>
    <row r="50" spans="1:2" ht="17.399999999999999" x14ac:dyDescent="0.35">
      <c r="A50" s="93" t="s">
        <v>41</v>
      </c>
      <c r="B50" s="206"/>
    </row>
    <row r="51" spans="1:2" ht="17.399999999999999" x14ac:dyDescent="0.3">
      <c r="A51" s="101" t="s">
        <v>42</v>
      </c>
      <c r="B51" s="206"/>
    </row>
    <row r="52" spans="1:2" ht="17.399999999999999" x14ac:dyDescent="0.3">
      <c r="A52" s="102" t="s">
        <v>43</v>
      </c>
      <c r="B52" s="206"/>
    </row>
    <row r="53" spans="1:2" ht="17.399999999999999" x14ac:dyDescent="0.35">
      <c r="A53" s="93" t="s">
        <v>44</v>
      </c>
      <c r="B53" s="206"/>
    </row>
    <row r="54" spans="1:2" ht="17.399999999999999" x14ac:dyDescent="0.35">
      <c r="A54" s="93" t="s">
        <v>45</v>
      </c>
      <c r="B54" s="206"/>
    </row>
    <row r="55" spans="1:2" ht="17.399999999999999" x14ac:dyDescent="0.35">
      <c r="A55" s="93" t="s">
        <v>46</v>
      </c>
      <c r="B55" s="206"/>
    </row>
    <row r="56" spans="1:2" ht="17.399999999999999" x14ac:dyDescent="0.35">
      <c r="A56" s="93" t="s">
        <v>48</v>
      </c>
      <c r="B56" s="206"/>
    </row>
    <row r="57" spans="1:2" ht="17.399999999999999" x14ac:dyDescent="0.35">
      <c r="A57" s="93" t="s">
        <v>49</v>
      </c>
      <c r="B57" s="206"/>
    </row>
    <row r="58" spans="1:2" ht="17.399999999999999" x14ac:dyDescent="0.35">
      <c r="A58" s="93" t="s">
        <v>50</v>
      </c>
      <c r="B58" s="206"/>
    </row>
    <row r="59" spans="1:2" ht="17.399999999999999" x14ac:dyDescent="0.35">
      <c r="A59" s="93" t="s">
        <v>51</v>
      </c>
      <c r="B59" s="206"/>
    </row>
    <row r="60" spans="1:2" ht="17.399999999999999" x14ac:dyDescent="0.35">
      <c r="A60" s="93" t="s">
        <v>53</v>
      </c>
      <c r="B60" s="206"/>
    </row>
    <row r="61" spans="1:2" ht="18" thickBot="1" x14ac:dyDescent="0.4">
      <c r="A61" s="93" t="s">
        <v>47</v>
      </c>
      <c r="B61" s="206"/>
    </row>
    <row r="62" spans="1:2" ht="18" thickBot="1" x14ac:dyDescent="0.4">
      <c r="A62" s="99" t="s">
        <v>54</v>
      </c>
      <c r="B62" s="237"/>
    </row>
    <row r="63" spans="1:2" ht="18.600000000000001" thickBot="1" x14ac:dyDescent="0.4">
      <c r="A63" s="103" t="s">
        <v>55</v>
      </c>
      <c r="B63" s="238"/>
    </row>
    <row r="64" spans="1:2" ht="17.399999999999999" x14ac:dyDescent="0.35">
      <c r="A64" s="104" t="s">
        <v>56</v>
      </c>
      <c r="B64" s="250"/>
    </row>
    <row r="65" spans="1:2" ht="17.399999999999999" x14ac:dyDescent="0.35">
      <c r="A65" s="94" t="s">
        <v>57</v>
      </c>
      <c r="B65" s="206"/>
    </row>
    <row r="66" spans="1:2" ht="17.399999999999999" x14ac:dyDescent="0.35">
      <c r="A66" s="94" t="s">
        <v>58</v>
      </c>
      <c r="B66" s="206"/>
    </row>
    <row r="67" spans="1:2" ht="17.399999999999999" x14ac:dyDescent="0.35">
      <c r="A67" s="94" t="s">
        <v>59</v>
      </c>
      <c r="B67" s="206"/>
    </row>
    <row r="68" spans="1:2" ht="17.399999999999999" x14ac:dyDescent="0.35">
      <c r="A68" s="94" t="s">
        <v>60</v>
      </c>
      <c r="B68" s="206"/>
    </row>
    <row r="69" spans="1:2" ht="17.399999999999999" x14ac:dyDescent="0.35">
      <c r="A69" s="94" t="s">
        <v>61</v>
      </c>
      <c r="B69" s="206"/>
    </row>
    <row r="70" spans="1:2" ht="18" thickBot="1" x14ac:dyDescent="0.4">
      <c r="A70" s="94" t="s">
        <v>63</v>
      </c>
      <c r="B70" s="206"/>
    </row>
    <row r="71" spans="1:2" ht="18.600000000000001" thickBot="1" x14ac:dyDescent="0.4">
      <c r="A71" s="105" t="s">
        <v>55</v>
      </c>
      <c r="B71" s="239"/>
    </row>
    <row r="72" spans="1:2" ht="17.399999999999999" x14ac:dyDescent="0.35">
      <c r="A72" s="106" t="s">
        <v>64</v>
      </c>
      <c r="B72" s="206"/>
    </row>
    <row r="73" spans="1:2" ht="17.399999999999999" x14ac:dyDescent="0.35">
      <c r="A73" s="94" t="s">
        <v>65</v>
      </c>
      <c r="B73" s="206"/>
    </row>
    <row r="74" spans="1:2" ht="17.399999999999999" x14ac:dyDescent="0.35">
      <c r="A74" s="94" t="s">
        <v>66</v>
      </c>
      <c r="B74" s="206"/>
    </row>
    <row r="75" spans="1:2" ht="17.399999999999999" x14ac:dyDescent="0.35">
      <c r="A75" s="94" t="s">
        <v>68</v>
      </c>
      <c r="B75" s="206"/>
    </row>
    <row r="76" spans="1:2" ht="17.399999999999999" x14ac:dyDescent="0.35">
      <c r="A76" s="94" t="s">
        <v>69</v>
      </c>
      <c r="B76" s="206"/>
    </row>
    <row r="77" spans="1:2" ht="17.399999999999999" x14ac:dyDescent="0.35">
      <c r="A77" s="94" t="s">
        <v>70</v>
      </c>
      <c r="B77" s="206"/>
    </row>
    <row r="78" spans="1:2" ht="17.399999999999999" x14ac:dyDescent="0.35">
      <c r="A78" s="94" t="s">
        <v>857</v>
      </c>
      <c r="B78" s="206"/>
    </row>
    <row r="79" spans="1:2" ht="17.399999999999999" x14ac:dyDescent="0.3">
      <c r="A79" s="102" t="s">
        <v>835</v>
      </c>
      <c r="B79" s="206"/>
    </row>
    <row r="80" spans="1:2" ht="17.399999999999999" x14ac:dyDescent="0.3">
      <c r="A80" s="102" t="s">
        <v>72</v>
      </c>
      <c r="B80" s="206"/>
    </row>
    <row r="81" spans="1:2" ht="17.399999999999999" x14ac:dyDescent="0.35">
      <c r="A81" s="94" t="s">
        <v>73</v>
      </c>
      <c r="B81" s="206"/>
    </row>
    <row r="82" spans="1:2" ht="17.399999999999999" x14ac:dyDescent="0.35">
      <c r="A82" s="94" t="s">
        <v>74</v>
      </c>
      <c r="B82" s="206"/>
    </row>
    <row r="83" spans="1:2" ht="18" thickBot="1" x14ac:dyDescent="0.4">
      <c r="A83" s="95" t="s">
        <v>75</v>
      </c>
      <c r="B83" s="206"/>
    </row>
    <row r="84" spans="1:2" ht="18.600000000000001" thickBot="1" x14ac:dyDescent="0.4">
      <c r="A84" s="107" t="s">
        <v>55</v>
      </c>
      <c r="B84" s="240"/>
    </row>
    <row r="85" spans="1:2" ht="18" thickBot="1" x14ac:dyDescent="0.4">
      <c r="A85" s="108" t="s">
        <v>76</v>
      </c>
      <c r="B85" s="251"/>
    </row>
    <row r="86" spans="1:2" ht="17.399999999999999" x14ac:dyDescent="0.35">
      <c r="A86" s="94" t="s">
        <v>77</v>
      </c>
      <c r="B86" s="206"/>
    </row>
    <row r="87" spans="1:2" ht="17.399999999999999" x14ac:dyDescent="0.35">
      <c r="A87" s="94" t="s">
        <v>621</v>
      </c>
      <c r="B87" s="206"/>
    </row>
    <row r="88" spans="1:2" ht="17.399999999999999" x14ac:dyDescent="0.35">
      <c r="A88" s="94" t="s">
        <v>80</v>
      </c>
      <c r="B88" s="206"/>
    </row>
    <row r="89" spans="1:2" ht="17.399999999999999" x14ac:dyDescent="0.35">
      <c r="A89" s="94" t="s">
        <v>81</v>
      </c>
      <c r="B89" s="206"/>
    </row>
    <row r="90" spans="1:2" ht="18" thickBot="1" x14ac:dyDescent="0.4">
      <c r="A90" s="95" t="s">
        <v>83</v>
      </c>
      <c r="B90" s="206"/>
    </row>
    <row r="91" spans="1:2" ht="18" thickBot="1" x14ac:dyDescent="0.4">
      <c r="A91" s="109" t="s">
        <v>55</v>
      </c>
      <c r="B91" s="241"/>
    </row>
    <row r="92" spans="1:2" ht="17.399999999999999" x14ac:dyDescent="0.35">
      <c r="A92" s="93" t="s">
        <v>84</v>
      </c>
      <c r="B92" s="206"/>
    </row>
    <row r="93" spans="1:2" ht="17.399999999999999" x14ac:dyDescent="0.35">
      <c r="A93" s="95" t="s">
        <v>85</v>
      </c>
      <c r="B93" s="206"/>
    </row>
    <row r="94" spans="1:2" ht="18" thickBot="1" x14ac:dyDescent="0.4">
      <c r="A94" s="95" t="s">
        <v>881</v>
      </c>
      <c r="B94" s="206"/>
    </row>
    <row r="95" spans="1:2" ht="18" thickBot="1" x14ac:dyDescent="0.4">
      <c r="A95" s="110" t="s">
        <v>86</v>
      </c>
      <c r="B95" s="242"/>
    </row>
    <row r="96" spans="1:2" ht="17.399999999999999" x14ac:dyDescent="0.35">
      <c r="A96" s="95" t="s">
        <v>975</v>
      </c>
      <c r="B96" s="206"/>
    </row>
    <row r="97" spans="1:2" ht="17.399999999999999" x14ac:dyDescent="0.35">
      <c r="A97" s="95" t="s">
        <v>974</v>
      </c>
      <c r="B97" s="206"/>
    </row>
    <row r="98" spans="1:2" ht="17.399999999999999" x14ac:dyDescent="0.35">
      <c r="A98" s="95" t="s">
        <v>1077</v>
      </c>
      <c r="B98" s="206"/>
    </row>
    <row r="99" spans="1:2" ht="17.399999999999999" x14ac:dyDescent="0.35">
      <c r="A99" s="95" t="s">
        <v>1076</v>
      </c>
      <c r="B99" s="206"/>
    </row>
    <row r="100" spans="1:2" ht="17.399999999999999" x14ac:dyDescent="0.35">
      <c r="A100" s="95" t="s">
        <v>1023</v>
      </c>
      <c r="B100" s="206"/>
    </row>
    <row r="101" spans="1:2" ht="17.399999999999999" x14ac:dyDescent="0.35">
      <c r="A101" s="95" t="s">
        <v>1107</v>
      </c>
      <c r="B101" s="206"/>
    </row>
    <row r="102" spans="1:2" ht="17.399999999999999" x14ac:dyDescent="0.35">
      <c r="A102" s="95" t="s">
        <v>377</v>
      </c>
      <c r="B102" s="206"/>
    </row>
    <row r="103" spans="1:2" ht="17.399999999999999" x14ac:dyDescent="0.35">
      <c r="A103" s="95" t="s">
        <v>1014</v>
      </c>
    </row>
    <row r="104" spans="1:2" ht="17.399999999999999" x14ac:dyDescent="0.35">
      <c r="A104" s="95" t="s">
        <v>1015</v>
      </c>
      <c r="B104" s="206"/>
    </row>
    <row r="105" spans="1:2" ht="17.399999999999999" x14ac:dyDescent="0.35">
      <c r="A105" s="95" t="s">
        <v>1016</v>
      </c>
      <c r="B105" s="206"/>
    </row>
    <row r="106" spans="1:2" ht="17.399999999999999" x14ac:dyDescent="0.35">
      <c r="A106" s="95" t="s">
        <v>1017</v>
      </c>
      <c r="B106" s="206"/>
    </row>
    <row r="107" spans="1:2" ht="17.399999999999999" x14ac:dyDescent="0.35">
      <c r="A107" s="95" t="s">
        <v>1118</v>
      </c>
      <c r="B107" s="206"/>
    </row>
    <row r="108" spans="1:2" ht="17.399999999999999" x14ac:dyDescent="0.35">
      <c r="A108" s="95" t="s">
        <v>1119</v>
      </c>
      <c r="B108" s="206"/>
    </row>
    <row r="109" spans="1:2" ht="17.399999999999999" x14ac:dyDescent="0.35">
      <c r="A109" s="95" t="s">
        <v>1120</v>
      </c>
      <c r="B109" s="206"/>
    </row>
    <row r="110" spans="1:2" ht="17.399999999999999" x14ac:dyDescent="0.35">
      <c r="A110" s="95" t="s">
        <v>568</v>
      </c>
      <c r="B110" s="206"/>
    </row>
    <row r="111" spans="1:2" ht="17.399999999999999" x14ac:dyDescent="0.35">
      <c r="A111" s="95" t="s">
        <v>912</v>
      </c>
      <c r="B111" s="206"/>
    </row>
    <row r="112" spans="1:2" ht="17.399999999999999" x14ac:dyDescent="0.35">
      <c r="A112" s="95" t="s">
        <v>557</v>
      </c>
      <c r="B112" s="206"/>
    </row>
    <row r="113" spans="1:2" ht="17.399999999999999" x14ac:dyDescent="0.35">
      <c r="A113" s="95" t="s">
        <v>565</v>
      </c>
      <c r="B113" s="206"/>
    </row>
    <row r="114" spans="1:2" ht="17.399999999999999" x14ac:dyDescent="0.35">
      <c r="A114" s="95" t="s">
        <v>573</v>
      </c>
      <c r="B114" s="206"/>
    </row>
    <row r="115" spans="1:2" ht="17.399999999999999" x14ac:dyDescent="0.35">
      <c r="A115" s="95" t="s">
        <v>914</v>
      </c>
      <c r="B115" s="206"/>
    </row>
    <row r="116" spans="1:2" ht="17.399999999999999" x14ac:dyDescent="0.35">
      <c r="A116" s="95" t="s">
        <v>421</v>
      </c>
      <c r="B116" s="206"/>
    </row>
    <row r="117" spans="1:2" ht="17.399999999999999" x14ac:dyDescent="0.35">
      <c r="A117" s="95" t="s">
        <v>1030</v>
      </c>
      <c r="B117" s="206"/>
    </row>
    <row r="118" spans="1:2" ht="17.399999999999999" x14ac:dyDescent="0.35">
      <c r="A118" s="95" t="s">
        <v>253</v>
      </c>
      <c r="B118" s="206"/>
    </row>
    <row r="119" spans="1:2" ht="17.399999999999999" x14ac:dyDescent="0.35">
      <c r="A119" s="95" t="s">
        <v>249</v>
      </c>
      <c r="B119" s="206"/>
    </row>
    <row r="120" spans="1:2" ht="17.399999999999999" x14ac:dyDescent="0.35">
      <c r="A120" s="95" t="s">
        <v>240</v>
      </c>
      <c r="B120" s="206"/>
    </row>
    <row r="121" spans="1:2" ht="17.399999999999999" x14ac:dyDescent="0.35">
      <c r="A121" s="95" t="s">
        <v>204</v>
      </c>
      <c r="B121" s="206"/>
    </row>
    <row r="122" spans="1:2" ht="17.399999999999999" x14ac:dyDescent="0.35">
      <c r="A122" s="95" t="s">
        <v>1132</v>
      </c>
      <c r="B122" s="206"/>
    </row>
    <row r="123" spans="1:2" ht="17.399999999999999" x14ac:dyDescent="0.35">
      <c r="A123" s="95" t="s">
        <v>1125</v>
      </c>
      <c r="B123" s="206"/>
    </row>
    <row r="124" spans="1:2" ht="17.399999999999999" x14ac:dyDescent="0.35">
      <c r="A124" s="95" t="s">
        <v>1126</v>
      </c>
      <c r="B124" s="206"/>
    </row>
    <row r="125" spans="1:2" ht="17.399999999999999" x14ac:dyDescent="0.3">
      <c r="A125" s="243" t="s">
        <v>1120</v>
      </c>
      <c r="B125" s="206"/>
    </row>
    <row r="126" spans="1:2" ht="17.399999999999999" x14ac:dyDescent="0.35">
      <c r="A126" s="95"/>
      <c r="B126" s="206"/>
    </row>
    <row r="127" spans="1:2" ht="17.399999999999999" x14ac:dyDescent="0.35">
      <c r="A127" s="95"/>
      <c r="B127" s="206"/>
    </row>
    <row r="128" spans="1:2" ht="17.399999999999999" x14ac:dyDescent="0.35">
      <c r="A128" s="95"/>
      <c r="B128" s="206"/>
    </row>
    <row r="129" spans="1:2" ht="17.399999999999999" x14ac:dyDescent="0.35">
      <c r="A129" s="95"/>
      <c r="B129" s="206"/>
    </row>
    <row r="130" spans="1:2" ht="17.399999999999999" x14ac:dyDescent="0.35">
      <c r="A130" s="95"/>
      <c r="B130" s="206"/>
    </row>
    <row r="131" spans="1:2" ht="17.399999999999999" x14ac:dyDescent="0.35">
      <c r="A131" s="95"/>
      <c r="B131" s="206"/>
    </row>
    <row r="132" spans="1:2" ht="17.399999999999999" x14ac:dyDescent="0.35">
      <c r="A132" s="95"/>
      <c r="B132" s="206"/>
    </row>
    <row r="133" spans="1:2" ht="17.399999999999999" x14ac:dyDescent="0.35">
      <c r="A133" s="95"/>
      <c r="B133" s="206"/>
    </row>
    <row r="134" spans="1:2" ht="17.399999999999999" x14ac:dyDescent="0.35">
      <c r="A134" s="95"/>
      <c r="B134" s="206"/>
    </row>
    <row r="135" spans="1:2" ht="17.399999999999999" x14ac:dyDescent="0.35">
      <c r="A135" s="95"/>
      <c r="B135" s="206"/>
    </row>
    <row r="136" spans="1:2" ht="17.399999999999999" x14ac:dyDescent="0.35">
      <c r="A136" s="95"/>
      <c r="B136" s="206"/>
    </row>
    <row r="137" spans="1:2" ht="17.399999999999999" x14ac:dyDescent="0.35">
      <c r="A137" s="95"/>
      <c r="B137" s="206"/>
    </row>
    <row r="138" spans="1:2" ht="17.399999999999999" x14ac:dyDescent="0.35">
      <c r="A138" s="95"/>
      <c r="B138" s="206"/>
    </row>
    <row r="139" spans="1:2" ht="17.399999999999999" x14ac:dyDescent="0.35">
      <c r="A139" s="95"/>
      <c r="B139" s="206"/>
    </row>
    <row r="140" spans="1:2" ht="17.399999999999999" x14ac:dyDescent="0.35">
      <c r="A140" s="95"/>
      <c r="B140" s="206"/>
    </row>
    <row r="141" spans="1:2" ht="17.399999999999999" x14ac:dyDescent="0.35">
      <c r="A141" s="95"/>
      <c r="B141" s="206"/>
    </row>
    <row r="142" spans="1:2" ht="17.399999999999999" x14ac:dyDescent="0.35">
      <c r="A142" s="95"/>
      <c r="B142" s="206"/>
    </row>
    <row r="143" spans="1:2" ht="15" thickBot="1" x14ac:dyDescent="0.35">
      <c r="A143" s="173"/>
      <c r="B143" s="207"/>
    </row>
    <row r="144" spans="1:2" ht="18.600000000000001" thickBot="1" x14ac:dyDescent="0.4">
      <c r="A144" s="110" t="s">
        <v>86</v>
      </c>
      <c r="B144" s="208"/>
    </row>
  </sheetData>
  <conditionalFormatting sqref="A1">
    <cfRule type="duplicateValues" dxfId="241" priority="9"/>
    <cfRule type="duplicateValues" dxfId="240" priority="10"/>
    <cfRule type="duplicateValues" dxfId="239" priority="11"/>
  </conditionalFormatting>
  <conditionalFormatting sqref="A35">
    <cfRule type="duplicateValues" dxfId="238" priority="1"/>
    <cfRule type="duplicateValues" dxfId="237" priority="2"/>
  </conditionalFormatting>
  <conditionalFormatting sqref="A36">
    <cfRule type="duplicateValues" dxfId="236" priority="3"/>
    <cfRule type="duplicateValues" dxfId="235" priority="4"/>
  </conditionalFormatting>
  <conditionalFormatting sqref="A37:A94 A2:A21 A24:A34">
    <cfRule type="duplicateValues" dxfId="234" priority="7"/>
    <cfRule type="duplicateValues" dxfId="233" priority="8"/>
  </conditionalFormatting>
  <conditionalFormatting sqref="A95">
    <cfRule type="duplicateValues" dxfId="232" priority="5"/>
    <cfRule type="duplicateValues" dxfId="231" priority="6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0D025-451E-4366-8978-EB10952435B7}">
  <sheetPr>
    <tabColor rgb="FF7030A0"/>
  </sheetPr>
  <dimension ref="A1:AF150"/>
  <sheetViews>
    <sheetView zoomScale="80" zoomScaleNormal="80" workbookViewId="0">
      <pane xSplit="1" ySplit="2" topLeftCell="M123" activePane="bottomRight" state="frozen"/>
      <selection activeCell="A3" sqref="A3"/>
      <selection pane="topRight" activeCell="A3" sqref="A3"/>
      <selection pane="bottomLeft" activeCell="A3" sqref="A3"/>
      <selection pane="bottomRight" activeCell="A141" sqref="A141"/>
    </sheetView>
  </sheetViews>
  <sheetFormatPr baseColWidth="10" defaultRowHeight="14.4" outlineLevelCol="1" x14ac:dyDescent="0.3"/>
  <cols>
    <col min="1" max="1" width="55.6640625" customWidth="1"/>
    <col min="2" max="6" width="12.6640625" customWidth="1" outlineLevel="1"/>
    <col min="7" max="7" width="12.6640625" hidden="1" customWidth="1" outlineLevel="1"/>
    <col min="8" max="11" width="12.6640625" customWidth="1" outlineLevel="1"/>
    <col min="12" max="12" width="12.6640625" customWidth="1"/>
    <col min="13" max="13" width="12.6640625" customWidth="1" outlineLevel="1"/>
    <col min="14" max="14" width="13.88671875" customWidth="1" outlineLevel="1"/>
    <col min="15" max="24" width="12.6640625" customWidth="1" outlineLevel="1"/>
    <col min="25" max="26" width="12.6640625" customWidth="1"/>
    <col min="27" max="27" width="3.109375" customWidth="1"/>
    <col min="28" max="28" width="12.6640625" customWidth="1"/>
    <col min="29" max="29" width="2.109375" customWidth="1"/>
    <col min="30" max="30" width="12.6640625" customWidth="1"/>
    <col min="31" max="32" width="11.44140625" style="84" customWidth="1"/>
    <col min="33" max="33" width="11.44140625" customWidth="1"/>
  </cols>
  <sheetData>
    <row r="1" spans="1:30" ht="18" thickBot="1" x14ac:dyDescent="0.4">
      <c r="A1" s="1">
        <f>RAIZ!B1</f>
        <v>46301</v>
      </c>
      <c r="B1" s="257" t="s">
        <v>837</v>
      </c>
      <c r="C1" s="257"/>
      <c r="D1" s="257"/>
      <c r="E1" s="257"/>
      <c r="F1" s="257"/>
      <c r="G1" s="257"/>
      <c r="H1" s="257"/>
      <c r="I1" s="257"/>
      <c r="J1" s="257"/>
      <c r="K1" s="257"/>
      <c r="L1" s="164"/>
      <c r="M1" s="257" t="s">
        <v>839</v>
      </c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167"/>
      <c r="Y1" s="164"/>
      <c r="AB1" s="164"/>
      <c r="AD1" s="164"/>
    </row>
    <row r="2" spans="1:30" ht="31.8" thickBot="1" x14ac:dyDescent="0.35">
      <c r="A2" s="90" t="s">
        <v>0</v>
      </c>
      <c r="B2" s="62" t="s">
        <v>701</v>
      </c>
      <c r="C2" s="62" t="s">
        <v>706</v>
      </c>
      <c r="D2" s="62" t="s">
        <v>707</v>
      </c>
      <c r="E2" s="62" t="s">
        <v>708</v>
      </c>
      <c r="F2" s="62" t="s">
        <v>709</v>
      </c>
      <c r="G2" s="62" t="s">
        <v>710</v>
      </c>
      <c r="H2" s="62" t="s">
        <v>711</v>
      </c>
      <c r="I2" s="62" t="s">
        <v>712</v>
      </c>
      <c r="J2" s="62" t="s">
        <v>713</v>
      </c>
      <c r="K2" s="62" t="s">
        <v>714</v>
      </c>
      <c r="L2" s="61" t="s">
        <v>838</v>
      </c>
      <c r="M2" s="62" t="s">
        <v>717</v>
      </c>
      <c r="N2" s="62" t="s">
        <v>718</v>
      </c>
      <c r="O2" s="62" t="s">
        <v>719</v>
      </c>
      <c r="P2" s="62" t="s">
        <v>720</v>
      </c>
      <c r="Q2" s="62" t="s">
        <v>721</v>
      </c>
      <c r="R2" s="62" t="s">
        <v>722</v>
      </c>
      <c r="S2" s="62" t="s">
        <v>723</v>
      </c>
      <c r="T2" s="62" t="s">
        <v>724</v>
      </c>
      <c r="U2" s="62" t="s">
        <v>860</v>
      </c>
      <c r="V2" s="62" t="s">
        <v>942</v>
      </c>
      <c r="W2" s="62" t="s">
        <v>1000</v>
      </c>
      <c r="X2" s="62" t="s">
        <v>1033</v>
      </c>
      <c r="Y2" s="61" t="s">
        <v>840</v>
      </c>
      <c r="Z2" s="115" t="s">
        <v>841</v>
      </c>
      <c r="AB2" s="62" t="s">
        <v>872</v>
      </c>
      <c r="AD2" s="166" t="s">
        <v>1001</v>
      </c>
    </row>
    <row r="3" spans="1:30" ht="17.399999999999999" x14ac:dyDescent="0.35">
      <c r="A3" s="93" t="s">
        <v>1</v>
      </c>
      <c r="B3" s="131">
        <f>'Suc. Amado Nervo'!C3</f>
        <v>1</v>
      </c>
      <c r="C3" s="131">
        <f>'Suc. León'!C3</f>
        <v>2</v>
      </c>
      <c r="D3" s="120">
        <f>'San Cayetano'!C3</f>
        <v>2</v>
      </c>
      <c r="E3" s="120">
        <f>'Suc. Boulevard'!C3</f>
        <v>1</v>
      </c>
      <c r="F3" s="120">
        <f>'Suc. Dos de Agosto'!C3</f>
        <v>1</v>
      </c>
      <c r="G3" s="120">
        <f>'Suc. La Nueva Canasta'!C3</f>
        <v>0</v>
      </c>
      <c r="H3" s="120">
        <f>'Suc. Mololoa'!C3</f>
        <v>0</v>
      </c>
      <c r="I3" s="120">
        <f>'Suc. Plaza'!C3</f>
        <v>0</v>
      </c>
      <c r="J3" s="120">
        <f>'Suc. Vistas'!C3</f>
        <v>1</v>
      </c>
      <c r="K3" s="120">
        <f>'Suc. Xalisco'!C3</f>
        <v>1</v>
      </c>
      <c r="L3" s="120">
        <f>SUM(B3:K3)</f>
        <v>9</v>
      </c>
      <c r="M3" s="131">
        <f>'Suc. Acaponeta'!C3</f>
        <v>2</v>
      </c>
      <c r="N3" s="131">
        <f>'Suc. Compostela'!C3</f>
        <v>1</v>
      </c>
      <c r="O3" s="131">
        <f>'Suc. Ruiz'!C3</f>
        <v>1</v>
      </c>
      <c r="P3" s="131">
        <f>'Suc. Sanblas'!C3</f>
        <v>3</v>
      </c>
      <c r="Q3" s="131">
        <f>'LALO VARAS'!C3</f>
        <v>1</v>
      </c>
      <c r="R3" s="131">
        <f>'Suc. Santiago 2'!C3</f>
        <v>1</v>
      </c>
      <c r="S3" s="131">
        <f>'Suc. Tecuala'!C3</f>
        <v>4</v>
      </c>
      <c r="T3" s="131">
        <f>'Suc. Tuxpan'!C3</f>
        <v>0</v>
      </c>
      <c r="U3" s="131">
        <f>'Suc. Varas'!C3</f>
        <v>1</v>
      </c>
      <c r="V3" s="131">
        <f>'Suc. Santa María del Oro'!C3</f>
        <v>0</v>
      </c>
      <c r="W3" s="131">
        <f>'Suc. Villa Hidalgo'!C3</f>
        <v>1</v>
      </c>
      <c r="X3" s="131">
        <f>'Suc. Peñita'!C3</f>
        <v>0</v>
      </c>
      <c r="Y3" s="120">
        <f>SUM(M3:X3)</f>
        <v>15</v>
      </c>
      <c r="Z3" s="120">
        <f>L3+Y3</f>
        <v>24</v>
      </c>
      <c r="AB3" s="131">
        <f>IFERROR(VLOOKUP(A3,'GRAL. SUC. FORANEAS'!$R:$S,2,0),0)</f>
        <v>15</v>
      </c>
      <c r="AD3" s="131">
        <f>AB3+Z3</f>
        <v>39</v>
      </c>
    </row>
    <row r="4" spans="1:30" ht="17.399999999999999" x14ac:dyDescent="0.35">
      <c r="A4" s="93" t="s">
        <v>2</v>
      </c>
      <c r="B4" s="131">
        <f>'Suc. Amado Nervo'!C4</f>
        <v>2</v>
      </c>
      <c r="C4" s="131">
        <f>'Suc. León'!C4</f>
        <v>2</v>
      </c>
      <c r="D4" s="120">
        <f>'San Cayetano'!C4</f>
        <v>2</v>
      </c>
      <c r="E4" s="120">
        <f>'Suc. Boulevard'!C4</f>
        <v>2</v>
      </c>
      <c r="F4" s="120">
        <f>'Suc. Dos de Agosto'!C4</f>
        <v>2</v>
      </c>
      <c r="G4" s="120">
        <f>'Suc. La Nueva Canasta'!C4</f>
        <v>0</v>
      </c>
      <c r="H4" s="120">
        <f>'Suc. Mololoa'!C4</f>
        <v>0</v>
      </c>
      <c r="I4" s="120">
        <f>'Suc. Plaza'!C4</f>
        <v>0</v>
      </c>
      <c r="J4" s="120">
        <f>'Suc. Vistas'!C4</f>
        <v>2</v>
      </c>
      <c r="K4" s="120">
        <f>'Suc. Xalisco'!C4</f>
        <v>1</v>
      </c>
      <c r="L4" s="120">
        <f t="shared" ref="L4:L17" si="0">SUM(B4:K4)</f>
        <v>13</v>
      </c>
      <c r="M4" s="131">
        <f>'Suc. Acaponeta'!C4</f>
        <v>0</v>
      </c>
      <c r="N4" s="131">
        <f>'Suc. Compostela'!C4</f>
        <v>1</v>
      </c>
      <c r="O4" s="131">
        <f>'Suc. Ruiz'!C4</f>
        <v>0</v>
      </c>
      <c r="P4" s="131">
        <f>'Suc. Sanblas'!C4</f>
        <v>1</v>
      </c>
      <c r="Q4" s="131">
        <f>'LALO VARAS'!C4</f>
        <v>3</v>
      </c>
      <c r="R4" s="131">
        <f>'Suc. Santiago 2'!C4</f>
        <v>3</v>
      </c>
      <c r="S4" s="131">
        <f>'Suc. Tecuala'!C4</f>
        <v>2</v>
      </c>
      <c r="T4" s="131">
        <f>'Suc. Tuxpan'!C4</f>
        <v>1</v>
      </c>
      <c r="U4" s="131">
        <f>'Suc. Varas'!C4</f>
        <v>1</v>
      </c>
      <c r="V4" s="131">
        <f>'Suc. Santa María del Oro'!C4</f>
        <v>1</v>
      </c>
      <c r="W4" s="131">
        <f>'Suc. Villa Hidalgo'!C4</f>
        <v>1</v>
      </c>
      <c r="X4" s="131">
        <f>'Suc. Peñita'!C4</f>
        <v>2</v>
      </c>
      <c r="Y4" s="120">
        <f t="shared" ref="Y4:Y17" si="1">SUM(M4:X4)</f>
        <v>16</v>
      </c>
      <c r="Z4" s="120">
        <f t="shared" ref="Z4:Z17" si="2">L4+Y4</f>
        <v>29</v>
      </c>
      <c r="AB4" s="131">
        <f>IFERROR(VLOOKUP(A4,'GRAL. SUC. FORANEAS'!$R:$S,2,0),0)</f>
        <v>16</v>
      </c>
      <c r="AD4" s="131">
        <f t="shared" ref="AD4:AD17" si="3">AB4+Z4</f>
        <v>45</v>
      </c>
    </row>
    <row r="5" spans="1:30" ht="17.399999999999999" x14ac:dyDescent="0.35">
      <c r="A5" s="93" t="s">
        <v>3</v>
      </c>
      <c r="B5" s="131">
        <f>'Suc. Amado Nervo'!C5</f>
        <v>2</v>
      </c>
      <c r="C5" s="131">
        <f>'Suc. León'!C5</f>
        <v>2</v>
      </c>
      <c r="D5" s="120">
        <f>'San Cayetano'!C5</f>
        <v>1</v>
      </c>
      <c r="E5" s="120">
        <f>'Suc. Boulevard'!C5</f>
        <v>1</v>
      </c>
      <c r="F5" s="120">
        <f>'Suc. Dos de Agosto'!C5</f>
        <v>1</v>
      </c>
      <c r="G5" s="120">
        <f>'Suc. La Nueva Canasta'!C5</f>
        <v>0</v>
      </c>
      <c r="H5" s="120">
        <f>'Suc. Mololoa'!C5</f>
        <v>1</v>
      </c>
      <c r="I5" s="120">
        <f>'Suc. Plaza'!C5</f>
        <v>1</v>
      </c>
      <c r="J5" s="120">
        <f>'Suc. Vistas'!C5</f>
        <v>2</v>
      </c>
      <c r="K5" s="120">
        <f>'Suc. Xalisco'!C5</f>
        <v>2</v>
      </c>
      <c r="L5" s="120">
        <f t="shared" si="0"/>
        <v>13</v>
      </c>
      <c r="M5" s="131">
        <f>'Suc. Acaponeta'!C5</f>
        <v>4</v>
      </c>
      <c r="N5" s="131">
        <f>'Suc. Compostela'!C5</f>
        <v>1</v>
      </c>
      <c r="O5" s="131">
        <f>'Suc. Ruiz'!C5</f>
        <v>0</v>
      </c>
      <c r="P5" s="131">
        <f>'Suc. Sanblas'!C5</f>
        <v>1</v>
      </c>
      <c r="Q5" s="131">
        <f>'LALO VARAS'!C5</f>
        <v>3</v>
      </c>
      <c r="R5" s="131">
        <f>'Suc. Santiago 2'!C5</f>
        <v>3</v>
      </c>
      <c r="S5" s="131">
        <f>'Suc. Tecuala'!C5</f>
        <v>2</v>
      </c>
      <c r="T5" s="131">
        <f>'Suc. Tuxpan'!C5</f>
        <v>0</v>
      </c>
      <c r="U5" s="131">
        <f>'Suc. Varas'!C5</f>
        <v>0</v>
      </c>
      <c r="V5" s="131">
        <f>'Suc. Santa María del Oro'!C5</f>
        <v>1</v>
      </c>
      <c r="W5" s="131">
        <f>'Suc. Villa Hidalgo'!C5</f>
        <v>1</v>
      </c>
      <c r="X5" s="131">
        <f>'Suc. Peñita'!C5</f>
        <v>0</v>
      </c>
      <c r="Y5" s="120">
        <f t="shared" si="1"/>
        <v>16</v>
      </c>
      <c r="Z5" s="120">
        <f t="shared" si="2"/>
        <v>29</v>
      </c>
      <c r="AB5" s="131">
        <f>IFERROR(VLOOKUP(A5,'GRAL. SUC. FORANEAS'!$R:$S,2,0),0)</f>
        <v>11</v>
      </c>
      <c r="AD5" s="131">
        <f t="shared" si="3"/>
        <v>40</v>
      </c>
    </row>
    <row r="6" spans="1:30" ht="17.399999999999999" x14ac:dyDescent="0.35">
      <c r="A6" s="93" t="s">
        <v>4</v>
      </c>
      <c r="B6" s="131">
        <f>'Suc. Amado Nervo'!C6</f>
        <v>3</v>
      </c>
      <c r="C6" s="131">
        <f>'Suc. León'!C6</f>
        <v>3</v>
      </c>
      <c r="D6" s="120">
        <f>'San Cayetano'!C6</f>
        <v>2</v>
      </c>
      <c r="E6" s="120">
        <f>'Suc. Boulevard'!C6</f>
        <v>3</v>
      </c>
      <c r="F6" s="120">
        <f>'Suc. Dos de Agosto'!C6</f>
        <v>2</v>
      </c>
      <c r="G6" s="120">
        <f>'Suc. La Nueva Canasta'!C6</f>
        <v>0</v>
      </c>
      <c r="H6" s="120">
        <f>'Suc. Mololoa'!C6</f>
        <v>1</v>
      </c>
      <c r="I6" s="120">
        <f>'Suc. Plaza'!C6</f>
        <v>2</v>
      </c>
      <c r="J6" s="120">
        <f>'Suc. Vistas'!C6</f>
        <v>2</v>
      </c>
      <c r="K6" s="120">
        <f>'Suc. Xalisco'!C6</f>
        <v>3</v>
      </c>
      <c r="L6" s="120">
        <f t="shared" si="0"/>
        <v>21</v>
      </c>
      <c r="M6" s="131">
        <f>'Suc. Acaponeta'!C6</f>
        <v>3</v>
      </c>
      <c r="N6" s="131">
        <f>'Suc. Compostela'!C6</f>
        <v>2</v>
      </c>
      <c r="O6" s="131">
        <f>'Suc. Ruiz'!C6</f>
        <v>2</v>
      </c>
      <c r="P6" s="131">
        <f>'Suc. Sanblas'!C6</f>
        <v>1</v>
      </c>
      <c r="Q6" s="131">
        <f>'LALO VARAS'!C6</f>
        <v>3</v>
      </c>
      <c r="R6" s="131">
        <f>'Suc. Santiago 2'!C6</f>
        <v>3</v>
      </c>
      <c r="S6" s="131">
        <f>'Suc. Tecuala'!C6</f>
        <v>1</v>
      </c>
      <c r="T6" s="131">
        <f>'Suc. Tuxpan'!C6</f>
        <v>0</v>
      </c>
      <c r="U6" s="131">
        <f>'Suc. Varas'!C6</f>
        <v>1</v>
      </c>
      <c r="V6" s="131">
        <f>'Suc. Santa María del Oro'!C6</f>
        <v>2</v>
      </c>
      <c r="W6" s="131">
        <f>'Suc. Villa Hidalgo'!C6</f>
        <v>1</v>
      </c>
      <c r="X6" s="131">
        <f>'Suc. Peñita'!C6</f>
        <v>1</v>
      </c>
      <c r="Y6" s="120">
        <f t="shared" si="1"/>
        <v>20</v>
      </c>
      <c r="Z6" s="120">
        <f t="shared" si="2"/>
        <v>41</v>
      </c>
      <c r="AB6" s="131">
        <f>IFERROR(VLOOKUP(A6,'GRAL. SUC. FORANEAS'!$R:$S,2,0),0)</f>
        <v>29</v>
      </c>
      <c r="AD6" s="131">
        <f t="shared" si="3"/>
        <v>70</v>
      </c>
    </row>
    <row r="7" spans="1:30" ht="17.399999999999999" x14ac:dyDescent="0.35">
      <c r="A7" s="93" t="s">
        <v>5</v>
      </c>
      <c r="B7" s="131">
        <f>'Suc. Amado Nervo'!C7</f>
        <v>2</v>
      </c>
      <c r="C7" s="131">
        <f>'Suc. León'!C7</f>
        <v>2</v>
      </c>
      <c r="D7" s="120">
        <f>'San Cayetano'!C7</f>
        <v>1</v>
      </c>
      <c r="E7" s="120">
        <f>'Suc. Boulevard'!C7</f>
        <v>1</v>
      </c>
      <c r="F7" s="120">
        <f>'Suc. Dos de Agosto'!C7</f>
        <v>1</v>
      </c>
      <c r="G7" s="120">
        <f>'Suc. La Nueva Canasta'!C7</f>
        <v>0</v>
      </c>
      <c r="H7" s="120">
        <f>'Suc. Mololoa'!C7</f>
        <v>0</v>
      </c>
      <c r="I7" s="120">
        <f>'Suc. Plaza'!C7</f>
        <v>1</v>
      </c>
      <c r="J7" s="120">
        <f>'Suc. Vistas'!C7</f>
        <v>2</v>
      </c>
      <c r="K7" s="120">
        <f>'Suc. Xalisco'!C7</f>
        <v>1</v>
      </c>
      <c r="L7" s="120">
        <f t="shared" si="0"/>
        <v>11</v>
      </c>
      <c r="M7" s="131">
        <f>'Suc. Acaponeta'!C7</f>
        <v>2</v>
      </c>
      <c r="N7" s="131">
        <f>'Suc. Compostela'!C7</f>
        <v>2</v>
      </c>
      <c r="O7" s="131">
        <f>'Suc. Ruiz'!C7</f>
        <v>1</v>
      </c>
      <c r="P7" s="131">
        <f>'Suc. Sanblas'!C7</f>
        <v>2</v>
      </c>
      <c r="Q7" s="131">
        <f>'LALO VARAS'!C7</f>
        <v>2</v>
      </c>
      <c r="R7" s="131">
        <f>'Suc. Santiago 2'!C7</f>
        <v>3</v>
      </c>
      <c r="S7" s="131">
        <f>'Suc. Tecuala'!C7</f>
        <v>3</v>
      </c>
      <c r="T7" s="131">
        <f>'Suc. Tuxpan'!C7</f>
        <v>0</v>
      </c>
      <c r="U7" s="131">
        <f>'Suc. Varas'!C7</f>
        <v>0</v>
      </c>
      <c r="V7" s="131">
        <f>'Suc. Santa María del Oro'!C7</f>
        <v>0</v>
      </c>
      <c r="W7" s="131">
        <f>'Suc. Villa Hidalgo'!C7</f>
        <v>1</v>
      </c>
      <c r="X7" s="131">
        <f>'Suc. Peñita'!C7</f>
        <v>1</v>
      </c>
      <c r="Y7" s="120">
        <f t="shared" si="1"/>
        <v>17</v>
      </c>
      <c r="Z7" s="120">
        <f t="shared" si="2"/>
        <v>28</v>
      </c>
      <c r="AB7" s="131">
        <f>IFERROR(VLOOKUP(A7,'GRAL. SUC. FORANEAS'!$R:$S,2,0),0)</f>
        <v>19</v>
      </c>
      <c r="AD7" s="131">
        <f t="shared" si="3"/>
        <v>47</v>
      </c>
    </row>
    <row r="8" spans="1:30" ht="17.399999999999999" x14ac:dyDescent="0.35">
      <c r="A8" s="93" t="s">
        <v>6</v>
      </c>
      <c r="B8" s="131">
        <f>'Suc. Amado Nervo'!C8</f>
        <v>4</v>
      </c>
      <c r="C8" s="131">
        <f>'Suc. León'!C8</f>
        <v>3</v>
      </c>
      <c r="D8" s="120">
        <f>'San Cayetano'!C8</f>
        <v>2</v>
      </c>
      <c r="E8" s="120">
        <f>'Suc. Boulevard'!C8</f>
        <v>2</v>
      </c>
      <c r="F8" s="120">
        <f>'Suc. Dos de Agosto'!C8</f>
        <v>2</v>
      </c>
      <c r="G8" s="120">
        <f>'Suc. La Nueva Canasta'!C8</f>
        <v>0</v>
      </c>
      <c r="H8" s="120">
        <f>'Suc. Mololoa'!C8</f>
        <v>1</v>
      </c>
      <c r="I8" s="120">
        <f>'Suc. Plaza'!C8</f>
        <v>0</v>
      </c>
      <c r="J8" s="120">
        <f>'Suc. Vistas'!C8</f>
        <v>2</v>
      </c>
      <c r="K8" s="120">
        <f>'Suc. Xalisco'!C8</f>
        <v>3</v>
      </c>
      <c r="L8" s="120">
        <f t="shared" si="0"/>
        <v>19</v>
      </c>
      <c r="M8" s="131">
        <f>'Suc. Acaponeta'!C8</f>
        <v>4</v>
      </c>
      <c r="N8" s="131">
        <f>'Suc. Compostela'!C8</f>
        <v>1</v>
      </c>
      <c r="O8" s="131">
        <f>'Suc. Ruiz'!C8</f>
        <v>0</v>
      </c>
      <c r="P8" s="131">
        <f>'Suc. Sanblas'!C8</f>
        <v>2</v>
      </c>
      <c r="Q8" s="131">
        <f>'LALO VARAS'!C8</f>
        <v>2</v>
      </c>
      <c r="R8" s="131">
        <f>'Suc. Santiago 2'!C8</f>
        <v>3</v>
      </c>
      <c r="S8" s="131">
        <f>'Suc. Tecuala'!C8</f>
        <v>3</v>
      </c>
      <c r="T8" s="131">
        <f>'Suc. Tuxpan'!C8</f>
        <v>0</v>
      </c>
      <c r="U8" s="131">
        <f>'Suc. Varas'!C8</f>
        <v>2</v>
      </c>
      <c r="V8" s="131">
        <f>'Suc. Santa María del Oro'!C8</f>
        <v>1</v>
      </c>
      <c r="W8" s="131">
        <f>'Suc. Villa Hidalgo'!C8</f>
        <v>3</v>
      </c>
      <c r="X8" s="131">
        <f>'Suc. Peñita'!C8</f>
        <v>2</v>
      </c>
      <c r="Y8" s="120">
        <f t="shared" si="1"/>
        <v>23</v>
      </c>
      <c r="Z8" s="120">
        <f t="shared" si="2"/>
        <v>42</v>
      </c>
      <c r="AB8" s="131">
        <f>IFERROR(VLOOKUP(A8,'GRAL. SUC. FORANEAS'!$R:$S,2,0),0)</f>
        <v>25</v>
      </c>
      <c r="AD8" s="131">
        <f t="shared" si="3"/>
        <v>67</v>
      </c>
    </row>
    <row r="9" spans="1:30" ht="17.399999999999999" x14ac:dyDescent="0.35">
      <c r="A9" s="93" t="s">
        <v>7</v>
      </c>
      <c r="B9" s="131">
        <f>'Suc. Amado Nervo'!C9</f>
        <v>2</v>
      </c>
      <c r="C9" s="131">
        <f>'Suc. León'!C9</f>
        <v>2</v>
      </c>
      <c r="D9" s="120">
        <f>'San Cayetano'!C9</f>
        <v>2</v>
      </c>
      <c r="E9" s="120">
        <f>'Suc. Boulevard'!C9</f>
        <v>2</v>
      </c>
      <c r="F9" s="120">
        <f>'Suc. Dos de Agosto'!C9</f>
        <v>0</v>
      </c>
      <c r="G9" s="120">
        <f>'Suc. La Nueva Canasta'!C9</f>
        <v>0</v>
      </c>
      <c r="H9" s="120">
        <f>'Suc. Mololoa'!C9</f>
        <v>1</v>
      </c>
      <c r="I9" s="120">
        <f>'Suc. Plaza'!C9</f>
        <v>0</v>
      </c>
      <c r="J9" s="120">
        <f>'Suc. Vistas'!C9</f>
        <v>1</v>
      </c>
      <c r="K9" s="120">
        <f>'Suc. Xalisco'!C9</f>
        <v>2</v>
      </c>
      <c r="L9" s="120">
        <f t="shared" si="0"/>
        <v>12</v>
      </c>
      <c r="M9" s="131">
        <f>'Suc. Acaponeta'!C9</f>
        <v>2</v>
      </c>
      <c r="N9" s="131">
        <f>'Suc. Compostela'!C9</f>
        <v>2</v>
      </c>
      <c r="O9" s="131">
        <f>'Suc. Ruiz'!C9</f>
        <v>0</v>
      </c>
      <c r="P9" s="131">
        <f>'Suc. Sanblas'!C9</f>
        <v>2</v>
      </c>
      <c r="Q9" s="131">
        <f>'LALO VARAS'!C9</f>
        <v>2</v>
      </c>
      <c r="R9" s="131">
        <f>'Suc. Santiago 2'!C9</f>
        <v>0</v>
      </c>
      <c r="S9" s="131">
        <f>'Suc. Tecuala'!C9</f>
        <v>2</v>
      </c>
      <c r="T9" s="131">
        <f>'Suc. Tuxpan'!C9</f>
        <v>0</v>
      </c>
      <c r="U9" s="131">
        <f>'Suc. Varas'!C9</f>
        <v>1</v>
      </c>
      <c r="V9" s="131">
        <f>'Suc. Santa María del Oro'!C9</f>
        <v>1</v>
      </c>
      <c r="W9" s="131">
        <f>'Suc. Villa Hidalgo'!C9</f>
        <v>2</v>
      </c>
      <c r="X9" s="131">
        <f>'Suc. Peñita'!C9</f>
        <v>1</v>
      </c>
      <c r="Y9" s="120">
        <f t="shared" si="1"/>
        <v>15</v>
      </c>
      <c r="Z9" s="120">
        <f t="shared" si="2"/>
        <v>27</v>
      </c>
      <c r="AB9" s="131">
        <f>IFERROR(VLOOKUP(A9,'GRAL. SUC. FORANEAS'!$R:$S,2,0),0)</f>
        <v>10</v>
      </c>
      <c r="AD9" s="131">
        <f t="shared" si="3"/>
        <v>37</v>
      </c>
    </row>
    <row r="10" spans="1:30" ht="17.399999999999999" x14ac:dyDescent="0.35">
      <c r="A10" s="93" t="s">
        <v>8</v>
      </c>
      <c r="B10" s="131">
        <f>'Suc. Amado Nervo'!C10</f>
        <v>3</v>
      </c>
      <c r="C10" s="131">
        <f>'Suc. León'!C10</f>
        <v>3</v>
      </c>
      <c r="D10" s="120">
        <f>'San Cayetano'!C10</f>
        <v>2</v>
      </c>
      <c r="E10" s="120">
        <f>'Suc. Boulevard'!C10</f>
        <v>2</v>
      </c>
      <c r="F10" s="120">
        <f>'Suc. Dos de Agosto'!C10</f>
        <v>1</v>
      </c>
      <c r="G10" s="120">
        <f>'Suc. La Nueva Canasta'!C10</f>
        <v>0</v>
      </c>
      <c r="H10" s="120">
        <f>'Suc. Mololoa'!C10</f>
        <v>2</v>
      </c>
      <c r="I10" s="120">
        <f>'Suc. Plaza'!C10</f>
        <v>0</v>
      </c>
      <c r="J10" s="120">
        <f>'Suc. Vistas'!C10</f>
        <v>4</v>
      </c>
      <c r="K10" s="120">
        <f>'Suc. Xalisco'!C10</f>
        <v>1</v>
      </c>
      <c r="L10" s="120">
        <f t="shared" si="0"/>
        <v>18</v>
      </c>
      <c r="M10" s="131">
        <f>'Suc. Acaponeta'!C10</f>
        <v>3</v>
      </c>
      <c r="N10" s="131">
        <f>'Suc. Compostela'!C10</f>
        <v>1</v>
      </c>
      <c r="O10" s="131">
        <f>'Suc. Ruiz'!C10</f>
        <v>1</v>
      </c>
      <c r="P10" s="131">
        <f>'Suc. Sanblas'!C10</f>
        <v>2</v>
      </c>
      <c r="Q10" s="131">
        <f>'LALO VARAS'!C10</f>
        <v>2</v>
      </c>
      <c r="R10" s="131">
        <f>'Suc. Santiago 2'!C10</f>
        <v>5</v>
      </c>
      <c r="S10" s="131">
        <f>'Suc. Tecuala'!C10</f>
        <v>2</v>
      </c>
      <c r="T10" s="131">
        <f>'Suc. Tuxpan'!C10</f>
        <v>0</v>
      </c>
      <c r="U10" s="131">
        <f>'Suc. Varas'!C10</f>
        <v>3</v>
      </c>
      <c r="V10" s="131">
        <f>'Suc. Santa María del Oro'!C10</f>
        <v>1</v>
      </c>
      <c r="W10" s="131">
        <f>'Suc. Villa Hidalgo'!C10</f>
        <v>2</v>
      </c>
      <c r="X10" s="131">
        <f>'Suc. Peñita'!C10</f>
        <v>2</v>
      </c>
      <c r="Y10" s="120">
        <f t="shared" si="1"/>
        <v>24</v>
      </c>
      <c r="Z10" s="120">
        <f t="shared" si="2"/>
        <v>42</v>
      </c>
      <c r="AB10" s="131">
        <f>IFERROR(VLOOKUP(A10,'GRAL. SUC. FORANEAS'!$R:$S,2,0),0)</f>
        <v>22</v>
      </c>
      <c r="AD10" s="131">
        <f t="shared" si="3"/>
        <v>64</v>
      </c>
    </row>
    <row r="11" spans="1:30" ht="17.399999999999999" x14ac:dyDescent="0.35">
      <c r="A11" s="93" t="s">
        <v>9</v>
      </c>
      <c r="B11" s="131">
        <f>'Suc. Amado Nervo'!C11</f>
        <v>2</v>
      </c>
      <c r="C11" s="131">
        <f>'Suc. León'!C11</f>
        <v>2</v>
      </c>
      <c r="D11" s="120">
        <f>'San Cayetano'!C11</f>
        <v>2</v>
      </c>
      <c r="E11" s="120">
        <f>'Suc. Boulevard'!C11</f>
        <v>1</v>
      </c>
      <c r="F11" s="120">
        <f>'Suc. Dos de Agosto'!C11</f>
        <v>0</v>
      </c>
      <c r="G11" s="120">
        <f>'Suc. La Nueva Canasta'!C11</f>
        <v>0</v>
      </c>
      <c r="H11" s="120">
        <f>'Suc. Mololoa'!C11</f>
        <v>0</v>
      </c>
      <c r="I11" s="120">
        <f>'Suc. Plaza'!C11</f>
        <v>0</v>
      </c>
      <c r="J11" s="120">
        <f>'Suc. Vistas'!C11</f>
        <v>1</v>
      </c>
      <c r="K11" s="120">
        <f>'Suc. Xalisco'!C11</f>
        <v>0</v>
      </c>
      <c r="L11" s="120">
        <f t="shared" si="0"/>
        <v>8</v>
      </c>
      <c r="M11" s="131">
        <f>'Suc. Acaponeta'!C11</f>
        <v>2</v>
      </c>
      <c r="N11" s="131">
        <f>'Suc. Compostela'!C11</f>
        <v>1</v>
      </c>
      <c r="O11" s="131">
        <f>'Suc. Ruiz'!C11</f>
        <v>1</v>
      </c>
      <c r="P11" s="131">
        <f>'Suc. Sanblas'!C11</f>
        <v>0</v>
      </c>
      <c r="Q11" s="131">
        <f>'LALO VARAS'!C11</f>
        <v>3</v>
      </c>
      <c r="R11" s="131">
        <f>'Suc. Santiago 2'!C11</f>
        <v>3</v>
      </c>
      <c r="S11" s="131">
        <f>'Suc. Tecuala'!C11</f>
        <v>3</v>
      </c>
      <c r="T11" s="131">
        <f>'Suc. Tuxpan'!C11</f>
        <v>1</v>
      </c>
      <c r="U11" s="131">
        <f>'Suc. Varas'!C11</f>
        <v>0</v>
      </c>
      <c r="V11" s="131">
        <f>'Suc. Santa María del Oro'!C11</f>
        <v>0</v>
      </c>
      <c r="W11" s="131">
        <f>'Suc. Villa Hidalgo'!C11</f>
        <v>1</v>
      </c>
      <c r="X11" s="131">
        <f>'Suc. Peñita'!C11</f>
        <v>2</v>
      </c>
      <c r="Y11" s="120">
        <f t="shared" si="1"/>
        <v>17</v>
      </c>
      <c r="Z11" s="120">
        <f t="shared" si="2"/>
        <v>25</v>
      </c>
      <c r="AB11" s="131">
        <f>IFERROR(VLOOKUP(A11,'GRAL. SUC. FORANEAS'!$R:$S,2,0),0)</f>
        <v>14</v>
      </c>
      <c r="AD11" s="131">
        <f t="shared" si="3"/>
        <v>39</v>
      </c>
    </row>
    <row r="12" spans="1:30" ht="17.399999999999999" x14ac:dyDescent="0.35">
      <c r="A12" s="93"/>
      <c r="B12" s="131">
        <f>'Suc. Amado Nervo'!C12</f>
        <v>0</v>
      </c>
      <c r="C12" s="131">
        <f>'Suc. León'!C12</f>
        <v>0</v>
      </c>
      <c r="D12" s="120">
        <f>'San Cayetano'!C12</f>
        <v>0</v>
      </c>
      <c r="E12" s="120">
        <f>'Suc. Boulevard'!C12</f>
        <v>0</v>
      </c>
      <c r="F12" s="120">
        <f>'Suc. Dos de Agosto'!C12</f>
        <v>0</v>
      </c>
      <c r="G12" s="120">
        <f>'Suc. La Nueva Canasta'!C12</f>
        <v>0</v>
      </c>
      <c r="H12" s="120">
        <f>'Suc. Mololoa'!C12</f>
        <v>0</v>
      </c>
      <c r="I12" s="120">
        <f>'Suc. Plaza'!C12</f>
        <v>0</v>
      </c>
      <c r="J12" s="120">
        <f>'Suc. Vistas'!C12</f>
        <v>0</v>
      </c>
      <c r="K12" s="120">
        <f>'Suc. Xalisco'!C12</f>
        <v>0</v>
      </c>
      <c r="L12" s="120">
        <f t="shared" si="0"/>
        <v>0</v>
      </c>
      <c r="M12" s="131">
        <f>'Suc. Acaponeta'!C12</f>
        <v>0</v>
      </c>
      <c r="N12" s="131">
        <f>'Suc. Compostela'!C12</f>
        <v>0</v>
      </c>
      <c r="O12" s="131">
        <f>'Suc. Ruiz'!C12</f>
        <v>0</v>
      </c>
      <c r="P12" s="131">
        <f>'Suc. Sanblas'!C12</f>
        <v>0</v>
      </c>
      <c r="Q12" s="131">
        <f>'LALO VARAS'!C12</f>
        <v>0</v>
      </c>
      <c r="R12" s="131">
        <f>'Suc. Santiago 2'!C12</f>
        <v>0</v>
      </c>
      <c r="S12" s="131">
        <f>'Suc. Tecuala'!C12</f>
        <v>0</v>
      </c>
      <c r="T12" s="131">
        <f>'Suc. Tuxpan'!C12</f>
        <v>0</v>
      </c>
      <c r="U12" s="131">
        <f>'Suc. Varas'!C12</f>
        <v>0</v>
      </c>
      <c r="V12" s="131">
        <f>'Suc. Santa María del Oro'!C12</f>
        <v>0</v>
      </c>
      <c r="W12" s="131">
        <f>'Suc. Villa Hidalgo'!C12</f>
        <v>0</v>
      </c>
      <c r="X12" s="131">
        <f>'Suc. Peñita'!C12</f>
        <v>0</v>
      </c>
      <c r="Y12" s="120">
        <f t="shared" si="1"/>
        <v>0</v>
      </c>
      <c r="Z12" s="120">
        <f t="shared" si="2"/>
        <v>0</v>
      </c>
      <c r="AB12" s="131">
        <f>IFERROR(VLOOKUP(A12,'GRAL. SUC. FORANEAS'!$R:$S,2,0),0)</f>
        <v>0</v>
      </c>
      <c r="AD12" s="131">
        <f t="shared" si="3"/>
        <v>0</v>
      </c>
    </row>
    <row r="13" spans="1:30" ht="17.399999999999999" x14ac:dyDescent="0.35">
      <c r="A13" s="93"/>
      <c r="B13" s="131">
        <f>'Suc. Amado Nervo'!C13</f>
        <v>0</v>
      </c>
      <c r="C13" s="131">
        <f>'Suc. León'!C13</f>
        <v>0</v>
      </c>
      <c r="D13" s="120">
        <f>'San Cayetano'!C13</f>
        <v>0</v>
      </c>
      <c r="E13" s="120">
        <f>'Suc. Boulevard'!C13</f>
        <v>0</v>
      </c>
      <c r="F13" s="120">
        <f>'Suc. Dos de Agosto'!C13</f>
        <v>0</v>
      </c>
      <c r="G13" s="120">
        <f>'Suc. La Nueva Canasta'!C13</f>
        <v>0</v>
      </c>
      <c r="H13" s="120">
        <f>'Suc. Mololoa'!C13</f>
        <v>0</v>
      </c>
      <c r="I13" s="120">
        <f>'Suc. Plaza'!C13</f>
        <v>0</v>
      </c>
      <c r="J13" s="120">
        <f>'Suc. Vistas'!C13</f>
        <v>0</v>
      </c>
      <c r="K13" s="120">
        <f>'Suc. Xalisco'!C13</f>
        <v>0</v>
      </c>
      <c r="L13" s="120">
        <f t="shared" si="0"/>
        <v>0</v>
      </c>
      <c r="M13" s="131">
        <f>'Suc. Acaponeta'!C13</f>
        <v>0</v>
      </c>
      <c r="N13" s="131">
        <f>'Suc. Compostela'!C13</f>
        <v>0</v>
      </c>
      <c r="O13" s="131">
        <f>'Suc. Ruiz'!C13</f>
        <v>0</v>
      </c>
      <c r="P13" s="131">
        <f>'Suc. Sanblas'!C13</f>
        <v>0</v>
      </c>
      <c r="Q13" s="131">
        <f>'LALO VARAS'!C13</f>
        <v>0</v>
      </c>
      <c r="R13" s="131">
        <f>'Suc. Santiago 2'!C13</f>
        <v>0</v>
      </c>
      <c r="S13" s="131">
        <f>'Suc. Tecuala'!C13</f>
        <v>0</v>
      </c>
      <c r="T13" s="131">
        <f>'Suc. Tuxpan'!C13</f>
        <v>0</v>
      </c>
      <c r="U13" s="131">
        <f>'Suc. Varas'!C13</f>
        <v>0</v>
      </c>
      <c r="V13" s="131">
        <f>'Suc. Santa María del Oro'!C13</f>
        <v>0</v>
      </c>
      <c r="W13" s="131">
        <f>'Suc. Villa Hidalgo'!C13</f>
        <v>0</v>
      </c>
      <c r="X13" s="131">
        <f>'Suc. Peñita'!C13</f>
        <v>0</v>
      </c>
      <c r="Y13" s="120">
        <f t="shared" si="1"/>
        <v>0</v>
      </c>
      <c r="Z13" s="120">
        <f t="shared" si="2"/>
        <v>0</v>
      </c>
      <c r="AB13" s="131">
        <f>IFERROR(VLOOKUP(A13,'GRAL. SUC. FORANEAS'!$R:$S,2,0),0)</f>
        <v>0</v>
      </c>
      <c r="AD13" s="131">
        <f t="shared" si="3"/>
        <v>0</v>
      </c>
    </row>
    <row r="14" spans="1:30" ht="17.399999999999999" x14ac:dyDescent="0.35">
      <c r="A14" s="93"/>
      <c r="B14" s="131">
        <f>'Suc. Amado Nervo'!C14</f>
        <v>0</v>
      </c>
      <c r="C14" s="131">
        <f>'Suc. León'!C14</f>
        <v>0</v>
      </c>
      <c r="D14" s="120">
        <f>'San Cayetano'!C14</f>
        <v>0</v>
      </c>
      <c r="E14" s="120">
        <f>'Suc. Boulevard'!C14</f>
        <v>0</v>
      </c>
      <c r="F14" s="120">
        <f>'Suc. Dos de Agosto'!C14</f>
        <v>0</v>
      </c>
      <c r="G14" s="120">
        <f>'Suc. La Nueva Canasta'!C14</f>
        <v>0</v>
      </c>
      <c r="H14" s="120">
        <f>'Suc. Mololoa'!C14</f>
        <v>0</v>
      </c>
      <c r="I14" s="120">
        <f>'Suc. Plaza'!C14</f>
        <v>0</v>
      </c>
      <c r="J14" s="120">
        <f>'Suc. Vistas'!C14</f>
        <v>0</v>
      </c>
      <c r="K14" s="120">
        <f>'Suc. Xalisco'!C14</f>
        <v>0</v>
      </c>
      <c r="L14" s="120">
        <f t="shared" si="0"/>
        <v>0</v>
      </c>
      <c r="M14" s="131">
        <f>'Suc. Acaponeta'!C14</f>
        <v>0</v>
      </c>
      <c r="N14" s="131">
        <f>'Suc. Compostela'!C14</f>
        <v>0</v>
      </c>
      <c r="O14" s="131">
        <f>'Suc. Ruiz'!C14</f>
        <v>0</v>
      </c>
      <c r="P14" s="131">
        <f>'Suc. Sanblas'!C14</f>
        <v>0</v>
      </c>
      <c r="Q14" s="131">
        <f>'LALO VARAS'!C14</f>
        <v>0</v>
      </c>
      <c r="R14" s="131">
        <f>'Suc. Santiago 2'!C14</f>
        <v>0</v>
      </c>
      <c r="S14" s="131">
        <f>'Suc. Tecuala'!C14</f>
        <v>0</v>
      </c>
      <c r="T14" s="131">
        <f>'Suc. Tuxpan'!C14</f>
        <v>0</v>
      </c>
      <c r="U14" s="131">
        <f>'Suc. Varas'!C14</f>
        <v>0</v>
      </c>
      <c r="V14" s="131">
        <f>'Suc. Santa María del Oro'!C14</f>
        <v>0</v>
      </c>
      <c r="W14" s="131">
        <f>'Suc. Villa Hidalgo'!C14</f>
        <v>0</v>
      </c>
      <c r="X14" s="131">
        <f>'Suc. Peñita'!C14</f>
        <v>0</v>
      </c>
      <c r="Y14" s="120">
        <f t="shared" si="1"/>
        <v>0</v>
      </c>
      <c r="Z14" s="120">
        <f t="shared" si="2"/>
        <v>0</v>
      </c>
      <c r="AB14" s="131">
        <f>IFERROR(VLOOKUP(A14,'GRAL. SUC. FORANEAS'!$R:$S,2,0),0)</f>
        <v>0</v>
      </c>
      <c r="AD14" s="131">
        <f t="shared" si="3"/>
        <v>0</v>
      </c>
    </row>
    <row r="15" spans="1:30" ht="17.399999999999999" x14ac:dyDescent="0.35">
      <c r="A15" s="93"/>
      <c r="B15" s="131">
        <f>'Suc. Amado Nervo'!C15</f>
        <v>0</v>
      </c>
      <c r="C15" s="131">
        <f>'Suc. León'!C15</f>
        <v>0</v>
      </c>
      <c r="D15" s="120">
        <f>'San Cayetano'!C15</f>
        <v>0</v>
      </c>
      <c r="E15" s="120">
        <f>'Suc. Boulevard'!C15</f>
        <v>0</v>
      </c>
      <c r="F15" s="120">
        <f>'Suc. Dos de Agosto'!C15</f>
        <v>0</v>
      </c>
      <c r="G15" s="120">
        <f>'Suc. La Nueva Canasta'!C15</f>
        <v>0</v>
      </c>
      <c r="H15" s="120">
        <f>'Suc. Mololoa'!C15</f>
        <v>0</v>
      </c>
      <c r="I15" s="120">
        <f>'Suc. Plaza'!C15</f>
        <v>0</v>
      </c>
      <c r="J15" s="120">
        <f>'Suc. Vistas'!C15</f>
        <v>0</v>
      </c>
      <c r="K15" s="120">
        <f>'Suc. Xalisco'!C15</f>
        <v>0</v>
      </c>
      <c r="L15" s="120">
        <f t="shared" si="0"/>
        <v>0</v>
      </c>
      <c r="M15" s="131">
        <f>'Suc. Acaponeta'!C15</f>
        <v>0</v>
      </c>
      <c r="N15" s="131">
        <f>'Suc. Compostela'!C15</f>
        <v>0</v>
      </c>
      <c r="O15" s="131">
        <f>'Suc. Ruiz'!C15</f>
        <v>0</v>
      </c>
      <c r="P15" s="131">
        <f>'Suc. Sanblas'!C15</f>
        <v>0</v>
      </c>
      <c r="Q15" s="131">
        <f>'LALO VARAS'!C15</f>
        <v>0</v>
      </c>
      <c r="R15" s="131">
        <f>'Suc. Santiago 2'!C15</f>
        <v>0</v>
      </c>
      <c r="S15" s="131">
        <f>'Suc. Tecuala'!C15</f>
        <v>0</v>
      </c>
      <c r="T15" s="131">
        <f>'Suc. Tuxpan'!C15</f>
        <v>0</v>
      </c>
      <c r="U15" s="131">
        <f>'Suc. Varas'!C15</f>
        <v>0</v>
      </c>
      <c r="V15" s="131">
        <f>'Suc. Santa María del Oro'!C15</f>
        <v>0</v>
      </c>
      <c r="W15" s="131">
        <f>'Suc. Villa Hidalgo'!C15</f>
        <v>0</v>
      </c>
      <c r="X15" s="131">
        <f>'Suc. Peñita'!C15</f>
        <v>0</v>
      </c>
      <c r="Y15" s="120">
        <f t="shared" si="1"/>
        <v>0</v>
      </c>
      <c r="Z15" s="120">
        <f t="shared" si="2"/>
        <v>0</v>
      </c>
      <c r="AB15" s="131">
        <f>IFERROR(VLOOKUP(A15,'GRAL. SUC. FORANEAS'!$R:$S,2,0),0)</f>
        <v>0</v>
      </c>
      <c r="AD15" s="131">
        <f t="shared" si="3"/>
        <v>0</v>
      </c>
    </row>
    <row r="16" spans="1:30" ht="17.399999999999999" x14ac:dyDescent="0.35">
      <c r="A16" s="93"/>
      <c r="B16" s="131">
        <f>'Suc. Amado Nervo'!C16</f>
        <v>0</v>
      </c>
      <c r="C16" s="131">
        <f>'Suc. León'!C16</f>
        <v>0</v>
      </c>
      <c r="D16" s="120">
        <f>'San Cayetano'!C16</f>
        <v>0</v>
      </c>
      <c r="E16" s="120">
        <f>'Suc. Boulevard'!C16</f>
        <v>0</v>
      </c>
      <c r="F16" s="120">
        <f>'Suc. Dos de Agosto'!C16</f>
        <v>0</v>
      </c>
      <c r="G16" s="120">
        <f>'Suc. La Nueva Canasta'!C16</f>
        <v>0</v>
      </c>
      <c r="H16" s="120">
        <f>'Suc. Mololoa'!C16</f>
        <v>0</v>
      </c>
      <c r="I16" s="120">
        <f>'Suc. Plaza'!C16</f>
        <v>0</v>
      </c>
      <c r="J16" s="120">
        <f>'Suc. Vistas'!C16</f>
        <v>0</v>
      </c>
      <c r="K16" s="120">
        <f>'Suc. Xalisco'!C16</f>
        <v>0</v>
      </c>
      <c r="L16" s="120">
        <f t="shared" si="0"/>
        <v>0</v>
      </c>
      <c r="M16" s="131">
        <f>'Suc. Acaponeta'!C16</f>
        <v>0</v>
      </c>
      <c r="N16" s="131">
        <f>'Suc. Compostela'!C16</f>
        <v>0</v>
      </c>
      <c r="O16" s="131">
        <f>'Suc. Ruiz'!C16</f>
        <v>0</v>
      </c>
      <c r="P16" s="131">
        <f>'Suc. Sanblas'!C16</f>
        <v>0</v>
      </c>
      <c r="Q16" s="131">
        <f>'LALO VARAS'!C16</f>
        <v>0</v>
      </c>
      <c r="R16" s="131">
        <f>'Suc. Santiago 2'!C16</f>
        <v>0</v>
      </c>
      <c r="S16" s="131">
        <f>'Suc. Tecuala'!C16</f>
        <v>0</v>
      </c>
      <c r="T16" s="131">
        <f>'Suc. Tuxpan'!C16</f>
        <v>0</v>
      </c>
      <c r="U16" s="131">
        <f>'Suc. Varas'!C16</f>
        <v>0</v>
      </c>
      <c r="V16" s="131">
        <f>'Suc. Santa María del Oro'!C16</f>
        <v>0</v>
      </c>
      <c r="W16" s="131">
        <f>'Suc. Villa Hidalgo'!C16</f>
        <v>0</v>
      </c>
      <c r="X16" s="131">
        <f>'Suc. Peñita'!C16</f>
        <v>0</v>
      </c>
      <c r="Y16" s="120">
        <f t="shared" si="1"/>
        <v>0</v>
      </c>
      <c r="Z16" s="120">
        <f t="shared" si="2"/>
        <v>0</v>
      </c>
      <c r="AB16" s="131">
        <f>IFERROR(VLOOKUP(A16,'GRAL. SUC. FORANEAS'!$R:$S,2,0),0)</f>
        <v>0</v>
      </c>
      <c r="AD16" s="131">
        <f t="shared" si="3"/>
        <v>0</v>
      </c>
    </row>
    <row r="17" spans="1:30" ht="18" thickBot="1" x14ac:dyDescent="0.4">
      <c r="A17" s="93"/>
      <c r="B17" s="131">
        <f>'Suc. Amado Nervo'!C17</f>
        <v>0</v>
      </c>
      <c r="C17" s="131">
        <f>'Suc. León'!C17</f>
        <v>0</v>
      </c>
      <c r="D17" s="120">
        <f>'San Cayetano'!C17</f>
        <v>0</v>
      </c>
      <c r="E17" s="120">
        <f>'Suc. Boulevard'!C17</f>
        <v>0</v>
      </c>
      <c r="F17" s="120">
        <f>'Suc. Dos de Agosto'!C17</f>
        <v>0</v>
      </c>
      <c r="G17" s="120">
        <f>'Suc. La Nueva Canasta'!C17</f>
        <v>0</v>
      </c>
      <c r="H17" s="120">
        <f>'Suc. Mololoa'!C17</f>
        <v>0</v>
      </c>
      <c r="I17" s="120">
        <f>'Suc. Plaza'!C17</f>
        <v>0</v>
      </c>
      <c r="J17" s="120">
        <f>'Suc. Vistas'!C17</f>
        <v>0</v>
      </c>
      <c r="K17" s="120">
        <f>'Suc. Xalisco'!C17</f>
        <v>0</v>
      </c>
      <c r="L17" s="120">
        <f t="shared" si="0"/>
        <v>0</v>
      </c>
      <c r="M17" s="131">
        <f>'Suc. Acaponeta'!C17</f>
        <v>0</v>
      </c>
      <c r="N17" s="131">
        <f>'Suc. Compostela'!C17</f>
        <v>0</v>
      </c>
      <c r="O17" s="131">
        <f>'Suc. Ruiz'!C17</f>
        <v>0</v>
      </c>
      <c r="P17" s="131">
        <f>'Suc. Sanblas'!C17</f>
        <v>0</v>
      </c>
      <c r="Q17" s="131">
        <f>'LALO VARAS'!C17</f>
        <v>0</v>
      </c>
      <c r="R17" s="131">
        <f>'Suc. Santiago 2'!C17</f>
        <v>0</v>
      </c>
      <c r="S17" s="131">
        <f>'Suc. Tecuala'!C17</f>
        <v>0</v>
      </c>
      <c r="T17" s="131">
        <f>'Suc. Tuxpan'!C17</f>
        <v>0</v>
      </c>
      <c r="U17" s="131">
        <f>'Suc. Varas'!C17</f>
        <v>0</v>
      </c>
      <c r="V17" s="131">
        <f>'Suc. Santa María del Oro'!C17</f>
        <v>0</v>
      </c>
      <c r="W17" s="131">
        <f>'Suc. Villa Hidalgo'!C17</f>
        <v>0</v>
      </c>
      <c r="X17" s="131">
        <f>'Suc. Peñita'!C17</f>
        <v>0</v>
      </c>
      <c r="Y17" s="120">
        <f t="shared" si="1"/>
        <v>0</v>
      </c>
      <c r="Z17" s="120">
        <f t="shared" si="2"/>
        <v>0</v>
      </c>
      <c r="AB17" s="131">
        <f>IFERROR(VLOOKUP(A17,'GRAL. SUC. FORANEAS'!$R:$S,2,0),0)</f>
        <v>0</v>
      </c>
      <c r="AD17" s="131">
        <f t="shared" si="3"/>
        <v>0</v>
      </c>
    </row>
    <row r="18" spans="1:30" ht="18" thickBot="1" x14ac:dyDescent="0.4">
      <c r="A18" s="96" t="s">
        <v>10</v>
      </c>
      <c r="B18" s="121">
        <f>SUM(B3:B17)</f>
        <v>21</v>
      </c>
      <c r="C18" s="121">
        <f t="shared" ref="C18:Y18" si="4">SUM(C3:C17)</f>
        <v>21</v>
      </c>
      <c r="D18" s="121">
        <f t="shared" si="4"/>
        <v>16</v>
      </c>
      <c r="E18" s="121">
        <f t="shared" si="4"/>
        <v>15</v>
      </c>
      <c r="F18" s="121">
        <f t="shared" si="4"/>
        <v>10</v>
      </c>
      <c r="G18" s="121">
        <f t="shared" si="4"/>
        <v>0</v>
      </c>
      <c r="H18" s="121">
        <f t="shared" si="4"/>
        <v>6</v>
      </c>
      <c r="I18" s="121">
        <f t="shared" si="4"/>
        <v>4</v>
      </c>
      <c r="J18" s="121">
        <f t="shared" si="4"/>
        <v>17</v>
      </c>
      <c r="K18" s="121">
        <f t="shared" si="4"/>
        <v>14</v>
      </c>
      <c r="L18" s="121">
        <f t="shared" si="4"/>
        <v>124</v>
      </c>
      <c r="M18" s="121">
        <f t="shared" si="4"/>
        <v>22</v>
      </c>
      <c r="N18" s="121">
        <f t="shared" si="4"/>
        <v>12</v>
      </c>
      <c r="O18" s="121">
        <f t="shared" si="4"/>
        <v>6</v>
      </c>
      <c r="P18" s="121">
        <f t="shared" si="4"/>
        <v>14</v>
      </c>
      <c r="Q18" s="121">
        <f t="shared" si="4"/>
        <v>21</v>
      </c>
      <c r="R18" s="121">
        <f t="shared" si="4"/>
        <v>24</v>
      </c>
      <c r="S18" s="121">
        <f t="shared" si="4"/>
        <v>22</v>
      </c>
      <c r="T18" s="121">
        <f t="shared" si="4"/>
        <v>2</v>
      </c>
      <c r="U18" s="121">
        <f t="shared" ref="U18:W18" si="5">SUM(U3:U17)</f>
        <v>9</v>
      </c>
      <c r="V18" s="121">
        <f t="shared" ref="V18" si="6">SUM(V3:V17)</f>
        <v>7</v>
      </c>
      <c r="W18" s="121">
        <f t="shared" si="5"/>
        <v>13</v>
      </c>
      <c r="X18" s="121">
        <f t="shared" ref="X18" si="7">SUM(X3:X17)</f>
        <v>11</v>
      </c>
      <c r="Y18" s="121">
        <f t="shared" si="4"/>
        <v>163</v>
      </c>
      <c r="Z18" s="121">
        <f t="shared" ref="Z18" si="8">SUM(Z3:Z17)</f>
        <v>287</v>
      </c>
      <c r="AB18" s="121">
        <f t="shared" ref="AB18" si="9">SUM(AB3:AB17)</f>
        <v>161</v>
      </c>
      <c r="AD18" s="121">
        <f t="shared" ref="AD18:AD94" si="10">AB18+Z18</f>
        <v>448</v>
      </c>
    </row>
    <row r="19" spans="1:30" ht="17.399999999999999" x14ac:dyDescent="0.35">
      <c r="A19" s="97" t="s">
        <v>676</v>
      </c>
      <c r="B19" s="131">
        <f>'Suc. Amado Nervo'!C19</f>
        <v>2</v>
      </c>
      <c r="C19" s="131">
        <f>'Suc. León'!C19</f>
        <v>2</v>
      </c>
      <c r="D19" s="120">
        <f>'San Cayetano'!C19</f>
        <v>2</v>
      </c>
      <c r="E19" s="120">
        <f>'Suc. Boulevard'!C19</f>
        <v>0</v>
      </c>
      <c r="F19" s="120">
        <f>'Suc. Dos de Agosto'!C19</f>
        <v>1</v>
      </c>
      <c r="G19" s="120">
        <f>'Suc. La Nueva Canasta'!C19</f>
        <v>0</v>
      </c>
      <c r="H19" s="120">
        <f>'Suc. Mololoa'!C19</f>
        <v>1</v>
      </c>
      <c r="I19" s="120">
        <f>'Suc. Plaza'!C19</f>
        <v>1</v>
      </c>
      <c r="J19" s="120">
        <f>'Suc. Vistas'!C19</f>
        <v>1</v>
      </c>
      <c r="K19" s="120">
        <f>'Suc. Xalisco'!C19</f>
        <v>1</v>
      </c>
      <c r="L19" s="120">
        <f t="shared" ref="L19:L31" si="11">SUM(B19:K19)</f>
        <v>11</v>
      </c>
      <c r="M19" s="131">
        <f>'Suc. Acaponeta'!C19</f>
        <v>4</v>
      </c>
      <c r="N19" s="131">
        <f>'Suc. Compostela'!C19</f>
        <v>2</v>
      </c>
      <c r="O19" s="131">
        <f>'Suc. Ruiz'!C19</f>
        <v>1</v>
      </c>
      <c r="P19" s="131">
        <f>'Suc. Sanblas'!C19</f>
        <v>1</v>
      </c>
      <c r="Q19" s="131">
        <f>'LALO VARAS'!C19</f>
        <v>4</v>
      </c>
      <c r="R19" s="131">
        <f>'Suc. Santiago 2'!C19</f>
        <v>4</v>
      </c>
      <c r="S19" s="131">
        <f>'Suc. Tecuala'!C19</f>
        <v>2</v>
      </c>
      <c r="T19" s="131">
        <f>'Suc. Tuxpan'!C19</f>
        <v>1</v>
      </c>
      <c r="U19" s="131">
        <f>'Suc. Varas'!C19</f>
        <v>0</v>
      </c>
      <c r="V19" s="131">
        <f>'Suc. Santa María del Oro'!C19</f>
        <v>1</v>
      </c>
      <c r="W19" s="131">
        <f>'Suc. Villa Hidalgo'!C19</f>
        <v>2</v>
      </c>
      <c r="X19" s="131">
        <f>'Suc. Peñita'!C19</f>
        <v>2</v>
      </c>
      <c r="Y19" s="120">
        <f t="shared" ref="Y19:Y31" si="12">SUM(M19:X19)</f>
        <v>24</v>
      </c>
      <c r="Z19" s="120">
        <f t="shared" ref="Z19:Z31" si="13">L19+Y19</f>
        <v>35</v>
      </c>
      <c r="AB19" s="131">
        <f>IFERROR(VLOOKUP(A19,'GRAL. SUC. FORANEAS'!$R:$S,2,0),0)</f>
        <v>12</v>
      </c>
      <c r="AD19" s="131">
        <f t="shared" si="10"/>
        <v>47</v>
      </c>
    </row>
    <row r="20" spans="1:30" ht="17.399999999999999" x14ac:dyDescent="0.35">
      <c r="A20" s="97" t="s">
        <v>11</v>
      </c>
      <c r="B20" s="131">
        <f>'Suc. Amado Nervo'!C20</f>
        <v>2</v>
      </c>
      <c r="C20" s="131">
        <f>'Suc. León'!C20</f>
        <v>2</v>
      </c>
      <c r="D20" s="120">
        <f>'San Cayetano'!C20</f>
        <v>3</v>
      </c>
      <c r="E20" s="120">
        <f>'Suc. Boulevard'!C20</f>
        <v>2</v>
      </c>
      <c r="F20" s="120">
        <f>'Suc. Dos de Agosto'!C20</f>
        <v>3</v>
      </c>
      <c r="G20" s="120">
        <f>'Suc. La Nueva Canasta'!C20</f>
        <v>0</v>
      </c>
      <c r="H20" s="120">
        <f>'Suc. Mololoa'!C20</f>
        <v>1</v>
      </c>
      <c r="I20" s="120">
        <f>'Suc. Plaza'!C20</f>
        <v>1</v>
      </c>
      <c r="J20" s="120">
        <f>'Suc. Vistas'!C20</f>
        <v>2</v>
      </c>
      <c r="K20" s="120">
        <f>'Suc. Xalisco'!C20</f>
        <v>2</v>
      </c>
      <c r="L20" s="120">
        <f t="shared" si="11"/>
        <v>18</v>
      </c>
      <c r="M20" s="131">
        <f>'Suc. Acaponeta'!C20</f>
        <v>2</v>
      </c>
      <c r="N20" s="131">
        <f>'Suc. Compostela'!C20</f>
        <v>1</v>
      </c>
      <c r="O20" s="131">
        <f>'Suc. Ruiz'!C20</f>
        <v>1</v>
      </c>
      <c r="P20" s="131">
        <f>'Suc. Sanblas'!C20</f>
        <v>3</v>
      </c>
      <c r="Q20" s="131">
        <f>'LALO VARAS'!C20</f>
        <v>4</v>
      </c>
      <c r="R20" s="131">
        <f>'Suc. Santiago 2'!C20</f>
        <v>5</v>
      </c>
      <c r="S20" s="131">
        <f>'Suc. Tecuala'!C20</f>
        <v>3</v>
      </c>
      <c r="T20" s="131">
        <f>'Suc. Tuxpan'!C20</f>
        <v>0</v>
      </c>
      <c r="U20" s="131">
        <f>'Suc. Varas'!C20</f>
        <v>0</v>
      </c>
      <c r="V20" s="131">
        <f>'Suc. Santa María del Oro'!C20</f>
        <v>1</v>
      </c>
      <c r="W20" s="131">
        <f>'Suc. Villa Hidalgo'!C20</f>
        <v>3</v>
      </c>
      <c r="X20" s="131">
        <f>'Suc. Peñita'!C20</f>
        <v>1</v>
      </c>
      <c r="Y20" s="120">
        <f t="shared" si="12"/>
        <v>24</v>
      </c>
      <c r="Z20" s="120">
        <f t="shared" si="13"/>
        <v>42</v>
      </c>
      <c r="AB20" s="131">
        <f>IFERROR(VLOOKUP(A20,'GRAL. SUC. FORANEAS'!$R:$S,2,0),0)</f>
        <v>30</v>
      </c>
      <c r="AD20" s="131">
        <f t="shared" si="10"/>
        <v>72</v>
      </c>
    </row>
    <row r="21" spans="1:30" ht="17.399999999999999" x14ac:dyDescent="0.35">
      <c r="A21" s="97" t="s">
        <v>344</v>
      </c>
      <c r="B21" s="131">
        <f>'Suc. Amado Nervo'!C21</f>
        <v>2</v>
      </c>
      <c r="C21" s="131">
        <f>'Suc. León'!C21</f>
        <v>0</v>
      </c>
      <c r="D21" s="120">
        <f>'San Cayetano'!C21</f>
        <v>2</v>
      </c>
      <c r="E21" s="120">
        <f>'Suc. Boulevard'!C21</f>
        <v>1</v>
      </c>
      <c r="F21" s="120">
        <f>'Suc. Dos de Agosto'!C21</f>
        <v>1</v>
      </c>
      <c r="G21" s="120">
        <f>'Suc. La Nueva Canasta'!C21</f>
        <v>0</v>
      </c>
      <c r="H21" s="120">
        <f>'Suc. Mololoa'!C21</f>
        <v>1</v>
      </c>
      <c r="I21" s="120">
        <f>'Suc. Plaza'!C21</f>
        <v>0</v>
      </c>
      <c r="J21" s="120">
        <f>'Suc. Vistas'!C21</f>
        <v>1</v>
      </c>
      <c r="K21" s="120">
        <f>'Suc. Xalisco'!C21</f>
        <v>1</v>
      </c>
      <c r="L21" s="120">
        <f t="shared" si="11"/>
        <v>9</v>
      </c>
      <c r="M21" s="131">
        <f>'Suc. Acaponeta'!C21</f>
        <v>3</v>
      </c>
      <c r="N21" s="131">
        <f>'Suc. Compostela'!C21</f>
        <v>1</v>
      </c>
      <c r="O21" s="131">
        <f>'Suc. Ruiz'!C21</f>
        <v>3</v>
      </c>
      <c r="P21" s="131">
        <f>'Suc. Sanblas'!C21</f>
        <v>3</v>
      </c>
      <c r="Q21" s="131">
        <f>'LALO VARAS'!C21</f>
        <v>1</v>
      </c>
      <c r="R21" s="131">
        <f>'Suc. Santiago 2'!C21</f>
        <v>3</v>
      </c>
      <c r="S21" s="131">
        <f>'Suc. Tecuala'!C21</f>
        <v>4</v>
      </c>
      <c r="T21" s="131">
        <f>'Suc. Tuxpan'!C21</f>
        <v>2</v>
      </c>
      <c r="U21" s="131">
        <f>'Suc. Varas'!C21</f>
        <v>0</v>
      </c>
      <c r="V21" s="131">
        <f>'Suc. Santa María del Oro'!C21</f>
        <v>2</v>
      </c>
      <c r="W21" s="131">
        <f>'Suc. Villa Hidalgo'!C21</f>
        <v>3</v>
      </c>
      <c r="X21" s="131">
        <f>'Suc. Peñita'!C21</f>
        <v>3</v>
      </c>
      <c r="Y21" s="120">
        <f t="shared" si="12"/>
        <v>28</v>
      </c>
      <c r="Z21" s="120">
        <f t="shared" si="13"/>
        <v>37</v>
      </c>
      <c r="AB21" s="131">
        <f>IFERROR(VLOOKUP(A21,'GRAL. SUC. FORANEAS'!$R:$S,2,0),0)</f>
        <v>10</v>
      </c>
      <c r="AD21" s="131">
        <f t="shared" si="10"/>
        <v>47</v>
      </c>
    </row>
    <row r="22" spans="1:30" ht="17.399999999999999" x14ac:dyDescent="0.35">
      <c r="A22" s="97" t="s">
        <v>832</v>
      </c>
      <c r="B22" s="131">
        <f>'Suc. Amado Nervo'!C22</f>
        <v>1</v>
      </c>
      <c r="C22" s="131">
        <f>'Suc. León'!C22</f>
        <v>2</v>
      </c>
      <c r="D22" s="120">
        <f>'San Cayetano'!C22</f>
        <v>2</v>
      </c>
      <c r="E22" s="120">
        <f>'Suc. Boulevard'!C22</f>
        <v>1</v>
      </c>
      <c r="F22" s="120">
        <f>'Suc. Dos de Agosto'!C22</f>
        <v>1</v>
      </c>
      <c r="G22" s="120">
        <f>'Suc. La Nueva Canasta'!C22</f>
        <v>0</v>
      </c>
      <c r="H22" s="120">
        <f>'Suc. Mololoa'!C22</f>
        <v>0</v>
      </c>
      <c r="I22" s="120">
        <f>'Suc. Plaza'!C22</f>
        <v>1</v>
      </c>
      <c r="J22" s="120">
        <f>'Suc. Vistas'!C22</f>
        <v>3</v>
      </c>
      <c r="K22" s="120">
        <f>'Suc. Xalisco'!C22</f>
        <v>1</v>
      </c>
      <c r="L22" s="120">
        <f t="shared" si="11"/>
        <v>12</v>
      </c>
      <c r="M22" s="131">
        <f>'Suc. Acaponeta'!C22</f>
        <v>3</v>
      </c>
      <c r="N22" s="131">
        <f>'Suc. Compostela'!C22</f>
        <v>1</v>
      </c>
      <c r="O22" s="131">
        <f>'Suc. Ruiz'!C22</f>
        <v>0</v>
      </c>
      <c r="P22" s="131">
        <f>'Suc. Sanblas'!C22</f>
        <v>2</v>
      </c>
      <c r="Q22" s="131">
        <f>'LALO VARAS'!C22</f>
        <v>1</v>
      </c>
      <c r="R22" s="131">
        <f>'Suc. Santiago 2'!C22</f>
        <v>1</v>
      </c>
      <c r="S22" s="131">
        <f>'Suc. Tecuala'!C22</f>
        <v>5</v>
      </c>
      <c r="T22" s="131">
        <f>'Suc. Tuxpan'!C22</f>
        <v>0</v>
      </c>
      <c r="U22" s="131">
        <f>'Suc. Varas'!C22</f>
        <v>0</v>
      </c>
      <c r="V22" s="131">
        <f>'Suc. Santa María del Oro'!C22</f>
        <v>0</v>
      </c>
      <c r="W22" s="131">
        <f>'Suc. Villa Hidalgo'!C22</f>
        <v>2</v>
      </c>
      <c r="X22" s="131">
        <f>'Suc. Peñita'!C22</f>
        <v>1</v>
      </c>
      <c r="Y22" s="120">
        <f t="shared" si="12"/>
        <v>16</v>
      </c>
      <c r="Z22" s="120">
        <f t="shared" si="13"/>
        <v>28</v>
      </c>
      <c r="AB22" s="131">
        <f>IFERROR(VLOOKUP(A22,'GRAL. SUC. FORANEAS'!$R:$S,2,0),0)</f>
        <v>24</v>
      </c>
      <c r="AD22" s="131">
        <f t="shared" si="10"/>
        <v>52</v>
      </c>
    </row>
    <row r="23" spans="1:30" ht="17.399999999999999" x14ac:dyDescent="0.35">
      <c r="A23" s="97" t="s">
        <v>12</v>
      </c>
      <c r="B23" s="131">
        <f>'Suc. Amado Nervo'!C23</f>
        <v>0</v>
      </c>
      <c r="C23" s="131">
        <f>'Suc. León'!C23</f>
        <v>0</v>
      </c>
      <c r="D23" s="120">
        <f>'San Cayetano'!C23</f>
        <v>2</v>
      </c>
      <c r="E23" s="120">
        <f>'Suc. Boulevard'!C23</f>
        <v>2</v>
      </c>
      <c r="F23" s="120">
        <f>'Suc. Dos de Agosto'!C23</f>
        <v>2</v>
      </c>
      <c r="G23" s="120">
        <f>'Suc. La Nueva Canasta'!C23</f>
        <v>0</v>
      </c>
      <c r="H23" s="120">
        <f>'Suc. Mololoa'!C23</f>
        <v>2</v>
      </c>
      <c r="I23" s="120">
        <f>'Suc. Plaza'!C23</f>
        <v>0</v>
      </c>
      <c r="J23" s="120">
        <f>'Suc. Vistas'!C23</f>
        <v>3</v>
      </c>
      <c r="K23" s="120">
        <f>'Suc. Xalisco'!C23</f>
        <v>2</v>
      </c>
      <c r="L23" s="120">
        <f t="shared" si="11"/>
        <v>13</v>
      </c>
      <c r="M23" s="131">
        <f>'Suc. Acaponeta'!C23</f>
        <v>2</v>
      </c>
      <c r="N23" s="131">
        <f>'Suc. Compostela'!C23</f>
        <v>1</v>
      </c>
      <c r="O23" s="131">
        <f>'Suc. Ruiz'!C23</f>
        <v>3</v>
      </c>
      <c r="P23" s="131">
        <f>'Suc. Sanblas'!C23</f>
        <v>2</v>
      </c>
      <c r="Q23" s="131">
        <f>'LALO VARAS'!C23</f>
        <v>6</v>
      </c>
      <c r="R23" s="131">
        <f>'Suc. Santiago 2'!C23</f>
        <v>3</v>
      </c>
      <c r="S23" s="131">
        <f>'Suc. Tecuala'!C23</f>
        <v>2</v>
      </c>
      <c r="T23" s="131">
        <f>'Suc. Tuxpan'!C23</f>
        <v>0</v>
      </c>
      <c r="U23" s="131">
        <f>'Suc. Varas'!C23</f>
        <v>3</v>
      </c>
      <c r="V23" s="131">
        <f>'Suc. Santa María del Oro'!C23</f>
        <v>3</v>
      </c>
      <c r="W23" s="131">
        <f>'Suc. Villa Hidalgo'!C23</f>
        <v>2</v>
      </c>
      <c r="X23" s="131">
        <f>'Suc. Peñita'!C23</f>
        <v>0</v>
      </c>
      <c r="Y23" s="120">
        <f t="shared" si="12"/>
        <v>27</v>
      </c>
      <c r="Z23" s="120">
        <f t="shared" si="13"/>
        <v>40</v>
      </c>
      <c r="AB23" s="131">
        <f>IFERROR(VLOOKUP(A23,'GRAL. SUC. FORANEAS'!$R:$S,2,0),0)</f>
        <v>15</v>
      </c>
      <c r="AD23" s="131">
        <f t="shared" si="10"/>
        <v>55</v>
      </c>
    </row>
    <row r="24" spans="1:30" ht="17.399999999999999" x14ac:dyDescent="0.35">
      <c r="A24" s="97" t="s">
        <v>432</v>
      </c>
      <c r="B24" s="131">
        <f>'Suc. Amado Nervo'!C24</f>
        <v>1</v>
      </c>
      <c r="C24" s="131">
        <f>'Suc. León'!C24</f>
        <v>0</v>
      </c>
      <c r="D24" s="120">
        <f>'San Cayetano'!C24</f>
        <v>2</v>
      </c>
      <c r="E24" s="120">
        <f>'Suc. Boulevard'!C24</f>
        <v>0</v>
      </c>
      <c r="F24" s="120">
        <f>'Suc. Dos de Agosto'!C24</f>
        <v>0</v>
      </c>
      <c r="G24" s="120">
        <f>'Suc. La Nueva Canasta'!C24</f>
        <v>0</v>
      </c>
      <c r="H24" s="120">
        <f>'Suc. Mololoa'!C24</f>
        <v>0</v>
      </c>
      <c r="I24" s="120">
        <f>'Suc. Plaza'!C24</f>
        <v>0</v>
      </c>
      <c r="J24" s="120">
        <f>'Suc. Vistas'!C24</f>
        <v>0</v>
      </c>
      <c r="K24" s="120">
        <f>'Suc. Xalisco'!C24</f>
        <v>0</v>
      </c>
      <c r="L24" s="120">
        <f t="shared" si="11"/>
        <v>3</v>
      </c>
      <c r="M24" s="131">
        <f>'Suc. Acaponeta'!C24</f>
        <v>4</v>
      </c>
      <c r="N24" s="131">
        <f>'Suc. Compostela'!C24</f>
        <v>1</v>
      </c>
      <c r="O24" s="131">
        <f>'Suc. Ruiz'!C24</f>
        <v>0</v>
      </c>
      <c r="P24" s="131">
        <f>'Suc. Sanblas'!C24</f>
        <v>0</v>
      </c>
      <c r="Q24" s="131">
        <f>'LALO VARAS'!C24</f>
        <v>1</v>
      </c>
      <c r="R24" s="131">
        <f>'Suc. Santiago 2'!C24</f>
        <v>3</v>
      </c>
      <c r="S24" s="131">
        <f>'Suc. Tecuala'!C24</f>
        <v>3</v>
      </c>
      <c r="T24" s="131">
        <f>'Suc. Tuxpan'!C24</f>
        <v>0</v>
      </c>
      <c r="U24" s="131">
        <f>'Suc. Varas'!C24</f>
        <v>1</v>
      </c>
      <c r="V24" s="131">
        <f>'Suc. Santa María del Oro'!C24</f>
        <v>0</v>
      </c>
      <c r="W24" s="131">
        <f>'Suc. Villa Hidalgo'!C24</f>
        <v>0</v>
      </c>
      <c r="X24" s="131">
        <f>'Suc. Peñita'!C24</f>
        <v>2</v>
      </c>
      <c r="Y24" s="120">
        <f t="shared" si="12"/>
        <v>15</v>
      </c>
      <c r="Z24" s="120">
        <f t="shared" si="13"/>
        <v>18</v>
      </c>
      <c r="AB24" s="131">
        <f>IFERROR(VLOOKUP(A24,'GRAL. SUC. FORANEAS'!$R:$S,2,0),0)</f>
        <v>0</v>
      </c>
      <c r="AD24" s="131">
        <f t="shared" si="10"/>
        <v>18</v>
      </c>
    </row>
    <row r="25" spans="1:30" ht="17.399999999999999" x14ac:dyDescent="0.35">
      <c r="A25" s="97" t="s">
        <v>468</v>
      </c>
      <c r="B25" s="131">
        <f>'Suc. Amado Nervo'!C25</f>
        <v>4</v>
      </c>
      <c r="C25" s="131">
        <f>'Suc. León'!C25</f>
        <v>4</v>
      </c>
      <c r="D25" s="120">
        <f>'San Cayetano'!C25</f>
        <v>2</v>
      </c>
      <c r="E25" s="120">
        <f>'Suc. Boulevard'!C25</f>
        <v>0</v>
      </c>
      <c r="F25" s="120">
        <f>'Suc. Dos de Agosto'!C25</f>
        <v>0</v>
      </c>
      <c r="G25" s="120">
        <f>'Suc. La Nueva Canasta'!C25</f>
        <v>0</v>
      </c>
      <c r="H25" s="120">
        <f>'Suc. Mololoa'!C25</f>
        <v>0</v>
      </c>
      <c r="I25" s="120">
        <f>'Suc. Plaza'!C25</f>
        <v>1</v>
      </c>
      <c r="J25" s="120">
        <f>'Suc. Vistas'!C25</f>
        <v>0</v>
      </c>
      <c r="K25" s="120">
        <f>'Suc. Xalisco'!C25</f>
        <v>0</v>
      </c>
      <c r="L25" s="120">
        <f t="shared" si="11"/>
        <v>11</v>
      </c>
      <c r="M25" s="131">
        <f>'Suc. Acaponeta'!C25</f>
        <v>1</v>
      </c>
      <c r="N25" s="131">
        <f>'Suc. Compostela'!C25</f>
        <v>2</v>
      </c>
      <c r="O25" s="131">
        <f>'Suc. Ruiz'!C25</f>
        <v>2</v>
      </c>
      <c r="P25" s="131">
        <f>'Suc. Sanblas'!C25</f>
        <v>3</v>
      </c>
      <c r="Q25" s="131">
        <f>'LALO VARAS'!C25</f>
        <v>1</v>
      </c>
      <c r="R25" s="131">
        <f>'Suc. Santiago 2'!C25</f>
        <v>4</v>
      </c>
      <c r="S25" s="131">
        <f>'Suc. Tecuala'!C25</f>
        <v>1</v>
      </c>
      <c r="T25" s="131">
        <f>'Suc. Tuxpan'!C25</f>
        <v>0</v>
      </c>
      <c r="U25" s="131">
        <f>'Suc. Varas'!C25</f>
        <v>0</v>
      </c>
      <c r="V25" s="131">
        <f>'Suc. Santa María del Oro'!C25</f>
        <v>0</v>
      </c>
      <c r="W25" s="131">
        <f>'Suc. Villa Hidalgo'!C25</f>
        <v>2</v>
      </c>
      <c r="X25" s="131">
        <f>'Suc. Peñita'!C25</f>
        <v>3</v>
      </c>
      <c r="Y25" s="120">
        <f t="shared" si="12"/>
        <v>19</v>
      </c>
      <c r="Z25" s="120">
        <f t="shared" si="13"/>
        <v>30</v>
      </c>
      <c r="AB25" s="131">
        <f>IFERROR(VLOOKUP(A25,'GRAL. SUC. FORANEAS'!$R:$S,2,0),0)</f>
        <v>58</v>
      </c>
      <c r="AD25" s="131">
        <f t="shared" si="10"/>
        <v>88</v>
      </c>
    </row>
    <row r="26" spans="1:30" ht="17.399999999999999" x14ac:dyDescent="0.35">
      <c r="A26" s="97"/>
      <c r="B26" s="131">
        <f>'Suc. Amado Nervo'!C26</f>
        <v>0</v>
      </c>
      <c r="C26" s="131">
        <f>'Suc. León'!C26</f>
        <v>0</v>
      </c>
      <c r="D26" s="120">
        <f>'San Cayetano'!C26</f>
        <v>0</v>
      </c>
      <c r="E26" s="120">
        <f>'Suc. Boulevard'!C26</f>
        <v>0</v>
      </c>
      <c r="F26" s="120">
        <f>'Suc. Dos de Agosto'!C26</f>
        <v>0</v>
      </c>
      <c r="G26" s="120">
        <f>'Suc. La Nueva Canasta'!C26</f>
        <v>0</v>
      </c>
      <c r="H26" s="120">
        <f>'Suc. Mololoa'!C26</f>
        <v>0</v>
      </c>
      <c r="I26" s="120">
        <f>'Suc. Plaza'!C26</f>
        <v>0</v>
      </c>
      <c r="J26" s="120">
        <f>'Suc. Vistas'!C26</f>
        <v>0</v>
      </c>
      <c r="K26" s="120">
        <f>'Suc. Xalisco'!C26</f>
        <v>0</v>
      </c>
      <c r="L26" s="120">
        <f t="shared" si="11"/>
        <v>0</v>
      </c>
      <c r="M26" s="131">
        <f>'Suc. Acaponeta'!C26</f>
        <v>0</v>
      </c>
      <c r="N26" s="131">
        <f>'Suc. Compostela'!C26</f>
        <v>0</v>
      </c>
      <c r="O26" s="131">
        <f>'Suc. Ruiz'!C26</f>
        <v>0</v>
      </c>
      <c r="P26" s="131">
        <f>'Suc. Sanblas'!C26</f>
        <v>0</v>
      </c>
      <c r="Q26" s="131">
        <f>'LALO VARAS'!C26</f>
        <v>0</v>
      </c>
      <c r="R26" s="131">
        <f>'Suc. Santiago 2'!C26</f>
        <v>0</v>
      </c>
      <c r="S26" s="131">
        <f>'Suc. Tecuala'!C26</f>
        <v>0</v>
      </c>
      <c r="T26" s="131">
        <f>'Suc. Tuxpan'!C26</f>
        <v>0</v>
      </c>
      <c r="U26" s="131">
        <f>'Suc. Varas'!C26</f>
        <v>0</v>
      </c>
      <c r="V26" s="131">
        <f>'Suc. Santa María del Oro'!C26</f>
        <v>0</v>
      </c>
      <c r="W26" s="131">
        <f>'Suc. Villa Hidalgo'!C26</f>
        <v>0</v>
      </c>
      <c r="X26" s="131">
        <f>'Suc. Peñita'!C26</f>
        <v>0</v>
      </c>
      <c r="Y26" s="120">
        <f t="shared" si="12"/>
        <v>0</v>
      </c>
      <c r="Z26" s="120">
        <f t="shared" si="13"/>
        <v>0</v>
      </c>
      <c r="AB26" s="131">
        <f>IFERROR(VLOOKUP(A26,'GRAL. SUC. FORANEAS'!$R:$S,2,0),0)</f>
        <v>0</v>
      </c>
      <c r="AD26" s="131">
        <f t="shared" si="10"/>
        <v>0</v>
      </c>
    </row>
    <row r="27" spans="1:30" ht="17.399999999999999" x14ac:dyDescent="0.35">
      <c r="A27" s="97"/>
      <c r="B27" s="131">
        <f>'Suc. Amado Nervo'!C27</f>
        <v>0</v>
      </c>
      <c r="C27" s="131">
        <f>'Suc. León'!C27</f>
        <v>0</v>
      </c>
      <c r="D27" s="120">
        <f>'San Cayetano'!C27</f>
        <v>0</v>
      </c>
      <c r="E27" s="120">
        <f>'Suc. Boulevard'!C27</f>
        <v>0</v>
      </c>
      <c r="F27" s="120">
        <f>'Suc. Dos de Agosto'!C27</f>
        <v>0</v>
      </c>
      <c r="G27" s="120">
        <f>'Suc. La Nueva Canasta'!C27</f>
        <v>0</v>
      </c>
      <c r="H27" s="120">
        <f>'Suc. Mololoa'!C27</f>
        <v>0</v>
      </c>
      <c r="I27" s="120">
        <f>'Suc. Plaza'!C27</f>
        <v>0</v>
      </c>
      <c r="J27" s="120">
        <f>'Suc. Vistas'!C27</f>
        <v>0</v>
      </c>
      <c r="K27" s="120">
        <f>'Suc. Xalisco'!C27</f>
        <v>0</v>
      </c>
      <c r="L27" s="120">
        <f t="shared" si="11"/>
        <v>0</v>
      </c>
      <c r="M27" s="131">
        <f>'Suc. Acaponeta'!C27</f>
        <v>0</v>
      </c>
      <c r="N27" s="131">
        <f>'Suc. Compostela'!C27</f>
        <v>0</v>
      </c>
      <c r="O27" s="131">
        <f>'Suc. Ruiz'!C27</f>
        <v>0</v>
      </c>
      <c r="P27" s="131">
        <f>'Suc. Sanblas'!C27</f>
        <v>0</v>
      </c>
      <c r="Q27" s="131">
        <f>'LALO VARAS'!C27</f>
        <v>0</v>
      </c>
      <c r="R27" s="131">
        <f>'Suc. Santiago 2'!C27</f>
        <v>0</v>
      </c>
      <c r="S27" s="131">
        <f>'Suc. Tecuala'!C27</f>
        <v>0</v>
      </c>
      <c r="T27" s="131">
        <f>'Suc. Tuxpan'!C27</f>
        <v>0</v>
      </c>
      <c r="U27" s="131">
        <f>'Suc. Varas'!C27</f>
        <v>0</v>
      </c>
      <c r="V27" s="131">
        <f>'Suc. Santa María del Oro'!C27</f>
        <v>0</v>
      </c>
      <c r="W27" s="131">
        <f>'Suc. Villa Hidalgo'!C27</f>
        <v>0</v>
      </c>
      <c r="X27" s="131">
        <f>'Suc. Peñita'!C27</f>
        <v>0</v>
      </c>
      <c r="Y27" s="120">
        <f t="shared" si="12"/>
        <v>0</v>
      </c>
      <c r="Z27" s="120">
        <f t="shared" si="13"/>
        <v>0</v>
      </c>
      <c r="AB27" s="131">
        <f>IFERROR(VLOOKUP(A27,'GRAL. SUC. FORANEAS'!$R:$S,2,0),0)</f>
        <v>0</v>
      </c>
      <c r="AD27" s="131">
        <f t="shared" si="10"/>
        <v>0</v>
      </c>
    </row>
    <row r="28" spans="1:30" ht="17.399999999999999" x14ac:dyDescent="0.35">
      <c r="A28" s="97"/>
      <c r="B28" s="131">
        <f>'Suc. Amado Nervo'!C28</f>
        <v>0</v>
      </c>
      <c r="C28" s="131">
        <f>'Suc. León'!C28</f>
        <v>0</v>
      </c>
      <c r="D28" s="120">
        <f>'San Cayetano'!C28</f>
        <v>0</v>
      </c>
      <c r="E28" s="120">
        <f>'Suc. Boulevard'!C28</f>
        <v>0</v>
      </c>
      <c r="F28" s="120">
        <f>'Suc. Dos de Agosto'!C28</f>
        <v>0</v>
      </c>
      <c r="G28" s="120">
        <f>'Suc. La Nueva Canasta'!C28</f>
        <v>0</v>
      </c>
      <c r="H28" s="120">
        <f>'Suc. Mololoa'!C28</f>
        <v>0</v>
      </c>
      <c r="I28" s="120">
        <f>'Suc. Plaza'!C28</f>
        <v>0</v>
      </c>
      <c r="J28" s="120">
        <f>'Suc. Vistas'!C28</f>
        <v>0</v>
      </c>
      <c r="K28" s="120">
        <f>'Suc. Xalisco'!C28</f>
        <v>0</v>
      </c>
      <c r="L28" s="120">
        <f t="shared" si="11"/>
        <v>0</v>
      </c>
      <c r="M28" s="131">
        <f>'Suc. Acaponeta'!C28</f>
        <v>0</v>
      </c>
      <c r="N28" s="131">
        <f>'Suc. Compostela'!C28</f>
        <v>0</v>
      </c>
      <c r="O28" s="131">
        <f>'Suc. Ruiz'!C28</f>
        <v>0</v>
      </c>
      <c r="P28" s="131">
        <f>'Suc. Sanblas'!C28</f>
        <v>0</v>
      </c>
      <c r="Q28" s="131">
        <f>'LALO VARAS'!C28</f>
        <v>0</v>
      </c>
      <c r="R28" s="131">
        <f>'Suc. Santiago 2'!C28</f>
        <v>0</v>
      </c>
      <c r="S28" s="131">
        <f>'Suc. Tecuala'!C28</f>
        <v>0</v>
      </c>
      <c r="T28" s="131">
        <f>'Suc. Tuxpan'!C28</f>
        <v>0</v>
      </c>
      <c r="U28" s="131">
        <f>'Suc. Varas'!C28</f>
        <v>0</v>
      </c>
      <c r="V28" s="131">
        <f>'Suc. Santa María del Oro'!C28</f>
        <v>0</v>
      </c>
      <c r="W28" s="131">
        <f>'Suc. Villa Hidalgo'!C28</f>
        <v>0</v>
      </c>
      <c r="X28" s="131">
        <f>'Suc. Peñita'!C28</f>
        <v>0</v>
      </c>
      <c r="Y28" s="120">
        <f t="shared" si="12"/>
        <v>0</v>
      </c>
      <c r="Z28" s="120">
        <f t="shared" si="13"/>
        <v>0</v>
      </c>
      <c r="AB28" s="131">
        <f>IFERROR(VLOOKUP(A28,'GRAL. SUC. FORANEAS'!$R:$S,2,0),0)</f>
        <v>0</v>
      </c>
      <c r="AD28" s="131">
        <f t="shared" si="10"/>
        <v>0</v>
      </c>
    </row>
    <row r="29" spans="1:30" ht="17.399999999999999" x14ac:dyDescent="0.35">
      <c r="A29" s="97"/>
      <c r="B29" s="131">
        <f>'Suc. Amado Nervo'!C29</f>
        <v>0</v>
      </c>
      <c r="C29" s="131">
        <f>'Suc. León'!C29</f>
        <v>0</v>
      </c>
      <c r="D29" s="120">
        <f>'San Cayetano'!C29</f>
        <v>0</v>
      </c>
      <c r="E29" s="120">
        <f>'Suc. Boulevard'!C29</f>
        <v>0</v>
      </c>
      <c r="F29" s="120">
        <f>'Suc. Dos de Agosto'!C29</f>
        <v>0</v>
      </c>
      <c r="G29" s="120">
        <f>'Suc. La Nueva Canasta'!C29</f>
        <v>0</v>
      </c>
      <c r="H29" s="120">
        <f>'Suc. Mololoa'!C29</f>
        <v>0</v>
      </c>
      <c r="I29" s="120">
        <f>'Suc. Plaza'!C29</f>
        <v>0</v>
      </c>
      <c r="J29" s="120">
        <f>'Suc. Vistas'!C29</f>
        <v>0</v>
      </c>
      <c r="K29" s="120">
        <f>'Suc. Xalisco'!C29</f>
        <v>0</v>
      </c>
      <c r="L29" s="120">
        <f t="shared" si="11"/>
        <v>0</v>
      </c>
      <c r="M29" s="131">
        <f>'Suc. Acaponeta'!C29</f>
        <v>0</v>
      </c>
      <c r="N29" s="131">
        <f>'Suc. Compostela'!C29</f>
        <v>0</v>
      </c>
      <c r="O29" s="131">
        <f>'Suc. Ruiz'!C29</f>
        <v>0</v>
      </c>
      <c r="P29" s="131">
        <f>'Suc. Sanblas'!C29</f>
        <v>0</v>
      </c>
      <c r="Q29" s="131">
        <f>'LALO VARAS'!C29</f>
        <v>0</v>
      </c>
      <c r="R29" s="131">
        <f>'Suc. Santiago 2'!C29</f>
        <v>0</v>
      </c>
      <c r="S29" s="131">
        <f>'Suc. Tecuala'!C29</f>
        <v>0</v>
      </c>
      <c r="T29" s="131">
        <f>'Suc. Tuxpan'!C29</f>
        <v>0</v>
      </c>
      <c r="U29" s="131">
        <f>'Suc. Varas'!C29</f>
        <v>0</v>
      </c>
      <c r="V29" s="131">
        <f>'Suc. Santa María del Oro'!C29</f>
        <v>0</v>
      </c>
      <c r="W29" s="131">
        <f>'Suc. Villa Hidalgo'!C29</f>
        <v>0</v>
      </c>
      <c r="X29" s="131">
        <f>'Suc. Peñita'!C29</f>
        <v>0</v>
      </c>
      <c r="Y29" s="120">
        <f t="shared" si="12"/>
        <v>0</v>
      </c>
      <c r="Z29" s="120">
        <f t="shared" si="13"/>
        <v>0</v>
      </c>
      <c r="AB29" s="131">
        <f>IFERROR(VLOOKUP(A29,'GRAL. SUC. FORANEAS'!$R:$S,2,0),0)</f>
        <v>0</v>
      </c>
      <c r="AD29" s="131">
        <f t="shared" si="10"/>
        <v>0</v>
      </c>
    </row>
    <row r="30" spans="1:30" ht="17.399999999999999" x14ac:dyDescent="0.35">
      <c r="A30" s="97"/>
      <c r="B30" s="131">
        <f>'Suc. Amado Nervo'!C30</f>
        <v>0</v>
      </c>
      <c r="C30" s="131">
        <f>'Suc. León'!C30</f>
        <v>0</v>
      </c>
      <c r="D30" s="120">
        <f>'San Cayetano'!C30</f>
        <v>0</v>
      </c>
      <c r="E30" s="120">
        <f>'Suc. Boulevard'!C30</f>
        <v>0</v>
      </c>
      <c r="F30" s="120">
        <f>'Suc. Dos de Agosto'!C30</f>
        <v>0</v>
      </c>
      <c r="G30" s="120">
        <f>'Suc. La Nueva Canasta'!C30</f>
        <v>0</v>
      </c>
      <c r="H30" s="120">
        <f>'Suc. Mololoa'!C30</f>
        <v>0</v>
      </c>
      <c r="I30" s="120">
        <f>'Suc. Plaza'!C30</f>
        <v>0</v>
      </c>
      <c r="J30" s="120">
        <f>'Suc. Vistas'!C30</f>
        <v>0</v>
      </c>
      <c r="K30" s="120">
        <f>'Suc. Xalisco'!C30</f>
        <v>0</v>
      </c>
      <c r="L30" s="120">
        <f t="shared" si="11"/>
        <v>0</v>
      </c>
      <c r="M30" s="131">
        <f>'Suc. Acaponeta'!C30</f>
        <v>0</v>
      </c>
      <c r="N30" s="131">
        <f>'Suc. Compostela'!C30</f>
        <v>0</v>
      </c>
      <c r="O30" s="131">
        <f>'Suc. Ruiz'!C30</f>
        <v>0</v>
      </c>
      <c r="P30" s="131">
        <f>'Suc. Sanblas'!C30</f>
        <v>0</v>
      </c>
      <c r="Q30" s="131">
        <f>'LALO VARAS'!C30</f>
        <v>0</v>
      </c>
      <c r="R30" s="131">
        <f>'Suc. Santiago 2'!C30</f>
        <v>0</v>
      </c>
      <c r="S30" s="131">
        <f>'Suc. Tecuala'!C30</f>
        <v>0</v>
      </c>
      <c r="T30" s="131">
        <f>'Suc. Tuxpan'!C30</f>
        <v>0</v>
      </c>
      <c r="U30" s="131">
        <f>'Suc. Varas'!C30</f>
        <v>0</v>
      </c>
      <c r="V30" s="131">
        <f>'Suc. Santa María del Oro'!C30</f>
        <v>0</v>
      </c>
      <c r="W30" s="131">
        <f>'Suc. Villa Hidalgo'!C30</f>
        <v>0</v>
      </c>
      <c r="X30" s="131">
        <f>'Suc. Peñita'!C30</f>
        <v>0</v>
      </c>
      <c r="Y30" s="120">
        <f t="shared" si="12"/>
        <v>0</v>
      </c>
      <c r="Z30" s="120">
        <f t="shared" si="13"/>
        <v>0</v>
      </c>
      <c r="AB30" s="131">
        <f>IFERROR(VLOOKUP(A30,'GRAL. SUC. FORANEAS'!$R:$S,2,0),0)</f>
        <v>0</v>
      </c>
      <c r="AD30" s="131">
        <f t="shared" si="10"/>
        <v>0</v>
      </c>
    </row>
    <row r="31" spans="1:30" ht="18" thickBot="1" x14ac:dyDescent="0.4">
      <c r="A31" s="97"/>
      <c r="B31" s="131">
        <f>'Suc. Amado Nervo'!C31</f>
        <v>0</v>
      </c>
      <c r="C31" s="131">
        <f>'Suc. León'!C31</f>
        <v>0</v>
      </c>
      <c r="D31" s="120">
        <f>'San Cayetano'!C31</f>
        <v>0</v>
      </c>
      <c r="E31" s="120">
        <f>'Suc. Boulevard'!C31</f>
        <v>0</v>
      </c>
      <c r="F31" s="120">
        <f>'Suc. Dos de Agosto'!C31</f>
        <v>0</v>
      </c>
      <c r="G31" s="120">
        <f>'Suc. La Nueva Canasta'!C31</f>
        <v>0</v>
      </c>
      <c r="H31" s="120">
        <f>'Suc. Mololoa'!C31</f>
        <v>0</v>
      </c>
      <c r="I31" s="120">
        <f>'Suc. Plaza'!C31</f>
        <v>0</v>
      </c>
      <c r="J31" s="120">
        <f>'Suc. Vistas'!C31</f>
        <v>0</v>
      </c>
      <c r="K31" s="120">
        <f>'Suc. Xalisco'!C31</f>
        <v>0</v>
      </c>
      <c r="L31" s="120">
        <f t="shared" si="11"/>
        <v>0</v>
      </c>
      <c r="M31" s="131">
        <f>'Suc. Acaponeta'!C31</f>
        <v>0</v>
      </c>
      <c r="N31" s="131">
        <f>'Suc. Compostela'!C31</f>
        <v>0</v>
      </c>
      <c r="O31" s="131">
        <f>'Suc. Ruiz'!C31</f>
        <v>0</v>
      </c>
      <c r="P31" s="131">
        <f>'Suc. Sanblas'!C31</f>
        <v>0</v>
      </c>
      <c r="Q31" s="131">
        <f>'LALO VARAS'!C31</f>
        <v>0</v>
      </c>
      <c r="R31" s="131">
        <f>'Suc. Santiago 2'!C31</f>
        <v>0</v>
      </c>
      <c r="S31" s="131">
        <f>'Suc. Tecuala'!C31</f>
        <v>0</v>
      </c>
      <c r="T31" s="131">
        <f>'Suc. Tuxpan'!C31</f>
        <v>0</v>
      </c>
      <c r="U31" s="131">
        <f>'Suc. Varas'!C31</f>
        <v>0</v>
      </c>
      <c r="V31" s="131">
        <f>'Suc. Santa María del Oro'!C31</f>
        <v>0</v>
      </c>
      <c r="W31" s="131">
        <f>'Suc. Villa Hidalgo'!C31</f>
        <v>0</v>
      </c>
      <c r="X31" s="131">
        <f>'Suc. Peñita'!C31</f>
        <v>0</v>
      </c>
      <c r="Y31" s="120">
        <f t="shared" si="12"/>
        <v>0</v>
      </c>
      <c r="Z31" s="120">
        <f t="shared" si="13"/>
        <v>0</v>
      </c>
      <c r="AB31" s="131">
        <f>IFERROR(VLOOKUP(A31,'GRAL. SUC. FORANEAS'!$R:$S,2,0),0)</f>
        <v>0</v>
      </c>
      <c r="AD31" s="131">
        <f t="shared" si="10"/>
        <v>0</v>
      </c>
    </row>
    <row r="32" spans="1:30" ht="18" thickBot="1" x14ac:dyDescent="0.4">
      <c r="A32" s="98" t="s">
        <v>13</v>
      </c>
      <c r="B32" s="122">
        <f>SUM(B19:B31)</f>
        <v>12</v>
      </c>
      <c r="C32" s="122">
        <f t="shared" ref="C32:Y32" si="14">SUM(C19:C31)</f>
        <v>10</v>
      </c>
      <c r="D32" s="122">
        <f t="shared" si="14"/>
        <v>15</v>
      </c>
      <c r="E32" s="122">
        <f t="shared" si="14"/>
        <v>6</v>
      </c>
      <c r="F32" s="122">
        <f t="shared" si="14"/>
        <v>8</v>
      </c>
      <c r="G32" s="122">
        <f t="shared" si="14"/>
        <v>0</v>
      </c>
      <c r="H32" s="122">
        <f t="shared" si="14"/>
        <v>5</v>
      </c>
      <c r="I32" s="122">
        <f t="shared" si="14"/>
        <v>4</v>
      </c>
      <c r="J32" s="122">
        <f t="shared" si="14"/>
        <v>10</v>
      </c>
      <c r="K32" s="122">
        <f t="shared" si="14"/>
        <v>7</v>
      </c>
      <c r="L32" s="122">
        <f t="shared" si="14"/>
        <v>77</v>
      </c>
      <c r="M32" s="122">
        <f t="shared" si="14"/>
        <v>19</v>
      </c>
      <c r="N32" s="122">
        <f t="shared" si="14"/>
        <v>9</v>
      </c>
      <c r="O32" s="122">
        <f t="shared" si="14"/>
        <v>10</v>
      </c>
      <c r="P32" s="122">
        <f t="shared" si="14"/>
        <v>14</v>
      </c>
      <c r="Q32" s="122">
        <f t="shared" si="14"/>
        <v>18</v>
      </c>
      <c r="R32" s="122">
        <f t="shared" si="14"/>
        <v>23</v>
      </c>
      <c r="S32" s="122">
        <f t="shared" si="14"/>
        <v>20</v>
      </c>
      <c r="T32" s="122">
        <f t="shared" si="14"/>
        <v>3</v>
      </c>
      <c r="U32" s="122">
        <f t="shared" ref="U32:W32" si="15">SUM(U19:U31)</f>
        <v>4</v>
      </c>
      <c r="V32" s="122">
        <f t="shared" ref="V32" si="16">SUM(V19:V31)</f>
        <v>7</v>
      </c>
      <c r="W32" s="122">
        <f t="shared" si="15"/>
        <v>14</v>
      </c>
      <c r="X32" s="122">
        <f t="shared" ref="X32" si="17">SUM(X19:X31)</f>
        <v>12</v>
      </c>
      <c r="Y32" s="122">
        <f t="shared" si="14"/>
        <v>153</v>
      </c>
      <c r="Z32" s="122">
        <f t="shared" ref="Z32" si="18">SUM(Z19:Z31)</f>
        <v>230</v>
      </c>
      <c r="AB32" s="122">
        <f t="shared" ref="AB32" si="19">SUM(AB19:AB31)</f>
        <v>149</v>
      </c>
      <c r="AD32" s="122">
        <f t="shared" si="10"/>
        <v>379</v>
      </c>
    </row>
    <row r="33" spans="1:30" ht="17.399999999999999" x14ac:dyDescent="0.35">
      <c r="A33" s="97" t="s">
        <v>14</v>
      </c>
      <c r="B33" s="131">
        <f>'Suc. Amado Nervo'!C33</f>
        <v>2</v>
      </c>
      <c r="C33" s="131">
        <f>'Suc. León'!C33</f>
        <v>3</v>
      </c>
      <c r="D33" s="120">
        <f>'San Cayetano'!C33</f>
        <v>2</v>
      </c>
      <c r="E33" s="120">
        <f>'Suc. Boulevard'!C33</f>
        <v>1</v>
      </c>
      <c r="F33" s="120">
        <f>'Suc. Dos de Agosto'!C33</f>
        <v>1</v>
      </c>
      <c r="G33" s="120">
        <f>'Suc. La Nueva Canasta'!C33</f>
        <v>0</v>
      </c>
      <c r="H33" s="120">
        <f>'Suc. Mololoa'!C33</f>
        <v>2</v>
      </c>
      <c r="I33" s="120">
        <f>'Suc. Plaza'!C33</f>
        <v>1</v>
      </c>
      <c r="J33" s="120">
        <f>'Suc. Vistas'!C33</f>
        <v>0</v>
      </c>
      <c r="K33" s="120">
        <f>'Suc. Xalisco'!C33</f>
        <v>2</v>
      </c>
      <c r="L33" s="120">
        <f t="shared" ref="L33:L48" si="20">SUM(B33:K33)</f>
        <v>14</v>
      </c>
      <c r="M33" s="131">
        <f>'Suc. Acaponeta'!C33</f>
        <v>3</v>
      </c>
      <c r="N33" s="131">
        <f>'Suc. Compostela'!C33</f>
        <v>0</v>
      </c>
      <c r="O33" s="131">
        <f>'Suc. Ruiz'!C33</f>
        <v>0</v>
      </c>
      <c r="P33" s="131">
        <f>'Suc. Sanblas'!C33</f>
        <v>0</v>
      </c>
      <c r="Q33" s="131">
        <f>'LALO VARAS'!C33</f>
        <v>1</v>
      </c>
      <c r="R33" s="131">
        <f>'Suc. Santiago 2'!C33</f>
        <v>1</v>
      </c>
      <c r="S33" s="131">
        <f>'Suc. Tecuala'!C33</f>
        <v>4</v>
      </c>
      <c r="T33" s="131">
        <f>'Suc. Tuxpan'!C33</f>
        <v>2</v>
      </c>
      <c r="U33" s="131">
        <f>'Suc. Varas'!C33</f>
        <v>0</v>
      </c>
      <c r="V33" s="131">
        <f>'Suc. Santa María del Oro'!C33</f>
        <v>0</v>
      </c>
      <c r="W33" s="131">
        <f>'Suc. Villa Hidalgo'!C33</f>
        <v>1</v>
      </c>
      <c r="X33" s="131">
        <f>'Suc. Peñita'!C33</f>
        <v>0</v>
      </c>
      <c r="Y33" s="120">
        <f t="shared" ref="Y33:Y48" si="21">SUM(M33:X33)</f>
        <v>12</v>
      </c>
      <c r="Z33" s="120">
        <f t="shared" ref="Z33:Z48" si="22">L33+Y33</f>
        <v>26</v>
      </c>
      <c r="AB33" s="131">
        <f>IFERROR(VLOOKUP(A33,'GRAL. SUC. FORANEAS'!$R:$S,2,0),0)</f>
        <v>14</v>
      </c>
      <c r="AD33" s="131">
        <f t="shared" si="10"/>
        <v>40</v>
      </c>
    </row>
    <row r="34" spans="1:30" ht="17.399999999999999" x14ac:dyDescent="0.35">
      <c r="A34" s="97" t="s">
        <v>15</v>
      </c>
      <c r="B34" s="131">
        <f>'Suc. Amado Nervo'!C34</f>
        <v>3</v>
      </c>
      <c r="C34" s="131">
        <f>'Suc. León'!C34</f>
        <v>2</v>
      </c>
      <c r="D34" s="120">
        <f>'San Cayetano'!C34</f>
        <v>1</v>
      </c>
      <c r="E34" s="120">
        <f>'Suc. Boulevard'!C34</f>
        <v>0</v>
      </c>
      <c r="F34" s="120">
        <f>'Suc. Dos de Agosto'!C34</f>
        <v>2</v>
      </c>
      <c r="G34" s="120">
        <f>'Suc. La Nueva Canasta'!C34</f>
        <v>0</v>
      </c>
      <c r="H34" s="120">
        <f>'Suc. Mololoa'!C34</f>
        <v>2</v>
      </c>
      <c r="I34" s="120">
        <f>'Suc. Plaza'!C34</f>
        <v>0</v>
      </c>
      <c r="J34" s="120">
        <f>'Suc. Vistas'!C34</f>
        <v>2</v>
      </c>
      <c r="K34" s="120">
        <f>'Suc. Xalisco'!C34</f>
        <v>2</v>
      </c>
      <c r="L34" s="120">
        <f t="shared" si="20"/>
        <v>14</v>
      </c>
      <c r="M34" s="131">
        <f>'Suc. Acaponeta'!C34</f>
        <v>2</v>
      </c>
      <c r="N34" s="131">
        <f>'Suc. Compostela'!C34</f>
        <v>0</v>
      </c>
      <c r="O34" s="131">
        <f>'Suc. Ruiz'!C34</f>
        <v>0</v>
      </c>
      <c r="P34" s="131">
        <f>'Suc. Sanblas'!C34</f>
        <v>1</v>
      </c>
      <c r="Q34" s="131">
        <f>'LALO VARAS'!C34</f>
        <v>2</v>
      </c>
      <c r="R34" s="131">
        <f>'Suc. Santiago 2'!C34</f>
        <v>2</v>
      </c>
      <c r="S34" s="131">
        <f>'Suc. Tecuala'!C34</f>
        <v>4</v>
      </c>
      <c r="T34" s="131">
        <f>'Suc. Tuxpan'!C34</f>
        <v>2</v>
      </c>
      <c r="U34" s="131">
        <f>'Suc. Varas'!C34</f>
        <v>2</v>
      </c>
      <c r="V34" s="131">
        <f>'Suc. Santa María del Oro'!C34</f>
        <v>0</v>
      </c>
      <c r="W34" s="131">
        <f>'Suc. Villa Hidalgo'!C34</f>
        <v>2</v>
      </c>
      <c r="X34" s="131">
        <f>'Suc. Peñita'!C34</f>
        <v>2</v>
      </c>
      <c r="Y34" s="120">
        <f t="shared" si="21"/>
        <v>19</v>
      </c>
      <c r="Z34" s="120">
        <f t="shared" si="22"/>
        <v>33</v>
      </c>
      <c r="AB34" s="131">
        <f>IFERROR(VLOOKUP(A34,'GRAL. SUC. FORANEAS'!$R:$S,2,0),0)</f>
        <v>17</v>
      </c>
      <c r="AD34" s="131">
        <f t="shared" si="10"/>
        <v>50</v>
      </c>
    </row>
    <row r="35" spans="1:30" ht="17.399999999999999" x14ac:dyDescent="0.35">
      <c r="A35" s="97" t="s">
        <v>16</v>
      </c>
      <c r="B35" s="131">
        <f>'Suc. Amado Nervo'!C35</f>
        <v>2</v>
      </c>
      <c r="C35" s="131">
        <f>'Suc. León'!C35</f>
        <v>1</v>
      </c>
      <c r="D35" s="120">
        <f>'San Cayetano'!C35</f>
        <v>1</v>
      </c>
      <c r="E35" s="120">
        <f>'Suc. Boulevard'!C35</f>
        <v>1</v>
      </c>
      <c r="F35" s="120">
        <f>'Suc. Dos de Agosto'!C35</f>
        <v>1</v>
      </c>
      <c r="G35" s="120">
        <f>'Suc. La Nueva Canasta'!C35</f>
        <v>0</v>
      </c>
      <c r="H35" s="120">
        <f>'Suc. Mololoa'!C35</f>
        <v>1</v>
      </c>
      <c r="I35" s="120">
        <f>'Suc. Plaza'!C35</f>
        <v>1</v>
      </c>
      <c r="J35" s="120">
        <f>'Suc. Vistas'!C35</f>
        <v>1</v>
      </c>
      <c r="K35" s="120">
        <f>'Suc. Xalisco'!C35</f>
        <v>2</v>
      </c>
      <c r="L35" s="120">
        <f t="shared" si="20"/>
        <v>11</v>
      </c>
      <c r="M35" s="131">
        <f>'Suc. Acaponeta'!C35</f>
        <v>3</v>
      </c>
      <c r="N35" s="131">
        <f>'Suc. Compostela'!C35</f>
        <v>0</v>
      </c>
      <c r="O35" s="131">
        <f>'Suc. Ruiz'!C35</f>
        <v>1</v>
      </c>
      <c r="P35" s="131">
        <f>'Suc. Sanblas'!C35</f>
        <v>3</v>
      </c>
      <c r="Q35" s="131">
        <f>'LALO VARAS'!C35</f>
        <v>4</v>
      </c>
      <c r="R35" s="131">
        <f>'Suc. Santiago 2'!C35</f>
        <v>3</v>
      </c>
      <c r="S35" s="131">
        <f>'Suc. Tecuala'!C35</f>
        <v>1</v>
      </c>
      <c r="T35" s="131">
        <f>'Suc. Tuxpan'!C35</f>
        <v>2</v>
      </c>
      <c r="U35" s="131">
        <f>'Suc. Varas'!C35</f>
        <v>0</v>
      </c>
      <c r="V35" s="131">
        <f>'Suc. Santa María del Oro'!C35</f>
        <v>2</v>
      </c>
      <c r="W35" s="131">
        <f>'Suc. Villa Hidalgo'!C35</f>
        <v>2</v>
      </c>
      <c r="X35" s="131">
        <f>'Suc. Peñita'!C35</f>
        <v>2</v>
      </c>
      <c r="Y35" s="120">
        <f t="shared" si="21"/>
        <v>23</v>
      </c>
      <c r="Z35" s="120">
        <f t="shared" si="22"/>
        <v>34</v>
      </c>
      <c r="AB35" s="131">
        <f>IFERROR(VLOOKUP(A35,'GRAL. SUC. FORANEAS'!$R:$S,2,0),0)</f>
        <v>14</v>
      </c>
      <c r="AD35" s="131">
        <f t="shared" si="10"/>
        <v>48</v>
      </c>
    </row>
    <row r="36" spans="1:30" ht="17.399999999999999" x14ac:dyDescent="0.35">
      <c r="A36" s="97" t="s">
        <v>17</v>
      </c>
      <c r="B36" s="131">
        <f>'Suc. Amado Nervo'!C36</f>
        <v>3</v>
      </c>
      <c r="C36" s="131">
        <f>'Suc. León'!C36</f>
        <v>2</v>
      </c>
      <c r="D36" s="120">
        <f>'San Cayetano'!C36</f>
        <v>1</v>
      </c>
      <c r="E36" s="120">
        <f>'Suc. Boulevard'!C36</f>
        <v>0</v>
      </c>
      <c r="F36" s="120">
        <f>'Suc. Dos de Agosto'!C36</f>
        <v>0</v>
      </c>
      <c r="G36" s="120">
        <f>'Suc. La Nueva Canasta'!C36</f>
        <v>0</v>
      </c>
      <c r="H36" s="120">
        <f>'Suc. Mololoa'!C36</f>
        <v>1</v>
      </c>
      <c r="I36" s="120">
        <f>'Suc. Plaza'!C36</f>
        <v>1</v>
      </c>
      <c r="J36" s="120">
        <f>'Suc. Vistas'!C36</f>
        <v>1</v>
      </c>
      <c r="K36" s="120">
        <f>'Suc. Xalisco'!C36</f>
        <v>2</v>
      </c>
      <c r="L36" s="120">
        <f t="shared" si="20"/>
        <v>11</v>
      </c>
      <c r="M36" s="131">
        <f>'Suc. Acaponeta'!C36</f>
        <v>3</v>
      </c>
      <c r="N36" s="131">
        <f>'Suc. Compostela'!C36</f>
        <v>1</v>
      </c>
      <c r="O36" s="131">
        <f>'Suc. Ruiz'!C36</f>
        <v>4</v>
      </c>
      <c r="P36" s="131">
        <f>'Suc. Sanblas'!C36</f>
        <v>1</v>
      </c>
      <c r="Q36" s="131">
        <f>'LALO VARAS'!C36</f>
        <v>4</v>
      </c>
      <c r="R36" s="131">
        <f>'Suc. Santiago 2'!C36</f>
        <v>3</v>
      </c>
      <c r="S36" s="131">
        <f>'Suc. Tecuala'!C36</f>
        <v>0</v>
      </c>
      <c r="T36" s="131">
        <f>'Suc. Tuxpan'!C36</f>
        <v>0</v>
      </c>
      <c r="U36" s="131">
        <f>'Suc. Varas'!C36</f>
        <v>1</v>
      </c>
      <c r="V36" s="131">
        <f>'Suc. Santa María del Oro'!C36</f>
        <v>0</v>
      </c>
      <c r="W36" s="131">
        <f>'Suc. Villa Hidalgo'!C36</f>
        <v>2</v>
      </c>
      <c r="X36" s="131">
        <f>'Suc. Peñita'!C36</f>
        <v>1</v>
      </c>
      <c r="Y36" s="120">
        <f t="shared" si="21"/>
        <v>20</v>
      </c>
      <c r="Z36" s="120">
        <f t="shared" si="22"/>
        <v>31</v>
      </c>
      <c r="AB36" s="131">
        <f>IFERROR(VLOOKUP(A36,'GRAL. SUC. FORANEAS'!$R:$S,2,0),0)</f>
        <v>15</v>
      </c>
      <c r="AD36" s="131">
        <f t="shared" si="10"/>
        <v>46</v>
      </c>
    </row>
    <row r="37" spans="1:30" ht="17.399999999999999" x14ac:dyDescent="0.35">
      <c r="A37" s="97" t="s">
        <v>18</v>
      </c>
      <c r="B37" s="131">
        <f>'Suc. Amado Nervo'!C37</f>
        <v>3</v>
      </c>
      <c r="C37" s="131">
        <f>'Suc. León'!C37</f>
        <v>3</v>
      </c>
      <c r="D37" s="120">
        <f>'San Cayetano'!C37</f>
        <v>3</v>
      </c>
      <c r="E37" s="120">
        <f>'Suc. Boulevard'!C37</f>
        <v>3</v>
      </c>
      <c r="F37" s="120">
        <f>'Suc. Dos de Agosto'!C37</f>
        <v>2</v>
      </c>
      <c r="G37" s="120">
        <f>'Suc. La Nueva Canasta'!C37</f>
        <v>0</v>
      </c>
      <c r="H37" s="120">
        <f>'Suc. Mololoa'!C37</f>
        <v>2</v>
      </c>
      <c r="I37" s="120">
        <f>'Suc. Plaza'!C37</f>
        <v>0</v>
      </c>
      <c r="J37" s="120">
        <f>'Suc. Vistas'!C37</f>
        <v>0</v>
      </c>
      <c r="K37" s="120">
        <f>'Suc. Xalisco'!C37</f>
        <v>3</v>
      </c>
      <c r="L37" s="120">
        <f t="shared" si="20"/>
        <v>19</v>
      </c>
      <c r="M37" s="131">
        <f>'Suc. Acaponeta'!C37</f>
        <v>2</v>
      </c>
      <c r="N37" s="131">
        <f>'Suc. Compostela'!C37</f>
        <v>0</v>
      </c>
      <c r="O37" s="131">
        <f>'Suc. Ruiz'!C37</f>
        <v>3</v>
      </c>
      <c r="P37" s="131">
        <f>'Suc. Sanblas'!C37</f>
        <v>3</v>
      </c>
      <c r="Q37" s="131">
        <f>'LALO VARAS'!C37</f>
        <v>4</v>
      </c>
      <c r="R37" s="131">
        <f>'Suc. Santiago 2'!C37</f>
        <v>0</v>
      </c>
      <c r="S37" s="131">
        <f>'Suc. Tecuala'!C37</f>
        <v>3</v>
      </c>
      <c r="T37" s="131">
        <f>'Suc. Tuxpan'!C37</f>
        <v>2</v>
      </c>
      <c r="U37" s="131">
        <f>'Suc. Varas'!C37</f>
        <v>1</v>
      </c>
      <c r="V37" s="131">
        <f>'Suc. Santa María del Oro'!C37</f>
        <v>3</v>
      </c>
      <c r="W37" s="131">
        <f>'Suc. Villa Hidalgo'!C37</f>
        <v>2</v>
      </c>
      <c r="X37" s="131">
        <f>'Suc. Peñita'!C37</f>
        <v>1</v>
      </c>
      <c r="Y37" s="120">
        <f t="shared" si="21"/>
        <v>24</v>
      </c>
      <c r="Z37" s="120">
        <f t="shared" si="22"/>
        <v>43</v>
      </c>
      <c r="AB37" s="131">
        <f>IFERROR(VLOOKUP(A37,'GRAL. SUC. FORANEAS'!$R:$S,2,0),0)</f>
        <v>22</v>
      </c>
      <c r="AD37" s="131">
        <f t="shared" si="10"/>
        <v>65</v>
      </c>
    </row>
    <row r="38" spans="1:30" ht="17.399999999999999" x14ac:dyDescent="0.35">
      <c r="A38" s="97" t="s">
        <v>22</v>
      </c>
      <c r="B38" s="131">
        <f>'Suc. Amado Nervo'!C38</f>
        <v>2</v>
      </c>
      <c r="C38" s="131">
        <f>'Suc. León'!C38</f>
        <v>3</v>
      </c>
      <c r="D38" s="120">
        <f>'San Cayetano'!C38</f>
        <v>3</v>
      </c>
      <c r="E38" s="120">
        <f>'Suc. Boulevard'!C38</f>
        <v>2</v>
      </c>
      <c r="F38" s="120">
        <f>'Suc. Dos de Agosto'!C38</f>
        <v>1</v>
      </c>
      <c r="G38" s="120">
        <f>'Suc. La Nueva Canasta'!C38</f>
        <v>0</v>
      </c>
      <c r="H38" s="120">
        <f>'Suc. Mololoa'!C38</f>
        <v>2</v>
      </c>
      <c r="I38" s="120">
        <f>'Suc. Plaza'!C38</f>
        <v>0</v>
      </c>
      <c r="J38" s="120">
        <f>'Suc. Vistas'!C38</f>
        <v>0</v>
      </c>
      <c r="K38" s="120">
        <f>'Suc. Xalisco'!C38</f>
        <v>2</v>
      </c>
      <c r="L38" s="120">
        <f t="shared" si="20"/>
        <v>15</v>
      </c>
      <c r="M38" s="131">
        <f>'Suc. Acaponeta'!C38</f>
        <v>2</v>
      </c>
      <c r="N38" s="131">
        <f>'Suc. Compostela'!C38</f>
        <v>1</v>
      </c>
      <c r="O38" s="131">
        <f>'Suc. Ruiz'!C38</f>
        <v>3</v>
      </c>
      <c r="P38" s="131">
        <f>'Suc. Sanblas'!C38</f>
        <v>3</v>
      </c>
      <c r="Q38" s="131">
        <f>'LALO VARAS'!C38</f>
        <v>4</v>
      </c>
      <c r="R38" s="131">
        <f>'Suc. Santiago 2'!C38</f>
        <v>3</v>
      </c>
      <c r="S38" s="131">
        <f>'Suc. Tecuala'!C38</f>
        <v>3</v>
      </c>
      <c r="T38" s="131">
        <f>'Suc. Tuxpan'!C38</f>
        <v>0</v>
      </c>
      <c r="U38" s="131">
        <f>'Suc. Varas'!C38</f>
        <v>3</v>
      </c>
      <c r="V38" s="131">
        <f>'Suc. Santa María del Oro'!C38</f>
        <v>2</v>
      </c>
      <c r="W38" s="131">
        <f>'Suc. Villa Hidalgo'!C38</f>
        <v>2</v>
      </c>
      <c r="X38" s="131">
        <f>'Suc. Peñita'!C38</f>
        <v>2</v>
      </c>
      <c r="Y38" s="120">
        <f t="shared" si="21"/>
        <v>28</v>
      </c>
      <c r="Z38" s="120">
        <f t="shared" si="22"/>
        <v>43</v>
      </c>
      <c r="AB38" s="131">
        <f>IFERROR(VLOOKUP(A38,'GRAL. SUC. FORANEAS'!$R:$S,2,0),0)</f>
        <v>27</v>
      </c>
      <c r="AD38" s="131">
        <f t="shared" si="10"/>
        <v>70</v>
      </c>
    </row>
    <row r="39" spans="1:30" ht="17.399999999999999" x14ac:dyDescent="0.35">
      <c r="A39" s="97" t="s">
        <v>23</v>
      </c>
      <c r="B39" s="131">
        <f>'Suc. Amado Nervo'!C39</f>
        <v>1</v>
      </c>
      <c r="C39" s="131">
        <f>'Suc. León'!C39</f>
        <v>2</v>
      </c>
      <c r="D39" s="120">
        <f>'San Cayetano'!C39</f>
        <v>2</v>
      </c>
      <c r="E39" s="120">
        <f>'Suc. Boulevard'!C39</f>
        <v>1</v>
      </c>
      <c r="F39" s="120">
        <f>'Suc. Dos de Agosto'!C39</f>
        <v>1</v>
      </c>
      <c r="G39" s="120">
        <f>'Suc. La Nueva Canasta'!C39</f>
        <v>0</v>
      </c>
      <c r="H39" s="120">
        <f>'Suc. Mololoa'!C39</f>
        <v>2</v>
      </c>
      <c r="I39" s="120">
        <f>'Suc. Plaza'!C39</f>
        <v>1</v>
      </c>
      <c r="J39" s="120">
        <f>'Suc. Vistas'!C39</f>
        <v>1</v>
      </c>
      <c r="K39" s="120">
        <f>'Suc. Xalisco'!C39</f>
        <v>1</v>
      </c>
      <c r="L39" s="120">
        <f t="shared" si="20"/>
        <v>12</v>
      </c>
      <c r="M39" s="131">
        <f>'Suc. Acaponeta'!C39</f>
        <v>2</v>
      </c>
      <c r="N39" s="131">
        <f>'Suc. Compostela'!C39</f>
        <v>1</v>
      </c>
      <c r="O39" s="131">
        <f>'Suc. Ruiz'!C39</f>
        <v>2</v>
      </c>
      <c r="P39" s="131">
        <f>'Suc. Sanblas'!C39</f>
        <v>1</v>
      </c>
      <c r="Q39" s="131">
        <f>'LALO VARAS'!C39</f>
        <v>4</v>
      </c>
      <c r="R39" s="131">
        <f>'Suc. Santiago 2'!C39</f>
        <v>3</v>
      </c>
      <c r="S39" s="131">
        <f>'Suc. Tecuala'!C39</f>
        <v>2</v>
      </c>
      <c r="T39" s="131">
        <f>'Suc. Tuxpan'!C39</f>
        <v>0</v>
      </c>
      <c r="U39" s="131">
        <f>'Suc. Varas'!C39</f>
        <v>0</v>
      </c>
      <c r="V39" s="131">
        <f>'Suc. Santa María del Oro'!C39</f>
        <v>0</v>
      </c>
      <c r="W39" s="131">
        <f>'Suc. Villa Hidalgo'!C39</f>
        <v>1</v>
      </c>
      <c r="X39" s="131">
        <f>'Suc. Peñita'!C39</f>
        <v>3</v>
      </c>
      <c r="Y39" s="120">
        <f t="shared" si="21"/>
        <v>19</v>
      </c>
      <c r="Z39" s="120">
        <f t="shared" si="22"/>
        <v>31</v>
      </c>
      <c r="AB39" s="131">
        <f>IFERROR(VLOOKUP(A39,'GRAL. SUC. FORANEAS'!$R:$S,2,0),0)</f>
        <v>10</v>
      </c>
      <c r="AD39" s="131">
        <f t="shared" si="10"/>
        <v>41</v>
      </c>
    </row>
    <row r="40" spans="1:30" ht="17.399999999999999" x14ac:dyDescent="0.35">
      <c r="A40" s="97" t="s">
        <v>24</v>
      </c>
      <c r="B40" s="131">
        <f>'Suc. Amado Nervo'!C40</f>
        <v>2</v>
      </c>
      <c r="C40" s="131">
        <f>'Suc. León'!C40</f>
        <v>3</v>
      </c>
      <c r="D40" s="120">
        <f>'San Cayetano'!C40</f>
        <v>2</v>
      </c>
      <c r="E40" s="120">
        <f>'Suc. Boulevard'!C40</f>
        <v>1</v>
      </c>
      <c r="F40" s="120">
        <f>'Suc. Dos de Agosto'!C40</f>
        <v>2</v>
      </c>
      <c r="G40" s="120">
        <f>'Suc. La Nueva Canasta'!C40</f>
        <v>0</v>
      </c>
      <c r="H40" s="120">
        <f>'Suc. Mololoa'!C40</f>
        <v>2</v>
      </c>
      <c r="I40" s="120">
        <f>'Suc. Plaza'!C40</f>
        <v>0</v>
      </c>
      <c r="J40" s="120">
        <f>'Suc. Vistas'!C40</f>
        <v>0</v>
      </c>
      <c r="K40" s="120">
        <f>'Suc. Xalisco'!C40</f>
        <v>0</v>
      </c>
      <c r="L40" s="120">
        <f t="shared" si="20"/>
        <v>12</v>
      </c>
      <c r="M40" s="131">
        <f>'Suc. Acaponeta'!C40</f>
        <v>1</v>
      </c>
      <c r="N40" s="131">
        <f>'Suc. Compostela'!C40</f>
        <v>1</v>
      </c>
      <c r="O40" s="131">
        <f>'Suc. Ruiz'!C40</f>
        <v>2</v>
      </c>
      <c r="P40" s="131">
        <f>'Suc. Sanblas'!C40</f>
        <v>3</v>
      </c>
      <c r="Q40" s="131">
        <f>'LALO VARAS'!C40</f>
        <v>3</v>
      </c>
      <c r="R40" s="131">
        <f>'Suc. Santiago 2'!C40</f>
        <v>3</v>
      </c>
      <c r="S40" s="131">
        <f>'Suc. Tecuala'!C40</f>
        <v>1</v>
      </c>
      <c r="T40" s="131">
        <f>'Suc. Tuxpan'!C40</f>
        <v>0</v>
      </c>
      <c r="U40" s="131">
        <f>'Suc. Varas'!C40</f>
        <v>2</v>
      </c>
      <c r="V40" s="131">
        <f>'Suc. Santa María del Oro'!C40</f>
        <v>2</v>
      </c>
      <c r="W40" s="131">
        <f>'Suc. Villa Hidalgo'!C40</f>
        <v>2</v>
      </c>
      <c r="X40" s="131">
        <f>'Suc. Peñita'!C40</f>
        <v>1</v>
      </c>
      <c r="Y40" s="120">
        <f t="shared" si="21"/>
        <v>21</v>
      </c>
      <c r="Z40" s="120">
        <f t="shared" si="22"/>
        <v>33</v>
      </c>
      <c r="AB40" s="131">
        <f>IFERROR(VLOOKUP(A40,'GRAL. SUC. FORANEAS'!$R:$S,2,0),0)</f>
        <v>25</v>
      </c>
      <c r="AD40" s="131">
        <f t="shared" si="10"/>
        <v>58</v>
      </c>
    </row>
    <row r="41" spans="1:30" ht="17.399999999999999" x14ac:dyDescent="0.35">
      <c r="A41" s="97" t="s">
        <v>25</v>
      </c>
      <c r="B41" s="131">
        <f>'Suc. Amado Nervo'!C41</f>
        <v>2</v>
      </c>
      <c r="C41" s="131">
        <f>'Suc. León'!C41</f>
        <v>1</v>
      </c>
      <c r="D41" s="120">
        <f>'San Cayetano'!C41</f>
        <v>1</v>
      </c>
      <c r="E41" s="120">
        <f>'Suc. Boulevard'!C41</f>
        <v>0</v>
      </c>
      <c r="F41" s="120">
        <f>'Suc. Dos de Agosto'!C41</f>
        <v>1</v>
      </c>
      <c r="G41" s="120">
        <f>'Suc. La Nueva Canasta'!C41</f>
        <v>0</v>
      </c>
      <c r="H41" s="120">
        <f>'Suc. Mololoa'!C41</f>
        <v>2</v>
      </c>
      <c r="I41" s="120">
        <f>'Suc. Plaza'!C41</f>
        <v>0</v>
      </c>
      <c r="J41" s="120">
        <f>'Suc. Vistas'!C41</f>
        <v>2</v>
      </c>
      <c r="K41" s="120">
        <f>'Suc. Xalisco'!C41</f>
        <v>1</v>
      </c>
      <c r="L41" s="120">
        <f t="shared" si="20"/>
        <v>10</v>
      </c>
      <c r="M41" s="131">
        <f>'Suc. Acaponeta'!C41</f>
        <v>3</v>
      </c>
      <c r="N41" s="131">
        <f>'Suc. Compostela'!C41</f>
        <v>2</v>
      </c>
      <c r="O41" s="131">
        <f>'Suc. Ruiz'!C41</f>
        <v>1</v>
      </c>
      <c r="P41" s="131">
        <f>'Suc. Sanblas'!C41</f>
        <v>2</v>
      </c>
      <c r="Q41" s="131">
        <f>'LALO VARAS'!C41</f>
        <v>2</v>
      </c>
      <c r="R41" s="131">
        <f>'Suc. Santiago 2'!C41</f>
        <v>3</v>
      </c>
      <c r="S41" s="131">
        <f>'Suc. Tecuala'!C41</f>
        <v>1</v>
      </c>
      <c r="T41" s="131">
        <f>'Suc. Tuxpan'!C41</f>
        <v>1</v>
      </c>
      <c r="U41" s="131">
        <f>'Suc. Varas'!C41</f>
        <v>1</v>
      </c>
      <c r="V41" s="131">
        <f>'Suc. Santa María del Oro'!C41</f>
        <v>0</v>
      </c>
      <c r="W41" s="131">
        <f>'Suc. Villa Hidalgo'!C41</f>
        <v>2</v>
      </c>
      <c r="X41" s="131">
        <f>'Suc. Peñita'!C41</f>
        <v>2</v>
      </c>
      <c r="Y41" s="120">
        <f t="shared" si="21"/>
        <v>20</v>
      </c>
      <c r="Z41" s="120">
        <f t="shared" si="22"/>
        <v>30</v>
      </c>
      <c r="AB41" s="131">
        <f>IFERROR(VLOOKUP(A41,'GRAL. SUC. FORANEAS'!$R:$S,2,0),0)</f>
        <v>13</v>
      </c>
      <c r="AD41" s="131">
        <f t="shared" si="10"/>
        <v>43</v>
      </c>
    </row>
    <row r="42" spans="1:30" ht="17.399999999999999" x14ac:dyDescent="0.35">
      <c r="A42" s="97"/>
      <c r="B42" s="131">
        <f>'Suc. Amado Nervo'!C42</f>
        <v>0</v>
      </c>
      <c r="C42" s="131">
        <f>'Suc. León'!C42</f>
        <v>0</v>
      </c>
      <c r="D42" s="120">
        <f>'San Cayetano'!C42</f>
        <v>0</v>
      </c>
      <c r="E42" s="120">
        <f>'Suc. Boulevard'!C42</f>
        <v>0</v>
      </c>
      <c r="F42" s="120">
        <f>'Suc. Dos de Agosto'!C42</f>
        <v>0</v>
      </c>
      <c r="G42" s="120">
        <f>'Suc. La Nueva Canasta'!C42</f>
        <v>0</v>
      </c>
      <c r="H42" s="120">
        <f>'Suc. Mololoa'!C42</f>
        <v>0</v>
      </c>
      <c r="I42" s="120">
        <f>'Suc. Plaza'!C42</f>
        <v>0</v>
      </c>
      <c r="J42" s="120">
        <f>'Suc. Vistas'!C42</f>
        <v>0</v>
      </c>
      <c r="K42" s="120">
        <f>'Suc. Xalisco'!C42</f>
        <v>0</v>
      </c>
      <c r="L42" s="120">
        <f t="shared" si="20"/>
        <v>0</v>
      </c>
      <c r="M42" s="131">
        <f>'Suc. Acaponeta'!C42</f>
        <v>0</v>
      </c>
      <c r="N42" s="131">
        <f>'Suc. Compostela'!C42</f>
        <v>0</v>
      </c>
      <c r="O42" s="131">
        <f>'Suc. Ruiz'!C42</f>
        <v>0</v>
      </c>
      <c r="P42" s="131">
        <f>'Suc. Sanblas'!C42</f>
        <v>0</v>
      </c>
      <c r="Q42" s="131">
        <f>'LALO VARAS'!C42</f>
        <v>0</v>
      </c>
      <c r="R42" s="131">
        <f>'Suc. Santiago 2'!C42</f>
        <v>0</v>
      </c>
      <c r="S42" s="131">
        <f>'Suc. Tecuala'!C42</f>
        <v>0</v>
      </c>
      <c r="T42" s="131">
        <f>'Suc. Tuxpan'!C42</f>
        <v>0</v>
      </c>
      <c r="U42" s="131">
        <f>'Suc. Varas'!C42</f>
        <v>0</v>
      </c>
      <c r="V42" s="131">
        <f>'Suc. Santa María del Oro'!C42</f>
        <v>0</v>
      </c>
      <c r="W42" s="131">
        <f>'Suc. Villa Hidalgo'!C42</f>
        <v>0</v>
      </c>
      <c r="X42" s="131">
        <f>'Suc. Peñita'!C42</f>
        <v>0</v>
      </c>
      <c r="Y42" s="120">
        <f t="shared" si="21"/>
        <v>0</v>
      </c>
      <c r="Z42" s="120">
        <f t="shared" si="22"/>
        <v>0</v>
      </c>
      <c r="AB42" s="131">
        <f>IFERROR(VLOOKUP(A42,'GRAL. SUC. FORANEAS'!$R:$S,2,0),0)</f>
        <v>0</v>
      </c>
      <c r="AD42" s="131">
        <f t="shared" si="10"/>
        <v>0</v>
      </c>
    </row>
    <row r="43" spans="1:30" ht="17.399999999999999" x14ac:dyDescent="0.35">
      <c r="A43" s="97"/>
      <c r="B43" s="131">
        <f>'Suc. Amado Nervo'!C43</f>
        <v>0</v>
      </c>
      <c r="C43" s="131">
        <f>'Suc. León'!C43</f>
        <v>0</v>
      </c>
      <c r="D43" s="120">
        <f>'San Cayetano'!C43</f>
        <v>0</v>
      </c>
      <c r="E43" s="120">
        <f>'Suc. Boulevard'!C43</f>
        <v>0</v>
      </c>
      <c r="F43" s="120">
        <f>'Suc. Dos de Agosto'!C43</f>
        <v>0</v>
      </c>
      <c r="G43" s="120">
        <f>'Suc. La Nueva Canasta'!C43</f>
        <v>0</v>
      </c>
      <c r="H43" s="120">
        <f>'Suc. Mololoa'!C43</f>
        <v>0</v>
      </c>
      <c r="I43" s="120">
        <f>'Suc. Plaza'!C43</f>
        <v>0</v>
      </c>
      <c r="J43" s="120">
        <f>'Suc. Vistas'!C43</f>
        <v>0</v>
      </c>
      <c r="K43" s="120">
        <f>'Suc. Xalisco'!C43</f>
        <v>0</v>
      </c>
      <c r="L43" s="120">
        <f t="shared" si="20"/>
        <v>0</v>
      </c>
      <c r="M43" s="131">
        <f>'Suc. Acaponeta'!C43</f>
        <v>0</v>
      </c>
      <c r="N43" s="131">
        <f>'Suc. Compostela'!C43</f>
        <v>0</v>
      </c>
      <c r="O43" s="131">
        <f>'Suc. Ruiz'!C43</f>
        <v>0</v>
      </c>
      <c r="P43" s="131">
        <f>'Suc. Sanblas'!C43</f>
        <v>0</v>
      </c>
      <c r="Q43" s="131">
        <f>'LALO VARAS'!C43</f>
        <v>0</v>
      </c>
      <c r="R43" s="131">
        <f>'Suc. Santiago 2'!C43</f>
        <v>0</v>
      </c>
      <c r="S43" s="131">
        <f>'Suc. Tecuala'!C43</f>
        <v>0</v>
      </c>
      <c r="T43" s="131">
        <f>'Suc. Tuxpan'!C43</f>
        <v>0</v>
      </c>
      <c r="U43" s="131">
        <f>'Suc. Varas'!C43</f>
        <v>0</v>
      </c>
      <c r="V43" s="131">
        <f>'Suc. Santa María del Oro'!C43</f>
        <v>0</v>
      </c>
      <c r="W43" s="131">
        <f>'Suc. Villa Hidalgo'!C43</f>
        <v>0</v>
      </c>
      <c r="X43" s="131">
        <f>'Suc. Peñita'!C43</f>
        <v>0</v>
      </c>
      <c r="Y43" s="120">
        <f t="shared" si="21"/>
        <v>0</v>
      </c>
      <c r="Z43" s="120">
        <f t="shared" si="22"/>
        <v>0</v>
      </c>
      <c r="AB43" s="131">
        <f>IFERROR(VLOOKUP(A43,'GRAL. SUC. FORANEAS'!$R:$S,2,0),0)</f>
        <v>0</v>
      </c>
      <c r="AD43" s="131">
        <f t="shared" si="10"/>
        <v>0</v>
      </c>
    </row>
    <row r="44" spans="1:30" ht="17.399999999999999" x14ac:dyDescent="0.35">
      <c r="A44" s="97"/>
      <c r="B44" s="131">
        <f>'Suc. Amado Nervo'!C44</f>
        <v>0</v>
      </c>
      <c r="C44" s="131">
        <f>'Suc. León'!C44</f>
        <v>0</v>
      </c>
      <c r="D44" s="120">
        <f>'San Cayetano'!C44</f>
        <v>0</v>
      </c>
      <c r="E44" s="120">
        <f>'Suc. Boulevard'!C44</f>
        <v>0</v>
      </c>
      <c r="F44" s="120">
        <f>'Suc. Dos de Agosto'!C44</f>
        <v>0</v>
      </c>
      <c r="G44" s="120">
        <f>'Suc. La Nueva Canasta'!C44</f>
        <v>0</v>
      </c>
      <c r="H44" s="120">
        <f>'Suc. Mololoa'!C44</f>
        <v>0</v>
      </c>
      <c r="I44" s="120">
        <f>'Suc. Plaza'!C44</f>
        <v>0</v>
      </c>
      <c r="J44" s="120">
        <f>'Suc. Vistas'!C44</f>
        <v>0</v>
      </c>
      <c r="K44" s="120">
        <f>'Suc. Xalisco'!C44</f>
        <v>0</v>
      </c>
      <c r="L44" s="120">
        <f t="shared" si="20"/>
        <v>0</v>
      </c>
      <c r="M44" s="131">
        <f>'Suc. Acaponeta'!C44</f>
        <v>0</v>
      </c>
      <c r="N44" s="131">
        <f>'Suc. Compostela'!C44</f>
        <v>0</v>
      </c>
      <c r="O44" s="131">
        <f>'Suc. Ruiz'!C44</f>
        <v>0</v>
      </c>
      <c r="P44" s="131">
        <f>'Suc. Sanblas'!C44</f>
        <v>0</v>
      </c>
      <c r="Q44" s="131">
        <f>'LALO VARAS'!C44</f>
        <v>0</v>
      </c>
      <c r="R44" s="131">
        <f>'Suc. Santiago 2'!C44</f>
        <v>0</v>
      </c>
      <c r="S44" s="131">
        <f>'Suc. Tecuala'!C44</f>
        <v>0</v>
      </c>
      <c r="T44" s="131">
        <f>'Suc. Tuxpan'!C44</f>
        <v>0</v>
      </c>
      <c r="U44" s="131">
        <f>'Suc. Varas'!C44</f>
        <v>0</v>
      </c>
      <c r="V44" s="131">
        <f>'Suc. Santa María del Oro'!C44</f>
        <v>0</v>
      </c>
      <c r="W44" s="131">
        <f>'Suc. Villa Hidalgo'!C44</f>
        <v>0</v>
      </c>
      <c r="X44" s="131">
        <f>'Suc. Peñita'!C44</f>
        <v>0</v>
      </c>
      <c r="Y44" s="120">
        <f t="shared" si="21"/>
        <v>0</v>
      </c>
      <c r="Z44" s="120">
        <f t="shared" si="22"/>
        <v>0</v>
      </c>
      <c r="AB44" s="131">
        <f>IFERROR(VLOOKUP(A44,'GRAL. SUC. FORANEAS'!$R:$S,2,0),0)</f>
        <v>0</v>
      </c>
      <c r="AD44" s="131">
        <f t="shared" si="10"/>
        <v>0</v>
      </c>
    </row>
    <row r="45" spans="1:30" ht="17.399999999999999" x14ac:dyDescent="0.35">
      <c r="A45" s="97"/>
      <c r="B45" s="131">
        <f>'Suc. Amado Nervo'!C45</f>
        <v>0</v>
      </c>
      <c r="C45" s="131">
        <f>'Suc. León'!C45</f>
        <v>0</v>
      </c>
      <c r="D45" s="120">
        <f>'San Cayetano'!C45</f>
        <v>0</v>
      </c>
      <c r="E45" s="120">
        <f>'Suc. Boulevard'!C45</f>
        <v>0</v>
      </c>
      <c r="F45" s="120">
        <f>'Suc. Dos de Agosto'!C45</f>
        <v>0</v>
      </c>
      <c r="G45" s="120">
        <f>'Suc. La Nueva Canasta'!C45</f>
        <v>0</v>
      </c>
      <c r="H45" s="120">
        <f>'Suc. Mololoa'!C45</f>
        <v>0</v>
      </c>
      <c r="I45" s="120">
        <f>'Suc. Plaza'!C45</f>
        <v>0</v>
      </c>
      <c r="J45" s="120">
        <f>'Suc. Vistas'!C45</f>
        <v>0</v>
      </c>
      <c r="K45" s="120">
        <f>'Suc. Xalisco'!C45</f>
        <v>0</v>
      </c>
      <c r="L45" s="120">
        <f t="shared" si="20"/>
        <v>0</v>
      </c>
      <c r="M45" s="131">
        <f>'Suc. Acaponeta'!C45</f>
        <v>0</v>
      </c>
      <c r="N45" s="131">
        <f>'Suc. Compostela'!C45</f>
        <v>0</v>
      </c>
      <c r="O45" s="131">
        <f>'Suc. Ruiz'!C45</f>
        <v>0</v>
      </c>
      <c r="P45" s="131">
        <f>'Suc. Sanblas'!C45</f>
        <v>0</v>
      </c>
      <c r="Q45" s="131">
        <f>'LALO VARAS'!C45</f>
        <v>0</v>
      </c>
      <c r="R45" s="131">
        <f>'Suc. Santiago 2'!C45</f>
        <v>0</v>
      </c>
      <c r="S45" s="131">
        <f>'Suc. Tecuala'!C45</f>
        <v>0</v>
      </c>
      <c r="T45" s="131">
        <f>'Suc. Tuxpan'!C45</f>
        <v>0</v>
      </c>
      <c r="U45" s="131">
        <f>'Suc. Varas'!C45</f>
        <v>0</v>
      </c>
      <c r="V45" s="131">
        <f>'Suc. Santa María del Oro'!C45</f>
        <v>0</v>
      </c>
      <c r="W45" s="131">
        <f>'Suc. Villa Hidalgo'!C45</f>
        <v>0</v>
      </c>
      <c r="X45" s="131">
        <f>'Suc. Peñita'!C45</f>
        <v>0</v>
      </c>
      <c r="Y45" s="120">
        <f t="shared" si="21"/>
        <v>0</v>
      </c>
      <c r="Z45" s="120">
        <f t="shared" si="22"/>
        <v>0</v>
      </c>
      <c r="AB45" s="131">
        <f>IFERROR(VLOOKUP(A45,'GRAL. SUC. FORANEAS'!$R:$S,2,0),0)</f>
        <v>0</v>
      </c>
      <c r="AD45" s="131">
        <f t="shared" si="10"/>
        <v>0</v>
      </c>
    </row>
    <row r="46" spans="1:30" ht="17.399999999999999" x14ac:dyDescent="0.35">
      <c r="A46" s="97"/>
      <c r="B46" s="131">
        <f>'Suc. Amado Nervo'!C46</f>
        <v>0</v>
      </c>
      <c r="C46" s="131">
        <f>'Suc. León'!C46</f>
        <v>0</v>
      </c>
      <c r="D46" s="120">
        <f>'San Cayetano'!C46</f>
        <v>0</v>
      </c>
      <c r="E46" s="120">
        <f>'Suc. Boulevard'!C46</f>
        <v>0</v>
      </c>
      <c r="F46" s="120">
        <f>'Suc. Dos de Agosto'!C46</f>
        <v>0</v>
      </c>
      <c r="G46" s="120">
        <f>'Suc. La Nueva Canasta'!C46</f>
        <v>0</v>
      </c>
      <c r="H46" s="120">
        <f>'Suc. Mololoa'!C46</f>
        <v>0</v>
      </c>
      <c r="I46" s="120">
        <f>'Suc. Plaza'!C46</f>
        <v>0</v>
      </c>
      <c r="J46" s="120">
        <f>'Suc. Vistas'!C46</f>
        <v>0</v>
      </c>
      <c r="K46" s="120">
        <f>'Suc. Xalisco'!C46</f>
        <v>0</v>
      </c>
      <c r="L46" s="120">
        <f t="shared" si="20"/>
        <v>0</v>
      </c>
      <c r="M46" s="131">
        <f>'Suc. Acaponeta'!C46</f>
        <v>0</v>
      </c>
      <c r="N46" s="131">
        <f>'Suc. Compostela'!C46</f>
        <v>0</v>
      </c>
      <c r="O46" s="131">
        <f>'Suc. Ruiz'!C46</f>
        <v>0</v>
      </c>
      <c r="P46" s="131">
        <f>'Suc. Sanblas'!C46</f>
        <v>0</v>
      </c>
      <c r="Q46" s="131">
        <f>'LALO VARAS'!C46</f>
        <v>0</v>
      </c>
      <c r="R46" s="131">
        <f>'Suc. Santiago 2'!C46</f>
        <v>0</v>
      </c>
      <c r="S46" s="131">
        <f>'Suc. Tecuala'!C46</f>
        <v>0</v>
      </c>
      <c r="T46" s="131">
        <f>'Suc. Tuxpan'!C46</f>
        <v>0</v>
      </c>
      <c r="U46" s="131">
        <f>'Suc. Varas'!C46</f>
        <v>0</v>
      </c>
      <c r="V46" s="131">
        <f>'Suc. Santa María del Oro'!C46</f>
        <v>0</v>
      </c>
      <c r="W46" s="131">
        <f>'Suc. Villa Hidalgo'!C46</f>
        <v>0</v>
      </c>
      <c r="X46" s="131">
        <f>'Suc. Peñita'!C46</f>
        <v>0</v>
      </c>
      <c r="Y46" s="120">
        <f t="shared" si="21"/>
        <v>0</v>
      </c>
      <c r="Z46" s="120">
        <f t="shared" si="22"/>
        <v>0</v>
      </c>
      <c r="AB46" s="131">
        <f>IFERROR(VLOOKUP(A46,'GRAL. SUC. FORANEAS'!$R:$S,2,0),0)</f>
        <v>0</v>
      </c>
      <c r="AD46" s="131">
        <f t="shared" si="10"/>
        <v>0</v>
      </c>
    </row>
    <row r="47" spans="1:30" ht="17.399999999999999" x14ac:dyDescent="0.35">
      <c r="A47" s="97"/>
      <c r="B47" s="131">
        <f>'Suc. Amado Nervo'!C47</f>
        <v>0</v>
      </c>
      <c r="C47" s="131">
        <f>'Suc. León'!C47</f>
        <v>0</v>
      </c>
      <c r="D47" s="120">
        <f>'San Cayetano'!C47</f>
        <v>0</v>
      </c>
      <c r="E47" s="120">
        <f>'Suc. Boulevard'!C47</f>
        <v>0</v>
      </c>
      <c r="F47" s="120">
        <f>'Suc. Dos de Agosto'!C47</f>
        <v>0</v>
      </c>
      <c r="G47" s="120">
        <f>'Suc. La Nueva Canasta'!C47</f>
        <v>0</v>
      </c>
      <c r="H47" s="120">
        <f>'Suc. Mololoa'!C47</f>
        <v>0</v>
      </c>
      <c r="I47" s="120">
        <f>'Suc. Plaza'!C47</f>
        <v>0</v>
      </c>
      <c r="J47" s="120">
        <f>'Suc. Vistas'!C47</f>
        <v>0</v>
      </c>
      <c r="K47" s="120">
        <f>'Suc. Xalisco'!C47</f>
        <v>0</v>
      </c>
      <c r="L47" s="120">
        <f t="shared" si="20"/>
        <v>0</v>
      </c>
      <c r="M47" s="131">
        <f>'Suc. Acaponeta'!C47</f>
        <v>0</v>
      </c>
      <c r="N47" s="131">
        <f>'Suc. Compostela'!C47</f>
        <v>0</v>
      </c>
      <c r="O47" s="131">
        <f>'Suc. Ruiz'!C47</f>
        <v>0</v>
      </c>
      <c r="P47" s="131">
        <f>'Suc. Sanblas'!C47</f>
        <v>0</v>
      </c>
      <c r="Q47" s="131">
        <f>'LALO VARAS'!C47</f>
        <v>0</v>
      </c>
      <c r="R47" s="131">
        <f>'Suc. Santiago 2'!C47</f>
        <v>0</v>
      </c>
      <c r="S47" s="131">
        <f>'Suc. Tecuala'!C47</f>
        <v>0</v>
      </c>
      <c r="T47" s="131">
        <f>'Suc. Tuxpan'!C47</f>
        <v>0</v>
      </c>
      <c r="U47" s="131">
        <f>'Suc. Varas'!C47</f>
        <v>0</v>
      </c>
      <c r="V47" s="131">
        <f>'Suc. Santa María del Oro'!C47</f>
        <v>0</v>
      </c>
      <c r="W47" s="131">
        <f>'Suc. Villa Hidalgo'!C47</f>
        <v>0</v>
      </c>
      <c r="X47" s="131">
        <f>'Suc. Peñita'!C47</f>
        <v>0</v>
      </c>
      <c r="Y47" s="120">
        <f t="shared" si="21"/>
        <v>0</v>
      </c>
      <c r="Z47" s="120">
        <f t="shared" si="22"/>
        <v>0</v>
      </c>
      <c r="AB47" s="131">
        <f>IFERROR(VLOOKUP(A47,'GRAL. SUC. FORANEAS'!$R:$S,2,0),0)</f>
        <v>0</v>
      </c>
      <c r="AD47" s="131">
        <f t="shared" si="10"/>
        <v>0</v>
      </c>
    </row>
    <row r="48" spans="1:30" ht="18" thickBot="1" x14ac:dyDescent="0.4">
      <c r="A48" s="97"/>
      <c r="B48" s="131">
        <f>'Suc. Amado Nervo'!C48</f>
        <v>0</v>
      </c>
      <c r="C48" s="131">
        <f>'Suc. León'!C48</f>
        <v>0</v>
      </c>
      <c r="D48" s="120">
        <f>'San Cayetano'!C48</f>
        <v>0</v>
      </c>
      <c r="E48" s="120">
        <f>'Suc. Boulevard'!C48</f>
        <v>0</v>
      </c>
      <c r="F48" s="120">
        <f>'Suc. Dos de Agosto'!C48</f>
        <v>0</v>
      </c>
      <c r="G48" s="120">
        <f>'Suc. La Nueva Canasta'!C48</f>
        <v>0</v>
      </c>
      <c r="H48" s="120">
        <f>'Suc. Mololoa'!C48</f>
        <v>0</v>
      </c>
      <c r="I48" s="120">
        <f>'Suc. Plaza'!C48</f>
        <v>0</v>
      </c>
      <c r="J48" s="120">
        <f>'Suc. Vistas'!C48</f>
        <v>0</v>
      </c>
      <c r="K48" s="120">
        <f>'Suc. Xalisco'!C48</f>
        <v>0</v>
      </c>
      <c r="L48" s="120">
        <f t="shared" si="20"/>
        <v>0</v>
      </c>
      <c r="M48" s="131">
        <f>'Suc. Acaponeta'!C48</f>
        <v>0</v>
      </c>
      <c r="N48" s="131">
        <f>'Suc. Compostela'!C48</f>
        <v>0</v>
      </c>
      <c r="O48" s="131">
        <f>'Suc. Ruiz'!C48</f>
        <v>0</v>
      </c>
      <c r="P48" s="131">
        <f>'Suc. Sanblas'!C48</f>
        <v>0</v>
      </c>
      <c r="Q48" s="131">
        <f>'LALO VARAS'!C48</f>
        <v>0</v>
      </c>
      <c r="R48" s="131">
        <f>'Suc. Santiago 2'!C48</f>
        <v>0</v>
      </c>
      <c r="S48" s="131">
        <f>'Suc. Tecuala'!C48</f>
        <v>0</v>
      </c>
      <c r="T48" s="131">
        <f>'Suc. Tuxpan'!C48</f>
        <v>0</v>
      </c>
      <c r="U48" s="131">
        <f>'Suc. Varas'!C48</f>
        <v>0</v>
      </c>
      <c r="V48" s="131">
        <f>'Suc. Santa María del Oro'!C48</f>
        <v>0</v>
      </c>
      <c r="W48" s="131">
        <f>'Suc. Villa Hidalgo'!C48</f>
        <v>0</v>
      </c>
      <c r="X48" s="131">
        <f>'Suc. Peñita'!C48</f>
        <v>0</v>
      </c>
      <c r="Y48" s="120">
        <f t="shared" si="21"/>
        <v>0</v>
      </c>
      <c r="Z48" s="120">
        <f t="shared" si="22"/>
        <v>0</v>
      </c>
      <c r="AB48" s="131">
        <f>IFERROR(VLOOKUP(A48,'GRAL. SUC. FORANEAS'!$R:$S,2,0),0)</f>
        <v>0</v>
      </c>
      <c r="AD48" s="131">
        <f t="shared" si="10"/>
        <v>0</v>
      </c>
    </row>
    <row r="49" spans="1:30" ht="18" thickBot="1" x14ac:dyDescent="0.4">
      <c r="A49" s="99" t="s">
        <v>29</v>
      </c>
      <c r="B49" s="123">
        <f>SUM(B33:B48)</f>
        <v>20</v>
      </c>
      <c r="C49" s="123">
        <f t="shared" ref="C49:Y49" si="23">SUM(C33:C48)</f>
        <v>20</v>
      </c>
      <c r="D49" s="123">
        <f t="shared" si="23"/>
        <v>16</v>
      </c>
      <c r="E49" s="123">
        <f t="shared" si="23"/>
        <v>9</v>
      </c>
      <c r="F49" s="123">
        <f t="shared" si="23"/>
        <v>11</v>
      </c>
      <c r="G49" s="123">
        <f t="shared" si="23"/>
        <v>0</v>
      </c>
      <c r="H49" s="123">
        <f t="shared" si="23"/>
        <v>16</v>
      </c>
      <c r="I49" s="123">
        <f t="shared" si="23"/>
        <v>4</v>
      </c>
      <c r="J49" s="123">
        <f t="shared" si="23"/>
        <v>7</v>
      </c>
      <c r="K49" s="123">
        <f t="shared" si="23"/>
        <v>15</v>
      </c>
      <c r="L49" s="123">
        <f t="shared" si="23"/>
        <v>118</v>
      </c>
      <c r="M49" s="123">
        <f t="shared" si="23"/>
        <v>21</v>
      </c>
      <c r="N49" s="123">
        <f t="shared" si="23"/>
        <v>6</v>
      </c>
      <c r="O49" s="123">
        <f t="shared" si="23"/>
        <v>16</v>
      </c>
      <c r="P49" s="123">
        <f t="shared" si="23"/>
        <v>17</v>
      </c>
      <c r="Q49" s="123">
        <f t="shared" si="23"/>
        <v>28</v>
      </c>
      <c r="R49" s="123">
        <f t="shared" si="23"/>
        <v>21</v>
      </c>
      <c r="S49" s="123">
        <f t="shared" si="23"/>
        <v>19</v>
      </c>
      <c r="T49" s="123">
        <f t="shared" si="23"/>
        <v>9</v>
      </c>
      <c r="U49" s="123">
        <f t="shared" ref="U49:W49" si="24">SUM(U33:U48)</f>
        <v>10</v>
      </c>
      <c r="V49" s="123">
        <f t="shared" ref="V49" si="25">SUM(V33:V48)</f>
        <v>9</v>
      </c>
      <c r="W49" s="123">
        <f t="shared" si="24"/>
        <v>16</v>
      </c>
      <c r="X49" s="123">
        <f t="shared" ref="X49" si="26">SUM(X33:X48)</f>
        <v>14</v>
      </c>
      <c r="Y49" s="123">
        <f t="shared" si="23"/>
        <v>186</v>
      </c>
      <c r="Z49" s="123">
        <f t="shared" ref="Z49" si="27">SUM(Z33:Z48)</f>
        <v>304</v>
      </c>
      <c r="AB49" s="123">
        <f t="shared" ref="AB49" si="28">SUM(AB33:AB48)</f>
        <v>157</v>
      </c>
      <c r="AD49" s="123">
        <f t="shared" si="10"/>
        <v>461</v>
      </c>
    </row>
    <row r="50" spans="1:30" ht="17.399999999999999" x14ac:dyDescent="0.35">
      <c r="A50" s="93" t="s">
        <v>30</v>
      </c>
      <c r="B50" s="131">
        <f>'Suc. Amado Nervo'!C50</f>
        <v>5</v>
      </c>
      <c r="C50" s="131">
        <f>'Suc. León'!C50</f>
        <v>6</v>
      </c>
      <c r="D50" s="120">
        <f>'San Cayetano'!C50</f>
        <v>6</v>
      </c>
      <c r="E50" s="120">
        <f>'Suc. Boulevard'!C50</f>
        <v>1</v>
      </c>
      <c r="F50" s="120">
        <f>'Suc. Dos de Agosto'!C50</f>
        <v>4</v>
      </c>
      <c r="G50" s="120">
        <f>'Suc. La Nueva Canasta'!C50</f>
        <v>0</v>
      </c>
      <c r="H50" s="120">
        <f>'Suc. Mololoa'!C50</f>
        <v>3</v>
      </c>
      <c r="I50" s="120">
        <f>'Suc. Plaza'!C50</f>
        <v>4</v>
      </c>
      <c r="J50" s="120">
        <f>'Suc. Vistas'!C50</f>
        <v>7</v>
      </c>
      <c r="K50" s="120">
        <f>'Suc. Xalisco'!C50</f>
        <v>3</v>
      </c>
      <c r="L50" s="120">
        <f t="shared" ref="L50:L51" si="29">SUM(B50:K50)</f>
        <v>39</v>
      </c>
      <c r="M50" s="131">
        <f>'Suc. Acaponeta'!C50</f>
        <v>9</v>
      </c>
      <c r="N50" s="131">
        <f>'Suc. Compostela'!C50</f>
        <v>5</v>
      </c>
      <c r="O50" s="131">
        <f>'Suc. Ruiz'!C50</f>
        <v>3</v>
      </c>
      <c r="P50" s="131">
        <f>'Suc. Sanblas'!C50</f>
        <v>8</v>
      </c>
      <c r="Q50" s="131">
        <f>'LALO VARAS'!C50</f>
        <v>5</v>
      </c>
      <c r="R50" s="131">
        <f>'Suc. Santiago 2'!C50</f>
        <v>9</v>
      </c>
      <c r="S50" s="131">
        <f>'Suc. Tecuala'!C50</f>
        <v>3</v>
      </c>
      <c r="T50" s="131">
        <f>'Suc. Tuxpan'!C50</f>
        <v>3</v>
      </c>
      <c r="U50" s="131">
        <f>'Suc. Varas'!C50</f>
        <v>0</v>
      </c>
      <c r="V50" s="131">
        <f>'Suc. Santa María del Oro'!C50</f>
        <v>6</v>
      </c>
      <c r="W50" s="131">
        <f>'Suc. Villa Hidalgo'!C50</f>
        <v>6</v>
      </c>
      <c r="X50" s="131">
        <f>'Suc. Peñita'!C50</f>
        <v>2</v>
      </c>
      <c r="Y50" s="120">
        <f t="shared" ref="Y50:Y51" si="30">SUM(M50:X50)</f>
        <v>59</v>
      </c>
      <c r="Z50" s="120">
        <f t="shared" ref="Z50:Z51" si="31">L50+Y50</f>
        <v>98</v>
      </c>
      <c r="AB50" s="131">
        <f>IFERROR(VLOOKUP(A50,'GRAL. SUC. FORANEAS'!$R:$S,2,0),0)</f>
        <v>37</v>
      </c>
      <c r="AD50" s="131">
        <f t="shared" si="10"/>
        <v>135</v>
      </c>
    </row>
    <row r="51" spans="1:30" ht="18" thickBot="1" x14ac:dyDescent="0.4">
      <c r="A51" s="95" t="s">
        <v>31</v>
      </c>
      <c r="B51" s="131">
        <f>'Suc. Amado Nervo'!C51</f>
        <v>3</v>
      </c>
      <c r="C51" s="131">
        <f>'Suc. León'!C51</f>
        <v>7</v>
      </c>
      <c r="D51" s="120">
        <f>'San Cayetano'!C51</f>
        <v>3</v>
      </c>
      <c r="E51" s="120">
        <f>'Suc. Boulevard'!C51</f>
        <v>3</v>
      </c>
      <c r="F51" s="120">
        <f>'Suc. Dos de Agosto'!C51</f>
        <v>3</v>
      </c>
      <c r="G51" s="120">
        <f>'Suc. La Nueva Canasta'!C51</f>
        <v>0</v>
      </c>
      <c r="H51" s="120">
        <f>'Suc. Mololoa'!C51</f>
        <v>3</v>
      </c>
      <c r="I51" s="120">
        <f>'Suc. Plaza'!C51</f>
        <v>4</v>
      </c>
      <c r="J51" s="120">
        <f>'Suc. Vistas'!C51</f>
        <v>6</v>
      </c>
      <c r="K51" s="120">
        <f>'Suc. Xalisco'!C51</f>
        <v>3</v>
      </c>
      <c r="L51" s="120">
        <f t="shared" si="29"/>
        <v>35</v>
      </c>
      <c r="M51" s="131">
        <f>'Suc. Acaponeta'!C51</f>
        <v>11</v>
      </c>
      <c r="N51" s="131">
        <f>'Suc. Compostela'!C51</f>
        <v>0</v>
      </c>
      <c r="O51" s="131">
        <f>'Suc. Ruiz'!C51</f>
        <v>5</v>
      </c>
      <c r="P51" s="131">
        <f>'Suc. Sanblas'!C51</f>
        <v>8</v>
      </c>
      <c r="Q51" s="131">
        <f>'LALO VARAS'!C51</f>
        <v>7</v>
      </c>
      <c r="R51" s="131">
        <f>'Suc. Santiago 2'!C51</f>
        <v>9</v>
      </c>
      <c r="S51" s="131">
        <f>'Suc. Tecuala'!C51</f>
        <v>5</v>
      </c>
      <c r="T51" s="131">
        <f>'Suc. Tuxpan'!C51</f>
        <v>3</v>
      </c>
      <c r="U51" s="131">
        <f>'Suc. Varas'!C51</f>
        <v>3</v>
      </c>
      <c r="V51" s="131">
        <f>'Suc. Santa María del Oro'!C51</f>
        <v>5</v>
      </c>
      <c r="W51" s="131">
        <f>'Suc. Villa Hidalgo'!C51</f>
        <v>3</v>
      </c>
      <c r="X51" s="131">
        <f>'Suc. Peñita'!C51</f>
        <v>0</v>
      </c>
      <c r="Y51" s="120">
        <f t="shared" si="30"/>
        <v>59</v>
      </c>
      <c r="Z51" s="120">
        <f t="shared" si="31"/>
        <v>94</v>
      </c>
      <c r="AB51" s="131">
        <f>IFERROR(VLOOKUP(A51,'GRAL. SUC. FORANEAS'!$R:$S,2,0),0)</f>
        <v>64</v>
      </c>
      <c r="AD51" s="131">
        <f t="shared" si="10"/>
        <v>158</v>
      </c>
    </row>
    <row r="52" spans="1:30" ht="18" thickBot="1" x14ac:dyDescent="0.4">
      <c r="A52" s="100" t="s">
        <v>32</v>
      </c>
      <c r="B52" s="124">
        <f>SUM(B50:B51)</f>
        <v>8</v>
      </c>
      <c r="C52" s="124">
        <f t="shared" ref="C52:L52" si="32">SUM(C50:C51)</f>
        <v>13</v>
      </c>
      <c r="D52" s="124">
        <f t="shared" si="32"/>
        <v>9</v>
      </c>
      <c r="E52" s="124">
        <f t="shared" si="32"/>
        <v>4</v>
      </c>
      <c r="F52" s="124">
        <f t="shared" si="32"/>
        <v>7</v>
      </c>
      <c r="G52" s="124">
        <f t="shared" si="32"/>
        <v>0</v>
      </c>
      <c r="H52" s="124">
        <f t="shared" si="32"/>
        <v>6</v>
      </c>
      <c r="I52" s="124">
        <f t="shared" si="32"/>
        <v>8</v>
      </c>
      <c r="J52" s="124">
        <f t="shared" si="32"/>
        <v>13</v>
      </c>
      <c r="K52" s="124">
        <f t="shared" si="32"/>
        <v>6</v>
      </c>
      <c r="L52" s="124">
        <f t="shared" si="32"/>
        <v>74</v>
      </c>
      <c r="M52" s="124">
        <f>SUM(M50:M51)</f>
        <v>20</v>
      </c>
      <c r="N52" s="124">
        <f t="shared" ref="N52:Y52" si="33">SUM(N50:N51)</f>
        <v>5</v>
      </c>
      <c r="O52" s="124">
        <f t="shared" si="33"/>
        <v>8</v>
      </c>
      <c r="P52" s="124">
        <f t="shared" si="33"/>
        <v>16</v>
      </c>
      <c r="Q52" s="124">
        <f t="shared" si="33"/>
        <v>12</v>
      </c>
      <c r="R52" s="124">
        <f t="shared" si="33"/>
        <v>18</v>
      </c>
      <c r="S52" s="124">
        <f t="shared" si="33"/>
        <v>8</v>
      </c>
      <c r="T52" s="124">
        <f t="shared" si="33"/>
        <v>6</v>
      </c>
      <c r="U52" s="124">
        <f t="shared" ref="U52:W52" si="34">SUM(U50:U51)</f>
        <v>3</v>
      </c>
      <c r="V52" s="124">
        <f t="shared" ref="V52" si="35">SUM(V50:V51)</f>
        <v>11</v>
      </c>
      <c r="W52" s="124">
        <f t="shared" si="34"/>
        <v>9</v>
      </c>
      <c r="X52" s="124">
        <f t="shared" ref="X52" si="36">SUM(X50:X51)</f>
        <v>2</v>
      </c>
      <c r="Y52" s="124">
        <f t="shared" si="33"/>
        <v>118</v>
      </c>
      <c r="Z52" s="124">
        <f t="shared" ref="Z52" si="37">SUM(Z50:Z51)</f>
        <v>192</v>
      </c>
      <c r="AB52" s="124">
        <f t="shared" ref="AB52" si="38">SUM(AB50:AB51)</f>
        <v>101</v>
      </c>
      <c r="AD52" s="124">
        <f t="shared" si="10"/>
        <v>293</v>
      </c>
    </row>
    <row r="53" spans="1:30" ht="17.399999999999999" x14ac:dyDescent="0.35">
      <c r="A53" s="93" t="s">
        <v>33</v>
      </c>
      <c r="B53" s="131">
        <f>'Suc. Amado Nervo'!C53</f>
        <v>6</v>
      </c>
      <c r="C53" s="131">
        <f>'Suc. León'!C53</f>
        <v>7</v>
      </c>
      <c r="D53" s="120">
        <f>'San Cayetano'!C53</f>
        <v>2</v>
      </c>
      <c r="E53" s="120">
        <f>'Suc. Boulevard'!C53</f>
        <v>3</v>
      </c>
      <c r="F53" s="120">
        <f>'Suc. Dos de Agosto'!C53</f>
        <v>8</v>
      </c>
      <c r="G53" s="120">
        <f>'Suc. La Nueva Canasta'!C53</f>
        <v>0</v>
      </c>
      <c r="H53" s="120">
        <f>'Suc. Mololoa'!C53</f>
        <v>5</v>
      </c>
      <c r="I53" s="120">
        <f>'Suc. Plaza'!C53</f>
        <v>1</v>
      </c>
      <c r="J53" s="120">
        <f>'Suc. Vistas'!C53</f>
        <v>7</v>
      </c>
      <c r="K53" s="120">
        <f>'Suc. Xalisco'!C53</f>
        <v>2</v>
      </c>
      <c r="L53" s="120">
        <f>SUM(B53:K53)</f>
        <v>41</v>
      </c>
      <c r="M53" s="131">
        <f>'Suc. Acaponeta'!C53</f>
        <v>1</v>
      </c>
      <c r="N53" s="131">
        <f>'Suc. Compostela'!C53</f>
        <v>5</v>
      </c>
      <c r="O53" s="131">
        <f>'Suc. Ruiz'!C53</f>
        <v>4</v>
      </c>
      <c r="P53" s="131">
        <f>'Suc. Sanblas'!C53</f>
        <v>10</v>
      </c>
      <c r="Q53" s="131">
        <f>'LALO VARAS'!C53</f>
        <v>13</v>
      </c>
      <c r="R53" s="131">
        <f>'Suc. Santiago 2'!C53</f>
        <v>9</v>
      </c>
      <c r="S53" s="131">
        <f>'Suc. Tecuala'!C53</f>
        <v>5</v>
      </c>
      <c r="T53" s="131">
        <f>'Suc. Tuxpan'!C53</f>
        <v>5</v>
      </c>
      <c r="U53" s="131">
        <f>'Suc. Varas'!C53</f>
        <v>2</v>
      </c>
      <c r="V53" s="131">
        <f>'Suc. Santa María del Oro'!C53</f>
        <v>2</v>
      </c>
      <c r="W53" s="131">
        <f>'Suc. Villa Hidalgo'!C53</f>
        <v>4</v>
      </c>
      <c r="X53" s="131">
        <f>'Suc. Peñita'!C53</f>
        <v>3</v>
      </c>
      <c r="Y53" s="120">
        <f>SUM(M53:X53)</f>
        <v>63</v>
      </c>
      <c r="Z53" s="120">
        <f>L53+Y53</f>
        <v>104</v>
      </c>
      <c r="AB53" s="131">
        <f>IFERROR(VLOOKUP(A53,'GRAL. SUC. FORANEAS'!$R:$S,2,0),0)</f>
        <v>32</v>
      </c>
      <c r="AD53" s="131">
        <f>AB53+Z53</f>
        <v>136</v>
      </c>
    </row>
    <row r="54" spans="1:30" ht="18" thickBot="1" x14ac:dyDescent="0.4">
      <c r="A54" s="95" t="s">
        <v>34</v>
      </c>
      <c r="B54" s="131">
        <f>'Suc. Amado Nervo'!C54</f>
        <v>6</v>
      </c>
      <c r="C54" s="131">
        <f>'Suc. León'!C54</f>
        <v>7</v>
      </c>
      <c r="D54" s="120">
        <f>'San Cayetano'!C54</f>
        <v>3</v>
      </c>
      <c r="E54" s="120">
        <f>'Suc. Boulevard'!C54</f>
        <v>1</v>
      </c>
      <c r="F54" s="120">
        <f>'Suc. Dos de Agosto'!C54</f>
        <v>4</v>
      </c>
      <c r="G54" s="120">
        <f>'Suc. La Nueva Canasta'!C54</f>
        <v>0</v>
      </c>
      <c r="H54" s="120">
        <f>'Suc. Mololoa'!C54</f>
        <v>4</v>
      </c>
      <c r="I54" s="120">
        <f>'Suc. Plaza'!C54</f>
        <v>1</v>
      </c>
      <c r="J54" s="120">
        <f>'Suc. Vistas'!C54</f>
        <v>6</v>
      </c>
      <c r="K54" s="120">
        <f>'Suc. Xalisco'!C54</f>
        <v>0</v>
      </c>
      <c r="L54" s="120">
        <f>SUM(B54:K54)</f>
        <v>32</v>
      </c>
      <c r="M54" s="131">
        <f>'Suc. Acaponeta'!C54</f>
        <v>1</v>
      </c>
      <c r="N54" s="131">
        <f>'Suc. Compostela'!C54</f>
        <v>2</v>
      </c>
      <c r="O54" s="131">
        <f>'Suc. Ruiz'!C54</f>
        <v>4</v>
      </c>
      <c r="P54" s="131">
        <f>'Suc. Sanblas'!C54</f>
        <v>8</v>
      </c>
      <c r="Q54" s="131">
        <f>'LALO VARAS'!C54</f>
        <v>10</v>
      </c>
      <c r="R54" s="131">
        <f>'Suc. Santiago 2'!C54</f>
        <v>9</v>
      </c>
      <c r="S54" s="131">
        <f>'Suc. Tecuala'!C54</f>
        <v>3</v>
      </c>
      <c r="T54" s="131">
        <f>'Suc. Tuxpan'!C54</f>
        <v>3</v>
      </c>
      <c r="U54" s="131">
        <f>'Suc. Varas'!C54</f>
        <v>2</v>
      </c>
      <c r="V54" s="131">
        <f>'Suc. Santa María del Oro'!C54</f>
        <v>5</v>
      </c>
      <c r="W54" s="131">
        <f>'Suc. Villa Hidalgo'!C54</f>
        <v>5</v>
      </c>
      <c r="X54" s="131">
        <f>'Suc. Peñita'!C54</f>
        <v>3</v>
      </c>
      <c r="Y54" s="120">
        <f>SUM(M54:X54)</f>
        <v>55</v>
      </c>
      <c r="Z54" s="120">
        <f>L54+Y54</f>
        <v>87</v>
      </c>
      <c r="AB54" s="131">
        <f>IFERROR(VLOOKUP(A54,'GRAL. SUC. FORANEAS'!$R:$S,2,0),0)</f>
        <v>56</v>
      </c>
      <c r="AD54" s="131">
        <f>AB54+Z54</f>
        <v>143</v>
      </c>
    </row>
    <row r="55" spans="1:30" ht="18" thickBot="1" x14ac:dyDescent="0.4">
      <c r="A55" s="99" t="s">
        <v>35</v>
      </c>
      <c r="B55" s="123">
        <f>SUM(B53:B54)</f>
        <v>12</v>
      </c>
      <c r="C55" s="123">
        <f t="shared" ref="C55:L55" si="39">SUM(C53:C54)</f>
        <v>14</v>
      </c>
      <c r="D55" s="123">
        <f t="shared" si="39"/>
        <v>5</v>
      </c>
      <c r="E55" s="123">
        <f t="shared" si="39"/>
        <v>4</v>
      </c>
      <c r="F55" s="123">
        <f t="shared" si="39"/>
        <v>12</v>
      </c>
      <c r="G55" s="123">
        <f t="shared" si="39"/>
        <v>0</v>
      </c>
      <c r="H55" s="123">
        <f t="shared" si="39"/>
        <v>9</v>
      </c>
      <c r="I55" s="123">
        <f t="shared" si="39"/>
        <v>2</v>
      </c>
      <c r="J55" s="123">
        <f t="shared" si="39"/>
        <v>13</v>
      </c>
      <c r="K55" s="123">
        <f t="shared" si="39"/>
        <v>2</v>
      </c>
      <c r="L55" s="123">
        <f t="shared" si="39"/>
        <v>73</v>
      </c>
      <c r="M55" s="123">
        <f>SUM(M53:M54)</f>
        <v>2</v>
      </c>
      <c r="N55" s="123">
        <f t="shared" ref="N55:Y55" si="40">SUM(N53:N54)</f>
        <v>7</v>
      </c>
      <c r="O55" s="123">
        <f t="shared" si="40"/>
        <v>8</v>
      </c>
      <c r="P55" s="123">
        <f t="shared" si="40"/>
        <v>18</v>
      </c>
      <c r="Q55" s="123">
        <f t="shared" si="40"/>
        <v>23</v>
      </c>
      <c r="R55" s="123">
        <f t="shared" si="40"/>
        <v>18</v>
      </c>
      <c r="S55" s="123">
        <f t="shared" si="40"/>
        <v>8</v>
      </c>
      <c r="T55" s="123">
        <f t="shared" si="40"/>
        <v>8</v>
      </c>
      <c r="U55" s="123">
        <f t="shared" ref="U55:W55" si="41">SUM(U53:U54)</f>
        <v>4</v>
      </c>
      <c r="V55" s="123">
        <f t="shared" ref="V55" si="42">SUM(V53:V54)</f>
        <v>7</v>
      </c>
      <c r="W55" s="123">
        <f t="shared" si="41"/>
        <v>9</v>
      </c>
      <c r="X55" s="123">
        <f t="shared" ref="X55" si="43">SUM(X53:X54)</f>
        <v>6</v>
      </c>
      <c r="Y55" s="123">
        <f t="shared" si="40"/>
        <v>118</v>
      </c>
      <c r="Z55" s="123">
        <f t="shared" ref="Z55" si="44">SUM(Z53:Z54)</f>
        <v>191</v>
      </c>
      <c r="AB55" s="123">
        <f t="shared" ref="AB55" si="45">SUM(AB53:AB54)</f>
        <v>88</v>
      </c>
      <c r="AD55" s="123">
        <f t="shared" si="10"/>
        <v>279</v>
      </c>
    </row>
    <row r="56" spans="1:30" ht="17.399999999999999" x14ac:dyDescent="0.35">
      <c r="A56" s="93" t="s">
        <v>36</v>
      </c>
      <c r="B56" s="131">
        <f>'Suc. Amado Nervo'!C56</f>
        <v>2</v>
      </c>
      <c r="C56" s="131">
        <f>'Suc. León'!C56</f>
        <v>1</v>
      </c>
      <c r="D56" s="120">
        <f>'San Cayetano'!C56</f>
        <v>1</v>
      </c>
      <c r="E56" s="120">
        <f>'Suc. Boulevard'!C56</f>
        <v>1</v>
      </c>
      <c r="F56" s="120">
        <f>'Suc. Dos de Agosto'!C56</f>
        <v>1</v>
      </c>
      <c r="G56" s="120">
        <f>'Suc. La Nueva Canasta'!C56</f>
        <v>0</v>
      </c>
      <c r="H56" s="120">
        <f>'Suc. Mololoa'!C56</f>
        <v>1</v>
      </c>
      <c r="I56" s="120">
        <f>'Suc. Plaza'!C56</f>
        <v>1</v>
      </c>
      <c r="J56" s="120">
        <f>'Suc. Vistas'!C56</f>
        <v>2</v>
      </c>
      <c r="K56" s="120">
        <f>'Suc. Xalisco'!C56</f>
        <v>1</v>
      </c>
      <c r="L56" s="120">
        <f t="shared" ref="L56:L77" si="46">SUM(B56:K56)</f>
        <v>11</v>
      </c>
      <c r="M56" s="131">
        <f>'Suc. Acaponeta'!C56</f>
        <v>3</v>
      </c>
      <c r="N56" s="131">
        <f>'Suc. Compostela'!C56</f>
        <v>1</v>
      </c>
      <c r="O56" s="131">
        <f>'Suc. Ruiz'!C56</f>
        <v>0</v>
      </c>
      <c r="P56" s="131">
        <f>'Suc. Sanblas'!C56</f>
        <v>1</v>
      </c>
      <c r="Q56" s="131">
        <f>'LALO VARAS'!C56</f>
        <v>1</v>
      </c>
      <c r="R56" s="131">
        <f>'Suc. Santiago 2'!C56</f>
        <v>2</v>
      </c>
      <c r="S56" s="131">
        <f>'Suc. Tecuala'!C56</f>
        <v>1</v>
      </c>
      <c r="T56" s="131">
        <f>'Suc. Tuxpan'!C56</f>
        <v>0</v>
      </c>
      <c r="U56" s="131">
        <f>'Suc. Varas'!C56</f>
        <v>1</v>
      </c>
      <c r="V56" s="131">
        <f>'Suc. Santa María del Oro'!C56</f>
        <v>0</v>
      </c>
      <c r="W56" s="131">
        <f>'Suc. Villa Hidalgo'!C56</f>
        <v>1</v>
      </c>
      <c r="X56" s="131">
        <f>'Suc. Peñita'!C56</f>
        <v>1</v>
      </c>
      <c r="Y56" s="120">
        <f t="shared" ref="Y56:Y77" si="47">SUM(M56:X56)</f>
        <v>12</v>
      </c>
      <c r="Z56" s="120">
        <f t="shared" ref="Z56:Z77" si="48">L56+Y56</f>
        <v>23</v>
      </c>
      <c r="AB56" s="131">
        <f>IFERROR(VLOOKUP(A56,'GRAL. SUC. FORANEAS'!$R:$S,2,0),0)</f>
        <v>15</v>
      </c>
      <c r="AD56" s="131">
        <f t="shared" si="10"/>
        <v>38</v>
      </c>
    </row>
    <row r="57" spans="1:30" ht="17.399999999999999" x14ac:dyDescent="0.35">
      <c r="A57" s="93" t="s">
        <v>37</v>
      </c>
      <c r="B57" s="131">
        <f>'Suc. Amado Nervo'!C57</f>
        <v>2</v>
      </c>
      <c r="C57" s="131">
        <f>'Suc. León'!C57</f>
        <v>2</v>
      </c>
      <c r="D57" s="120">
        <f>'San Cayetano'!C57</f>
        <v>1</v>
      </c>
      <c r="E57" s="120">
        <f>'Suc. Boulevard'!C57</f>
        <v>2</v>
      </c>
      <c r="F57" s="120">
        <f>'Suc. Dos de Agosto'!C57</f>
        <v>1</v>
      </c>
      <c r="G57" s="120">
        <f>'Suc. La Nueva Canasta'!C57</f>
        <v>0</v>
      </c>
      <c r="H57" s="120">
        <f>'Suc. Mololoa'!C57</f>
        <v>1</v>
      </c>
      <c r="I57" s="120">
        <f>'Suc. Plaza'!C57</f>
        <v>2</v>
      </c>
      <c r="J57" s="120">
        <f>'Suc. Vistas'!C57</f>
        <v>2</v>
      </c>
      <c r="K57" s="120">
        <f>'Suc. Xalisco'!C57</f>
        <v>0</v>
      </c>
      <c r="L57" s="120">
        <f t="shared" si="46"/>
        <v>13</v>
      </c>
      <c r="M57" s="131">
        <f>'Suc. Acaponeta'!C57</f>
        <v>2</v>
      </c>
      <c r="N57" s="131">
        <f>'Suc. Compostela'!C57</f>
        <v>1</v>
      </c>
      <c r="O57" s="131">
        <f>'Suc. Ruiz'!C57</f>
        <v>0</v>
      </c>
      <c r="P57" s="131">
        <f>'Suc. Sanblas'!C57</f>
        <v>1</v>
      </c>
      <c r="Q57" s="131">
        <f>'LALO VARAS'!C57</f>
        <v>1</v>
      </c>
      <c r="R57" s="131">
        <f>'Suc. Santiago 2'!C57</f>
        <v>2</v>
      </c>
      <c r="S57" s="131">
        <f>'Suc. Tecuala'!C57</f>
        <v>4</v>
      </c>
      <c r="T57" s="131">
        <f>'Suc. Tuxpan'!C57</f>
        <v>0</v>
      </c>
      <c r="U57" s="131">
        <f>'Suc. Varas'!C57</f>
        <v>1</v>
      </c>
      <c r="V57" s="131">
        <f>'Suc. Santa María del Oro'!C57</f>
        <v>1</v>
      </c>
      <c r="W57" s="131">
        <f>'Suc. Villa Hidalgo'!C57</f>
        <v>1</v>
      </c>
      <c r="X57" s="131">
        <f>'Suc. Peñita'!C57</f>
        <v>0</v>
      </c>
      <c r="Y57" s="120">
        <f t="shared" si="47"/>
        <v>14</v>
      </c>
      <c r="Z57" s="120">
        <f t="shared" si="48"/>
        <v>27</v>
      </c>
      <c r="AB57" s="131">
        <f>IFERROR(VLOOKUP(A57,'GRAL. SUC. FORANEAS'!$R:$S,2,0),0)</f>
        <v>9</v>
      </c>
      <c r="AD57" s="131">
        <f t="shared" si="10"/>
        <v>36</v>
      </c>
    </row>
    <row r="58" spans="1:30" ht="17.399999999999999" x14ac:dyDescent="0.35">
      <c r="A58" s="93" t="s">
        <v>39</v>
      </c>
      <c r="B58" s="131">
        <f>'Suc. Amado Nervo'!C58</f>
        <v>2</v>
      </c>
      <c r="C58" s="131">
        <f>'Suc. León'!C58</f>
        <v>2</v>
      </c>
      <c r="D58" s="120">
        <f>'San Cayetano'!C58</f>
        <v>1</v>
      </c>
      <c r="E58" s="120">
        <f>'Suc. Boulevard'!C58</f>
        <v>1</v>
      </c>
      <c r="F58" s="120">
        <f>'Suc. Dos de Agosto'!C58</f>
        <v>1</v>
      </c>
      <c r="G58" s="120">
        <f>'Suc. La Nueva Canasta'!C58</f>
        <v>0</v>
      </c>
      <c r="H58" s="120">
        <f>'Suc. Mololoa'!C58</f>
        <v>1</v>
      </c>
      <c r="I58" s="120">
        <f>'Suc. Plaza'!C58</f>
        <v>1</v>
      </c>
      <c r="J58" s="120">
        <f>'Suc. Vistas'!C58</f>
        <v>1</v>
      </c>
      <c r="K58" s="120">
        <f>'Suc. Xalisco'!C58</f>
        <v>0</v>
      </c>
      <c r="L58" s="120">
        <f t="shared" si="46"/>
        <v>10</v>
      </c>
      <c r="M58" s="131">
        <f>'Suc. Acaponeta'!C58</f>
        <v>2</v>
      </c>
      <c r="N58" s="131">
        <f>'Suc. Compostela'!C58</f>
        <v>1</v>
      </c>
      <c r="O58" s="131">
        <f>'Suc. Ruiz'!C58</f>
        <v>0</v>
      </c>
      <c r="P58" s="131">
        <f>'Suc. Sanblas'!C58</f>
        <v>1</v>
      </c>
      <c r="Q58" s="131">
        <f>'LALO VARAS'!C58</f>
        <v>1</v>
      </c>
      <c r="R58" s="131">
        <f>'Suc. Santiago 2'!C58</f>
        <v>1</v>
      </c>
      <c r="S58" s="131">
        <f>'Suc. Tecuala'!C58</f>
        <v>1</v>
      </c>
      <c r="T58" s="131">
        <f>'Suc. Tuxpan'!C58</f>
        <v>0</v>
      </c>
      <c r="U58" s="131">
        <f>'Suc. Varas'!C58</f>
        <v>0</v>
      </c>
      <c r="V58" s="131">
        <f>'Suc. Santa María del Oro'!C58</f>
        <v>1</v>
      </c>
      <c r="W58" s="131">
        <f>'Suc. Villa Hidalgo'!C58</f>
        <v>0</v>
      </c>
      <c r="X58" s="131">
        <f>'Suc. Peñita'!C58</f>
        <v>1</v>
      </c>
      <c r="Y58" s="120">
        <f t="shared" si="47"/>
        <v>9</v>
      </c>
      <c r="Z58" s="120">
        <f t="shared" si="48"/>
        <v>19</v>
      </c>
      <c r="AB58" s="131">
        <f>IFERROR(VLOOKUP(A58,'GRAL. SUC. FORANEAS'!$R:$S,2,0),0)</f>
        <v>6</v>
      </c>
      <c r="AD58" s="131">
        <f t="shared" si="10"/>
        <v>25</v>
      </c>
    </row>
    <row r="59" spans="1:30" ht="17.399999999999999" x14ac:dyDescent="0.35">
      <c r="A59" s="93" t="s">
        <v>40</v>
      </c>
      <c r="B59" s="131">
        <f>'Suc. Amado Nervo'!C59</f>
        <v>2</v>
      </c>
      <c r="C59" s="131">
        <f>'Suc. León'!C59</f>
        <v>2</v>
      </c>
      <c r="D59" s="120">
        <f>'San Cayetano'!C59</f>
        <v>1</v>
      </c>
      <c r="E59" s="120">
        <f>'Suc. Boulevard'!C59</f>
        <v>1</v>
      </c>
      <c r="F59" s="120">
        <f>'Suc. Dos de Agosto'!C59</f>
        <v>1</v>
      </c>
      <c r="G59" s="120">
        <f>'Suc. La Nueva Canasta'!C59</f>
        <v>0</v>
      </c>
      <c r="H59" s="120">
        <f>'Suc. Mololoa'!C59</f>
        <v>1</v>
      </c>
      <c r="I59" s="120">
        <f>'Suc. Plaza'!C59</f>
        <v>1</v>
      </c>
      <c r="J59" s="120">
        <f>'Suc. Vistas'!C59</f>
        <v>1</v>
      </c>
      <c r="K59" s="120">
        <f>'Suc. Xalisco'!C59</f>
        <v>0</v>
      </c>
      <c r="L59" s="120">
        <f t="shared" si="46"/>
        <v>10</v>
      </c>
      <c r="M59" s="131">
        <f>'Suc. Acaponeta'!C59</f>
        <v>2</v>
      </c>
      <c r="N59" s="131">
        <f>'Suc. Compostela'!C59</f>
        <v>1</v>
      </c>
      <c r="O59" s="131">
        <f>'Suc. Ruiz'!C59</f>
        <v>0</v>
      </c>
      <c r="P59" s="131">
        <f>'Suc. Sanblas'!C59</f>
        <v>0</v>
      </c>
      <c r="Q59" s="131">
        <f>'LALO VARAS'!C59</f>
        <v>1</v>
      </c>
      <c r="R59" s="131">
        <f>'Suc. Santiago 2'!C59</f>
        <v>1</v>
      </c>
      <c r="S59" s="131">
        <f>'Suc. Tecuala'!C59</f>
        <v>0</v>
      </c>
      <c r="T59" s="131">
        <f>'Suc. Tuxpan'!C59</f>
        <v>1</v>
      </c>
      <c r="U59" s="131">
        <f>'Suc. Varas'!C59</f>
        <v>0</v>
      </c>
      <c r="V59" s="131">
        <f>'Suc. Santa María del Oro'!C59</f>
        <v>0</v>
      </c>
      <c r="W59" s="131">
        <f>'Suc. Villa Hidalgo'!C59</f>
        <v>1</v>
      </c>
      <c r="X59" s="131">
        <f>'Suc. Peñita'!C59</f>
        <v>1</v>
      </c>
      <c r="Y59" s="120">
        <f t="shared" si="47"/>
        <v>8</v>
      </c>
      <c r="Z59" s="120">
        <f t="shared" si="48"/>
        <v>18</v>
      </c>
      <c r="AB59" s="131">
        <f>IFERROR(VLOOKUP(A59,'GRAL. SUC. FORANEAS'!$R:$S,2,0),0)</f>
        <v>0</v>
      </c>
      <c r="AD59" s="131">
        <f t="shared" si="10"/>
        <v>18</v>
      </c>
    </row>
    <row r="60" spans="1:30" ht="17.399999999999999" x14ac:dyDescent="0.35">
      <c r="A60" s="93" t="s">
        <v>41</v>
      </c>
      <c r="B60" s="131">
        <f>'Suc. Amado Nervo'!C60</f>
        <v>2</v>
      </c>
      <c r="C60" s="131">
        <f>'Suc. León'!C60</f>
        <v>1</v>
      </c>
      <c r="D60" s="120">
        <f>'San Cayetano'!C60</f>
        <v>1</v>
      </c>
      <c r="E60" s="120">
        <f>'Suc. Boulevard'!C60</f>
        <v>1</v>
      </c>
      <c r="F60" s="120">
        <f>'Suc. Dos de Agosto'!C60</f>
        <v>0</v>
      </c>
      <c r="G60" s="120">
        <f>'Suc. La Nueva Canasta'!C60</f>
        <v>0</v>
      </c>
      <c r="H60" s="120">
        <f>'Suc. Mololoa'!C60</f>
        <v>1</v>
      </c>
      <c r="I60" s="120">
        <f>'Suc. Plaza'!C60</f>
        <v>1</v>
      </c>
      <c r="J60" s="120">
        <f>'Suc. Vistas'!C60</f>
        <v>1</v>
      </c>
      <c r="K60" s="120">
        <f>'Suc. Xalisco'!C60</f>
        <v>1</v>
      </c>
      <c r="L60" s="120">
        <f t="shared" si="46"/>
        <v>9</v>
      </c>
      <c r="M60" s="131">
        <f>'Suc. Acaponeta'!C60</f>
        <v>2</v>
      </c>
      <c r="N60" s="131">
        <f>'Suc. Compostela'!C60</f>
        <v>1</v>
      </c>
      <c r="O60" s="131">
        <f>'Suc. Ruiz'!C60</f>
        <v>0</v>
      </c>
      <c r="P60" s="131">
        <f>'Suc. Sanblas'!C60</f>
        <v>1</v>
      </c>
      <c r="Q60" s="131">
        <f>'LALO VARAS'!C60</f>
        <v>0</v>
      </c>
      <c r="R60" s="131">
        <f>'Suc. Santiago 2'!C60</f>
        <v>1</v>
      </c>
      <c r="S60" s="131">
        <f>'Suc. Tecuala'!C60</f>
        <v>2</v>
      </c>
      <c r="T60" s="131">
        <f>'Suc. Tuxpan'!C60</f>
        <v>0</v>
      </c>
      <c r="U60" s="131">
        <f>'Suc. Varas'!C60</f>
        <v>1</v>
      </c>
      <c r="V60" s="131">
        <f>'Suc. Santa María del Oro'!C60</f>
        <v>0</v>
      </c>
      <c r="W60" s="131">
        <f>'Suc. Villa Hidalgo'!C60</f>
        <v>0</v>
      </c>
      <c r="X60" s="131">
        <f>'Suc. Peñita'!C60</f>
        <v>1</v>
      </c>
      <c r="Y60" s="120">
        <f t="shared" si="47"/>
        <v>9</v>
      </c>
      <c r="Z60" s="120">
        <f t="shared" si="48"/>
        <v>18</v>
      </c>
      <c r="AB60" s="131">
        <f>IFERROR(VLOOKUP(A60,'GRAL. SUC. FORANEAS'!$R:$S,2,0),0)</f>
        <v>0</v>
      </c>
      <c r="AD60" s="131">
        <f t="shared" si="10"/>
        <v>18</v>
      </c>
    </row>
    <row r="61" spans="1:30" ht="17.399999999999999" x14ac:dyDescent="0.35">
      <c r="A61" s="101" t="s">
        <v>42</v>
      </c>
      <c r="B61" s="131">
        <f>'Suc. Amado Nervo'!C61</f>
        <v>2</v>
      </c>
      <c r="C61" s="131">
        <f>'Suc. León'!C61</f>
        <v>2</v>
      </c>
      <c r="D61" s="120">
        <f>'San Cayetano'!C61</f>
        <v>1</v>
      </c>
      <c r="E61" s="120">
        <f>'Suc. Boulevard'!C61</f>
        <v>1</v>
      </c>
      <c r="F61" s="120">
        <f>'Suc. Dos de Agosto'!C61</f>
        <v>1</v>
      </c>
      <c r="G61" s="120">
        <f>'Suc. La Nueva Canasta'!C61</f>
        <v>0</v>
      </c>
      <c r="H61" s="120">
        <f>'Suc. Mololoa'!C61</f>
        <v>1</v>
      </c>
      <c r="I61" s="120">
        <f>'Suc. Plaza'!C61</f>
        <v>0</v>
      </c>
      <c r="J61" s="120">
        <f>'Suc. Vistas'!C61</f>
        <v>1</v>
      </c>
      <c r="K61" s="120">
        <f>'Suc. Xalisco'!C61</f>
        <v>0</v>
      </c>
      <c r="L61" s="120">
        <f t="shared" si="46"/>
        <v>9</v>
      </c>
      <c r="M61" s="131">
        <f>'Suc. Acaponeta'!C61</f>
        <v>2</v>
      </c>
      <c r="N61" s="131">
        <f>'Suc. Compostela'!C61</f>
        <v>0</v>
      </c>
      <c r="O61" s="131">
        <f>'Suc. Ruiz'!C61</f>
        <v>0</v>
      </c>
      <c r="P61" s="131">
        <f>'Suc. Sanblas'!C61</f>
        <v>3</v>
      </c>
      <c r="Q61" s="131">
        <f>'LALO VARAS'!C61</f>
        <v>1</v>
      </c>
      <c r="R61" s="131">
        <f>'Suc. Santiago 2'!C61</f>
        <v>2</v>
      </c>
      <c r="S61" s="131">
        <f>'Suc. Tecuala'!C61</f>
        <v>2</v>
      </c>
      <c r="T61" s="131">
        <f>'Suc. Tuxpan'!C61</f>
        <v>2</v>
      </c>
      <c r="U61" s="131">
        <f>'Suc. Varas'!C61</f>
        <v>0</v>
      </c>
      <c r="V61" s="131">
        <f>'Suc. Santa María del Oro'!C61</f>
        <v>1</v>
      </c>
      <c r="W61" s="131">
        <f>'Suc. Villa Hidalgo'!C61</f>
        <v>1</v>
      </c>
      <c r="X61" s="131">
        <f>'Suc. Peñita'!C61</f>
        <v>1</v>
      </c>
      <c r="Y61" s="120">
        <f t="shared" si="47"/>
        <v>15</v>
      </c>
      <c r="Z61" s="120">
        <f t="shared" si="48"/>
        <v>24</v>
      </c>
      <c r="AB61" s="131">
        <f>IFERROR(VLOOKUP(A61,'GRAL. SUC. FORANEAS'!$R:$S,2,0),0)</f>
        <v>0</v>
      </c>
      <c r="AD61" s="131">
        <f t="shared" si="10"/>
        <v>24</v>
      </c>
    </row>
    <row r="62" spans="1:30" ht="17.399999999999999" x14ac:dyDescent="0.35">
      <c r="A62" s="102" t="s">
        <v>43</v>
      </c>
      <c r="B62" s="131">
        <f>'Suc. Amado Nervo'!C62</f>
        <v>2</v>
      </c>
      <c r="C62" s="131">
        <f>'Suc. León'!C62</f>
        <v>2</v>
      </c>
      <c r="D62" s="120">
        <f>'San Cayetano'!C62</f>
        <v>1</v>
      </c>
      <c r="E62" s="120">
        <f>'Suc. Boulevard'!C62</f>
        <v>0</v>
      </c>
      <c r="F62" s="120">
        <f>'Suc. Dos de Agosto'!C62</f>
        <v>1</v>
      </c>
      <c r="G62" s="120">
        <f>'Suc. La Nueva Canasta'!C62</f>
        <v>0</v>
      </c>
      <c r="H62" s="120">
        <f>'Suc. Mololoa'!C62</f>
        <v>1</v>
      </c>
      <c r="I62" s="120">
        <f>'Suc. Plaza'!C62</f>
        <v>1</v>
      </c>
      <c r="J62" s="120">
        <f>'Suc. Vistas'!C62</f>
        <v>0</v>
      </c>
      <c r="K62" s="120">
        <f>'Suc. Xalisco'!C62</f>
        <v>0</v>
      </c>
      <c r="L62" s="120">
        <f t="shared" si="46"/>
        <v>8</v>
      </c>
      <c r="M62" s="131">
        <f>'Suc. Acaponeta'!C62</f>
        <v>0</v>
      </c>
      <c r="N62" s="131">
        <f>'Suc. Compostela'!C62</f>
        <v>1</v>
      </c>
      <c r="O62" s="131">
        <f>'Suc. Ruiz'!C62</f>
        <v>0</v>
      </c>
      <c r="P62" s="131">
        <f>'Suc. Sanblas'!C62</f>
        <v>0</v>
      </c>
      <c r="Q62" s="131">
        <f>'LALO VARAS'!C62</f>
        <v>2</v>
      </c>
      <c r="R62" s="131">
        <f>'Suc. Santiago 2'!C62</f>
        <v>2</v>
      </c>
      <c r="S62" s="131">
        <f>'Suc. Tecuala'!C62</f>
        <v>2</v>
      </c>
      <c r="T62" s="131">
        <f>'Suc. Tuxpan'!C62</f>
        <v>0</v>
      </c>
      <c r="U62" s="131">
        <f>'Suc. Varas'!C62</f>
        <v>1</v>
      </c>
      <c r="V62" s="131">
        <f>'Suc. Santa María del Oro'!C62</f>
        <v>3</v>
      </c>
      <c r="W62" s="131">
        <f>'Suc. Villa Hidalgo'!C62</f>
        <v>1</v>
      </c>
      <c r="X62" s="131">
        <f>'Suc. Peñita'!C62</f>
        <v>0</v>
      </c>
      <c r="Y62" s="120">
        <f t="shared" si="47"/>
        <v>12</v>
      </c>
      <c r="Z62" s="120">
        <f t="shared" si="48"/>
        <v>20</v>
      </c>
      <c r="AB62" s="131">
        <f>IFERROR(VLOOKUP(A62,'GRAL. SUC. FORANEAS'!$R:$S,2,0),0)</f>
        <v>7</v>
      </c>
      <c r="AD62" s="131">
        <f t="shared" si="10"/>
        <v>27</v>
      </c>
    </row>
    <row r="63" spans="1:30" ht="17.399999999999999" x14ac:dyDescent="0.35">
      <c r="A63" s="93" t="s">
        <v>44</v>
      </c>
      <c r="B63" s="131">
        <f>'Suc. Amado Nervo'!C63</f>
        <v>2</v>
      </c>
      <c r="C63" s="131">
        <f>'Suc. León'!C63</f>
        <v>2</v>
      </c>
      <c r="D63" s="120">
        <f>'San Cayetano'!C63</f>
        <v>1</v>
      </c>
      <c r="E63" s="120">
        <f>'Suc. Boulevard'!C63</f>
        <v>1</v>
      </c>
      <c r="F63" s="120">
        <f>'Suc. Dos de Agosto'!C63</f>
        <v>1</v>
      </c>
      <c r="G63" s="120">
        <f>'Suc. La Nueva Canasta'!C63</f>
        <v>0</v>
      </c>
      <c r="H63" s="120">
        <f>'Suc. Mololoa'!C63</f>
        <v>1</v>
      </c>
      <c r="I63" s="120">
        <f>'Suc. Plaza'!C63</f>
        <v>0</v>
      </c>
      <c r="J63" s="120">
        <f>'Suc. Vistas'!C63</f>
        <v>1</v>
      </c>
      <c r="K63" s="120">
        <f>'Suc. Xalisco'!C63</f>
        <v>0</v>
      </c>
      <c r="L63" s="120">
        <f t="shared" si="46"/>
        <v>9</v>
      </c>
      <c r="M63" s="131">
        <f>'Suc. Acaponeta'!C63</f>
        <v>2</v>
      </c>
      <c r="N63" s="131">
        <f>'Suc. Compostela'!C63</f>
        <v>1</v>
      </c>
      <c r="O63" s="131">
        <f>'Suc. Ruiz'!C63</f>
        <v>1</v>
      </c>
      <c r="P63" s="131">
        <f>'Suc. Sanblas'!C63</f>
        <v>1</v>
      </c>
      <c r="Q63" s="131">
        <f>'LALO VARAS'!C63</f>
        <v>0</v>
      </c>
      <c r="R63" s="131">
        <f>'Suc. Santiago 2'!C63</f>
        <v>2</v>
      </c>
      <c r="S63" s="131">
        <f>'Suc. Tecuala'!C63</f>
        <v>1</v>
      </c>
      <c r="T63" s="131">
        <f>'Suc. Tuxpan'!C63</f>
        <v>0</v>
      </c>
      <c r="U63" s="131">
        <f>'Suc. Varas'!C63</f>
        <v>2</v>
      </c>
      <c r="V63" s="131">
        <f>'Suc. Santa María del Oro'!C63</f>
        <v>0</v>
      </c>
      <c r="W63" s="131">
        <f>'Suc. Villa Hidalgo'!C63</f>
        <v>1</v>
      </c>
      <c r="X63" s="131">
        <f>'Suc. Peñita'!C63</f>
        <v>1</v>
      </c>
      <c r="Y63" s="120">
        <f t="shared" si="47"/>
        <v>12</v>
      </c>
      <c r="Z63" s="120">
        <f t="shared" si="48"/>
        <v>21</v>
      </c>
      <c r="AB63" s="131">
        <f>IFERROR(VLOOKUP(A63,'GRAL. SUC. FORANEAS'!$R:$S,2,0),0)</f>
        <v>7</v>
      </c>
      <c r="AD63" s="131">
        <f t="shared" si="10"/>
        <v>28</v>
      </c>
    </row>
    <row r="64" spans="1:30" ht="17.399999999999999" x14ac:dyDescent="0.35">
      <c r="A64" s="93" t="s">
        <v>45</v>
      </c>
      <c r="B64" s="131">
        <f>'Suc. Amado Nervo'!C64</f>
        <v>1</v>
      </c>
      <c r="C64" s="131">
        <f>'Suc. León'!C64</f>
        <v>2</v>
      </c>
      <c r="D64" s="120">
        <f>'San Cayetano'!C64</f>
        <v>1</v>
      </c>
      <c r="E64" s="120">
        <f>'Suc. Boulevard'!C64</f>
        <v>1</v>
      </c>
      <c r="F64" s="120">
        <f>'Suc. Dos de Agosto'!C64</f>
        <v>0</v>
      </c>
      <c r="G64" s="120">
        <f>'Suc. La Nueva Canasta'!C64</f>
        <v>0</v>
      </c>
      <c r="H64" s="120">
        <f>'Suc. Mololoa'!C64</f>
        <v>0</v>
      </c>
      <c r="I64" s="120">
        <f>'Suc. Plaza'!C64</f>
        <v>3</v>
      </c>
      <c r="J64" s="120">
        <f>'Suc. Vistas'!C64</f>
        <v>1</v>
      </c>
      <c r="K64" s="120">
        <f>'Suc. Xalisco'!C64</f>
        <v>1</v>
      </c>
      <c r="L64" s="120">
        <f t="shared" si="46"/>
        <v>10</v>
      </c>
      <c r="M64" s="131">
        <f>'Suc. Acaponeta'!C64</f>
        <v>2</v>
      </c>
      <c r="N64" s="131">
        <f>'Suc. Compostela'!C64</f>
        <v>1</v>
      </c>
      <c r="O64" s="131">
        <f>'Suc. Ruiz'!C64</f>
        <v>2</v>
      </c>
      <c r="P64" s="131">
        <f>'Suc. Sanblas'!C64</f>
        <v>2</v>
      </c>
      <c r="Q64" s="131">
        <f>'LALO VARAS'!C64</f>
        <v>1</v>
      </c>
      <c r="R64" s="131">
        <f>'Suc. Santiago 2'!C64</f>
        <v>2</v>
      </c>
      <c r="S64" s="131">
        <f>'Suc. Tecuala'!C64</f>
        <v>1</v>
      </c>
      <c r="T64" s="131">
        <f>'Suc. Tuxpan'!C64</f>
        <v>0</v>
      </c>
      <c r="U64" s="131">
        <f>'Suc. Varas'!C64</f>
        <v>4</v>
      </c>
      <c r="V64" s="131">
        <f>'Suc. Santa María del Oro'!C64</f>
        <v>3</v>
      </c>
      <c r="W64" s="131">
        <f>'Suc. Villa Hidalgo'!C64</f>
        <v>1</v>
      </c>
      <c r="X64" s="131">
        <f>'Suc. Peñita'!C64</f>
        <v>0</v>
      </c>
      <c r="Y64" s="120">
        <f t="shared" si="47"/>
        <v>19</v>
      </c>
      <c r="Z64" s="120">
        <f t="shared" si="48"/>
        <v>29</v>
      </c>
      <c r="AB64" s="131">
        <f>IFERROR(VLOOKUP(A64,'GRAL. SUC. FORANEAS'!$R:$S,2,0),0)</f>
        <v>11</v>
      </c>
      <c r="AD64" s="131">
        <f t="shared" si="10"/>
        <v>40</v>
      </c>
    </row>
    <row r="65" spans="1:30" ht="17.399999999999999" x14ac:dyDescent="0.35">
      <c r="A65" s="93" t="s">
        <v>46</v>
      </c>
      <c r="B65" s="131">
        <f>'Suc. Amado Nervo'!C65</f>
        <v>3</v>
      </c>
      <c r="C65" s="131">
        <f>'Suc. León'!C65</f>
        <v>3</v>
      </c>
      <c r="D65" s="120">
        <f>'San Cayetano'!C65</f>
        <v>1</v>
      </c>
      <c r="E65" s="120">
        <f>'Suc. Boulevard'!C65</f>
        <v>1</v>
      </c>
      <c r="F65" s="120">
        <f>'Suc. Dos de Agosto'!C65</f>
        <v>2</v>
      </c>
      <c r="G65" s="120">
        <f>'Suc. La Nueva Canasta'!C65</f>
        <v>0</v>
      </c>
      <c r="H65" s="120">
        <f>'Suc. Mololoa'!C65</f>
        <v>1</v>
      </c>
      <c r="I65" s="120">
        <f>'Suc. Plaza'!C65</f>
        <v>3</v>
      </c>
      <c r="J65" s="120">
        <f>'Suc. Vistas'!C65</f>
        <v>1</v>
      </c>
      <c r="K65" s="120">
        <f>'Suc. Xalisco'!C65</f>
        <v>2</v>
      </c>
      <c r="L65" s="120">
        <f t="shared" si="46"/>
        <v>17</v>
      </c>
      <c r="M65" s="131">
        <f>'Suc. Acaponeta'!C65</f>
        <v>2</v>
      </c>
      <c r="N65" s="131">
        <f>'Suc. Compostela'!C65</f>
        <v>1</v>
      </c>
      <c r="O65" s="131">
        <f>'Suc. Ruiz'!C65</f>
        <v>2</v>
      </c>
      <c r="P65" s="131">
        <f>'Suc. Sanblas'!C65</f>
        <v>3</v>
      </c>
      <c r="Q65" s="131">
        <f>'LALO VARAS'!C65</f>
        <v>2</v>
      </c>
      <c r="R65" s="131">
        <f>'Suc. Santiago 2'!C65</f>
        <v>3</v>
      </c>
      <c r="S65" s="131">
        <f>'Suc. Tecuala'!C65</f>
        <v>2</v>
      </c>
      <c r="T65" s="131">
        <f>'Suc. Tuxpan'!C65</f>
        <v>3</v>
      </c>
      <c r="U65" s="131">
        <f>'Suc. Varas'!C65</f>
        <v>3</v>
      </c>
      <c r="V65" s="131">
        <f>'Suc. Santa María del Oro'!C65</f>
        <v>2</v>
      </c>
      <c r="W65" s="131">
        <f>'Suc. Villa Hidalgo'!C65</f>
        <v>4</v>
      </c>
      <c r="X65" s="131">
        <f>'Suc. Peñita'!C65</f>
        <v>1</v>
      </c>
      <c r="Y65" s="120">
        <f t="shared" si="47"/>
        <v>28</v>
      </c>
      <c r="Z65" s="120">
        <f t="shared" si="48"/>
        <v>45</v>
      </c>
      <c r="AB65" s="131">
        <f>IFERROR(VLOOKUP(A65,'GRAL. SUC. FORANEAS'!$R:$S,2,0),0)</f>
        <v>24</v>
      </c>
      <c r="AD65" s="131">
        <f t="shared" si="10"/>
        <v>69</v>
      </c>
    </row>
    <row r="66" spans="1:30" ht="17.399999999999999" x14ac:dyDescent="0.35">
      <c r="A66" s="93" t="s">
        <v>48</v>
      </c>
      <c r="B66" s="131">
        <f>'Suc. Amado Nervo'!C66</f>
        <v>2</v>
      </c>
      <c r="C66" s="131">
        <f>'Suc. León'!C66</f>
        <v>2</v>
      </c>
      <c r="D66" s="120">
        <f>'San Cayetano'!C66</f>
        <v>1</v>
      </c>
      <c r="E66" s="120">
        <f>'Suc. Boulevard'!C66</f>
        <v>1</v>
      </c>
      <c r="F66" s="120">
        <f>'Suc. Dos de Agosto'!C66</f>
        <v>1</v>
      </c>
      <c r="G66" s="120">
        <f>'Suc. La Nueva Canasta'!C66</f>
        <v>0</v>
      </c>
      <c r="H66" s="120">
        <f>'Suc. Mololoa'!C66</f>
        <v>1</v>
      </c>
      <c r="I66" s="120">
        <f>'Suc. Plaza'!C66</f>
        <v>1</v>
      </c>
      <c r="J66" s="120">
        <f>'Suc. Vistas'!C66</f>
        <v>0</v>
      </c>
      <c r="K66" s="120">
        <f>'Suc. Xalisco'!C66</f>
        <v>1</v>
      </c>
      <c r="L66" s="120">
        <f t="shared" si="46"/>
        <v>10</v>
      </c>
      <c r="M66" s="131">
        <f>'Suc. Acaponeta'!C66</f>
        <v>2</v>
      </c>
      <c r="N66" s="131">
        <f>'Suc. Compostela'!C66</f>
        <v>1</v>
      </c>
      <c r="O66" s="131">
        <f>'Suc. Ruiz'!C66</f>
        <v>0</v>
      </c>
      <c r="P66" s="131">
        <f>'Suc. Sanblas'!C66</f>
        <v>0</v>
      </c>
      <c r="Q66" s="131">
        <f>'LALO VARAS'!C66</f>
        <v>1</v>
      </c>
      <c r="R66" s="131">
        <f>'Suc. Santiago 2'!C66</f>
        <v>1</v>
      </c>
      <c r="S66" s="131">
        <f>'Suc. Tecuala'!C66</f>
        <v>3</v>
      </c>
      <c r="T66" s="131">
        <f>'Suc. Tuxpan'!C66</f>
        <v>1</v>
      </c>
      <c r="U66" s="131">
        <f>'Suc. Varas'!C66</f>
        <v>0</v>
      </c>
      <c r="V66" s="131">
        <f>'Suc. Santa María del Oro'!C66</f>
        <v>1</v>
      </c>
      <c r="W66" s="131">
        <f>'Suc. Villa Hidalgo'!C66</f>
        <v>2</v>
      </c>
      <c r="X66" s="131">
        <f>'Suc. Peñita'!C66</f>
        <v>2</v>
      </c>
      <c r="Y66" s="120">
        <f t="shared" si="47"/>
        <v>14</v>
      </c>
      <c r="Z66" s="120">
        <f t="shared" si="48"/>
        <v>24</v>
      </c>
      <c r="AB66" s="131">
        <f>IFERROR(VLOOKUP(A66,'GRAL. SUC. FORANEAS'!$R:$S,2,0),0)</f>
        <v>8</v>
      </c>
      <c r="AD66" s="131">
        <f t="shared" si="10"/>
        <v>32</v>
      </c>
    </row>
    <row r="67" spans="1:30" ht="17.399999999999999" x14ac:dyDescent="0.35">
      <c r="A67" s="93" t="s">
        <v>49</v>
      </c>
      <c r="B67" s="131">
        <f>'Suc. Amado Nervo'!C67</f>
        <v>2</v>
      </c>
      <c r="C67" s="131">
        <f>'Suc. León'!C67</f>
        <v>2</v>
      </c>
      <c r="D67" s="120">
        <f>'San Cayetano'!C67</f>
        <v>1</v>
      </c>
      <c r="E67" s="120">
        <f>'Suc. Boulevard'!C67</f>
        <v>1</v>
      </c>
      <c r="F67" s="120">
        <f>'Suc. Dos de Agosto'!C67</f>
        <v>1</v>
      </c>
      <c r="G67" s="120">
        <f>'Suc. La Nueva Canasta'!C67</f>
        <v>0</v>
      </c>
      <c r="H67" s="120">
        <f>'Suc. Mololoa'!C67</f>
        <v>1</v>
      </c>
      <c r="I67" s="120">
        <f>'Suc. Plaza'!C67</f>
        <v>1</v>
      </c>
      <c r="J67" s="120">
        <f>'Suc. Vistas'!C67</f>
        <v>1</v>
      </c>
      <c r="K67" s="120">
        <f>'Suc. Xalisco'!C67</f>
        <v>1</v>
      </c>
      <c r="L67" s="120">
        <f t="shared" si="46"/>
        <v>11</v>
      </c>
      <c r="M67" s="131">
        <f>'Suc. Acaponeta'!C67</f>
        <v>2</v>
      </c>
      <c r="N67" s="131">
        <f>'Suc. Compostela'!C67</f>
        <v>1</v>
      </c>
      <c r="O67" s="131">
        <f>'Suc. Ruiz'!C67</f>
        <v>1</v>
      </c>
      <c r="P67" s="131">
        <f>'Suc. Sanblas'!C67</f>
        <v>0</v>
      </c>
      <c r="Q67" s="131">
        <f>'LALO VARAS'!C67</f>
        <v>1</v>
      </c>
      <c r="R67" s="131">
        <f>'Suc. Santiago 2'!C67</f>
        <v>2</v>
      </c>
      <c r="S67" s="131">
        <f>'Suc. Tecuala'!C67</f>
        <v>0</v>
      </c>
      <c r="T67" s="131">
        <f>'Suc. Tuxpan'!C67</f>
        <v>0</v>
      </c>
      <c r="U67" s="131">
        <f>'Suc. Varas'!C67</f>
        <v>0</v>
      </c>
      <c r="V67" s="131">
        <f>'Suc. Santa María del Oro'!C67</f>
        <v>1</v>
      </c>
      <c r="W67" s="131">
        <f>'Suc. Villa Hidalgo'!C67</f>
        <v>0</v>
      </c>
      <c r="X67" s="131">
        <f>'Suc. Peñita'!C67</f>
        <v>1</v>
      </c>
      <c r="Y67" s="120">
        <f t="shared" si="47"/>
        <v>9</v>
      </c>
      <c r="Z67" s="120">
        <f t="shared" si="48"/>
        <v>20</v>
      </c>
      <c r="AB67" s="131">
        <f>IFERROR(VLOOKUP(A67,'GRAL. SUC. FORANEAS'!$R:$S,2,0),0)</f>
        <v>17</v>
      </c>
      <c r="AD67" s="131">
        <f t="shared" si="10"/>
        <v>37</v>
      </c>
    </row>
    <row r="68" spans="1:30" ht="17.399999999999999" x14ac:dyDescent="0.35">
      <c r="A68" s="93" t="s">
        <v>50</v>
      </c>
      <c r="B68" s="131">
        <f>'Suc. Amado Nervo'!C68</f>
        <v>4</v>
      </c>
      <c r="C68" s="131">
        <f>'Suc. León'!C68</f>
        <v>4</v>
      </c>
      <c r="D68" s="120">
        <f>'San Cayetano'!C68</f>
        <v>1</v>
      </c>
      <c r="E68" s="120">
        <f>'Suc. Boulevard'!C68</f>
        <v>2</v>
      </c>
      <c r="F68" s="120">
        <f>'Suc. Dos de Agosto'!C68</f>
        <v>1</v>
      </c>
      <c r="G68" s="120">
        <f>'Suc. La Nueva Canasta'!C68</f>
        <v>0</v>
      </c>
      <c r="H68" s="120">
        <f>'Suc. Mololoa'!C68</f>
        <v>2</v>
      </c>
      <c r="I68" s="120">
        <f>'Suc. Plaza'!C68</f>
        <v>1</v>
      </c>
      <c r="J68" s="120">
        <f>'Suc. Vistas'!C68</f>
        <v>1</v>
      </c>
      <c r="K68" s="120">
        <f>'Suc. Xalisco'!C68</f>
        <v>0</v>
      </c>
      <c r="L68" s="120">
        <f t="shared" si="46"/>
        <v>16</v>
      </c>
      <c r="M68" s="131">
        <f>'Suc. Acaponeta'!C68</f>
        <v>3</v>
      </c>
      <c r="N68" s="131">
        <f>'Suc. Compostela'!C68</f>
        <v>2</v>
      </c>
      <c r="O68" s="131">
        <f>'Suc. Ruiz'!C68</f>
        <v>1</v>
      </c>
      <c r="P68" s="131">
        <f>'Suc. Sanblas'!C68</f>
        <v>3</v>
      </c>
      <c r="Q68" s="131">
        <f>'LALO VARAS'!C68</f>
        <v>2</v>
      </c>
      <c r="R68" s="131">
        <f>'Suc. Santiago 2'!C68</f>
        <v>2</v>
      </c>
      <c r="S68" s="131">
        <f>'Suc. Tecuala'!C68</f>
        <v>2</v>
      </c>
      <c r="T68" s="131">
        <f>'Suc. Tuxpan'!C68</f>
        <v>0</v>
      </c>
      <c r="U68" s="131">
        <f>'Suc. Varas'!C68</f>
        <v>1</v>
      </c>
      <c r="V68" s="131">
        <f>'Suc. Santa María del Oro'!C68</f>
        <v>1</v>
      </c>
      <c r="W68" s="131">
        <f>'Suc. Villa Hidalgo'!C68</f>
        <v>4</v>
      </c>
      <c r="X68" s="131">
        <f>'Suc. Peñita'!C68</f>
        <v>2</v>
      </c>
      <c r="Y68" s="120">
        <f t="shared" si="47"/>
        <v>23</v>
      </c>
      <c r="Z68" s="120">
        <f t="shared" si="48"/>
        <v>39</v>
      </c>
      <c r="AB68" s="131">
        <f>IFERROR(VLOOKUP(A68,'GRAL. SUC. FORANEAS'!$R:$S,2,0),0)</f>
        <v>9</v>
      </c>
      <c r="AD68" s="131">
        <f t="shared" si="10"/>
        <v>48</v>
      </c>
    </row>
    <row r="69" spans="1:30" ht="17.399999999999999" x14ac:dyDescent="0.35">
      <c r="A69" s="93" t="s">
        <v>51</v>
      </c>
      <c r="B69" s="131">
        <f>'Suc. Amado Nervo'!C69</f>
        <v>2</v>
      </c>
      <c r="C69" s="131">
        <f>'Suc. León'!C69</f>
        <v>0</v>
      </c>
      <c r="D69" s="120">
        <f>'San Cayetano'!C69</f>
        <v>1</v>
      </c>
      <c r="E69" s="120">
        <f>'Suc. Boulevard'!C69</f>
        <v>1</v>
      </c>
      <c r="F69" s="120">
        <f>'Suc. Dos de Agosto'!C69</f>
        <v>1</v>
      </c>
      <c r="G69" s="120">
        <f>'Suc. La Nueva Canasta'!C69</f>
        <v>0</v>
      </c>
      <c r="H69" s="120">
        <f>'Suc. Mololoa'!C69</f>
        <v>1</v>
      </c>
      <c r="I69" s="120">
        <f>'Suc. Plaza'!C69</f>
        <v>0</v>
      </c>
      <c r="J69" s="120">
        <f>'Suc. Vistas'!C69</f>
        <v>1</v>
      </c>
      <c r="K69" s="120">
        <f>'Suc. Xalisco'!C69</f>
        <v>1</v>
      </c>
      <c r="L69" s="120">
        <f t="shared" si="46"/>
        <v>8</v>
      </c>
      <c r="M69" s="131">
        <f>'Suc. Acaponeta'!C69</f>
        <v>3</v>
      </c>
      <c r="N69" s="131">
        <f>'Suc. Compostela'!C69</f>
        <v>1</v>
      </c>
      <c r="O69" s="131">
        <f>'Suc. Ruiz'!C69</f>
        <v>1</v>
      </c>
      <c r="P69" s="131">
        <f>'Suc. Sanblas'!C69</f>
        <v>0</v>
      </c>
      <c r="Q69" s="131">
        <f>'LALO VARAS'!C69</f>
        <v>0</v>
      </c>
      <c r="R69" s="131">
        <f>'Suc. Santiago 2'!C69</f>
        <v>0</v>
      </c>
      <c r="S69" s="131">
        <f>'Suc. Tecuala'!C69</f>
        <v>0</v>
      </c>
      <c r="T69" s="131">
        <f>'Suc. Tuxpan'!C69</f>
        <v>1</v>
      </c>
      <c r="U69" s="131">
        <f>'Suc. Varas'!C69</f>
        <v>0</v>
      </c>
      <c r="V69" s="131">
        <f>'Suc. Santa María del Oro'!C69</f>
        <v>0</v>
      </c>
      <c r="W69" s="131">
        <f>'Suc. Villa Hidalgo'!C69</f>
        <v>1</v>
      </c>
      <c r="X69" s="131">
        <f>'Suc. Peñita'!C69</f>
        <v>0</v>
      </c>
      <c r="Y69" s="120">
        <f t="shared" si="47"/>
        <v>7</v>
      </c>
      <c r="Z69" s="120">
        <f t="shared" si="48"/>
        <v>15</v>
      </c>
      <c r="AB69" s="131">
        <f>IFERROR(VLOOKUP(A69,'GRAL. SUC. FORANEAS'!$R:$S,2,0),0)</f>
        <v>0</v>
      </c>
      <c r="AD69" s="131">
        <f t="shared" si="10"/>
        <v>15</v>
      </c>
    </row>
    <row r="70" spans="1:30" ht="17.399999999999999" x14ac:dyDescent="0.35">
      <c r="A70" s="93" t="s">
        <v>53</v>
      </c>
      <c r="B70" s="131">
        <f>'Suc. Amado Nervo'!C70</f>
        <v>2</v>
      </c>
      <c r="C70" s="131">
        <f>'Suc. León'!C70</f>
        <v>3</v>
      </c>
      <c r="D70" s="120">
        <f>'San Cayetano'!C70</f>
        <v>3</v>
      </c>
      <c r="E70" s="120">
        <f>'Suc. Boulevard'!C70</f>
        <v>0</v>
      </c>
      <c r="F70" s="120">
        <f>'Suc. Dos de Agosto'!C70</f>
        <v>2</v>
      </c>
      <c r="G70" s="120">
        <f>'Suc. La Nueva Canasta'!C70</f>
        <v>0</v>
      </c>
      <c r="H70" s="120">
        <f>'Suc. Mololoa'!C70</f>
        <v>0</v>
      </c>
      <c r="I70" s="120">
        <f>'Suc. Plaza'!C70</f>
        <v>3</v>
      </c>
      <c r="J70" s="120">
        <f>'Suc. Vistas'!C70</f>
        <v>3</v>
      </c>
      <c r="K70" s="120">
        <f>'Suc. Xalisco'!C70</f>
        <v>3</v>
      </c>
      <c r="L70" s="120">
        <f t="shared" si="46"/>
        <v>19</v>
      </c>
      <c r="M70" s="131">
        <f>'Suc. Acaponeta'!C70</f>
        <v>5</v>
      </c>
      <c r="N70" s="131">
        <f>'Suc. Compostela'!C70</f>
        <v>0</v>
      </c>
      <c r="O70" s="131">
        <f>'Suc. Ruiz'!C70</f>
        <v>1</v>
      </c>
      <c r="P70" s="131">
        <f>'Suc. Sanblas'!C70</f>
        <v>3</v>
      </c>
      <c r="Q70" s="131">
        <f>'LALO VARAS'!C70</f>
        <v>4</v>
      </c>
      <c r="R70" s="131">
        <f>'Suc. Santiago 2'!C70</f>
        <v>6</v>
      </c>
      <c r="S70" s="131">
        <f>'Suc. Tecuala'!C70</f>
        <v>5</v>
      </c>
      <c r="T70" s="131">
        <f>'Suc. Tuxpan'!C70</f>
        <v>0</v>
      </c>
      <c r="U70" s="131">
        <f>'Suc. Varas'!C70</f>
        <v>1</v>
      </c>
      <c r="V70" s="131">
        <f>'Suc. Santa María del Oro'!C70</f>
        <v>5</v>
      </c>
      <c r="W70" s="131">
        <f>'Suc. Villa Hidalgo'!C70</f>
        <v>7</v>
      </c>
      <c r="X70" s="131">
        <f>'Suc. Peñita'!C70</f>
        <v>0</v>
      </c>
      <c r="Y70" s="120">
        <f t="shared" si="47"/>
        <v>37</v>
      </c>
      <c r="Z70" s="120">
        <f t="shared" si="48"/>
        <v>56</v>
      </c>
      <c r="AB70" s="131">
        <f>IFERROR(VLOOKUP(A70,'GRAL. SUC. FORANEAS'!$R:$S,2,0),0)</f>
        <v>20</v>
      </c>
      <c r="AD70" s="131">
        <f t="shared" si="10"/>
        <v>76</v>
      </c>
    </row>
    <row r="71" spans="1:30" ht="17.399999999999999" x14ac:dyDescent="0.35">
      <c r="A71" s="93" t="s">
        <v>47</v>
      </c>
      <c r="B71" s="131">
        <f>'Suc. Amado Nervo'!C71</f>
        <v>2</v>
      </c>
      <c r="C71" s="131">
        <f>'Suc. León'!C71</f>
        <v>2</v>
      </c>
      <c r="D71" s="120">
        <f>'San Cayetano'!C71</f>
        <v>1</v>
      </c>
      <c r="E71" s="120">
        <f>'Suc. Boulevard'!C71</f>
        <v>2</v>
      </c>
      <c r="F71" s="120">
        <f>'Suc. Dos de Agosto'!C71</f>
        <v>1</v>
      </c>
      <c r="G71" s="120">
        <f>'Suc. La Nueva Canasta'!C71</f>
        <v>0</v>
      </c>
      <c r="H71" s="120">
        <f>'Suc. Mololoa'!C71</f>
        <v>1</v>
      </c>
      <c r="I71" s="120">
        <f>'Suc. Plaza'!C71</f>
        <v>2</v>
      </c>
      <c r="J71" s="120">
        <f>'Suc. Vistas'!C71</f>
        <v>2</v>
      </c>
      <c r="K71" s="120">
        <f>'Suc. Xalisco'!C71</f>
        <v>0</v>
      </c>
      <c r="L71" s="120">
        <f t="shared" si="46"/>
        <v>13</v>
      </c>
      <c r="M71" s="131">
        <f>'Suc. Acaponeta'!C71</f>
        <v>2</v>
      </c>
      <c r="N71" s="131">
        <f>'Suc. Compostela'!C71</f>
        <v>1</v>
      </c>
      <c r="O71" s="131">
        <f>'Suc. Ruiz'!C71</f>
        <v>1</v>
      </c>
      <c r="P71" s="131">
        <f>'Suc. Sanblas'!C71</f>
        <v>0</v>
      </c>
      <c r="Q71" s="131">
        <f>'LALO VARAS'!C71</f>
        <v>0</v>
      </c>
      <c r="R71" s="131">
        <f>'Suc. Santiago 2'!C71</f>
        <v>1</v>
      </c>
      <c r="S71" s="131">
        <f>'Suc. Tecuala'!C71</f>
        <v>1</v>
      </c>
      <c r="T71" s="131">
        <f>'Suc. Tuxpan'!C71</f>
        <v>0</v>
      </c>
      <c r="U71" s="131">
        <f>'Suc. Varas'!C71</f>
        <v>2</v>
      </c>
      <c r="V71" s="131">
        <f>'Suc. Santa María del Oro'!C71</f>
        <v>2</v>
      </c>
      <c r="W71" s="131">
        <f>'Suc. Villa Hidalgo'!C71</f>
        <v>1</v>
      </c>
      <c r="X71" s="131">
        <f>'Suc. Peñita'!C71</f>
        <v>0</v>
      </c>
      <c r="Y71" s="120">
        <f t="shared" si="47"/>
        <v>11</v>
      </c>
      <c r="Z71" s="120">
        <f t="shared" si="48"/>
        <v>24</v>
      </c>
      <c r="AB71" s="131">
        <f>IFERROR(VLOOKUP(A71,'GRAL. SUC. FORANEAS'!$R:$S,2,0),0)</f>
        <v>2</v>
      </c>
      <c r="AD71" s="131">
        <f t="shared" si="10"/>
        <v>26</v>
      </c>
    </row>
    <row r="72" spans="1:30" ht="17.399999999999999" hidden="1" x14ac:dyDescent="0.35">
      <c r="A72" s="86" t="s">
        <v>1089</v>
      </c>
      <c r="B72" s="131">
        <f>'Suc. Amado Nervo'!C72</f>
        <v>0</v>
      </c>
      <c r="C72" s="131">
        <f>'Suc. León'!C72</f>
        <v>0</v>
      </c>
      <c r="D72" s="120">
        <f>'San Cayetano'!C72</f>
        <v>0</v>
      </c>
      <c r="E72" s="120">
        <f>'Suc. Boulevard'!C72</f>
        <v>0</v>
      </c>
      <c r="F72" s="120">
        <f>'Suc. Dos de Agosto'!C72</f>
        <v>0</v>
      </c>
      <c r="G72" s="120">
        <f>'Suc. La Nueva Canasta'!C72</f>
        <v>0</v>
      </c>
      <c r="H72" s="120">
        <f>'Suc. Mololoa'!C72</f>
        <v>0</v>
      </c>
      <c r="I72" s="120">
        <f>'Suc. Plaza'!C72</f>
        <v>0</v>
      </c>
      <c r="J72" s="120">
        <f>'Suc. Vistas'!C72</f>
        <v>0</v>
      </c>
      <c r="K72" s="120">
        <f>'Suc. Xalisco'!C72</f>
        <v>0</v>
      </c>
      <c r="L72" s="120">
        <f t="shared" si="46"/>
        <v>0</v>
      </c>
      <c r="M72" s="131">
        <f>'Suc. Acaponeta'!C72</f>
        <v>0</v>
      </c>
      <c r="N72" s="131">
        <f>'Suc. Compostela'!C72</f>
        <v>0</v>
      </c>
      <c r="O72" s="131">
        <f>'Suc. Ruiz'!C72</f>
        <v>0</v>
      </c>
      <c r="P72" s="131">
        <f>'Suc. Sanblas'!C72</f>
        <v>0</v>
      </c>
      <c r="Q72" s="131">
        <f>'LALO VARAS'!C72</f>
        <v>0</v>
      </c>
      <c r="R72" s="131">
        <f>'Suc. Santiago 2'!C72</f>
        <v>0</v>
      </c>
      <c r="S72" s="131">
        <f>'Suc. Tecuala'!C72</f>
        <v>0</v>
      </c>
      <c r="T72" s="131">
        <f>'Suc. Tuxpan'!C72</f>
        <v>0</v>
      </c>
      <c r="U72" s="131">
        <f>'Suc. Varas'!C72</f>
        <v>0</v>
      </c>
      <c r="V72" s="131">
        <f>'Suc. Santa María del Oro'!C72</f>
        <v>0</v>
      </c>
      <c r="W72" s="131">
        <f>'Suc. Villa Hidalgo'!C72</f>
        <v>0</v>
      </c>
      <c r="X72" s="131">
        <f>'Suc. Peñita'!C72</f>
        <v>0</v>
      </c>
      <c r="Y72" s="120">
        <f t="shared" si="47"/>
        <v>0</v>
      </c>
      <c r="Z72" s="120">
        <f t="shared" si="48"/>
        <v>0</v>
      </c>
      <c r="AB72" s="131">
        <f>IFERROR(VLOOKUP(A72,'GRAL. SUC. FORANEAS'!$R:$S,2,0),0)</f>
        <v>0</v>
      </c>
      <c r="AD72" s="131">
        <f t="shared" si="10"/>
        <v>0</v>
      </c>
    </row>
    <row r="73" spans="1:30" ht="17.399999999999999" x14ac:dyDescent="0.35">
      <c r="A73" s="93"/>
      <c r="B73" s="131">
        <f>'Suc. Amado Nervo'!C73</f>
        <v>0</v>
      </c>
      <c r="C73" s="131">
        <f>'Suc. León'!C73</f>
        <v>0</v>
      </c>
      <c r="D73" s="120">
        <f>'San Cayetano'!C73</f>
        <v>0</v>
      </c>
      <c r="E73" s="120">
        <f>'Suc. Boulevard'!C73</f>
        <v>0</v>
      </c>
      <c r="F73" s="120">
        <f>'Suc. Dos de Agosto'!C73</f>
        <v>0</v>
      </c>
      <c r="G73" s="120">
        <f>'Suc. La Nueva Canasta'!C73</f>
        <v>0</v>
      </c>
      <c r="H73" s="120">
        <f>'Suc. Mololoa'!C73</f>
        <v>0</v>
      </c>
      <c r="I73" s="120">
        <f>'Suc. Plaza'!C73</f>
        <v>0</v>
      </c>
      <c r="J73" s="120">
        <f>'Suc. Vistas'!C73</f>
        <v>0</v>
      </c>
      <c r="K73" s="120">
        <f>'Suc. Xalisco'!C73</f>
        <v>0</v>
      </c>
      <c r="L73" s="120">
        <f t="shared" si="46"/>
        <v>0</v>
      </c>
      <c r="M73" s="131">
        <f>'Suc. Acaponeta'!C73</f>
        <v>0</v>
      </c>
      <c r="N73" s="131">
        <f>'Suc. Compostela'!C73</f>
        <v>0</v>
      </c>
      <c r="O73" s="131">
        <f>'Suc. Ruiz'!C73</f>
        <v>0</v>
      </c>
      <c r="P73" s="131">
        <f>'Suc. Sanblas'!C73</f>
        <v>0</v>
      </c>
      <c r="Q73" s="131">
        <f>'LALO VARAS'!C73</f>
        <v>0</v>
      </c>
      <c r="R73" s="131">
        <f>'Suc. Santiago 2'!C73</f>
        <v>0</v>
      </c>
      <c r="S73" s="131">
        <f>'Suc. Tecuala'!C73</f>
        <v>0</v>
      </c>
      <c r="T73" s="131">
        <f>'Suc. Tuxpan'!C73</f>
        <v>0</v>
      </c>
      <c r="U73" s="131">
        <f>'Suc. Varas'!C73</f>
        <v>0</v>
      </c>
      <c r="V73" s="131">
        <f>'Suc. Santa María del Oro'!C73</f>
        <v>0</v>
      </c>
      <c r="W73" s="131">
        <f>'Suc. Villa Hidalgo'!C73</f>
        <v>0</v>
      </c>
      <c r="X73" s="131">
        <f>'Suc. Peñita'!C73</f>
        <v>0</v>
      </c>
      <c r="Y73" s="120">
        <f t="shared" si="47"/>
        <v>0</v>
      </c>
      <c r="Z73" s="120">
        <f t="shared" si="48"/>
        <v>0</v>
      </c>
      <c r="AB73" s="131">
        <f>IFERROR(VLOOKUP(A73,'GRAL. SUC. FORANEAS'!$R:$S,2,0),0)</f>
        <v>0</v>
      </c>
      <c r="AD73" s="131">
        <f t="shared" si="10"/>
        <v>0</v>
      </c>
    </row>
    <row r="74" spans="1:30" ht="17.399999999999999" x14ac:dyDescent="0.35">
      <c r="A74" s="93"/>
      <c r="B74" s="131">
        <f>'Suc. Amado Nervo'!C74</f>
        <v>0</v>
      </c>
      <c r="C74" s="131">
        <f>'Suc. León'!C74</f>
        <v>0</v>
      </c>
      <c r="D74" s="120">
        <f>'San Cayetano'!C74</f>
        <v>0</v>
      </c>
      <c r="E74" s="120">
        <f>'Suc. Boulevard'!C74</f>
        <v>0</v>
      </c>
      <c r="F74" s="120">
        <f>'Suc. Dos de Agosto'!C74</f>
        <v>0</v>
      </c>
      <c r="G74" s="120">
        <f>'Suc. La Nueva Canasta'!C74</f>
        <v>0</v>
      </c>
      <c r="H74" s="120">
        <f>'Suc. Mololoa'!C74</f>
        <v>0</v>
      </c>
      <c r="I74" s="120">
        <f>'Suc. Plaza'!C74</f>
        <v>0</v>
      </c>
      <c r="J74" s="120">
        <f>'Suc. Vistas'!C74</f>
        <v>0</v>
      </c>
      <c r="K74" s="120">
        <f>'Suc. Xalisco'!C74</f>
        <v>0</v>
      </c>
      <c r="L74" s="120">
        <f t="shared" si="46"/>
        <v>0</v>
      </c>
      <c r="M74" s="131">
        <f>'Suc. Acaponeta'!C74</f>
        <v>0</v>
      </c>
      <c r="N74" s="131">
        <f>'Suc. Compostela'!C74</f>
        <v>0</v>
      </c>
      <c r="O74" s="131">
        <f>'Suc. Ruiz'!C74</f>
        <v>0</v>
      </c>
      <c r="P74" s="131">
        <f>'Suc. Sanblas'!C74</f>
        <v>0</v>
      </c>
      <c r="Q74" s="131">
        <f>'LALO VARAS'!C74</f>
        <v>0</v>
      </c>
      <c r="R74" s="131">
        <f>'Suc. Santiago 2'!C74</f>
        <v>0</v>
      </c>
      <c r="S74" s="131">
        <f>'Suc. Tecuala'!C74</f>
        <v>0</v>
      </c>
      <c r="T74" s="131">
        <f>'Suc. Tuxpan'!C74</f>
        <v>0</v>
      </c>
      <c r="U74" s="131">
        <f>'Suc. Varas'!C74</f>
        <v>0</v>
      </c>
      <c r="V74" s="131">
        <f>'Suc. Santa María del Oro'!C74</f>
        <v>0</v>
      </c>
      <c r="W74" s="131">
        <f>'Suc. Villa Hidalgo'!C74</f>
        <v>0</v>
      </c>
      <c r="X74" s="131">
        <f>'Suc. Peñita'!C74</f>
        <v>0</v>
      </c>
      <c r="Y74" s="120">
        <f t="shared" si="47"/>
        <v>0</v>
      </c>
      <c r="Z74" s="120">
        <f t="shared" si="48"/>
        <v>0</v>
      </c>
      <c r="AB74" s="131">
        <f>IFERROR(VLOOKUP(A74,'GRAL. SUC. FORANEAS'!$R:$S,2,0),0)</f>
        <v>0</v>
      </c>
      <c r="AD74" s="131">
        <f t="shared" si="10"/>
        <v>0</v>
      </c>
    </row>
    <row r="75" spans="1:30" ht="17.399999999999999" x14ac:dyDescent="0.35">
      <c r="A75" s="93"/>
      <c r="B75" s="131">
        <f>'Suc. Amado Nervo'!C75</f>
        <v>0</v>
      </c>
      <c r="C75" s="131">
        <f>'Suc. León'!C75</f>
        <v>0</v>
      </c>
      <c r="D75" s="120">
        <f>'San Cayetano'!C75</f>
        <v>0</v>
      </c>
      <c r="E75" s="120">
        <f>'Suc. Boulevard'!C75</f>
        <v>0</v>
      </c>
      <c r="F75" s="120">
        <f>'Suc. Dos de Agosto'!C75</f>
        <v>0</v>
      </c>
      <c r="G75" s="120">
        <f>'Suc. La Nueva Canasta'!C75</f>
        <v>0</v>
      </c>
      <c r="H75" s="120">
        <f>'Suc. Mololoa'!C75</f>
        <v>0</v>
      </c>
      <c r="I75" s="120">
        <f>'Suc. Plaza'!C75</f>
        <v>0</v>
      </c>
      <c r="J75" s="120">
        <f>'Suc. Vistas'!C75</f>
        <v>0</v>
      </c>
      <c r="K75" s="120">
        <f>'Suc. Xalisco'!C75</f>
        <v>0</v>
      </c>
      <c r="L75" s="120">
        <f t="shared" si="46"/>
        <v>0</v>
      </c>
      <c r="M75" s="131">
        <f>'Suc. Acaponeta'!C75</f>
        <v>0</v>
      </c>
      <c r="N75" s="131">
        <f>'Suc. Compostela'!C75</f>
        <v>0</v>
      </c>
      <c r="O75" s="131">
        <f>'Suc. Ruiz'!C75</f>
        <v>0</v>
      </c>
      <c r="P75" s="131">
        <f>'Suc. Sanblas'!C75</f>
        <v>0</v>
      </c>
      <c r="Q75" s="131">
        <f>'LALO VARAS'!C75</f>
        <v>0</v>
      </c>
      <c r="R75" s="131">
        <f>'Suc. Santiago 2'!C75</f>
        <v>0</v>
      </c>
      <c r="S75" s="131">
        <f>'Suc. Tecuala'!C75</f>
        <v>0</v>
      </c>
      <c r="T75" s="131">
        <f>'Suc. Tuxpan'!C75</f>
        <v>0</v>
      </c>
      <c r="U75" s="131">
        <f>'Suc. Varas'!C75</f>
        <v>0</v>
      </c>
      <c r="V75" s="131">
        <f>'Suc. Santa María del Oro'!C75</f>
        <v>0</v>
      </c>
      <c r="W75" s="131">
        <f>'Suc. Villa Hidalgo'!C75</f>
        <v>0</v>
      </c>
      <c r="X75" s="131">
        <f>'Suc. Peñita'!C75</f>
        <v>0</v>
      </c>
      <c r="Y75" s="120">
        <f t="shared" si="47"/>
        <v>0</v>
      </c>
      <c r="Z75" s="120">
        <f t="shared" si="48"/>
        <v>0</v>
      </c>
      <c r="AB75" s="131">
        <f>IFERROR(VLOOKUP(A75,'GRAL. SUC. FORANEAS'!$R:$S,2,0),0)</f>
        <v>0</v>
      </c>
      <c r="AD75" s="131">
        <f t="shared" si="10"/>
        <v>0</v>
      </c>
    </row>
    <row r="76" spans="1:30" ht="17.399999999999999" x14ac:dyDescent="0.35">
      <c r="A76" s="93"/>
      <c r="B76" s="131">
        <f>'Suc. Amado Nervo'!C76</f>
        <v>0</v>
      </c>
      <c r="C76" s="131">
        <f>'Suc. León'!C76</f>
        <v>0</v>
      </c>
      <c r="D76" s="120">
        <f>'San Cayetano'!C76</f>
        <v>0</v>
      </c>
      <c r="E76" s="120">
        <f>'Suc. Boulevard'!C76</f>
        <v>0</v>
      </c>
      <c r="F76" s="120">
        <f>'Suc. Dos de Agosto'!C76</f>
        <v>0</v>
      </c>
      <c r="G76" s="120">
        <f>'Suc. La Nueva Canasta'!C76</f>
        <v>0</v>
      </c>
      <c r="H76" s="120">
        <f>'Suc. Mololoa'!C76</f>
        <v>0</v>
      </c>
      <c r="I76" s="120">
        <f>'Suc. Plaza'!C76</f>
        <v>0</v>
      </c>
      <c r="J76" s="120">
        <f>'Suc. Vistas'!C76</f>
        <v>0</v>
      </c>
      <c r="K76" s="120">
        <f>'Suc. Xalisco'!C76</f>
        <v>0</v>
      </c>
      <c r="L76" s="120">
        <f t="shared" si="46"/>
        <v>0</v>
      </c>
      <c r="M76" s="131">
        <f>'Suc. Acaponeta'!C76</f>
        <v>0</v>
      </c>
      <c r="N76" s="131">
        <f>'Suc. Compostela'!C76</f>
        <v>0</v>
      </c>
      <c r="O76" s="131">
        <f>'Suc. Ruiz'!C76</f>
        <v>0</v>
      </c>
      <c r="P76" s="131">
        <f>'Suc. Sanblas'!C76</f>
        <v>0</v>
      </c>
      <c r="Q76" s="131">
        <f>'LALO VARAS'!C76</f>
        <v>0</v>
      </c>
      <c r="R76" s="131">
        <f>'Suc. Santiago 2'!C76</f>
        <v>0</v>
      </c>
      <c r="S76" s="131">
        <f>'Suc. Tecuala'!C76</f>
        <v>0</v>
      </c>
      <c r="T76" s="131">
        <f>'Suc. Tuxpan'!C76</f>
        <v>0</v>
      </c>
      <c r="U76" s="131">
        <f>'Suc. Varas'!C76</f>
        <v>0</v>
      </c>
      <c r="V76" s="131">
        <f>'Suc. Santa María del Oro'!C76</f>
        <v>0</v>
      </c>
      <c r="W76" s="131">
        <f>'Suc. Villa Hidalgo'!C76</f>
        <v>0</v>
      </c>
      <c r="X76" s="131">
        <f>'Suc. Peñita'!C76</f>
        <v>0</v>
      </c>
      <c r="Y76" s="120">
        <f t="shared" si="47"/>
        <v>0</v>
      </c>
      <c r="Z76" s="120">
        <f t="shared" si="48"/>
        <v>0</v>
      </c>
      <c r="AB76" s="131">
        <f>IFERROR(VLOOKUP(A76,'GRAL. SUC. FORANEAS'!$R:$S,2,0),0)</f>
        <v>0</v>
      </c>
      <c r="AD76" s="131">
        <f t="shared" si="10"/>
        <v>0</v>
      </c>
    </row>
    <row r="77" spans="1:30" ht="18" thickBot="1" x14ac:dyDescent="0.4">
      <c r="A77" s="93"/>
      <c r="B77" s="131">
        <f>'Suc. Amado Nervo'!C77</f>
        <v>0</v>
      </c>
      <c r="C77" s="131">
        <f>'Suc. León'!C77</f>
        <v>0</v>
      </c>
      <c r="D77" s="120">
        <f>'San Cayetano'!C77</f>
        <v>0</v>
      </c>
      <c r="E77" s="120">
        <f>'Suc. Boulevard'!C77</f>
        <v>0</v>
      </c>
      <c r="F77" s="120">
        <f>'Suc. Dos de Agosto'!C77</f>
        <v>0</v>
      </c>
      <c r="G77" s="120">
        <f>'Suc. La Nueva Canasta'!C77</f>
        <v>0</v>
      </c>
      <c r="H77" s="120">
        <f>'Suc. Mololoa'!C77</f>
        <v>0</v>
      </c>
      <c r="I77" s="120">
        <f>'Suc. Plaza'!C77</f>
        <v>0</v>
      </c>
      <c r="J77" s="120">
        <f>'Suc. Vistas'!C77</f>
        <v>0</v>
      </c>
      <c r="K77" s="120">
        <f>'Suc. Xalisco'!C77</f>
        <v>0</v>
      </c>
      <c r="L77" s="120">
        <f t="shared" si="46"/>
        <v>0</v>
      </c>
      <c r="M77" s="131">
        <f>'Suc. Acaponeta'!C77</f>
        <v>0</v>
      </c>
      <c r="N77" s="131">
        <f>'Suc. Compostela'!C77</f>
        <v>0</v>
      </c>
      <c r="O77" s="131">
        <f>'Suc. Ruiz'!C77</f>
        <v>0</v>
      </c>
      <c r="P77" s="131">
        <f>'Suc. Sanblas'!C77</f>
        <v>0</v>
      </c>
      <c r="Q77" s="131">
        <f>'LALO VARAS'!C77</f>
        <v>0</v>
      </c>
      <c r="R77" s="131">
        <f>'Suc. Santiago 2'!C77</f>
        <v>0</v>
      </c>
      <c r="S77" s="131">
        <f>'Suc. Tecuala'!C77</f>
        <v>0</v>
      </c>
      <c r="T77" s="131">
        <f>'Suc. Tuxpan'!C77</f>
        <v>0</v>
      </c>
      <c r="U77" s="131">
        <f>'Suc. Varas'!C77</f>
        <v>0</v>
      </c>
      <c r="V77" s="131">
        <f>'Suc. Santa María del Oro'!C77</f>
        <v>0</v>
      </c>
      <c r="W77" s="131">
        <f>'Suc. Villa Hidalgo'!C77</f>
        <v>0</v>
      </c>
      <c r="X77" s="131">
        <f>'Suc. Peñita'!C77</f>
        <v>0</v>
      </c>
      <c r="Y77" s="120">
        <f t="shared" si="47"/>
        <v>0</v>
      </c>
      <c r="Z77" s="120">
        <f t="shared" si="48"/>
        <v>0</v>
      </c>
      <c r="AB77" s="131">
        <f>IFERROR(VLOOKUP(A77,'GRAL. SUC. FORANEAS'!$R:$S,2,0),0)</f>
        <v>0</v>
      </c>
      <c r="AD77" s="131">
        <f t="shared" si="10"/>
        <v>0</v>
      </c>
    </row>
    <row r="78" spans="1:30" ht="18" thickBot="1" x14ac:dyDescent="0.4">
      <c r="A78" s="99" t="s">
        <v>54</v>
      </c>
      <c r="B78" s="123">
        <f>SUM(B56:B77)</f>
        <v>34</v>
      </c>
      <c r="C78" s="123">
        <f t="shared" ref="C78:Y78" si="49">SUM(C56:C77)</f>
        <v>32</v>
      </c>
      <c r="D78" s="123">
        <f t="shared" si="49"/>
        <v>18</v>
      </c>
      <c r="E78" s="123">
        <f t="shared" si="49"/>
        <v>17</v>
      </c>
      <c r="F78" s="123">
        <f t="shared" si="49"/>
        <v>16</v>
      </c>
      <c r="G78" s="123">
        <f t="shared" si="49"/>
        <v>0</v>
      </c>
      <c r="H78" s="123">
        <f t="shared" si="49"/>
        <v>15</v>
      </c>
      <c r="I78" s="123">
        <f t="shared" si="49"/>
        <v>21</v>
      </c>
      <c r="J78" s="123">
        <f t="shared" si="49"/>
        <v>19</v>
      </c>
      <c r="K78" s="123">
        <f t="shared" si="49"/>
        <v>11</v>
      </c>
      <c r="L78" s="123">
        <f t="shared" si="49"/>
        <v>183</v>
      </c>
      <c r="M78" s="123">
        <f t="shared" si="49"/>
        <v>36</v>
      </c>
      <c r="N78" s="123">
        <f t="shared" si="49"/>
        <v>15</v>
      </c>
      <c r="O78" s="123">
        <f t="shared" si="49"/>
        <v>10</v>
      </c>
      <c r="P78" s="123">
        <f t="shared" si="49"/>
        <v>19</v>
      </c>
      <c r="Q78" s="123">
        <f t="shared" si="49"/>
        <v>18</v>
      </c>
      <c r="R78" s="123">
        <f t="shared" si="49"/>
        <v>30</v>
      </c>
      <c r="S78" s="123">
        <f t="shared" si="49"/>
        <v>27</v>
      </c>
      <c r="T78" s="123">
        <f t="shared" si="49"/>
        <v>8</v>
      </c>
      <c r="U78" s="123">
        <f t="shared" ref="U78:W78" si="50">SUM(U56:U77)</f>
        <v>17</v>
      </c>
      <c r="V78" s="123">
        <f t="shared" ref="V78" si="51">SUM(V56:V77)</f>
        <v>21</v>
      </c>
      <c r="W78" s="123">
        <f t="shared" si="50"/>
        <v>26</v>
      </c>
      <c r="X78" s="123">
        <f t="shared" ref="X78" si="52">SUM(X56:X77)</f>
        <v>12</v>
      </c>
      <c r="Y78" s="123">
        <f t="shared" si="49"/>
        <v>239</v>
      </c>
      <c r="Z78" s="123">
        <f t="shared" ref="Z78" si="53">SUM(Z56:Z77)</f>
        <v>422</v>
      </c>
      <c r="AB78" s="123">
        <f t="shared" ref="AB78" si="54">SUM(AB56:AB77)</f>
        <v>135</v>
      </c>
      <c r="AD78" s="123">
        <f t="shared" si="10"/>
        <v>557</v>
      </c>
    </row>
    <row r="79" spans="1:30" ht="18.600000000000001" thickBot="1" x14ac:dyDescent="0.4">
      <c r="A79" s="103" t="s">
        <v>55</v>
      </c>
      <c r="B79" s="125">
        <f>B18+B32+B49+B52+B55+B78</f>
        <v>107</v>
      </c>
      <c r="C79" s="125">
        <f t="shared" ref="C79:Y79" si="55">C18+C32+C49+C52+C55+C78</f>
        <v>110</v>
      </c>
      <c r="D79" s="125">
        <f t="shared" si="55"/>
        <v>79</v>
      </c>
      <c r="E79" s="125">
        <f t="shared" si="55"/>
        <v>55</v>
      </c>
      <c r="F79" s="125">
        <f t="shared" si="55"/>
        <v>64</v>
      </c>
      <c r="G79" s="125">
        <f t="shared" si="55"/>
        <v>0</v>
      </c>
      <c r="H79" s="125">
        <f t="shared" si="55"/>
        <v>57</v>
      </c>
      <c r="I79" s="125">
        <f t="shared" si="55"/>
        <v>43</v>
      </c>
      <c r="J79" s="125">
        <f t="shared" si="55"/>
        <v>79</v>
      </c>
      <c r="K79" s="125">
        <f t="shared" si="55"/>
        <v>55</v>
      </c>
      <c r="L79" s="125">
        <f t="shared" si="55"/>
        <v>649</v>
      </c>
      <c r="M79" s="125">
        <f t="shared" si="55"/>
        <v>120</v>
      </c>
      <c r="N79" s="125">
        <f t="shared" si="55"/>
        <v>54</v>
      </c>
      <c r="O79" s="125">
        <f t="shared" si="55"/>
        <v>58</v>
      </c>
      <c r="P79" s="125">
        <f t="shared" si="55"/>
        <v>98</v>
      </c>
      <c r="Q79" s="125">
        <f t="shared" si="55"/>
        <v>120</v>
      </c>
      <c r="R79" s="125">
        <f t="shared" si="55"/>
        <v>134</v>
      </c>
      <c r="S79" s="125">
        <f t="shared" si="55"/>
        <v>104</v>
      </c>
      <c r="T79" s="125">
        <f t="shared" si="55"/>
        <v>36</v>
      </c>
      <c r="U79" s="125">
        <f t="shared" ref="U79:W79" si="56">U18+U32+U49+U52+U55+U78</f>
        <v>47</v>
      </c>
      <c r="V79" s="125">
        <f t="shared" ref="V79" si="57">V18+V32+V49+V52+V55+V78</f>
        <v>62</v>
      </c>
      <c r="W79" s="125">
        <f t="shared" si="56"/>
        <v>87</v>
      </c>
      <c r="X79" s="125">
        <f t="shared" ref="X79" si="58">X18+X32+X49+X52+X55+X78</f>
        <v>57</v>
      </c>
      <c r="Y79" s="125">
        <f t="shared" si="55"/>
        <v>977</v>
      </c>
      <c r="Z79" s="125">
        <f t="shared" ref="Z79" si="59">Z18+Z32+Z49+Z52+Z55+Z78</f>
        <v>1626</v>
      </c>
      <c r="AB79" s="125">
        <f t="shared" ref="AB79" si="60">AB18+AB32+AB49+AB52+AB55+AB78</f>
        <v>791</v>
      </c>
      <c r="AD79" s="125">
        <f t="shared" si="10"/>
        <v>2417</v>
      </c>
    </row>
    <row r="80" spans="1:30" ht="17.399999999999999" x14ac:dyDescent="0.35">
      <c r="A80" s="104" t="s">
        <v>56</v>
      </c>
      <c r="B80" s="132"/>
      <c r="C80" s="132"/>
      <c r="D80" s="126"/>
      <c r="E80" s="126"/>
      <c r="F80" s="126"/>
      <c r="G80" s="126"/>
      <c r="H80" s="126"/>
      <c r="I80" s="126"/>
      <c r="J80" s="126"/>
      <c r="K80" s="126"/>
      <c r="L80" s="126"/>
      <c r="M80" s="132"/>
      <c r="N80" s="132"/>
      <c r="O80" s="132"/>
      <c r="P80" s="132"/>
      <c r="Q80" s="132"/>
      <c r="R80" s="132"/>
      <c r="S80" s="132"/>
      <c r="T80" s="132"/>
      <c r="U80" s="132"/>
      <c r="V80" s="132"/>
      <c r="W80" s="132"/>
      <c r="X80" s="132"/>
      <c r="Y80" s="126"/>
      <c r="Z80" s="126"/>
      <c r="AB80" s="132"/>
      <c r="AD80" s="132">
        <f t="shared" si="10"/>
        <v>0</v>
      </c>
    </row>
    <row r="81" spans="1:30" ht="17.399999999999999" x14ac:dyDescent="0.35">
      <c r="A81" s="94" t="s">
        <v>57</v>
      </c>
      <c r="B81" s="131">
        <f>'Suc. Amado Nervo'!C81</f>
        <v>3</v>
      </c>
      <c r="C81" s="131">
        <f>'Suc. León'!C81</f>
        <v>3</v>
      </c>
      <c r="D81" s="120">
        <f>'San Cayetano'!C81</f>
        <v>1</v>
      </c>
      <c r="E81" s="120">
        <f>'Suc. Boulevard'!C81</f>
        <v>1</v>
      </c>
      <c r="F81" s="120">
        <f>'Suc. Dos de Agosto'!C81</f>
        <v>2</v>
      </c>
      <c r="G81" s="120">
        <f>'Suc. La Nueva Canasta'!C81</f>
        <v>0</v>
      </c>
      <c r="H81" s="120">
        <f>'Suc. Mololoa'!C81</f>
        <v>0</v>
      </c>
      <c r="I81" s="120">
        <f>'Suc. Plaza'!C81</f>
        <v>1</v>
      </c>
      <c r="J81" s="120">
        <f>'Suc. Vistas'!C81</f>
        <v>0</v>
      </c>
      <c r="K81" s="120">
        <f>'Suc. Xalisco'!C81</f>
        <v>1</v>
      </c>
      <c r="L81" s="120">
        <f t="shared" ref="L81:L90" si="61">SUM(B81:K81)</f>
        <v>12</v>
      </c>
      <c r="M81" s="131">
        <f>'Suc. Acaponeta'!C81</f>
        <v>0</v>
      </c>
      <c r="N81" s="131">
        <f>'Suc. Compostela'!C81</f>
        <v>1</v>
      </c>
      <c r="O81" s="131">
        <f>'Suc. Ruiz'!C81</f>
        <v>0</v>
      </c>
      <c r="P81" s="131">
        <f>'Suc. Sanblas'!C81</f>
        <v>0</v>
      </c>
      <c r="Q81" s="131">
        <f>'LALO VARAS'!C81</f>
        <v>0</v>
      </c>
      <c r="R81" s="131">
        <f>'Suc. Santiago 2'!C81</f>
        <v>0</v>
      </c>
      <c r="S81" s="131">
        <f>'Suc. Tecuala'!C81</f>
        <v>0</v>
      </c>
      <c r="T81" s="131">
        <f>'Suc. Tuxpan'!C81</f>
        <v>0</v>
      </c>
      <c r="U81" s="131">
        <f>'Suc. Varas'!C81</f>
        <v>0</v>
      </c>
      <c r="V81" s="131">
        <f>'Suc. Santa María del Oro'!C81</f>
        <v>0</v>
      </c>
      <c r="W81" s="131">
        <f>'Suc. Villa Hidalgo'!C81</f>
        <v>0</v>
      </c>
      <c r="X81" s="131">
        <f>'Suc. Peñita'!C81</f>
        <v>0</v>
      </c>
      <c r="Y81" s="120">
        <f t="shared" ref="Y81:Y90" si="62">SUM(M81:X81)</f>
        <v>1</v>
      </c>
      <c r="Z81" s="120">
        <f t="shared" ref="Z81:Z90" si="63">L81+Y81</f>
        <v>13</v>
      </c>
      <c r="AB81" s="131">
        <f>IFERROR(VLOOKUP(A81,'GRAL. SUC. FORANEAS'!$R:$S,2,0),0)</f>
        <v>7</v>
      </c>
      <c r="AD81" s="131">
        <f t="shared" si="10"/>
        <v>20</v>
      </c>
    </row>
    <row r="82" spans="1:30" ht="17.399999999999999" x14ac:dyDescent="0.35">
      <c r="A82" s="94" t="s">
        <v>58</v>
      </c>
      <c r="B82" s="131">
        <f>'Suc. Amado Nervo'!C82</f>
        <v>0</v>
      </c>
      <c r="C82" s="131">
        <f>'Suc. León'!C82</f>
        <v>1</v>
      </c>
      <c r="D82" s="120">
        <f>'San Cayetano'!C82</f>
        <v>0</v>
      </c>
      <c r="E82" s="120">
        <f>'Suc. Boulevard'!C82</f>
        <v>1</v>
      </c>
      <c r="F82" s="120">
        <f>'Suc. Dos de Agosto'!C82</f>
        <v>1</v>
      </c>
      <c r="G82" s="120">
        <f>'Suc. La Nueva Canasta'!C82</f>
        <v>0</v>
      </c>
      <c r="H82" s="120">
        <f>'Suc. Mololoa'!C82</f>
        <v>0</v>
      </c>
      <c r="I82" s="120">
        <f>'Suc. Plaza'!C82</f>
        <v>1</v>
      </c>
      <c r="J82" s="120">
        <f>'Suc. Vistas'!C82</f>
        <v>0</v>
      </c>
      <c r="K82" s="120">
        <f>'Suc. Xalisco'!C82</f>
        <v>1</v>
      </c>
      <c r="L82" s="120">
        <f t="shared" si="61"/>
        <v>5</v>
      </c>
      <c r="M82" s="131">
        <f>'Suc. Acaponeta'!C82</f>
        <v>2</v>
      </c>
      <c r="N82" s="131">
        <f>'Suc. Compostela'!C82</f>
        <v>0</v>
      </c>
      <c r="O82" s="131">
        <f>'Suc. Ruiz'!C82</f>
        <v>1</v>
      </c>
      <c r="P82" s="131">
        <f>'Suc. Sanblas'!C82</f>
        <v>0</v>
      </c>
      <c r="Q82" s="131">
        <f>'LALO VARAS'!C82</f>
        <v>1</v>
      </c>
      <c r="R82" s="131">
        <f>'Suc. Santiago 2'!C82</f>
        <v>0</v>
      </c>
      <c r="S82" s="131">
        <f>'Suc. Tecuala'!C82</f>
        <v>0</v>
      </c>
      <c r="T82" s="131">
        <f>'Suc. Tuxpan'!C82</f>
        <v>0</v>
      </c>
      <c r="U82" s="131">
        <f>'Suc. Varas'!C82</f>
        <v>0</v>
      </c>
      <c r="V82" s="131">
        <f>'Suc. Santa María del Oro'!C82</f>
        <v>0</v>
      </c>
      <c r="W82" s="131">
        <f>'Suc. Villa Hidalgo'!C82</f>
        <v>1</v>
      </c>
      <c r="X82" s="131">
        <f>'Suc. Peñita'!C82</f>
        <v>0</v>
      </c>
      <c r="Y82" s="120">
        <f t="shared" si="62"/>
        <v>5</v>
      </c>
      <c r="Z82" s="120">
        <f t="shared" si="63"/>
        <v>10</v>
      </c>
      <c r="AB82" s="131">
        <f>IFERROR(VLOOKUP(A82,'GRAL. SUC. FORANEAS'!$R:$S,2,0),0)</f>
        <v>5</v>
      </c>
      <c r="AD82" s="131">
        <f t="shared" si="10"/>
        <v>15</v>
      </c>
    </row>
    <row r="83" spans="1:30" ht="17.399999999999999" x14ac:dyDescent="0.35">
      <c r="A83" s="94" t="s">
        <v>59</v>
      </c>
      <c r="B83" s="131">
        <f>'Suc. Amado Nervo'!C83</f>
        <v>2</v>
      </c>
      <c r="C83" s="131">
        <f>'Suc. León'!C83</f>
        <v>2</v>
      </c>
      <c r="D83" s="120">
        <f>'San Cayetano'!C83</f>
        <v>1</v>
      </c>
      <c r="E83" s="120">
        <f>'Suc. Boulevard'!C83</f>
        <v>1</v>
      </c>
      <c r="F83" s="120">
        <f>'Suc. Dos de Agosto'!C83</f>
        <v>1</v>
      </c>
      <c r="G83" s="120">
        <f>'Suc. La Nueva Canasta'!C83</f>
        <v>0</v>
      </c>
      <c r="H83" s="120">
        <f>'Suc. Mololoa'!C83</f>
        <v>1</v>
      </c>
      <c r="I83" s="120">
        <f>'Suc. Plaza'!C83</f>
        <v>0</v>
      </c>
      <c r="J83" s="120">
        <f>'Suc. Vistas'!C83</f>
        <v>0</v>
      </c>
      <c r="K83" s="120">
        <f>'Suc. Xalisco'!C83</f>
        <v>1</v>
      </c>
      <c r="L83" s="120">
        <f t="shared" si="61"/>
        <v>9</v>
      </c>
      <c r="M83" s="131">
        <f>'Suc. Acaponeta'!C83</f>
        <v>3</v>
      </c>
      <c r="N83" s="131">
        <f>'Suc. Compostela'!C83</f>
        <v>0</v>
      </c>
      <c r="O83" s="131">
        <f>'Suc. Ruiz'!C83</f>
        <v>0</v>
      </c>
      <c r="P83" s="131">
        <f>'Suc. Sanblas'!C83</f>
        <v>0</v>
      </c>
      <c r="Q83" s="131">
        <f>'LALO VARAS'!C83</f>
        <v>1</v>
      </c>
      <c r="R83" s="131">
        <f>'Suc. Santiago 2'!C83</f>
        <v>1</v>
      </c>
      <c r="S83" s="131">
        <f>'Suc. Tecuala'!C83</f>
        <v>0</v>
      </c>
      <c r="T83" s="131">
        <f>'Suc. Tuxpan'!C83</f>
        <v>0</v>
      </c>
      <c r="U83" s="131">
        <f>'Suc. Varas'!C83</f>
        <v>0</v>
      </c>
      <c r="V83" s="131">
        <f>'Suc. Santa María del Oro'!C83</f>
        <v>0</v>
      </c>
      <c r="W83" s="131">
        <f>'Suc. Villa Hidalgo'!C83</f>
        <v>0</v>
      </c>
      <c r="X83" s="131">
        <f>'Suc. Peñita'!C83</f>
        <v>0</v>
      </c>
      <c r="Y83" s="120">
        <f t="shared" si="62"/>
        <v>5</v>
      </c>
      <c r="Z83" s="120">
        <f t="shared" si="63"/>
        <v>14</v>
      </c>
      <c r="AB83" s="131">
        <f>IFERROR(VLOOKUP(A83,'GRAL. SUC. FORANEAS'!$R:$S,2,0),0)</f>
        <v>6</v>
      </c>
      <c r="AD83" s="131">
        <f t="shared" si="10"/>
        <v>20</v>
      </c>
    </row>
    <row r="84" spans="1:30" ht="17.399999999999999" x14ac:dyDescent="0.35">
      <c r="A84" s="94" t="s">
        <v>60</v>
      </c>
      <c r="B84" s="131">
        <f>'Suc. Amado Nervo'!C84</f>
        <v>2</v>
      </c>
      <c r="C84" s="131">
        <f>'Suc. León'!C84</f>
        <v>4</v>
      </c>
      <c r="D84" s="120">
        <f>'San Cayetano'!C84</f>
        <v>1</v>
      </c>
      <c r="E84" s="120">
        <f>'Suc. Boulevard'!C84</f>
        <v>1</v>
      </c>
      <c r="F84" s="120">
        <f>'Suc. Dos de Agosto'!C84</f>
        <v>0</v>
      </c>
      <c r="G84" s="120">
        <f>'Suc. La Nueva Canasta'!C84</f>
        <v>0</v>
      </c>
      <c r="H84" s="120">
        <f>'Suc. Mololoa'!C84</f>
        <v>1</v>
      </c>
      <c r="I84" s="120">
        <f>'Suc. Plaza'!C84</f>
        <v>0</v>
      </c>
      <c r="J84" s="120">
        <f>'Suc. Vistas'!C84</f>
        <v>1</v>
      </c>
      <c r="K84" s="120">
        <f>'Suc. Xalisco'!C84</f>
        <v>1</v>
      </c>
      <c r="L84" s="120">
        <f t="shared" si="61"/>
        <v>11</v>
      </c>
      <c r="M84" s="131">
        <f>'Suc. Acaponeta'!C84</f>
        <v>1</v>
      </c>
      <c r="N84" s="131">
        <f>'Suc. Compostela'!C84</f>
        <v>0</v>
      </c>
      <c r="O84" s="131">
        <f>'Suc. Ruiz'!C84</f>
        <v>0</v>
      </c>
      <c r="P84" s="131">
        <f>'Suc. Sanblas'!C84</f>
        <v>0</v>
      </c>
      <c r="Q84" s="131">
        <f>'LALO VARAS'!C84</f>
        <v>1</v>
      </c>
      <c r="R84" s="131">
        <f>'Suc. Santiago 2'!C84</f>
        <v>1</v>
      </c>
      <c r="S84" s="131">
        <f>'Suc. Tecuala'!C84</f>
        <v>1</v>
      </c>
      <c r="T84" s="131">
        <f>'Suc. Tuxpan'!C84</f>
        <v>0</v>
      </c>
      <c r="U84" s="131">
        <f>'Suc. Varas'!C84</f>
        <v>0</v>
      </c>
      <c r="V84" s="131">
        <f>'Suc. Santa María del Oro'!C84</f>
        <v>0</v>
      </c>
      <c r="W84" s="131">
        <f>'Suc. Villa Hidalgo'!C84</f>
        <v>0</v>
      </c>
      <c r="X84" s="131">
        <f>'Suc. Peñita'!C84</f>
        <v>0</v>
      </c>
      <c r="Y84" s="120">
        <f t="shared" si="62"/>
        <v>4</v>
      </c>
      <c r="Z84" s="120">
        <f t="shared" si="63"/>
        <v>15</v>
      </c>
      <c r="AB84" s="131">
        <f>IFERROR(VLOOKUP(A84,'GRAL. SUC. FORANEAS'!$R:$S,2,0),0)</f>
        <v>7</v>
      </c>
      <c r="AD84" s="131">
        <f t="shared" si="10"/>
        <v>22</v>
      </c>
    </row>
    <row r="85" spans="1:30" ht="17.399999999999999" x14ac:dyDescent="0.35">
      <c r="A85" s="94" t="s">
        <v>61</v>
      </c>
      <c r="B85" s="131">
        <f>'Suc. Amado Nervo'!C85</f>
        <v>3</v>
      </c>
      <c r="C85" s="131">
        <f>'Suc. León'!C85</f>
        <v>3</v>
      </c>
      <c r="D85" s="120">
        <f>'San Cayetano'!C85</f>
        <v>1</v>
      </c>
      <c r="E85" s="120">
        <f>'Suc. Boulevard'!C85</f>
        <v>1</v>
      </c>
      <c r="F85" s="120">
        <f>'Suc. Dos de Agosto'!C85</f>
        <v>1</v>
      </c>
      <c r="G85" s="120">
        <f>'Suc. La Nueva Canasta'!C85</f>
        <v>0</v>
      </c>
      <c r="H85" s="120">
        <f>'Suc. Mololoa'!C85</f>
        <v>0</v>
      </c>
      <c r="I85" s="120">
        <f>'Suc. Plaza'!C85</f>
        <v>0</v>
      </c>
      <c r="J85" s="120">
        <f>'Suc. Vistas'!C85</f>
        <v>0</v>
      </c>
      <c r="K85" s="120">
        <f>'Suc. Xalisco'!C85</f>
        <v>1</v>
      </c>
      <c r="L85" s="120">
        <f t="shared" si="61"/>
        <v>10</v>
      </c>
      <c r="M85" s="131">
        <f>'Suc. Acaponeta'!C85</f>
        <v>3</v>
      </c>
      <c r="N85" s="131">
        <f>'Suc. Compostela'!C85</f>
        <v>0</v>
      </c>
      <c r="O85" s="131">
        <f>'Suc. Ruiz'!C85</f>
        <v>0</v>
      </c>
      <c r="P85" s="131">
        <f>'Suc. Sanblas'!C85</f>
        <v>0</v>
      </c>
      <c r="Q85" s="131">
        <f>'LALO VARAS'!C85</f>
        <v>1</v>
      </c>
      <c r="R85" s="131">
        <f>'Suc. Santiago 2'!C85</f>
        <v>0</v>
      </c>
      <c r="S85" s="131">
        <f>'Suc. Tecuala'!C85</f>
        <v>2</v>
      </c>
      <c r="T85" s="131">
        <f>'Suc. Tuxpan'!C85</f>
        <v>0</v>
      </c>
      <c r="U85" s="131">
        <f>'Suc. Varas'!C85</f>
        <v>0</v>
      </c>
      <c r="V85" s="131">
        <f>'Suc. Santa María del Oro'!C85</f>
        <v>0</v>
      </c>
      <c r="W85" s="131">
        <f>'Suc. Villa Hidalgo'!C85</f>
        <v>1</v>
      </c>
      <c r="X85" s="131">
        <f>'Suc. Peñita'!C85</f>
        <v>1</v>
      </c>
      <c r="Y85" s="120">
        <f t="shared" si="62"/>
        <v>8</v>
      </c>
      <c r="Z85" s="120">
        <f t="shared" si="63"/>
        <v>18</v>
      </c>
      <c r="AB85" s="131">
        <f>IFERROR(VLOOKUP(A85,'GRAL. SUC. FORANEAS'!$R:$S,2,0),0)</f>
        <v>11</v>
      </c>
      <c r="AD85" s="131">
        <f t="shared" si="10"/>
        <v>29</v>
      </c>
    </row>
    <row r="86" spans="1:30" ht="17.399999999999999" x14ac:dyDescent="0.35">
      <c r="A86" s="94" t="s">
        <v>63</v>
      </c>
      <c r="B86" s="131">
        <f>'Suc. Amado Nervo'!C86</f>
        <v>2</v>
      </c>
      <c r="C86" s="131">
        <f>'Suc. León'!C86</f>
        <v>5</v>
      </c>
      <c r="D86" s="120">
        <f>'San Cayetano'!C86</f>
        <v>2</v>
      </c>
      <c r="E86" s="120">
        <f>'Suc. Boulevard'!C86</f>
        <v>1</v>
      </c>
      <c r="F86" s="120">
        <f>'Suc. Dos de Agosto'!C86</f>
        <v>2</v>
      </c>
      <c r="G86" s="120">
        <f>'Suc. La Nueva Canasta'!C86</f>
        <v>0</v>
      </c>
      <c r="H86" s="120">
        <f>'Suc. Mololoa'!C86</f>
        <v>2</v>
      </c>
      <c r="I86" s="120">
        <f>'Suc. Plaza'!C86</f>
        <v>0</v>
      </c>
      <c r="J86" s="120">
        <f>'Suc. Vistas'!C86</f>
        <v>1</v>
      </c>
      <c r="K86" s="120">
        <f>'Suc. Xalisco'!C86</f>
        <v>2</v>
      </c>
      <c r="L86" s="120">
        <f t="shared" si="61"/>
        <v>17</v>
      </c>
      <c r="M86" s="131">
        <f>'Suc. Acaponeta'!C86</f>
        <v>1</v>
      </c>
      <c r="N86" s="131">
        <f>'Suc. Compostela'!C86</f>
        <v>0</v>
      </c>
      <c r="O86" s="131">
        <f>'Suc. Ruiz'!C86</f>
        <v>0</v>
      </c>
      <c r="P86" s="131">
        <f>'Suc. Sanblas'!C86</f>
        <v>6</v>
      </c>
      <c r="Q86" s="131">
        <f>'LALO VARAS'!C86</f>
        <v>3</v>
      </c>
      <c r="R86" s="131">
        <f>'Suc. Santiago 2'!C86</f>
        <v>3</v>
      </c>
      <c r="S86" s="131">
        <f>'Suc. Tecuala'!C86</f>
        <v>1</v>
      </c>
      <c r="T86" s="131">
        <f>'Suc. Tuxpan'!C86</f>
        <v>0</v>
      </c>
      <c r="U86" s="131">
        <f>'Suc. Varas'!C86</f>
        <v>0</v>
      </c>
      <c r="V86" s="131">
        <f>'Suc. Santa María del Oro'!C86</f>
        <v>0</v>
      </c>
      <c r="W86" s="131">
        <f>'Suc. Villa Hidalgo'!C86</f>
        <v>2</v>
      </c>
      <c r="X86" s="131">
        <f>'Suc. Peñita'!C86</f>
        <v>0</v>
      </c>
      <c r="Y86" s="120">
        <f t="shared" si="62"/>
        <v>16</v>
      </c>
      <c r="Z86" s="120">
        <f t="shared" si="63"/>
        <v>33</v>
      </c>
      <c r="AB86" s="131">
        <f>IFERROR(VLOOKUP(A86,'GRAL. SUC. FORANEAS'!$R:$S,2,0),0)</f>
        <v>15</v>
      </c>
      <c r="AD86" s="131">
        <f t="shared" si="10"/>
        <v>48</v>
      </c>
    </row>
    <row r="87" spans="1:30" ht="17.399999999999999" x14ac:dyDescent="0.35">
      <c r="A87" s="94"/>
      <c r="B87" s="131">
        <f>'Suc. Amado Nervo'!C87</f>
        <v>0</v>
      </c>
      <c r="C87" s="131">
        <f>'Suc. León'!C87</f>
        <v>0</v>
      </c>
      <c r="D87" s="120">
        <f>'San Cayetano'!C87</f>
        <v>0</v>
      </c>
      <c r="E87" s="120">
        <f>'Suc. Boulevard'!C87</f>
        <v>0</v>
      </c>
      <c r="F87" s="120">
        <f>'Suc. Dos de Agosto'!C87</f>
        <v>0</v>
      </c>
      <c r="G87" s="120">
        <f>'Suc. La Nueva Canasta'!C87</f>
        <v>0</v>
      </c>
      <c r="H87" s="120">
        <f>'Suc. Mololoa'!C87</f>
        <v>0</v>
      </c>
      <c r="I87" s="120">
        <f>'Suc. Plaza'!C87</f>
        <v>0</v>
      </c>
      <c r="J87" s="120">
        <f>'Suc. Vistas'!C87</f>
        <v>0</v>
      </c>
      <c r="K87" s="120">
        <f>'Suc. Xalisco'!C87</f>
        <v>0</v>
      </c>
      <c r="L87" s="120">
        <f t="shared" si="61"/>
        <v>0</v>
      </c>
      <c r="M87" s="131">
        <f>'Suc. Acaponeta'!C87</f>
        <v>0</v>
      </c>
      <c r="N87" s="131">
        <f>'Suc. Compostela'!C87</f>
        <v>0</v>
      </c>
      <c r="O87" s="131">
        <f>'Suc. Ruiz'!C87</f>
        <v>0</v>
      </c>
      <c r="P87" s="131">
        <f>'Suc. Sanblas'!C87</f>
        <v>0</v>
      </c>
      <c r="Q87" s="131">
        <f>'LALO VARAS'!C87</f>
        <v>0</v>
      </c>
      <c r="R87" s="131">
        <f>'Suc. Santiago 2'!C87</f>
        <v>0</v>
      </c>
      <c r="S87" s="131">
        <f>'Suc. Tecuala'!C87</f>
        <v>0</v>
      </c>
      <c r="T87" s="131">
        <f>'Suc. Tuxpan'!C87</f>
        <v>0</v>
      </c>
      <c r="U87" s="131">
        <f>'Suc. Varas'!C87</f>
        <v>0</v>
      </c>
      <c r="V87" s="131">
        <f>'Suc. Santa María del Oro'!C87</f>
        <v>0</v>
      </c>
      <c r="W87" s="131">
        <f>'Suc. Villa Hidalgo'!C87</f>
        <v>0</v>
      </c>
      <c r="X87" s="131">
        <f>'Suc. Peñita'!C87</f>
        <v>0</v>
      </c>
      <c r="Y87" s="120">
        <f t="shared" si="62"/>
        <v>0</v>
      </c>
      <c r="Z87" s="120">
        <f t="shared" si="63"/>
        <v>0</v>
      </c>
      <c r="AB87" s="131">
        <f>IFERROR(VLOOKUP(A87,'GRAL. SUC. FORANEAS'!$R:$S,2,0),0)</f>
        <v>0</v>
      </c>
      <c r="AD87" s="131">
        <f t="shared" si="10"/>
        <v>0</v>
      </c>
    </row>
    <row r="88" spans="1:30" ht="17.399999999999999" x14ac:dyDescent="0.35">
      <c r="A88" s="94"/>
      <c r="B88" s="131">
        <f>'Suc. Amado Nervo'!C88</f>
        <v>0</v>
      </c>
      <c r="C88" s="131">
        <f>'Suc. León'!C88</f>
        <v>0</v>
      </c>
      <c r="D88" s="120">
        <f>'San Cayetano'!C88</f>
        <v>0</v>
      </c>
      <c r="E88" s="120">
        <f>'Suc. Boulevard'!C88</f>
        <v>0</v>
      </c>
      <c r="F88" s="120">
        <f>'Suc. Dos de Agosto'!C88</f>
        <v>0</v>
      </c>
      <c r="G88" s="120">
        <f>'Suc. La Nueva Canasta'!C88</f>
        <v>0</v>
      </c>
      <c r="H88" s="120">
        <f>'Suc. Mololoa'!C88</f>
        <v>0</v>
      </c>
      <c r="I88" s="120">
        <f>'Suc. Plaza'!C88</f>
        <v>0</v>
      </c>
      <c r="J88" s="120">
        <f>'Suc. Vistas'!C88</f>
        <v>0</v>
      </c>
      <c r="K88" s="120">
        <f>'Suc. Xalisco'!C88</f>
        <v>0</v>
      </c>
      <c r="L88" s="120">
        <f t="shared" si="61"/>
        <v>0</v>
      </c>
      <c r="M88" s="131">
        <f>'Suc. Acaponeta'!C88</f>
        <v>0</v>
      </c>
      <c r="N88" s="131">
        <f>'Suc. Compostela'!C88</f>
        <v>0</v>
      </c>
      <c r="O88" s="131">
        <f>'Suc. Ruiz'!C88</f>
        <v>0</v>
      </c>
      <c r="P88" s="131">
        <f>'Suc. Sanblas'!C88</f>
        <v>0</v>
      </c>
      <c r="Q88" s="131">
        <f>'LALO VARAS'!C88</f>
        <v>0</v>
      </c>
      <c r="R88" s="131">
        <f>'Suc. Santiago 2'!C88</f>
        <v>0</v>
      </c>
      <c r="S88" s="131">
        <f>'Suc. Tecuala'!C88</f>
        <v>0</v>
      </c>
      <c r="T88" s="131">
        <f>'Suc. Tuxpan'!C88</f>
        <v>0</v>
      </c>
      <c r="U88" s="131">
        <f>'Suc. Varas'!C88</f>
        <v>0</v>
      </c>
      <c r="V88" s="131">
        <f>'Suc. Santa María del Oro'!C88</f>
        <v>0</v>
      </c>
      <c r="W88" s="131">
        <f>'Suc. Villa Hidalgo'!C88</f>
        <v>0</v>
      </c>
      <c r="X88" s="131">
        <f>'Suc. Peñita'!C88</f>
        <v>0</v>
      </c>
      <c r="Y88" s="120">
        <f t="shared" si="62"/>
        <v>0</v>
      </c>
      <c r="Z88" s="120">
        <f t="shared" si="63"/>
        <v>0</v>
      </c>
      <c r="AB88" s="131">
        <f>IFERROR(VLOOKUP(A88,'GRAL. SUC. FORANEAS'!$R:$S,2,0),0)</f>
        <v>0</v>
      </c>
      <c r="AD88" s="131">
        <f t="shared" si="10"/>
        <v>0</v>
      </c>
    </row>
    <row r="89" spans="1:30" ht="17.399999999999999" x14ac:dyDescent="0.35">
      <c r="A89" s="94"/>
      <c r="B89" s="131">
        <f>'Suc. Amado Nervo'!C89</f>
        <v>0</v>
      </c>
      <c r="C89" s="131">
        <f>'Suc. León'!C89</f>
        <v>0</v>
      </c>
      <c r="D89" s="120">
        <f>'San Cayetano'!C89</f>
        <v>0</v>
      </c>
      <c r="E89" s="120">
        <f>'Suc. Boulevard'!C89</f>
        <v>0</v>
      </c>
      <c r="F89" s="120">
        <f>'Suc. Dos de Agosto'!C89</f>
        <v>0</v>
      </c>
      <c r="G89" s="120">
        <f>'Suc. La Nueva Canasta'!C89</f>
        <v>0</v>
      </c>
      <c r="H89" s="120">
        <f>'Suc. Mololoa'!C89</f>
        <v>0</v>
      </c>
      <c r="I89" s="120">
        <f>'Suc. Plaza'!C89</f>
        <v>0</v>
      </c>
      <c r="J89" s="120">
        <f>'Suc. Vistas'!C89</f>
        <v>0</v>
      </c>
      <c r="K89" s="120">
        <f>'Suc. Xalisco'!C89</f>
        <v>0</v>
      </c>
      <c r="L89" s="120">
        <f t="shared" si="61"/>
        <v>0</v>
      </c>
      <c r="M89" s="131">
        <f>'Suc. Acaponeta'!C89</f>
        <v>0</v>
      </c>
      <c r="N89" s="131">
        <f>'Suc. Compostela'!C89</f>
        <v>0</v>
      </c>
      <c r="O89" s="131">
        <f>'Suc. Ruiz'!C89</f>
        <v>0</v>
      </c>
      <c r="P89" s="131">
        <f>'Suc. Sanblas'!C89</f>
        <v>0</v>
      </c>
      <c r="Q89" s="131">
        <f>'LALO VARAS'!C89</f>
        <v>0</v>
      </c>
      <c r="R89" s="131">
        <f>'Suc. Santiago 2'!C89</f>
        <v>0</v>
      </c>
      <c r="S89" s="131">
        <f>'Suc. Tecuala'!C89</f>
        <v>0</v>
      </c>
      <c r="T89" s="131">
        <f>'Suc. Tuxpan'!C89</f>
        <v>0</v>
      </c>
      <c r="U89" s="131">
        <f>'Suc. Varas'!C89</f>
        <v>0</v>
      </c>
      <c r="V89" s="131">
        <f>'Suc. Santa María del Oro'!C89</f>
        <v>0</v>
      </c>
      <c r="W89" s="131">
        <f>'Suc. Villa Hidalgo'!C89</f>
        <v>0</v>
      </c>
      <c r="X89" s="131">
        <f>'Suc. Peñita'!C89</f>
        <v>0</v>
      </c>
      <c r="Y89" s="120">
        <f t="shared" si="62"/>
        <v>0</v>
      </c>
      <c r="Z89" s="120">
        <f t="shared" si="63"/>
        <v>0</v>
      </c>
      <c r="AB89" s="131">
        <f>IFERROR(VLOOKUP(A89,'GRAL. SUC. FORANEAS'!$R:$S,2,0),0)</f>
        <v>0</v>
      </c>
      <c r="AD89" s="131">
        <f t="shared" si="10"/>
        <v>0</v>
      </c>
    </row>
    <row r="90" spans="1:30" ht="18" thickBot="1" x14ac:dyDescent="0.4">
      <c r="A90" s="94"/>
      <c r="B90" s="131">
        <f>'Suc. Amado Nervo'!C90</f>
        <v>0</v>
      </c>
      <c r="C90" s="131">
        <f>'Suc. León'!C90</f>
        <v>0</v>
      </c>
      <c r="D90" s="120">
        <f>'San Cayetano'!C90</f>
        <v>0</v>
      </c>
      <c r="E90" s="120">
        <f>'Suc. Boulevard'!C90</f>
        <v>0</v>
      </c>
      <c r="F90" s="120">
        <f>'Suc. Dos de Agosto'!C90</f>
        <v>0</v>
      </c>
      <c r="G90" s="120">
        <f>'Suc. La Nueva Canasta'!C90</f>
        <v>0</v>
      </c>
      <c r="H90" s="120">
        <f>'Suc. Mololoa'!C90</f>
        <v>0</v>
      </c>
      <c r="I90" s="120">
        <f>'Suc. Plaza'!C90</f>
        <v>0</v>
      </c>
      <c r="J90" s="120">
        <f>'Suc. Vistas'!C90</f>
        <v>0</v>
      </c>
      <c r="K90" s="120">
        <f>'Suc. Xalisco'!C90</f>
        <v>0</v>
      </c>
      <c r="L90" s="120">
        <f t="shared" si="61"/>
        <v>0</v>
      </c>
      <c r="M90" s="131">
        <f>'Suc. Acaponeta'!C90</f>
        <v>0</v>
      </c>
      <c r="N90" s="131">
        <f>'Suc. Compostela'!C90</f>
        <v>0</v>
      </c>
      <c r="O90" s="131">
        <f>'Suc. Ruiz'!C90</f>
        <v>0</v>
      </c>
      <c r="P90" s="131">
        <f>'Suc. Sanblas'!C90</f>
        <v>0</v>
      </c>
      <c r="Q90" s="131">
        <f>'LALO VARAS'!C90</f>
        <v>0</v>
      </c>
      <c r="R90" s="131">
        <f>'Suc. Santiago 2'!C90</f>
        <v>0</v>
      </c>
      <c r="S90" s="131">
        <f>'Suc. Tecuala'!C90</f>
        <v>0</v>
      </c>
      <c r="T90" s="131">
        <f>'Suc. Tuxpan'!C90</f>
        <v>0</v>
      </c>
      <c r="U90" s="131">
        <f>'Suc. Varas'!C90</f>
        <v>0</v>
      </c>
      <c r="V90" s="131">
        <f>'Suc. Santa María del Oro'!C90</f>
        <v>0</v>
      </c>
      <c r="W90" s="131">
        <f>'Suc. Villa Hidalgo'!C90</f>
        <v>0</v>
      </c>
      <c r="X90" s="131">
        <f>'Suc. Peñita'!C90</f>
        <v>0</v>
      </c>
      <c r="Y90" s="120">
        <f t="shared" si="62"/>
        <v>0</v>
      </c>
      <c r="Z90" s="120">
        <f t="shared" si="63"/>
        <v>0</v>
      </c>
      <c r="AB90" s="131">
        <f>IFERROR(VLOOKUP(A90,'GRAL. SUC. FORANEAS'!$R:$S,2,0),0)</f>
        <v>0</v>
      </c>
      <c r="AD90" s="131">
        <f t="shared" si="10"/>
        <v>0</v>
      </c>
    </row>
    <row r="91" spans="1:30" ht="18.600000000000001" thickBot="1" x14ac:dyDescent="0.4">
      <c r="A91" s="105" t="s">
        <v>55</v>
      </c>
      <c r="B91" s="127">
        <f>SUM(B81:B90)</f>
        <v>12</v>
      </c>
      <c r="C91" s="127">
        <f t="shared" ref="C91:Y91" si="64">SUM(C81:C90)</f>
        <v>18</v>
      </c>
      <c r="D91" s="127">
        <f t="shared" si="64"/>
        <v>6</v>
      </c>
      <c r="E91" s="127">
        <f t="shared" si="64"/>
        <v>6</v>
      </c>
      <c r="F91" s="127">
        <f t="shared" si="64"/>
        <v>7</v>
      </c>
      <c r="G91" s="127">
        <f t="shared" si="64"/>
        <v>0</v>
      </c>
      <c r="H91" s="127">
        <f t="shared" si="64"/>
        <v>4</v>
      </c>
      <c r="I91" s="127">
        <f t="shared" si="64"/>
        <v>2</v>
      </c>
      <c r="J91" s="127">
        <f t="shared" si="64"/>
        <v>2</v>
      </c>
      <c r="K91" s="127">
        <f t="shared" si="64"/>
        <v>7</v>
      </c>
      <c r="L91" s="127">
        <f t="shared" si="64"/>
        <v>64</v>
      </c>
      <c r="M91" s="127">
        <f t="shared" si="64"/>
        <v>10</v>
      </c>
      <c r="N91" s="127">
        <f t="shared" si="64"/>
        <v>1</v>
      </c>
      <c r="O91" s="127">
        <f t="shared" si="64"/>
        <v>1</v>
      </c>
      <c r="P91" s="127">
        <f t="shared" si="64"/>
        <v>6</v>
      </c>
      <c r="Q91" s="127">
        <f t="shared" si="64"/>
        <v>7</v>
      </c>
      <c r="R91" s="127">
        <f t="shared" si="64"/>
        <v>5</v>
      </c>
      <c r="S91" s="127">
        <f t="shared" si="64"/>
        <v>4</v>
      </c>
      <c r="T91" s="127">
        <f t="shared" si="64"/>
        <v>0</v>
      </c>
      <c r="U91" s="127">
        <f t="shared" ref="U91:W91" si="65">SUM(U81:U90)</f>
        <v>0</v>
      </c>
      <c r="V91" s="127">
        <f t="shared" ref="V91" si="66">SUM(V81:V90)</f>
        <v>0</v>
      </c>
      <c r="W91" s="127">
        <f t="shared" si="65"/>
        <v>4</v>
      </c>
      <c r="X91" s="127">
        <f t="shared" ref="X91" si="67">SUM(X81:X90)</f>
        <v>1</v>
      </c>
      <c r="Y91" s="127">
        <f t="shared" si="64"/>
        <v>39</v>
      </c>
      <c r="Z91" s="127">
        <f t="shared" ref="Z91" si="68">SUM(Z81:Z90)</f>
        <v>103</v>
      </c>
      <c r="AB91" s="127">
        <f t="shared" ref="AB91" si="69">SUM(AB81:AB90)</f>
        <v>51</v>
      </c>
      <c r="AD91" s="127">
        <f t="shared" si="10"/>
        <v>154</v>
      </c>
    </row>
    <row r="92" spans="1:30" ht="17.399999999999999" x14ac:dyDescent="0.35">
      <c r="A92" s="106" t="s">
        <v>64</v>
      </c>
      <c r="B92" s="133"/>
      <c r="C92" s="133"/>
      <c r="D92" s="128"/>
      <c r="E92" s="128"/>
      <c r="F92" s="128"/>
      <c r="G92" s="128"/>
      <c r="H92" s="128"/>
      <c r="I92" s="128"/>
      <c r="J92" s="128"/>
      <c r="K92" s="128"/>
      <c r="L92" s="128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28"/>
      <c r="Z92" s="128"/>
      <c r="AB92" s="133"/>
      <c r="AD92" s="133">
        <f t="shared" si="10"/>
        <v>0</v>
      </c>
    </row>
    <row r="93" spans="1:30" ht="17.399999999999999" x14ac:dyDescent="0.35">
      <c r="A93" s="94" t="s">
        <v>65</v>
      </c>
      <c r="B93" s="131">
        <f>'Suc. Amado Nervo'!C93</f>
        <v>3</v>
      </c>
      <c r="C93" s="131">
        <f>'Suc. León'!C93</f>
        <v>3</v>
      </c>
      <c r="D93" s="120">
        <f>'San Cayetano'!C93</f>
        <v>1</v>
      </c>
      <c r="E93" s="120">
        <f>'Suc. Boulevard'!C93</f>
        <v>1</v>
      </c>
      <c r="F93" s="120">
        <f>'Suc. Dos de Agosto'!C93</f>
        <v>2</v>
      </c>
      <c r="G93" s="120">
        <f>'Suc. La Nueva Canasta'!C93</f>
        <v>0</v>
      </c>
      <c r="H93" s="120">
        <f>'Suc. Mololoa'!C93</f>
        <v>1</v>
      </c>
      <c r="I93" s="120">
        <f>'Suc. Plaza'!C93</f>
        <v>1</v>
      </c>
      <c r="J93" s="120">
        <f>'Suc. Vistas'!C93</f>
        <v>2</v>
      </c>
      <c r="K93" s="120">
        <f>'Suc. Xalisco'!C93</f>
        <v>2</v>
      </c>
      <c r="L93" s="120">
        <f t="shared" ref="L93:L104" si="70">SUM(B93:K93)</f>
        <v>16</v>
      </c>
      <c r="M93" s="131">
        <f>'Suc. Acaponeta'!C93</f>
        <v>2</v>
      </c>
      <c r="N93" s="131">
        <f>'Suc. Compostela'!C93</f>
        <v>1</v>
      </c>
      <c r="O93" s="131">
        <f>'Suc. Ruiz'!C93</f>
        <v>0</v>
      </c>
      <c r="P93" s="131">
        <f>'Suc. Sanblas'!C93</f>
        <v>0</v>
      </c>
      <c r="Q93" s="131">
        <f>'LALO VARAS'!C93</f>
        <v>0</v>
      </c>
      <c r="R93" s="131">
        <f>'Suc. Santiago 2'!C93</f>
        <v>1</v>
      </c>
      <c r="S93" s="131">
        <f>'Suc. Tecuala'!C93</f>
        <v>0</v>
      </c>
      <c r="T93" s="131">
        <f>'Suc. Tuxpan'!C93</f>
        <v>0</v>
      </c>
      <c r="U93" s="131">
        <f>'Suc. Varas'!C93</f>
        <v>0</v>
      </c>
      <c r="V93" s="131">
        <f>'Suc. Santa María del Oro'!C93</f>
        <v>1</v>
      </c>
      <c r="W93" s="131">
        <f>'Suc. Villa Hidalgo'!C93</f>
        <v>0</v>
      </c>
      <c r="X93" s="131">
        <f>'Suc. Peñita'!C93</f>
        <v>0</v>
      </c>
      <c r="Y93" s="120">
        <f t="shared" ref="Y93:Y104" si="71">SUM(M93:X93)</f>
        <v>5</v>
      </c>
      <c r="Z93" s="120">
        <f t="shared" ref="Z93:Z104" si="72">L93+Y93</f>
        <v>21</v>
      </c>
      <c r="AB93" s="131">
        <f>IFERROR(VLOOKUP(A93,'GRAL. SUC. FORANEAS'!$R:$S,2,0),0)</f>
        <v>13</v>
      </c>
      <c r="AD93" s="131">
        <f t="shared" si="10"/>
        <v>34</v>
      </c>
    </row>
    <row r="94" spans="1:30" ht="17.399999999999999" x14ac:dyDescent="0.35">
      <c r="A94" s="94" t="s">
        <v>66</v>
      </c>
      <c r="B94" s="131">
        <f>'Suc. Amado Nervo'!C94</f>
        <v>2</v>
      </c>
      <c r="C94" s="131">
        <f>'Suc. León'!C94</f>
        <v>3</v>
      </c>
      <c r="D94" s="120">
        <f>'San Cayetano'!C94</f>
        <v>1</v>
      </c>
      <c r="E94" s="120">
        <f>'Suc. Boulevard'!C94</f>
        <v>2</v>
      </c>
      <c r="F94" s="120">
        <f>'Suc. Dos de Agosto'!C94</f>
        <v>2</v>
      </c>
      <c r="G94" s="120">
        <f>'Suc. La Nueva Canasta'!C94</f>
        <v>0</v>
      </c>
      <c r="H94" s="120">
        <f>'Suc. Mololoa'!C94</f>
        <v>1</v>
      </c>
      <c r="I94" s="120">
        <f>'Suc. Plaza'!C94</f>
        <v>1</v>
      </c>
      <c r="J94" s="120">
        <f>'Suc. Vistas'!C94</f>
        <v>2</v>
      </c>
      <c r="K94" s="120">
        <f>'Suc. Xalisco'!C94</f>
        <v>0</v>
      </c>
      <c r="L94" s="120">
        <f t="shared" ref="L94:L103" si="73">SUM(B94:K94)</f>
        <v>14</v>
      </c>
      <c r="M94" s="131">
        <f>'Suc. Acaponeta'!C94</f>
        <v>2</v>
      </c>
      <c r="N94" s="131">
        <f>'Suc. Compostela'!C94</f>
        <v>1</v>
      </c>
      <c r="O94" s="131">
        <f>'Suc. Ruiz'!C94</f>
        <v>0</v>
      </c>
      <c r="P94" s="131">
        <f>'Suc. Sanblas'!C94</f>
        <v>0</v>
      </c>
      <c r="Q94" s="131">
        <f>'LALO VARAS'!C94</f>
        <v>0</v>
      </c>
      <c r="R94" s="131">
        <f>'Suc. Santiago 2'!C94</f>
        <v>1</v>
      </c>
      <c r="S94" s="131">
        <f>'Suc. Tecuala'!C94</f>
        <v>0</v>
      </c>
      <c r="T94" s="131">
        <f>'Suc. Tuxpan'!C94</f>
        <v>0</v>
      </c>
      <c r="U94" s="131">
        <f>'Suc. Varas'!C94</f>
        <v>1</v>
      </c>
      <c r="V94" s="131">
        <f>'Suc. Santa María del Oro'!C94</f>
        <v>0</v>
      </c>
      <c r="W94" s="131">
        <f>'Suc. Villa Hidalgo'!C94</f>
        <v>0</v>
      </c>
      <c r="X94" s="131">
        <f>'Suc. Peñita'!C94</f>
        <v>1</v>
      </c>
      <c r="Y94" s="120">
        <f t="shared" ref="Y94:Y103" si="74">SUM(M94:X94)</f>
        <v>6</v>
      </c>
      <c r="Z94" s="120">
        <f t="shared" ref="Z94:Z103" si="75">L94+Y94</f>
        <v>20</v>
      </c>
      <c r="AB94" s="131">
        <f>IFERROR(VLOOKUP(A94,'GRAL. SUC. FORANEAS'!$R:$S,2,0),0)</f>
        <v>14</v>
      </c>
      <c r="AD94" s="131">
        <f t="shared" si="10"/>
        <v>34</v>
      </c>
    </row>
    <row r="95" spans="1:30" ht="17.399999999999999" x14ac:dyDescent="0.35">
      <c r="A95" s="94" t="s">
        <v>68</v>
      </c>
      <c r="B95" s="131">
        <f>'Suc. Amado Nervo'!C95</f>
        <v>2</v>
      </c>
      <c r="C95" s="131">
        <f>'Suc. León'!C95</f>
        <v>2</v>
      </c>
      <c r="D95" s="120">
        <f>'San Cayetano'!C95</f>
        <v>1</v>
      </c>
      <c r="E95" s="120">
        <f>'Suc. Boulevard'!C95</f>
        <v>0</v>
      </c>
      <c r="F95" s="120">
        <f>'Suc. Dos de Agosto'!C95</f>
        <v>1</v>
      </c>
      <c r="G95" s="120">
        <f>'Suc. La Nueva Canasta'!C95</f>
        <v>0</v>
      </c>
      <c r="H95" s="120">
        <f>'Suc. Mololoa'!C95</f>
        <v>1</v>
      </c>
      <c r="I95" s="120">
        <f>'Suc. Plaza'!C95</f>
        <v>1</v>
      </c>
      <c r="J95" s="120">
        <f>'Suc. Vistas'!C95</f>
        <v>2</v>
      </c>
      <c r="K95" s="120">
        <f>'Suc. Xalisco'!C95</f>
        <v>0</v>
      </c>
      <c r="L95" s="120">
        <f t="shared" si="73"/>
        <v>10</v>
      </c>
      <c r="M95" s="131">
        <f>'Suc. Acaponeta'!C95</f>
        <v>0</v>
      </c>
      <c r="N95" s="131">
        <f>'Suc. Compostela'!C95</f>
        <v>0</v>
      </c>
      <c r="O95" s="131">
        <f>'Suc. Ruiz'!C95</f>
        <v>0</v>
      </c>
      <c r="P95" s="131">
        <f>'Suc. Sanblas'!C95</f>
        <v>0</v>
      </c>
      <c r="Q95" s="131">
        <f>'LALO VARAS'!C95</f>
        <v>2</v>
      </c>
      <c r="R95" s="131">
        <f>'Suc. Santiago 2'!C95</f>
        <v>1</v>
      </c>
      <c r="S95" s="131">
        <f>'Suc. Tecuala'!C95</f>
        <v>0</v>
      </c>
      <c r="T95" s="131">
        <f>'Suc. Tuxpan'!C95</f>
        <v>1</v>
      </c>
      <c r="U95" s="131">
        <f>'Suc. Varas'!C95</f>
        <v>0</v>
      </c>
      <c r="V95" s="131">
        <f>'Suc. Santa María del Oro'!C95</f>
        <v>0</v>
      </c>
      <c r="W95" s="131">
        <f>'Suc. Villa Hidalgo'!C95</f>
        <v>0</v>
      </c>
      <c r="X95" s="131">
        <f>'Suc. Peñita'!C95</f>
        <v>1</v>
      </c>
      <c r="Y95" s="120">
        <f t="shared" si="74"/>
        <v>5</v>
      </c>
      <c r="Z95" s="120">
        <f t="shared" si="75"/>
        <v>15</v>
      </c>
      <c r="AB95" s="131">
        <f>IFERROR(VLOOKUP(A95,'GRAL. SUC. FORANEAS'!$R:$S,2,0),0)</f>
        <v>16</v>
      </c>
      <c r="AD95" s="131">
        <f t="shared" ref="AD95:AD104" si="76">AB95+Z95</f>
        <v>31</v>
      </c>
    </row>
    <row r="96" spans="1:30" ht="17.399999999999999" x14ac:dyDescent="0.35">
      <c r="A96" s="94" t="s">
        <v>69</v>
      </c>
      <c r="B96" s="131">
        <f>'Suc. Amado Nervo'!C96</f>
        <v>8</v>
      </c>
      <c r="C96" s="131">
        <f>'Suc. León'!C96</f>
        <v>10</v>
      </c>
      <c r="D96" s="120">
        <f>'San Cayetano'!C96</f>
        <v>5</v>
      </c>
      <c r="E96" s="120">
        <f>'Suc. Boulevard'!C96</f>
        <v>4</v>
      </c>
      <c r="F96" s="120">
        <f>'Suc. Dos de Agosto'!C96</f>
        <v>0</v>
      </c>
      <c r="G96" s="120">
        <f>'Suc. La Nueva Canasta'!C96</f>
        <v>0</v>
      </c>
      <c r="H96" s="120">
        <f>'Suc. Mololoa'!C96</f>
        <v>5</v>
      </c>
      <c r="I96" s="120">
        <f>'Suc. Plaza'!C96</f>
        <v>7</v>
      </c>
      <c r="J96" s="120">
        <f>'Suc. Vistas'!C96</f>
        <v>6</v>
      </c>
      <c r="K96" s="120">
        <f>'Suc. Xalisco'!C96</f>
        <v>3</v>
      </c>
      <c r="L96" s="120">
        <f t="shared" si="73"/>
        <v>48</v>
      </c>
      <c r="M96" s="131">
        <f>'Suc. Acaponeta'!C96</f>
        <v>7</v>
      </c>
      <c r="N96" s="131">
        <f>'Suc. Compostela'!C96</f>
        <v>7</v>
      </c>
      <c r="O96" s="131">
        <f>'Suc. Ruiz'!C96</f>
        <v>5</v>
      </c>
      <c r="P96" s="131">
        <f>'Suc. Sanblas'!C96</f>
        <v>8</v>
      </c>
      <c r="Q96" s="131">
        <f>'LALO VARAS'!C96</f>
        <v>6</v>
      </c>
      <c r="R96" s="131">
        <f>'Suc. Santiago 2'!C96</f>
        <v>10</v>
      </c>
      <c r="S96" s="131">
        <f>'Suc. Tecuala'!C96</f>
        <v>4</v>
      </c>
      <c r="T96" s="131">
        <f>'Suc. Tuxpan'!C96</f>
        <v>5</v>
      </c>
      <c r="U96" s="131">
        <f>'Suc. Varas'!C96</f>
        <v>0</v>
      </c>
      <c r="V96" s="131">
        <f>'Suc. Santa María del Oro'!C96</f>
        <v>8</v>
      </c>
      <c r="W96" s="131">
        <f>'Suc. Villa Hidalgo'!C96</f>
        <v>3</v>
      </c>
      <c r="X96" s="131">
        <f>'Suc. Peñita'!C96</f>
        <v>0</v>
      </c>
      <c r="Y96" s="120">
        <f t="shared" si="74"/>
        <v>63</v>
      </c>
      <c r="Z96" s="120">
        <f t="shared" si="75"/>
        <v>111</v>
      </c>
      <c r="AB96" s="131">
        <f>IFERROR(VLOOKUP(A96,'GRAL. SUC. FORANEAS'!$R:$S,2,0),0)</f>
        <v>48</v>
      </c>
      <c r="AD96" s="131">
        <f t="shared" si="76"/>
        <v>159</v>
      </c>
    </row>
    <row r="97" spans="1:30" ht="17.399999999999999" x14ac:dyDescent="0.35">
      <c r="A97" s="94" t="s">
        <v>70</v>
      </c>
      <c r="B97" s="131">
        <f>'Suc. Amado Nervo'!C97</f>
        <v>6</v>
      </c>
      <c r="C97" s="131">
        <f>'Suc. León'!C97</f>
        <v>5</v>
      </c>
      <c r="D97" s="120">
        <f>'San Cayetano'!C97</f>
        <v>3</v>
      </c>
      <c r="E97" s="120">
        <f>'Suc. Boulevard'!C97</f>
        <v>4</v>
      </c>
      <c r="F97" s="120">
        <f>'Suc. Dos de Agosto'!C97</f>
        <v>2</v>
      </c>
      <c r="G97" s="120">
        <f>'Suc. La Nueva Canasta'!C97</f>
        <v>0</v>
      </c>
      <c r="H97" s="120">
        <f>'Suc. Mololoa'!C97</f>
        <v>1</v>
      </c>
      <c r="I97" s="120">
        <f>'Suc. Plaza'!C97</f>
        <v>5</v>
      </c>
      <c r="J97" s="120">
        <f>'Suc. Vistas'!C97</f>
        <v>6</v>
      </c>
      <c r="K97" s="120">
        <f>'Suc. Xalisco'!C97</f>
        <v>1</v>
      </c>
      <c r="L97" s="120">
        <f t="shared" si="73"/>
        <v>33</v>
      </c>
      <c r="M97" s="131">
        <f>'Suc. Acaponeta'!C97</f>
        <v>6</v>
      </c>
      <c r="N97" s="131">
        <f>'Suc. Compostela'!C97</f>
        <v>2</v>
      </c>
      <c r="O97" s="131">
        <f>'Suc. Ruiz'!C97</f>
        <v>5</v>
      </c>
      <c r="P97" s="131">
        <f>'Suc. Sanblas'!C97</f>
        <v>8</v>
      </c>
      <c r="Q97" s="131">
        <f>'LALO VARAS'!C97</f>
        <v>0</v>
      </c>
      <c r="R97" s="131">
        <f>'Suc. Santiago 2'!C97</f>
        <v>7</v>
      </c>
      <c r="S97" s="131">
        <f>'Suc. Tecuala'!C97</f>
        <v>5</v>
      </c>
      <c r="T97" s="131">
        <f>'Suc. Tuxpan'!C97</f>
        <v>0</v>
      </c>
      <c r="U97" s="131">
        <f>'Suc. Varas'!C97</f>
        <v>0</v>
      </c>
      <c r="V97" s="131">
        <f>'Suc. Santa María del Oro'!C97</f>
        <v>4</v>
      </c>
      <c r="W97" s="131">
        <f>'Suc. Villa Hidalgo'!C97</f>
        <v>4</v>
      </c>
      <c r="X97" s="131">
        <f>'Suc. Peñita'!C97</f>
        <v>2</v>
      </c>
      <c r="Y97" s="120">
        <f t="shared" si="74"/>
        <v>43</v>
      </c>
      <c r="Z97" s="120">
        <f t="shared" si="75"/>
        <v>76</v>
      </c>
      <c r="AB97" s="131">
        <f>IFERROR(VLOOKUP(A97,'GRAL. SUC. FORANEAS'!$R:$S,2,0),0)</f>
        <v>26</v>
      </c>
      <c r="AD97" s="131">
        <f t="shared" si="76"/>
        <v>102</v>
      </c>
    </row>
    <row r="98" spans="1:30" ht="17.399999999999999" x14ac:dyDescent="0.35">
      <c r="A98" s="94" t="s">
        <v>857</v>
      </c>
      <c r="B98" s="131">
        <f>'Suc. Amado Nervo'!C98</f>
        <v>7</v>
      </c>
      <c r="C98" s="131">
        <f>'Suc. León'!C98</f>
        <v>10</v>
      </c>
      <c r="D98" s="120">
        <f>'San Cayetano'!C98</f>
        <v>4</v>
      </c>
      <c r="E98" s="120">
        <f>'Suc. Boulevard'!C98</f>
        <v>1</v>
      </c>
      <c r="F98" s="120">
        <f>'Suc. Dos de Agosto'!C98</f>
        <v>6</v>
      </c>
      <c r="G98" s="120">
        <f>'Suc. La Nueva Canasta'!C98</f>
        <v>0</v>
      </c>
      <c r="H98" s="120">
        <f>'Suc. Mololoa'!C98</f>
        <v>4</v>
      </c>
      <c r="I98" s="120">
        <f>'Suc. Plaza'!C98</f>
        <v>5</v>
      </c>
      <c r="J98" s="120">
        <f>'Suc. Vistas'!C98</f>
        <v>3</v>
      </c>
      <c r="K98" s="120">
        <f>'Suc. Xalisco'!C98</f>
        <v>5</v>
      </c>
      <c r="L98" s="120">
        <f t="shared" si="73"/>
        <v>45</v>
      </c>
      <c r="M98" s="131">
        <f>'Suc. Acaponeta'!C98</f>
        <v>0</v>
      </c>
      <c r="N98" s="131">
        <f>'Suc. Compostela'!C98</f>
        <v>1</v>
      </c>
      <c r="O98" s="131">
        <f>'Suc. Ruiz'!C98</f>
        <v>4</v>
      </c>
      <c r="P98" s="131">
        <f>'Suc. Sanblas'!C98</f>
        <v>5</v>
      </c>
      <c r="Q98" s="131">
        <f>'LALO VARAS'!C98</f>
        <v>5</v>
      </c>
      <c r="R98" s="131">
        <f>'Suc. Santiago 2'!C98</f>
        <v>10</v>
      </c>
      <c r="S98" s="131">
        <f>'Suc. Tecuala'!C98</f>
        <v>2</v>
      </c>
      <c r="T98" s="131">
        <f>'Suc. Tuxpan'!C98</f>
        <v>0</v>
      </c>
      <c r="U98" s="131">
        <f>'Suc. Varas'!C98</f>
        <v>0</v>
      </c>
      <c r="V98" s="131">
        <f>'Suc. Santa María del Oro'!C98</f>
        <v>7</v>
      </c>
      <c r="W98" s="131">
        <f>'Suc. Villa Hidalgo'!C98</f>
        <v>8</v>
      </c>
      <c r="X98" s="131">
        <f>'Suc. Peñita'!C98</f>
        <v>8</v>
      </c>
      <c r="Y98" s="120">
        <f t="shared" si="74"/>
        <v>50</v>
      </c>
      <c r="Z98" s="120">
        <f t="shared" si="75"/>
        <v>95</v>
      </c>
      <c r="AB98" s="131">
        <f>IFERROR(VLOOKUP(A98,'GRAL. SUC. FORANEAS'!$R:$S,2,0),0)</f>
        <v>30</v>
      </c>
      <c r="AD98" s="131">
        <f t="shared" si="76"/>
        <v>125</v>
      </c>
    </row>
    <row r="99" spans="1:30" ht="17.399999999999999" x14ac:dyDescent="0.35">
      <c r="A99" s="94" t="s">
        <v>835</v>
      </c>
      <c r="B99" s="131">
        <f>'Suc. Amado Nervo'!C99</f>
        <v>3</v>
      </c>
      <c r="C99" s="131">
        <f>'Suc. León'!C99</f>
        <v>3</v>
      </c>
      <c r="D99" s="120">
        <f>'San Cayetano'!C99</f>
        <v>2</v>
      </c>
      <c r="E99" s="120">
        <f>'Suc. Boulevard'!C99</f>
        <v>2</v>
      </c>
      <c r="F99" s="120">
        <f>'Suc. Dos de Agosto'!C99</f>
        <v>1</v>
      </c>
      <c r="G99" s="120">
        <f>'Suc. La Nueva Canasta'!C99</f>
        <v>0</v>
      </c>
      <c r="H99" s="120">
        <f>'Suc. Mololoa'!C99</f>
        <v>1</v>
      </c>
      <c r="I99" s="120">
        <f>'Suc. Plaza'!C99</f>
        <v>2</v>
      </c>
      <c r="J99" s="120">
        <f>'Suc. Vistas'!C99</f>
        <v>3</v>
      </c>
      <c r="K99" s="120">
        <f>'Suc. Xalisco'!C99</f>
        <v>2</v>
      </c>
      <c r="L99" s="120">
        <f t="shared" si="73"/>
        <v>19</v>
      </c>
      <c r="M99" s="131">
        <f>'Suc. Acaponeta'!C99</f>
        <v>3</v>
      </c>
      <c r="N99" s="131">
        <f>'Suc. Compostela'!C99</f>
        <v>0</v>
      </c>
      <c r="O99" s="131">
        <f>'Suc. Ruiz'!C99</f>
        <v>2</v>
      </c>
      <c r="P99" s="131">
        <f>'Suc. Sanblas'!C99</f>
        <v>0</v>
      </c>
      <c r="Q99" s="131">
        <f>'LALO VARAS'!C99</f>
        <v>3</v>
      </c>
      <c r="R99" s="131">
        <f>'Suc. Santiago 2'!C99</f>
        <v>2</v>
      </c>
      <c r="S99" s="131">
        <f>'Suc. Tecuala'!C99</f>
        <v>0</v>
      </c>
      <c r="T99" s="131">
        <f>'Suc. Tuxpan'!C99</f>
        <v>2</v>
      </c>
      <c r="U99" s="131">
        <f>'Suc. Varas'!C99</f>
        <v>0</v>
      </c>
      <c r="V99" s="131">
        <f>'Suc. Santa María del Oro'!C99</f>
        <v>3</v>
      </c>
      <c r="W99" s="131">
        <f>'Suc. Villa Hidalgo'!C99</f>
        <v>2</v>
      </c>
      <c r="X99" s="131">
        <f>'Suc. Peñita'!C99</f>
        <v>0</v>
      </c>
      <c r="Y99" s="120">
        <f t="shared" si="74"/>
        <v>17</v>
      </c>
      <c r="Z99" s="120">
        <f t="shared" si="75"/>
        <v>36</v>
      </c>
      <c r="AB99" s="131">
        <f>IFERROR(VLOOKUP(A99,'GRAL. SUC. FORANEAS'!$R:$S,2,0),0)</f>
        <v>19</v>
      </c>
      <c r="AD99" s="131">
        <f t="shared" si="76"/>
        <v>55</v>
      </c>
    </row>
    <row r="100" spans="1:30" ht="17.399999999999999" x14ac:dyDescent="0.35">
      <c r="A100" s="94" t="s">
        <v>72</v>
      </c>
      <c r="B100" s="131">
        <f>'Suc. Amado Nervo'!C100</f>
        <v>32</v>
      </c>
      <c r="C100" s="131">
        <f>'Suc. León'!C100</f>
        <v>28</v>
      </c>
      <c r="D100" s="120">
        <f>'San Cayetano'!C100</f>
        <v>13</v>
      </c>
      <c r="E100" s="120">
        <f>'Suc. Boulevard'!C100</f>
        <v>11</v>
      </c>
      <c r="F100" s="120">
        <f>'Suc. Dos de Agosto'!C100</f>
        <v>14</v>
      </c>
      <c r="G100" s="120">
        <f>'Suc. La Nueva Canasta'!C100</f>
        <v>0</v>
      </c>
      <c r="H100" s="120">
        <f>'Suc. Mololoa'!C100</f>
        <v>3</v>
      </c>
      <c r="I100" s="120">
        <f>'Suc. Plaza'!C100</f>
        <v>7</v>
      </c>
      <c r="J100" s="120">
        <f>'Suc. Vistas'!C100</f>
        <v>7</v>
      </c>
      <c r="K100" s="120">
        <f>'Suc. Xalisco'!C100</f>
        <v>16</v>
      </c>
      <c r="L100" s="120">
        <f t="shared" si="73"/>
        <v>131</v>
      </c>
      <c r="M100" s="131">
        <f>'Suc. Acaponeta'!C100</f>
        <v>21</v>
      </c>
      <c r="N100" s="131">
        <f>'Suc. Compostela'!C100</f>
        <v>19</v>
      </c>
      <c r="O100" s="131">
        <f>'Suc. Ruiz'!C100</f>
        <v>21</v>
      </c>
      <c r="P100" s="131">
        <f>'Suc. Sanblas'!C100</f>
        <v>20</v>
      </c>
      <c r="Q100" s="131">
        <f>'LALO VARAS'!C100</f>
        <v>31</v>
      </c>
      <c r="R100" s="131">
        <f>'Suc. Santiago 2'!C100</f>
        <v>27</v>
      </c>
      <c r="S100" s="131">
        <f>'Suc. Tecuala'!C100</f>
        <v>24</v>
      </c>
      <c r="T100" s="131">
        <f>'Suc. Tuxpan'!C100</f>
        <v>11</v>
      </c>
      <c r="U100" s="131">
        <f>'Suc. Varas'!C100</f>
        <v>0</v>
      </c>
      <c r="V100" s="131">
        <f>'Suc. Santa María del Oro'!C100</f>
        <v>25</v>
      </c>
      <c r="W100" s="131">
        <f>'Suc. Villa Hidalgo'!C100</f>
        <v>25</v>
      </c>
      <c r="X100" s="131">
        <f>'Suc. Peñita'!C100</f>
        <v>16</v>
      </c>
      <c r="Y100" s="120">
        <f t="shared" si="74"/>
        <v>240</v>
      </c>
      <c r="Z100" s="120">
        <f t="shared" si="75"/>
        <v>371</v>
      </c>
      <c r="AB100" s="131">
        <f>IFERROR(VLOOKUP(A100,'GRAL. SUC. FORANEAS'!$R:$S,2,0),0)</f>
        <v>309</v>
      </c>
      <c r="AD100" s="131">
        <f t="shared" si="76"/>
        <v>680</v>
      </c>
    </row>
    <row r="101" spans="1:30" ht="17.399999999999999" x14ac:dyDescent="0.35">
      <c r="A101" s="94" t="s">
        <v>73</v>
      </c>
      <c r="B101" s="131">
        <f>'Suc. Amado Nervo'!C101</f>
        <v>3</v>
      </c>
      <c r="C101" s="131">
        <f>'Suc. León'!C101</f>
        <v>2</v>
      </c>
      <c r="D101" s="120">
        <f>'San Cayetano'!C101</f>
        <v>1</v>
      </c>
      <c r="E101" s="120">
        <f>'Suc. Boulevard'!C101</f>
        <v>1</v>
      </c>
      <c r="F101" s="120">
        <f>'Suc. Dos de Agosto'!C101</f>
        <v>1</v>
      </c>
      <c r="G101" s="120">
        <f>'Suc. La Nueva Canasta'!C101</f>
        <v>0</v>
      </c>
      <c r="H101" s="120">
        <f>'Suc. Mololoa'!C101</f>
        <v>1</v>
      </c>
      <c r="I101" s="120">
        <f>'Suc. Plaza'!C101</f>
        <v>1</v>
      </c>
      <c r="J101" s="120">
        <f>'Suc. Vistas'!C101</f>
        <v>2</v>
      </c>
      <c r="K101" s="120">
        <f>'Suc. Xalisco'!C101</f>
        <v>0</v>
      </c>
      <c r="L101" s="120">
        <f t="shared" si="73"/>
        <v>12</v>
      </c>
      <c r="M101" s="131">
        <f>'Suc. Acaponeta'!C101</f>
        <v>1</v>
      </c>
      <c r="N101" s="131">
        <f>'Suc. Compostela'!C101</f>
        <v>0</v>
      </c>
      <c r="O101" s="131">
        <f>'Suc. Ruiz'!C101</f>
        <v>0</v>
      </c>
      <c r="P101" s="131">
        <f>'Suc. Sanblas'!C101</f>
        <v>0</v>
      </c>
      <c r="Q101" s="131">
        <f>'LALO VARAS'!C101</f>
        <v>0</v>
      </c>
      <c r="R101" s="131">
        <f>'Suc. Santiago 2'!C101</f>
        <v>1</v>
      </c>
      <c r="S101" s="131">
        <f>'Suc. Tecuala'!C101</f>
        <v>0</v>
      </c>
      <c r="T101" s="131">
        <f>'Suc. Tuxpan'!C101</f>
        <v>0</v>
      </c>
      <c r="U101" s="131">
        <f>'Suc. Varas'!C101</f>
        <v>0</v>
      </c>
      <c r="V101" s="131">
        <f>'Suc. Santa María del Oro'!C101</f>
        <v>3</v>
      </c>
      <c r="W101" s="131">
        <f>'Suc. Villa Hidalgo'!C101</f>
        <v>1</v>
      </c>
      <c r="X101" s="131">
        <f>'Suc. Peñita'!C101</f>
        <v>0</v>
      </c>
      <c r="Y101" s="120">
        <f t="shared" si="74"/>
        <v>6</v>
      </c>
      <c r="Z101" s="120">
        <f t="shared" si="75"/>
        <v>18</v>
      </c>
      <c r="AB101" s="131">
        <f>IFERROR(VLOOKUP(A101,'GRAL. SUC. FORANEAS'!$R:$S,2,0),0)</f>
        <v>17</v>
      </c>
      <c r="AD101" s="131">
        <f t="shared" si="76"/>
        <v>35</v>
      </c>
    </row>
    <row r="102" spans="1:30" ht="17.399999999999999" x14ac:dyDescent="0.35">
      <c r="A102" s="94" t="s">
        <v>74</v>
      </c>
      <c r="B102" s="131">
        <f>'Suc. Amado Nervo'!C102</f>
        <v>2</v>
      </c>
      <c r="C102" s="131">
        <f>'Suc. León'!C102</f>
        <v>3</v>
      </c>
      <c r="D102" s="120">
        <f>'San Cayetano'!C102</f>
        <v>1</v>
      </c>
      <c r="E102" s="120">
        <f>'Suc. Boulevard'!C102</f>
        <v>1</v>
      </c>
      <c r="F102" s="120">
        <f>'Suc. Dos de Agosto'!C102</f>
        <v>1</v>
      </c>
      <c r="G102" s="120">
        <f>'Suc. La Nueva Canasta'!C102</f>
        <v>0</v>
      </c>
      <c r="H102" s="120">
        <f>'Suc. Mololoa'!C102</f>
        <v>2</v>
      </c>
      <c r="I102" s="120">
        <f>'Suc. Plaza'!C102</f>
        <v>1</v>
      </c>
      <c r="J102" s="120">
        <f>'Suc. Vistas'!C102</f>
        <v>2</v>
      </c>
      <c r="K102" s="120">
        <f>'Suc. Xalisco'!C102</f>
        <v>3</v>
      </c>
      <c r="L102" s="120">
        <f t="shared" si="73"/>
        <v>16</v>
      </c>
      <c r="M102" s="131">
        <f>'Suc. Acaponeta'!C102</f>
        <v>2</v>
      </c>
      <c r="N102" s="131">
        <f>'Suc. Compostela'!C102</f>
        <v>1</v>
      </c>
      <c r="O102" s="131">
        <f>'Suc. Ruiz'!C102</f>
        <v>0</v>
      </c>
      <c r="P102" s="131">
        <f>'Suc. Sanblas'!C102</f>
        <v>1</v>
      </c>
      <c r="Q102" s="131">
        <f>'LALO VARAS'!C102</f>
        <v>1</v>
      </c>
      <c r="R102" s="131">
        <f>'Suc. Santiago 2'!C102</f>
        <v>3</v>
      </c>
      <c r="S102" s="131">
        <f>'Suc. Tecuala'!C102</f>
        <v>0</v>
      </c>
      <c r="T102" s="131">
        <f>'Suc. Tuxpan'!C102</f>
        <v>2</v>
      </c>
      <c r="U102" s="131">
        <f>'Suc. Varas'!C102</f>
        <v>0</v>
      </c>
      <c r="V102" s="131">
        <f>'Suc. Santa María del Oro'!C102</f>
        <v>0</v>
      </c>
      <c r="W102" s="131">
        <f>'Suc. Villa Hidalgo'!C102</f>
        <v>1</v>
      </c>
      <c r="X102" s="131">
        <f>'Suc. Peñita'!C102</f>
        <v>1</v>
      </c>
      <c r="Y102" s="120">
        <f t="shared" si="74"/>
        <v>12</v>
      </c>
      <c r="Z102" s="120">
        <f t="shared" si="75"/>
        <v>28</v>
      </c>
      <c r="AB102" s="131">
        <f>IFERROR(VLOOKUP(A102,'GRAL. SUC. FORANEAS'!$R:$S,2,0),0)</f>
        <v>18</v>
      </c>
      <c r="AD102" s="131">
        <f t="shared" si="76"/>
        <v>46</v>
      </c>
    </row>
    <row r="103" spans="1:30" ht="17.399999999999999" x14ac:dyDescent="0.35">
      <c r="A103" s="94" t="s">
        <v>75</v>
      </c>
      <c r="B103" s="131">
        <f>'Suc. Amado Nervo'!C103</f>
        <v>3</v>
      </c>
      <c r="C103" s="131">
        <f>'Suc. León'!C103</f>
        <v>1</v>
      </c>
      <c r="D103" s="120">
        <f>'San Cayetano'!C103</f>
        <v>2</v>
      </c>
      <c r="E103" s="120">
        <f>'Suc. Boulevard'!C103</f>
        <v>1</v>
      </c>
      <c r="F103" s="120">
        <f>'Suc. Dos de Agosto'!C103</f>
        <v>1</v>
      </c>
      <c r="G103" s="120">
        <f>'Suc. La Nueva Canasta'!C103</f>
        <v>0</v>
      </c>
      <c r="H103" s="120">
        <f>'Suc. Mololoa'!C103</f>
        <v>2</v>
      </c>
      <c r="I103" s="120">
        <f>'Suc. Plaza'!C103</f>
        <v>0</v>
      </c>
      <c r="J103" s="120">
        <f>'Suc. Vistas'!C103</f>
        <v>2</v>
      </c>
      <c r="K103" s="120">
        <f>'Suc. Xalisco'!C103</f>
        <v>1</v>
      </c>
      <c r="L103" s="120">
        <f t="shared" si="73"/>
        <v>13</v>
      </c>
      <c r="M103" s="131">
        <f>'Suc. Acaponeta'!C103</f>
        <v>2</v>
      </c>
      <c r="N103" s="131">
        <f>'Suc. Compostela'!C103</f>
        <v>0</v>
      </c>
      <c r="O103" s="131">
        <f>'Suc. Ruiz'!C103</f>
        <v>0</v>
      </c>
      <c r="P103" s="131">
        <f>'Suc. Sanblas'!C103</f>
        <v>2</v>
      </c>
      <c r="Q103" s="131">
        <f>'LALO VARAS'!C103</f>
        <v>1</v>
      </c>
      <c r="R103" s="131">
        <f>'Suc. Santiago 2'!C103</f>
        <v>3</v>
      </c>
      <c r="S103" s="131">
        <f>'Suc. Tecuala'!C103</f>
        <v>2</v>
      </c>
      <c r="T103" s="131">
        <f>'Suc. Tuxpan'!C103</f>
        <v>0</v>
      </c>
      <c r="U103" s="131">
        <f>'Suc. Varas'!C103</f>
        <v>2</v>
      </c>
      <c r="V103" s="131">
        <f>'Suc. Santa María del Oro'!C103</f>
        <v>1</v>
      </c>
      <c r="W103" s="131">
        <f>'Suc. Villa Hidalgo'!C103</f>
        <v>2</v>
      </c>
      <c r="X103" s="131">
        <f>'Suc. Peñita'!C103</f>
        <v>0</v>
      </c>
      <c r="Y103" s="120">
        <f t="shared" si="74"/>
        <v>15</v>
      </c>
      <c r="Z103" s="120">
        <f t="shared" si="75"/>
        <v>28</v>
      </c>
      <c r="AB103" s="131">
        <f>IFERROR(VLOOKUP(A103,'GRAL. SUC. FORANEAS'!$R:$S,2,0),0)</f>
        <v>18</v>
      </c>
      <c r="AD103" s="131">
        <f t="shared" si="76"/>
        <v>46</v>
      </c>
    </row>
    <row r="104" spans="1:30" ht="18" thickBot="1" x14ac:dyDescent="0.4">
      <c r="A104" s="94"/>
      <c r="B104" s="131">
        <f>'Suc. Amado Nervo'!C104</f>
        <v>0</v>
      </c>
      <c r="C104" s="131">
        <f>'Suc. León'!C104</f>
        <v>0</v>
      </c>
      <c r="D104" s="120">
        <f>'San Cayetano'!C104</f>
        <v>0</v>
      </c>
      <c r="E104" s="120">
        <f>'Suc. Boulevard'!C104</f>
        <v>0</v>
      </c>
      <c r="F104" s="120">
        <f>'Suc. Dos de Agosto'!C104</f>
        <v>0</v>
      </c>
      <c r="G104" s="120">
        <f>'Suc. La Nueva Canasta'!C104</f>
        <v>0</v>
      </c>
      <c r="H104" s="120">
        <f>'Suc. Mololoa'!C104</f>
        <v>0</v>
      </c>
      <c r="I104" s="120">
        <f>'Suc. Plaza'!C104</f>
        <v>0</v>
      </c>
      <c r="J104" s="120">
        <f>'Suc. Vistas'!C104</f>
        <v>0</v>
      </c>
      <c r="K104" s="120">
        <f>'Suc. Xalisco'!C104</f>
        <v>0</v>
      </c>
      <c r="L104" s="120">
        <f t="shared" si="70"/>
        <v>0</v>
      </c>
      <c r="M104" s="131">
        <f>'Suc. Acaponeta'!C104</f>
        <v>0</v>
      </c>
      <c r="N104" s="131">
        <f>'Suc. Compostela'!C104</f>
        <v>0</v>
      </c>
      <c r="O104" s="131">
        <f>'Suc. Ruiz'!C104</f>
        <v>0</v>
      </c>
      <c r="P104" s="131">
        <f>'Suc. Sanblas'!C104</f>
        <v>0</v>
      </c>
      <c r="Q104" s="131">
        <f>'LALO VARAS'!C104</f>
        <v>0</v>
      </c>
      <c r="R104" s="131">
        <f>'Suc. Santiago 2'!C104</f>
        <v>0</v>
      </c>
      <c r="S104" s="131">
        <f>'Suc. Tecuala'!C104</f>
        <v>0</v>
      </c>
      <c r="T104" s="131">
        <f>'Suc. Tuxpan'!C104</f>
        <v>0</v>
      </c>
      <c r="U104" s="131">
        <f>'Suc. Varas'!C104</f>
        <v>0</v>
      </c>
      <c r="V104" s="131">
        <f>'Suc. Santa María del Oro'!C104</f>
        <v>0</v>
      </c>
      <c r="W104" s="131">
        <f>'Suc. Villa Hidalgo'!C104</f>
        <v>0</v>
      </c>
      <c r="X104" s="131">
        <f>'Suc. Peñita'!C104</f>
        <v>0</v>
      </c>
      <c r="Y104" s="120">
        <f t="shared" si="71"/>
        <v>0</v>
      </c>
      <c r="Z104" s="120">
        <f t="shared" si="72"/>
        <v>0</v>
      </c>
      <c r="AB104" s="131">
        <f>IFERROR(VLOOKUP(A104,'GRAL. SUC. FORANEAS'!$R:$S,2,0),0)</f>
        <v>0</v>
      </c>
      <c r="AD104" s="131">
        <f t="shared" si="76"/>
        <v>0</v>
      </c>
    </row>
    <row r="105" spans="1:30" ht="18.600000000000001" thickBot="1" x14ac:dyDescent="0.4">
      <c r="A105" s="107" t="s">
        <v>55</v>
      </c>
      <c r="B105" s="129">
        <f t="shared" ref="B105:Z105" si="77">SUM(B93:B104)</f>
        <v>71</v>
      </c>
      <c r="C105" s="129">
        <f t="shared" si="77"/>
        <v>70</v>
      </c>
      <c r="D105" s="129">
        <f t="shared" si="77"/>
        <v>34</v>
      </c>
      <c r="E105" s="129">
        <f t="shared" si="77"/>
        <v>28</v>
      </c>
      <c r="F105" s="129">
        <f t="shared" si="77"/>
        <v>31</v>
      </c>
      <c r="G105" s="129">
        <f t="shared" si="77"/>
        <v>0</v>
      </c>
      <c r="H105" s="129">
        <f t="shared" si="77"/>
        <v>22</v>
      </c>
      <c r="I105" s="129">
        <f t="shared" si="77"/>
        <v>31</v>
      </c>
      <c r="J105" s="129">
        <f t="shared" si="77"/>
        <v>37</v>
      </c>
      <c r="K105" s="129">
        <f t="shared" si="77"/>
        <v>33</v>
      </c>
      <c r="L105" s="129">
        <f t="shared" si="77"/>
        <v>357</v>
      </c>
      <c r="M105" s="129">
        <f t="shared" si="77"/>
        <v>46</v>
      </c>
      <c r="N105" s="129">
        <f t="shared" si="77"/>
        <v>32</v>
      </c>
      <c r="O105" s="129">
        <f t="shared" si="77"/>
        <v>37</v>
      </c>
      <c r="P105" s="129">
        <f t="shared" si="77"/>
        <v>44</v>
      </c>
      <c r="Q105" s="129">
        <f t="shared" si="77"/>
        <v>49</v>
      </c>
      <c r="R105" s="129">
        <f t="shared" si="77"/>
        <v>66</v>
      </c>
      <c r="S105" s="129">
        <f t="shared" si="77"/>
        <v>37</v>
      </c>
      <c r="T105" s="129">
        <f t="shared" si="77"/>
        <v>21</v>
      </c>
      <c r="U105" s="129">
        <f t="shared" si="77"/>
        <v>3</v>
      </c>
      <c r="V105" s="129">
        <f t="shared" si="77"/>
        <v>52</v>
      </c>
      <c r="W105" s="129">
        <f t="shared" si="77"/>
        <v>46</v>
      </c>
      <c r="X105" s="129">
        <f t="shared" si="77"/>
        <v>29</v>
      </c>
      <c r="Y105" s="129">
        <f t="shared" si="77"/>
        <v>462</v>
      </c>
      <c r="Z105" s="129">
        <f t="shared" si="77"/>
        <v>819</v>
      </c>
      <c r="AB105" s="129">
        <f>SUM(AB93:AB104)</f>
        <v>528</v>
      </c>
      <c r="AD105" s="129">
        <f t="shared" ref="AD105:AD150" si="78">AB105+Z105</f>
        <v>1347</v>
      </c>
    </row>
    <row r="106" spans="1:30" ht="17.399999999999999" x14ac:dyDescent="0.35">
      <c r="A106" s="108" t="s">
        <v>76</v>
      </c>
      <c r="B106" s="134"/>
      <c r="C106" s="134"/>
      <c r="D106" s="130"/>
      <c r="E106" s="130"/>
      <c r="F106" s="130"/>
      <c r="G106" s="130"/>
      <c r="H106" s="130"/>
      <c r="I106" s="130"/>
      <c r="J106" s="130"/>
      <c r="K106" s="130"/>
      <c r="L106" s="130"/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134"/>
      <c r="Y106" s="130"/>
      <c r="Z106" s="130"/>
      <c r="AB106" s="134"/>
      <c r="AD106" s="134">
        <f t="shared" si="78"/>
        <v>0</v>
      </c>
    </row>
    <row r="107" spans="1:30" ht="17.399999999999999" x14ac:dyDescent="0.35">
      <c r="A107" s="94" t="s">
        <v>77</v>
      </c>
      <c r="B107" s="131">
        <f>'Suc. Amado Nervo'!C107</f>
        <v>2</v>
      </c>
      <c r="C107" s="131">
        <f>'Suc. León'!C107</f>
        <v>2</v>
      </c>
      <c r="D107" s="120">
        <f>'San Cayetano'!C107</f>
        <v>0</v>
      </c>
      <c r="E107" s="120">
        <f>'Suc. Boulevard'!C107</f>
        <v>0</v>
      </c>
      <c r="F107" s="120">
        <f>'Suc. Dos de Agosto'!C107</f>
        <v>1</v>
      </c>
      <c r="G107" s="120">
        <f>'Suc. La Nueva Canasta'!C107</f>
        <v>0</v>
      </c>
      <c r="H107" s="120">
        <f>'Suc. Mololoa'!C107</f>
        <v>1</v>
      </c>
      <c r="I107" s="120">
        <f>'Suc. Plaza'!C107</f>
        <v>1</v>
      </c>
      <c r="J107" s="120">
        <f>'Suc. Vistas'!C107</f>
        <v>2</v>
      </c>
      <c r="K107" s="120">
        <f>'Suc. Xalisco'!C107</f>
        <v>1</v>
      </c>
      <c r="L107" s="120">
        <f t="shared" ref="L107:L112" si="79">SUM(B107:K107)</f>
        <v>10</v>
      </c>
      <c r="M107" s="131">
        <f>'Suc. Acaponeta'!C107</f>
        <v>0</v>
      </c>
      <c r="N107" s="131">
        <f>'Suc. Compostela'!C107</f>
        <v>2</v>
      </c>
      <c r="O107" s="131">
        <f>'Suc. Ruiz'!C107</f>
        <v>0</v>
      </c>
      <c r="P107" s="131">
        <f>'Suc. Sanblas'!C107</f>
        <v>1</v>
      </c>
      <c r="Q107" s="131">
        <f>'LALO VARAS'!C107</f>
        <v>2</v>
      </c>
      <c r="R107" s="131">
        <f>'Suc. Santiago 2'!C107</f>
        <v>2</v>
      </c>
      <c r="S107" s="131">
        <f>'Suc. Tecuala'!C107</f>
        <v>0</v>
      </c>
      <c r="T107" s="131">
        <f>'Suc. Tuxpan'!C107</f>
        <v>1</v>
      </c>
      <c r="U107" s="131">
        <f>'Suc. Varas'!C107</f>
        <v>0</v>
      </c>
      <c r="V107" s="131">
        <f>'Suc. Santa María del Oro'!C107</f>
        <v>1</v>
      </c>
      <c r="W107" s="131">
        <f>'Suc. Villa Hidalgo'!C107</f>
        <v>2</v>
      </c>
      <c r="X107" s="131">
        <f>'Suc. Peñita'!C107</f>
        <v>0</v>
      </c>
      <c r="Y107" s="120">
        <f t="shared" ref="Y107:Y112" si="80">SUM(M107:X107)</f>
        <v>11</v>
      </c>
      <c r="Z107" s="120">
        <f t="shared" ref="Z107:Z112" si="81">L107+Y107</f>
        <v>21</v>
      </c>
      <c r="AB107" s="131">
        <f>IFERROR(VLOOKUP(A107,'GRAL. SUC. FORANEAS'!$R:$S,2,0),0)</f>
        <v>19</v>
      </c>
      <c r="AD107" s="131">
        <f t="shared" si="78"/>
        <v>40</v>
      </c>
    </row>
    <row r="108" spans="1:30" ht="17.399999999999999" x14ac:dyDescent="0.35">
      <c r="A108" s="94" t="s">
        <v>621</v>
      </c>
      <c r="B108" s="131">
        <f>'Suc. Amado Nervo'!C108</f>
        <v>0</v>
      </c>
      <c r="C108" s="131">
        <f>'Suc. León'!C108</f>
        <v>1</v>
      </c>
      <c r="D108" s="120">
        <f>'San Cayetano'!C108</f>
        <v>1</v>
      </c>
      <c r="E108" s="120">
        <f>'Suc. Boulevard'!C108</f>
        <v>0</v>
      </c>
      <c r="F108" s="120">
        <f>'Suc. Dos de Agosto'!C108</f>
        <v>0</v>
      </c>
      <c r="G108" s="120">
        <f>'Suc. La Nueva Canasta'!C108</f>
        <v>0</v>
      </c>
      <c r="H108" s="120">
        <f>'Suc. Mololoa'!C108</f>
        <v>1</v>
      </c>
      <c r="I108" s="120">
        <f>'Suc. Plaza'!C108</f>
        <v>0</v>
      </c>
      <c r="J108" s="120">
        <f>'Suc. Vistas'!C108</f>
        <v>0</v>
      </c>
      <c r="K108" s="120">
        <f>'Suc. Xalisco'!C108</f>
        <v>0</v>
      </c>
      <c r="L108" s="120">
        <f t="shared" ref="L108:L111" si="82">SUM(B108:K108)</f>
        <v>3</v>
      </c>
      <c r="M108" s="131">
        <f>'Suc. Acaponeta'!C108</f>
        <v>4</v>
      </c>
      <c r="N108" s="131">
        <f>'Suc. Compostela'!C108</f>
        <v>0</v>
      </c>
      <c r="O108" s="131">
        <f>'Suc. Ruiz'!C108</f>
        <v>0</v>
      </c>
      <c r="P108" s="131">
        <f>'Suc. Sanblas'!C108</f>
        <v>0</v>
      </c>
      <c r="Q108" s="131">
        <f>'LALO VARAS'!C108</f>
        <v>1</v>
      </c>
      <c r="R108" s="131">
        <f>'Suc. Santiago 2'!C108</f>
        <v>0</v>
      </c>
      <c r="S108" s="131">
        <f>'Suc. Tecuala'!C108</f>
        <v>0</v>
      </c>
      <c r="T108" s="131">
        <f>'Suc. Tuxpan'!C108</f>
        <v>0</v>
      </c>
      <c r="U108" s="131">
        <f>'Suc. Varas'!C108</f>
        <v>0</v>
      </c>
      <c r="V108" s="131">
        <f>'Suc. Santa María del Oro'!C108</f>
        <v>0</v>
      </c>
      <c r="W108" s="131">
        <f>'Suc. Villa Hidalgo'!C108</f>
        <v>0</v>
      </c>
      <c r="X108" s="131">
        <f>'Suc. Peñita'!C108</f>
        <v>0</v>
      </c>
      <c r="Y108" s="120">
        <f t="shared" ref="Y108:Y111" si="83">SUM(M108:X108)</f>
        <v>5</v>
      </c>
      <c r="Z108" s="120">
        <f t="shared" ref="Z108:Z111" si="84">L108+Y108</f>
        <v>8</v>
      </c>
      <c r="AB108" s="131">
        <f>IFERROR(VLOOKUP(A108,'GRAL. SUC. FORANEAS'!$R:$S,2,0),0)</f>
        <v>0</v>
      </c>
      <c r="AD108" s="131">
        <f t="shared" si="78"/>
        <v>8</v>
      </c>
    </row>
    <row r="109" spans="1:30" ht="17.399999999999999" x14ac:dyDescent="0.35">
      <c r="A109" s="94" t="s">
        <v>80</v>
      </c>
      <c r="B109" s="131">
        <f>'Suc. Amado Nervo'!C109</f>
        <v>40</v>
      </c>
      <c r="C109" s="131">
        <f>'Suc. León'!C109</f>
        <v>48</v>
      </c>
      <c r="D109" s="120">
        <f>'San Cayetano'!C109</f>
        <v>10</v>
      </c>
      <c r="E109" s="120">
        <f>'Suc. Boulevard'!C109</f>
        <v>1</v>
      </c>
      <c r="F109" s="120">
        <f>'Suc. Dos de Agosto'!C109</f>
        <v>5</v>
      </c>
      <c r="G109" s="120">
        <f>'Suc. La Nueva Canasta'!C109</f>
        <v>0</v>
      </c>
      <c r="H109" s="120">
        <f>'Suc. Mololoa'!C109</f>
        <v>10</v>
      </c>
      <c r="I109" s="120">
        <f>'Suc. Plaza'!C109</f>
        <v>8</v>
      </c>
      <c r="J109" s="120">
        <f>'Suc. Vistas'!C109</f>
        <v>10</v>
      </c>
      <c r="K109" s="120">
        <f>'Suc. Xalisco'!C109</f>
        <v>3</v>
      </c>
      <c r="L109" s="120">
        <f t="shared" si="82"/>
        <v>135</v>
      </c>
      <c r="M109" s="131">
        <f>'Suc. Acaponeta'!C109</f>
        <v>10</v>
      </c>
      <c r="N109" s="131">
        <f>'Suc. Compostela'!C109</f>
        <v>4</v>
      </c>
      <c r="O109" s="131">
        <f>'Suc. Ruiz'!C109</f>
        <v>10</v>
      </c>
      <c r="P109" s="131">
        <f>'Suc. Sanblas'!C109</f>
        <v>3</v>
      </c>
      <c r="Q109" s="131">
        <f>'LALO VARAS'!C109</f>
        <v>6</v>
      </c>
      <c r="R109" s="131">
        <f>'Suc. Santiago 2'!C109</f>
        <v>4</v>
      </c>
      <c r="S109" s="131">
        <f>'Suc. Tecuala'!C109</f>
        <v>3</v>
      </c>
      <c r="T109" s="131">
        <f>'Suc. Tuxpan'!C109</f>
        <v>5</v>
      </c>
      <c r="U109" s="131">
        <f>'Suc. Varas'!C109</f>
        <v>14</v>
      </c>
      <c r="V109" s="131">
        <f>'Suc. Santa María del Oro'!C109</f>
        <v>8</v>
      </c>
      <c r="W109" s="131">
        <f>'Suc. Villa Hidalgo'!C109</f>
        <v>8</v>
      </c>
      <c r="X109" s="131">
        <f>'Suc. Peñita'!C109</f>
        <v>0</v>
      </c>
      <c r="Y109" s="120">
        <f t="shared" si="83"/>
        <v>75</v>
      </c>
      <c r="Z109" s="120">
        <f t="shared" si="84"/>
        <v>210</v>
      </c>
      <c r="AB109" s="131">
        <f>IFERROR(VLOOKUP(A109,'GRAL. SUC. FORANEAS'!$R:$S,2,0),0)</f>
        <v>15</v>
      </c>
      <c r="AD109" s="131">
        <f t="shared" si="78"/>
        <v>225</v>
      </c>
    </row>
    <row r="110" spans="1:30" ht="17.399999999999999" x14ac:dyDescent="0.35">
      <c r="A110" s="94" t="s">
        <v>81</v>
      </c>
      <c r="B110" s="131">
        <f>'Suc. Amado Nervo'!C110</f>
        <v>40</v>
      </c>
      <c r="C110" s="131">
        <f>'Suc. León'!C110</f>
        <v>50</v>
      </c>
      <c r="D110" s="120">
        <f>'San Cayetano'!C110</f>
        <v>10</v>
      </c>
      <c r="E110" s="120">
        <f>'Suc. Boulevard'!C110</f>
        <v>1</v>
      </c>
      <c r="F110" s="120">
        <f>'Suc. Dos de Agosto'!C110</f>
        <v>3</v>
      </c>
      <c r="G110" s="120">
        <f>'Suc. La Nueva Canasta'!C110</f>
        <v>0</v>
      </c>
      <c r="H110" s="120">
        <f>'Suc. Mololoa'!C110</f>
        <v>10</v>
      </c>
      <c r="I110" s="120">
        <f>'Suc. Plaza'!C110</f>
        <v>10</v>
      </c>
      <c r="J110" s="120">
        <f>'Suc. Vistas'!C110</f>
        <v>12</v>
      </c>
      <c r="K110" s="120">
        <f>'Suc. Xalisco'!C110</f>
        <v>3</v>
      </c>
      <c r="L110" s="120">
        <f t="shared" si="82"/>
        <v>139</v>
      </c>
      <c r="M110" s="131">
        <f>'Suc. Acaponeta'!C110</f>
        <v>11</v>
      </c>
      <c r="N110" s="131">
        <f>'Suc. Compostela'!C110</f>
        <v>5</v>
      </c>
      <c r="O110" s="131">
        <f>'Suc. Ruiz'!C110</f>
        <v>9</v>
      </c>
      <c r="P110" s="131">
        <f>'Suc. Sanblas'!C110</f>
        <v>2</v>
      </c>
      <c r="Q110" s="131">
        <f>'LALO VARAS'!C110</f>
        <v>5</v>
      </c>
      <c r="R110" s="131">
        <f>'Suc. Santiago 2'!C110</f>
        <v>3</v>
      </c>
      <c r="S110" s="131">
        <f>'Suc. Tecuala'!C110</f>
        <v>3</v>
      </c>
      <c r="T110" s="131">
        <f>'Suc. Tuxpan'!C110</f>
        <v>5</v>
      </c>
      <c r="U110" s="131">
        <f>'Suc. Varas'!C110</f>
        <v>5</v>
      </c>
      <c r="V110" s="131">
        <f>'Suc. Santa María del Oro'!C110</f>
        <v>10</v>
      </c>
      <c r="W110" s="131">
        <f>'Suc. Villa Hidalgo'!C110</f>
        <v>6</v>
      </c>
      <c r="X110" s="131">
        <f>'Suc. Peñita'!C110</f>
        <v>5</v>
      </c>
      <c r="Y110" s="120">
        <f t="shared" si="83"/>
        <v>69</v>
      </c>
      <c r="Z110" s="120">
        <f t="shared" si="84"/>
        <v>208</v>
      </c>
      <c r="AB110" s="131">
        <f>IFERROR(VLOOKUP(A110,'GRAL. SUC. FORANEAS'!$R:$S,2,0),0)</f>
        <v>11</v>
      </c>
      <c r="AD110" s="131">
        <f t="shared" si="78"/>
        <v>219</v>
      </c>
    </row>
    <row r="111" spans="1:30" ht="17.399999999999999" x14ac:dyDescent="0.35">
      <c r="A111" s="95" t="s">
        <v>83</v>
      </c>
      <c r="B111" s="131">
        <f>'Suc. Amado Nervo'!C111</f>
        <v>2</v>
      </c>
      <c r="C111" s="131">
        <f>'Suc. León'!C111</f>
        <v>2</v>
      </c>
      <c r="D111" s="120">
        <f>'San Cayetano'!C111</f>
        <v>0</v>
      </c>
      <c r="E111" s="120">
        <f>'Suc. Boulevard'!C111</f>
        <v>1</v>
      </c>
      <c r="F111" s="120">
        <f>'Suc. Dos de Agosto'!C111</f>
        <v>1</v>
      </c>
      <c r="G111" s="120">
        <f>'Suc. La Nueva Canasta'!C111</f>
        <v>0</v>
      </c>
      <c r="H111" s="120">
        <f>'Suc. Mololoa'!C111</f>
        <v>2</v>
      </c>
      <c r="I111" s="120">
        <f>'Suc. Plaza'!C111</f>
        <v>2</v>
      </c>
      <c r="J111" s="120">
        <f>'Suc. Vistas'!C111</f>
        <v>1</v>
      </c>
      <c r="K111" s="120">
        <f>'Suc. Xalisco'!C111</f>
        <v>1</v>
      </c>
      <c r="L111" s="120">
        <f t="shared" si="82"/>
        <v>12</v>
      </c>
      <c r="M111" s="131">
        <f>'Suc. Acaponeta'!C111</f>
        <v>0</v>
      </c>
      <c r="N111" s="131">
        <f>'Suc. Compostela'!C111</f>
        <v>1</v>
      </c>
      <c r="O111" s="131">
        <f>'Suc. Ruiz'!C111</f>
        <v>0</v>
      </c>
      <c r="P111" s="131">
        <f>'Suc. Sanblas'!C111</f>
        <v>0</v>
      </c>
      <c r="Q111" s="131">
        <f>'LALO VARAS'!C111</f>
        <v>3</v>
      </c>
      <c r="R111" s="131">
        <f>'Suc. Santiago 2'!C111</f>
        <v>2</v>
      </c>
      <c r="S111" s="131">
        <f>'Suc. Tecuala'!C111</f>
        <v>0</v>
      </c>
      <c r="T111" s="131">
        <f>'Suc. Tuxpan'!C111</f>
        <v>0</v>
      </c>
      <c r="U111" s="131">
        <f>'Suc. Varas'!C111</f>
        <v>0</v>
      </c>
      <c r="V111" s="131">
        <f>'Suc. Santa María del Oro'!C111</f>
        <v>0</v>
      </c>
      <c r="W111" s="131">
        <f>'Suc. Villa Hidalgo'!C111</f>
        <v>1</v>
      </c>
      <c r="X111" s="131">
        <f>'Suc. Peñita'!C111</f>
        <v>1</v>
      </c>
      <c r="Y111" s="120">
        <f t="shared" si="83"/>
        <v>8</v>
      </c>
      <c r="Z111" s="120">
        <f t="shared" si="84"/>
        <v>20</v>
      </c>
      <c r="AB111" s="131">
        <f>IFERROR(VLOOKUP(A111,'GRAL. SUC. FORANEAS'!$R:$S,2,0),0)</f>
        <v>14</v>
      </c>
      <c r="AD111" s="131">
        <f t="shared" si="78"/>
        <v>34</v>
      </c>
    </row>
    <row r="112" spans="1:30" ht="18" thickBot="1" x14ac:dyDescent="0.4">
      <c r="A112" s="95"/>
      <c r="B112" s="131">
        <f>'Suc. Amado Nervo'!C112</f>
        <v>0</v>
      </c>
      <c r="C112" s="131">
        <f>'Suc. León'!C112</f>
        <v>0</v>
      </c>
      <c r="D112" s="120">
        <f>'San Cayetano'!C112</f>
        <v>0</v>
      </c>
      <c r="E112" s="120">
        <f>'Suc. Boulevard'!C112</f>
        <v>0</v>
      </c>
      <c r="F112" s="120">
        <f>'Suc. Dos de Agosto'!C112</f>
        <v>0</v>
      </c>
      <c r="G112" s="120">
        <f>'Suc. La Nueva Canasta'!C112</f>
        <v>0</v>
      </c>
      <c r="H112" s="120">
        <f>'Suc. Mololoa'!C112</f>
        <v>0</v>
      </c>
      <c r="I112" s="120">
        <f>'Suc. Plaza'!C112</f>
        <v>0</v>
      </c>
      <c r="J112" s="120">
        <f>'Suc. Vistas'!C112</f>
        <v>0</v>
      </c>
      <c r="K112" s="120">
        <f>'Suc. Xalisco'!C112</f>
        <v>0</v>
      </c>
      <c r="L112" s="120">
        <f t="shared" si="79"/>
        <v>0</v>
      </c>
      <c r="M112" s="131">
        <f>'Suc. Acaponeta'!C112</f>
        <v>0</v>
      </c>
      <c r="N112" s="131">
        <f>'Suc. Compostela'!C112</f>
        <v>0</v>
      </c>
      <c r="O112" s="131">
        <f>'Suc. Ruiz'!C112</f>
        <v>0</v>
      </c>
      <c r="P112" s="131">
        <f>'Suc. Sanblas'!C112</f>
        <v>0</v>
      </c>
      <c r="Q112" s="131">
        <f>'LALO VARAS'!C112</f>
        <v>0</v>
      </c>
      <c r="R112" s="131">
        <f>'Suc. Santiago 2'!C112</f>
        <v>0</v>
      </c>
      <c r="S112" s="131">
        <f>'Suc. Tecuala'!C112</f>
        <v>0</v>
      </c>
      <c r="T112" s="131">
        <f>'Suc. Tuxpan'!C112</f>
        <v>0</v>
      </c>
      <c r="U112" s="131">
        <f>'Suc. Varas'!C112</f>
        <v>0</v>
      </c>
      <c r="V112" s="131">
        <f>'Suc. Santa María del Oro'!C112</f>
        <v>0</v>
      </c>
      <c r="W112" s="131">
        <f>'Suc. Villa Hidalgo'!C112</f>
        <v>0</v>
      </c>
      <c r="X112" s="131">
        <f>'Suc. Peñita'!C112</f>
        <v>0</v>
      </c>
      <c r="Y112" s="120">
        <f t="shared" si="80"/>
        <v>0</v>
      </c>
      <c r="Z112" s="120">
        <f t="shared" si="81"/>
        <v>0</v>
      </c>
      <c r="AB112" s="131">
        <f>IFERROR(VLOOKUP(A112,'GRAL. SUC. FORANEAS'!$R:$S,2,0),0)</f>
        <v>0</v>
      </c>
      <c r="AD112" s="131">
        <f t="shared" si="78"/>
        <v>0</v>
      </c>
    </row>
    <row r="113" spans="1:30" ht="18" thickBot="1" x14ac:dyDescent="0.4">
      <c r="A113" s="109" t="s">
        <v>55</v>
      </c>
      <c r="B113" s="114">
        <f t="shared" ref="B113:Z113" si="85">SUM(B107:B112,B114:B116)</f>
        <v>93</v>
      </c>
      <c r="C113" s="114">
        <f t="shared" si="85"/>
        <v>114</v>
      </c>
      <c r="D113" s="114">
        <f t="shared" si="85"/>
        <v>24</v>
      </c>
      <c r="E113" s="114">
        <f t="shared" si="85"/>
        <v>6</v>
      </c>
      <c r="F113" s="114">
        <f t="shared" si="85"/>
        <v>10</v>
      </c>
      <c r="G113" s="114">
        <f t="shared" si="85"/>
        <v>0</v>
      </c>
      <c r="H113" s="114">
        <f t="shared" si="85"/>
        <v>26</v>
      </c>
      <c r="I113" s="114">
        <f t="shared" si="85"/>
        <v>30</v>
      </c>
      <c r="J113" s="114">
        <f t="shared" si="85"/>
        <v>32</v>
      </c>
      <c r="K113" s="114">
        <f t="shared" si="85"/>
        <v>9</v>
      </c>
      <c r="L113" s="114">
        <f t="shared" si="85"/>
        <v>344</v>
      </c>
      <c r="M113" s="114">
        <f t="shared" si="85"/>
        <v>36</v>
      </c>
      <c r="N113" s="114">
        <f t="shared" si="85"/>
        <v>17</v>
      </c>
      <c r="O113" s="114">
        <f t="shared" si="85"/>
        <v>21</v>
      </c>
      <c r="P113" s="114">
        <f t="shared" si="85"/>
        <v>11</v>
      </c>
      <c r="Q113" s="114">
        <f t="shared" si="85"/>
        <v>24</v>
      </c>
      <c r="R113" s="114">
        <f t="shared" si="85"/>
        <v>29</v>
      </c>
      <c r="S113" s="114">
        <f t="shared" si="85"/>
        <v>13</v>
      </c>
      <c r="T113" s="114">
        <f t="shared" si="85"/>
        <v>12</v>
      </c>
      <c r="U113" s="114">
        <f t="shared" si="85"/>
        <v>21</v>
      </c>
      <c r="V113" s="114">
        <f t="shared" si="85"/>
        <v>28</v>
      </c>
      <c r="W113" s="114">
        <f t="shared" si="85"/>
        <v>31</v>
      </c>
      <c r="X113" s="114">
        <f t="shared" si="85"/>
        <v>10</v>
      </c>
      <c r="Y113" s="114">
        <f t="shared" si="85"/>
        <v>253</v>
      </c>
      <c r="Z113" s="114">
        <f t="shared" si="85"/>
        <v>597</v>
      </c>
      <c r="AB113" s="114">
        <f>SUM(AB107:AB112,AB114:AB116)</f>
        <v>91</v>
      </c>
      <c r="AD113" s="114">
        <f t="shared" si="78"/>
        <v>688</v>
      </c>
    </row>
    <row r="114" spans="1:30" ht="17.399999999999999" x14ac:dyDescent="0.35">
      <c r="A114" s="93" t="s">
        <v>84</v>
      </c>
      <c r="B114" s="131">
        <f>'Suc. Amado Nervo'!C114</f>
        <v>3</v>
      </c>
      <c r="C114" s="131">
        <f>'Suc. León'!C114</f>
        <v>4</v>
      </c>
      <c r="D114" s="120">
        <f>'San Cayetano'!C114</f>
        <v>0</v>
      </c>
      <c r="E114" s="120">
        <f>'Suc. Boulevard'!C114</f>
        <v>2</v>
      </c>
      <c r="F114" s="120">
        <f>'Suc. Dos de Agosto'!C114</f>
        <v>0</v>
      </c>
      <c r="G114" s="120">
        <f>'Suc. La Nueva Canasta'!C114</f>
        <v>0</v>
      </c>
      <c r="H114" s="120">
        <f>'Suc. Mololoa'!C114</f>
        <v>1</v>
      </c>
      <c r="I114" s="120">
        <f>'Suc. Plaza'!C114</f>
        <v>4</v>
      </c>
      <c r="J114" s="120">
        <f>'Suc. Vistas'!C114</f>
        <v>2</v>
      </c>
      <c r="K114" s="120">
        <f>'Suc. Xalisco'!C114</f>
        <v>0</v>
      </c>
      <c r="L114" s="120">
        <f t="shared" ref="L114" si="86">SUM(B114:K114)</f>
        <v>16</v>
      </c>
      <c r="M114" s="131">
        <f>'Suc. Acaponeta'!C114</f>
        <v>4</v>
      </c>
      <c r="N114" s="131">
        <f>'Suc. Compostela'!C114</f>
        <v>2</v>
      </c>
      <c r="O114" s="131">
        <f>'Suc. Ruiz'!C114</f>
        <v>1</v>
      </c>
      <c r="P114" s="131">
        <f>'Suc. Sanblas'!C114</f>
        <v>1</v>
      </c>
      <c r="Q114" s="131">
        <f>'LALO VARAS'!C114</f>
        <v>2</v>
      </c>
      <c r="R114" s="131">
        <f>'Suc. Santiago 2'!C114</f>
        <v>5</v>
      </c>
      <c r="S114" s="131">
        <f>'Suc. Tecuala'!C114</f>
        <v>5</v>
      </c>
      <c r="T114" s="131">
        <f>'Suc. Tuxpan'!C114</f>
        <v>0</v>
      </c>
      <c r="U114" s="131">
        <f>'Suc. Varas'!C114</f>
        <v>1</v>
      </c>
      <c r="V114" s="131">
        <f>'Suc. Santa María del Oro'!C114</f>
        <v>2</v>
      </c>
      <c r="W114" s="131">
        <f>'Suc. Villa Hidalgo'!C114</f>
        <v>3</v>
      </c>
      <c r="X114" s="131">
        <f>'Suc. Peñita'!C114</f>
        <v>3</v>
      </c>
      <c r="Y114" s="120">
        <f t="shared" ref="Y114" si="87">SUM(M114:X114)</f>
        <v>29</v>
      </c>
      <c r="Z114" s="120">
        <f t="shared" ref="Z114" si="88">L114+Y114</f>
        <v>45</v>
      </c>
      <c r="AB114" s="131">
        <f>IFERROR(VLOOKUP(A114,'GRAL. SUC. FORANEAS'!$R:$S,2,0),0)</f>
        <v>7</v>
      </c>
      <c r="AD114" s="131">
        <f t="shared" si="78"/>
        <v>52</v>
      </c>
    </row>
    <row r="115" spans="1:30" ht="17.399999999999999" x14ac:dyDescent="0.35">
      <c r="A115" s="95" t="s">
        <v>85</v>
      </c>
      <c r="B115" s="131">
        <f>'Suc. Amado Nervo'!C115</f>
        <v>3</v>
      </c>
      <c r="C115" s="131">
        <f>'Suc. León'!C115</f>
        <v>4</v>
      </c>
      <c r="D115" s="120">
        <f>'San Cayetano'!C115</f>
        <v>2</v>
      </c>
      <c r="E115" s="120">
        <f>'Suc. Boulevard'!C115</f>
        <v>1</v>
      </c>
      <c r="F115" s="120">
        <f>'Suc. Dos de Agosto'!C115</f>
        <v>0</v>
      </c>
      <c r="G115" s="120">
        <f>'Suc. La Nueva Canasta'!C115</f>
        <v>0</v>
      </c>
      <c r="H115" s="120">
        <f>'Suc. Mololoa'!C115</f>
        <v>0</v>
      </c>
      <c r="I115" s="120">
        <f>'Suc. Plaza'!C115</f>
        <v>3</v>
      </c>
      <c r="J115" s="120">
        <f>'Suc. Vistas'!C115</f>
        <v>3</v>
      </c>
      <c r="K115" s="120">
        <f>'Suc. Xalisco'!C115</f>
        <v>1</v>
      </c>
      <c r="L115" s="120">
        <f t="shared" ref="L115:L116" si="89">SUM(B115:K115)</f>
        <v>17</v>
      </c>
      <c r="M115" s="131">
        <f>'Suc. Acaponeta'!C115</f>
        <v>3</v>
      </c>
      <c r="N115" s="131">
        <f>'Suc. Compostela'!C115</f>
        <v>0</v>
      </c>
      <c r="O115" s="131">
        <f>'Suc. Ruiz'!C115</f>
        <v>1</v>
      </c>
      <c r="P115" s="131">
        <f>'Suc. Sanblas'!C115</f>
        <v>2</v>
      </c>
      <c r="Q115" s="131">
        <f>'LALO VARAS'!C115</f>
        <v>2</v>
      </c>
      <c r="R115" s="131">
        <f>'Suc. Santiago 2'!C115</f>
        <v>5</v>
      </c>
      <c r="S115" s="131">
        <f>'Suc. Tecuala'!C115</f>
        <v>0</v>
      </c>
      <c r="T115" s="131">
        <f>'Suc. Tuxpan'!C115</f>
        <v>0</v>
      </c>
      <c r="U115" s="131">
        <f>'Suc. Varas'!C115</f>
        <v>1</v>
      </c>
      <c r="V115" s="131">
        <f>'Suc. Santa María del Oro'!C115</f>
        <v>3</v>
      </c>
      <c r="W115" s="131">
        <f>'Suc. Villa Hidalgo'!C115</f>
        <v>6</v>
      </c>
      <c r="X115" s="131">
        <f>'Suc. Peñita'!C115</f>
        <v>1</v>
      </c>
      <c r="Y115" s="120">
        <f t="shared" ref="Y115:Y116" si="90">SUM(M115:X115)</f>
        <v>24</v>
      </c>
      <c r="Z115" s="120">
        <f t="shared" ref="Z115:Z116" si="91">L115+Y115</f>
        <v>41</v>
      </c>
      <c r="AB115" s="131">
        <f>IFERROR(VLOOKUP(A115,'GRAL. SUC. FORANEAS'!$R:$S,2,0),0)</f>
        <v>17</v>
      </c>
      <c r="AD115" s="131">
        <f t="shared" si="78"/>
        <v>58</v>
      </c>
    </row>
    <row r="116" spans="1:30" ht="18" thickBot="1" x14ac:dyDescent="0.4">
      <c r="A116" s="95" t="s">
        <v>881</v>
      </c>
      <c r="B116" s="131">
        <f>'Suc. Amado Nervo'!C116</f>
        <v>3</v>
      </c>
      <c r="C116" s="131">
        <f>'Suc. León'!C116</f>
        <v>3</v>
      </c>
      <c r="D116" s="120">
        <f>'San Cayetano'!C116</f>
        <v>1</v>
      </c>
      <c r="E116" s="120">
        <f>'Suc. Boulevard'!C116</f>
        <v>0</v>
      </c>
      <c r="F116" s="120">
        <f>'Suc. Dos de Agosto'!C116</f>
        <v>0</v>
      </c>
      <c r="G116" s="120">
        <f>'Suc. La Nueva Canasta'!C116</f>
        <v>0</v>
      </c>
      <c r="H116" s="120">
        <f>'Suc. Mololoa'!C116</f>
        <v>1</v>
      </c>
      <c r="I116" s="120">
        <f>'Suc. Plaza'!C116</f>
        <v>2</v>
      </c>
      <c r="J116" s="120">
        <f>'Suc. Vistas'!C116</f>
        <v>2</v>
      </c>
      <c r="K116" s="120">
        <f>'Suc. Xalisco'!C116</f>
        <v>0</v>
      </c>
      <c r="L116" s="120">
        <f t="shared" si="89"/>
        <v>12</v>
      </c>
      <c r="M116" s="131">
        <f>'Suc. Acaponeta'!C116</f>
        <v>4</v>
      </c>
      <c r="N116" s="131">
        <f>'Suc. Compostela'!C116</f>
        <v>3</v>
      </c>
      <c r="O116" s="131">
        <f>'Suc. Ruiz'!C116</f>
        <v>0</v>
      </c>
      <c r="P116" s="131">
        <f>'Suc. Sanblas'!C116</f>
        <v>2</v>
      </c>
      <c r="Q116" s="131">
        <f>'LALO VARAS'!C116</f>
        <v>3</v>
      </c>
      <c r="R116" s="131">
        <f>'Suc. Santiago 2'!C116</f>
        <v>8</v>
      </c>
      <c r="S116" s="131">
        <f>'Suc. Tecuala'!C116</f>
        <v>2</v>
      </c>
      <c r="T116" s="131">
        <f>'Suc. Tuxpan'!C116</f>
        <v>1</v>
      </c>
      <c r="U116" s="131">
        <f>'Suc. Varas'!C116</f>
        <v>0</v>
      </c>
      <c r="V116" s="131">
        <f>'Suc. Santa María del Oro'!C116</f>
        <v>4</v>
      </c>
      <c r="W116" s="131">
        <f>'Suc. Villa Hidalgo'!C116</f>
        <v>5</v>
      </c>
      <c r="X116" s="131">
        <f>'Suc. Peñita'!C116</f>
        <v>0</v>
      </c>
      <c r="Y116" s="120">
        <f t="shared" si="90"/>
        <v>32</v>
      </c>
      <c r="Z116" s="120">
        <f t="shared" si="91"/>
        <v>44</v>
      </c>
      <c r="AB116" s="131">
        <f>IFERROR(VLOOKUP(A116,'GRAL. SUC. FORANEAS'!$R:$S,2,0),0)</f>
        <v>8</v>
      </c>
      <c r="AD116" s="131">
        <f t="shared" si="78"/>
        <v>52</v>
      </c>
    </row>
    <row r="117" spans="1:30" ht="18" thickBot="1" x14ac:dyDescent="0.4">
      <c r="A117" s="110" t="s">
        <v>86</v>
      </c>
      <c r="B117" s="59">
        <f t="shared" ref="B117:Z117" si="92">B79+B91+B105+B113</f>
        <v>283</v>
      </c>
      <c r="C117" s="59">
        <f t="shared" si="92"/>
        <v>312</v>
      </c>
      <c r="D117" s="59">
        <f t="shared" si="92"/>
        <v>143</v>
      </c>
      <c r="E117" s="59">
        <f t="shared" si="92"/>
        <v>95</v>
      </c>
      <c r="F117" s="59">
        <f t="shared" si="92"/>
        <v>112</v>
      </c>
      <c r="G117" s="59">
        <f t="shared" si="92"/>
        <v>0</v>
      </c>
      <c r="H117" s="59">
        <f t="shared" si="92"/>
        <v>109</v>
      </c>
      <c r="I117" s="59">
        <f t="shared" si="92"/>
        <v>106</v>
      </c>
      <c r="J117" s="59">
        <f t="shared" si="92"/>
        <v>150</v>
      </c>
      <c r="K117" s="59">
        <f t="shared" si="92"/>
        <v>104</v>
      </c>
      <c r="L117" s="59">
        <f t="shared" si="92"/>
        <v>1414</v>
      </c>
      <c r="M117" s="59">
        <f t="shared" si="92"/>
        <v>212</v>
      </c>
      <c r="N117" s="59">
        <f t="shared" si="92"/>
        <v>104</v>
      </c>
      <c r="O117" s="59">
        <f t="shared" si="92"/>
        <v>117</v>
      </c>
      <c r="P117" s="59">
        <f t="shared" si="92"/>
        <v>159</v>
      </c>
      <c r="Q117" s="59">
        <f t="shared" si="92"/>
        <v>200</v>
      </c>
      <c r="R117" s="59">
        <f t="shared" si="92"/>
        <v>234</v>
      </c>
      <c r="S117" s="59">
        <f t="shared" si="92"/>
        <v>158</v>
      </c>
      <c r="T117" s="59">
        <f t="shared" si="92"/>
        <v>69</v>
      </c>
      <c r="U117" s="59">
        <f t="shared" si="92"/>
        <v>71</v>
      </c>
      <c r="V117" s="59">
        <f t="shared" si="92"/>
        <v>142</v>
      </c>
      <c r="W117" s="59">
        <f t="shared" si="92"/>
        <v>168</v>
      </c>
      <c r="X117" s="59">
        <f t="shared" si="92"/>
        <v>97</v>
      </c>
      <c r="Y117" s="59">
        <f t="shared" si="92"/>
        <v>1731</v>
      </c>
      <c r="Z117" s="59">
        <f t="shared" si="92"/>
        <v>3145</v>
      </c>
      <c r="AB117" s="59">
        <f>AB79+AB91+AB105+AB113</f>
        <v>1461</v>
      </c>
      <c r="AD117" s="59">
        <f t="shared" si="78"/>
        <v>4606</v>
      </c>
    </row>
    <row r="118" spans="1:30" ht="17.399999999999999" x14ac:dyDescent="0.35">
      <c r="A118" s="95" t="s">
        <v>975</v>
      </c>
      <c r="B118" s="131">
        <f>'Suc. Amado Nervo'!C118</f>
        <v>2</v>
      </c>
      <c r="C118" s="131">
        <f>'Suc. León'!C118</f>
        <v>2</v>
      </c>
      <c r="D118" s="120">
        <f>'San Cayetano'!C118</f>
        <v>0</v>
      </c>
      <c r="E118" s="120">
        <f>'Suc. Boulevard'!C118</f>
        <v>2</v>
      </c>
      <c r="F118" s="120">
        <f>'Suc. Dos de Agosto'!C118</f>
        <v>0</v>
      </c>
      <c r="G118" s="120">
        <f>'Suc. La Nueva Canasta'!C118</f>
        <v>0</v>
      </c>
      <c r="H118" s="120">
        <f>'Suc. Mololoa'!C118</f>
        <v>1</v>
      </c>
      <c r="I118" s="120">
        <f>'Suc. Plaza'!C118</f>
        <v>3</v>
      </c>
      <c r="J118" s="120">
        <f>'Suc. Vistas'!C118</f>
        <v>0</v>
      </c>
      <c r="K118" s="120">
        <f>'Suc. Xalisco'!C118</f>
        <v>2</v>
      </c>
      <c r="L118" s="120">
        <f t="shared" ref="L118:L148" si="93">SUM(B118:K118)</f>
        <v>12</v>
      </c>
      <c r="M118" s="131">
        <f>'Suc. Acaponeta'!C118</f>
        <v>11</v>
      </c>
      <c r="N118" s="131">
        <f>'Suc. Compostela'!C118</f>
        <v>0</v>
      </c>
      <c r="O118" s="131">
        <f>'Suc. Ruiz'!C118</f>
        <v>2</v>
      </c>
      <c r="P118" s="131">
        <f>'Suc. Sanblas'!C118</f>
        <v>3</v>
      </c>
      <c r="Q118" s="131">
        <f>'LALO VARAS'!C118</f>
        <v>3</v>
      </c>
      <c r="R118" s="131">
        <f>'Suc. Santiago 2'!C118</f>
        <v>5</v>
      </c>
      <c r="S118" s="131">
        <f>'Suc. Tecuala'!C118</f>
        <v>4</v>
      </c>
      <c r="T118" s="131">
        <f>'Suc. Tuxpan'!C118</f>
        <v>0</v>
      </c>
      <c r="U118" s="131">
        <f>'Suc. Varas'!C118</f>
        <v>0</v>
      </c>
      <c r="V118" s="131">
        <f>'Suc. Santa María del Oro'!C118</f>
        <v>0</v>
      </c>
      <c r="W118" s="131">
        <f>'Suc. Villa Hidalgo'!C118</f>
        <v>3</v>
      </c>
      <c r="X118" s="131">
        <f>'Suc. Peñita'!C118</f>
        <v>0</v>
      </c>
      <c r="Y118" s="120">
        <f t="shared" ref="Y118:Y148" si="94">SUM(M118:X118)</f>
        <v>31</v>
      </c>
      <c r="Z118" s="120">
        <f t="shared" ref="Z118:Z148" si="95">L118+Y118</f>
        <v>43</v>
      </c>
      <c r="AB118" s="131">
        <f>IFERROR(VLOOKUP(A118,'GRAL. SUC. FORANEAS'!$R:$S,2,0),0)</f>
        <v>20</v>
      </c>
      <c r="AD118" s="131">
        <f t="shared" si="78"/>
        <v>63</v>
      </c>
    </row>
    <row r="119" spans="1:30" ht="17.399999999999999" x14ac:dyDescent="0.35">
      <c r="A119" s="95" t="s">
        <v>974</v>
      </c>
      <c r="B119" s="131">
        <f>'Suc. Amado Nervo'!C119</f>
        <v>4</v>
      </c>
      <c r="C119" s="131">
        <f>'Suc. León'!C119</f>
        <v>4</v>
      </c>
      <c r="D119" s="120">
        <f>'San Cayetano'!C119</f>
        <v>0</v>
      </c>
      <c r="E119" s="120">
        <f>'Suc. Boulevard'!C119</f>
        <v>1</v>
      </c>
      <c r="F119" s="120">
        <f>'Suc. Dos de Agosto'!C119</f>
        <v>3</v>
      </c>
      <c r="G119" s="120">
        <f>'Suc. La Nueva Canasta'!C119</f>
        <v>0</v>
      </c>
      <c r="H119" s="120">
        <f>'Suc. Mololoa'!C119</f>
        <v>2</v>
      </c>
      <c r="I119" s="120">
        <f>'Suc. Plaza'!C119</f>
        <v>3</v>
      </c>
      <c r="J119" s="120">
        <f>'Suc. Vistas'!C119</f>
        <v>1</v>
      </c>
      <c r="K119" s="120">
        <f>'Suc. Xalisco'!C119</f>
        <v>0</v>
      </c>
      <c r="L119" s="120">
        <f t="shared" ref="L119:L140" si="96">SUM(B119:K119)</f>
        <v>18</v>
      </c>
      <c r="M119" s="131">
        <f>'Suc. Acaponeta'!C119</f>
        <v>11</v>
      </c>
      <c r="N119" s="131">
        <f>'Suc. Compostela'!C119</f>
        <v>0</v>
      </c>
      <c r="O119" s="131">
        <f>'Suc. Ruiz'!C119</f>
        <v>3</v>
      </c>
      <c r="P119" s="131">
        <f>'Suc. Sanblas'!C119</f>
        <v>3</v>
      </c>
      <c r="Q119" s="131">
        <f>'LALO VARAS'!C119</f>
        <v>3</v>
      </c>
      <c r="R119" s="131">
        <f>'Suc. Santiago 2'!C119</f>
        <v>3</v>
      </c>
      <c r="S119" s="131">
        <f>'Suc. Tecuala'!C119</f>
        <v>3</v>
      </c>
      <c r="T119" s="131">
        <f>'Suc. Tuxpan'!C119</f>
        <v>0</v>
      </c>
      <c r="U119" s="131">
        <f>'Suc. Varas'!C119</f>
        <v>0</v>
      </c>
      <c r="V119" s="131">
        <f>'Suc. Santa María del Oro'!C119</f>
        <v>4</v>
      </c>
      <c r="W119" s="131">
        <f>'Suc. Villa Hidalgo'!C119</f>
        <v>6</v>
      </c>
      <c r="X119" s="131">
        <f>'Suc. Peñita'!C119</f>
        <v>0</v>
      </c>
      <c r="Y119" s="120">
        <f t="shared" ref="Y119:Y140" si="97">SUM(M119:X119)</f>
        <v>36</v>
      </c>
      <c r="Z119" s="120">
        <f t="shared" ref="Z119:Z140" si="98">L119+Y119</f>
        <v>54</v>
      </c>
      <c r="AB119" s="131">
        <f>IFERROR(VLOOKUP(A119,'GRAL. SUC. FORANEAS'!$R:$S,2,0),0)</f>
        <v>3</v>
      </c>
      <c r="AD119" s="131">
        <f t="shared" si="78"/>
        <v>57</v>
      </c>
    </row>
    <row r="120" spans="1:30" ht="17.399999999999999" x14ac:dyDescent="0.35">
      <c r="A120" s="95" t="s">
        <v>1077</v>
      </c>
      <c r="B120" s="131">
        <f>'Suc. Amado Nervo'!C120</f>
        <v>0</v>
      </c>
      <c r="C120" s="131">
        <f>'Suc. León'!C120</f>
        <v>0</v>
      </c>
      <c r="D120" s="120">
        <f>'San Cayetano'!C120</f>
        <v>2</v>
      </c>
      <c r="E120" s="120">
        <f>'Suc. Boulevard'!C120</f>
        <v>0</v>
      </c>
      <c r="F120" s="120">
        <f>'Suc. Dos de Agosto'!C120</f>
        <v>0</v>
      </c>
      <c r="G120" s="120">
        <f>'Suc. La Nueva Canasta'!C120</f>
        <v>0</v>
      </c>
      <c r="H120" s="120">
        <f>'Suc. Mololoa'!C120</f>
        <v>0</v>
      </c>
      <c r="I120" s="120">
        <f>'Suc. Plaza'!C120</f>
        <v>0</v>
      </c>
      <c r="J120" s="120">
        <f>'Suc. Vistas'!C120</f>
        <v>0</v>
      </c>
      <c r="K120" s="120">
        <f>'Suc. Xalisco'!C120</f>
        <v>0</v>
      </c>
      <c r="L120" s="120">
        <f t="shared" si="96"/>
        <v>2</v>
      </c>
      <c r="M120" s="131">
        <f>'Suc. Acaponeta'!C120</f>
        <v>0</v>
      </c>
      <c r="N120" s="131">
        <f>'Suc. Compostela'!C120</f>
        <v>0</v>
      </c>
      <c r="O120" s="131">
        <f>'Suc. Ruiz'!C120</f>
        <v>0</v>
      </c>
      <c r="P120" s="131">
        <f>'Suc. Sanblas'!C120</f>
        <v>0</v>
      </c>
      <c r="Q120" s="131">
        <f>'LALO VARAS'!C120</f>
        <v>0</v>
      </c>
      <c r="R120" s="131">
        <f>'Suc. Santiago 2'!C120</f>
        <v>0</v>
      </c>
      <c r="S120" s="131">
        <f>'Suc. Tecuala'!C120</f>
        <v>0</v>
      </c>
      <c r="T120" s="131">
        <f>'Suc. Tuxpan'!C120</f>
        <v>0</v>
      </c>
      <c r="U120" s="131">
        <f>'Suc. Varas'!C120</f>
        <v>0</v>
      </c>
      <c r="V120" s="131">
        <f>'Suc. Santa María del Oro'!C120</f>
        <v>1</v>
      </c>
      <c r="W120" s="131">
        <f>'Suc. Villa Hidalgo'!C120</f>
        <v>0</v>
      </c>
      <c r="X120" s="131">
        <f>'Suc. Peñita'!C120</f>
        <v>0</v>
      </c>
      <c r="Y120" s="120">
        <f t="shared" si="97"/>
        <v>1</v>
      </c>
      <c r="Z120" s="120">
        <f t="shared" si="98"/>
        <v>3</v>
      </c>
      <c r="AB120" s="131">
        <f>IFERROR(VLOOKUP(A120,'GRAL. SUC. FORANEAS'!$R:$S,2,0),0)</f>
        <v>0</v>
      </c>
      <c r="AD120" s="131">
        <f t="shared" si="78"/>
        <v>3</v>
      </c>
    </row>
    <row r="121" spans="1:30" ht="17.399999999999999" x14ac:dyDescent="0.35">
      <c r="A121" s="95" t="s">
        <v>1076</v>
      </c>
      <c r="B121" s="131">
        <f>'Suc. Amado Nervo'!C121</f>
        <v>0</v>
      </c>
      <c r="C121" s="131">
        <f>'Suc. León'!C121</f>
        <v>0</v>
      </c>
      <c r="D121" s="120">
        <f>'San Cayetano'!C121</f>
        <v>2</v>
      </c>
      <c r="E121" s="120">
        <f>'Suc. Boulevard'!C121</f>
        <v>0</v>
      </c>
      <c r="F121" s="120">
        <f>'Suc. Dos de Agosto'!C121</f>
        <v>1</v>
      </c>
      <c r="G121" s="120">
        <f>'Suc. La Nueva Canasta'!C121</f>
        <v>0</v>
      </c>
      <c r="H121" s="120">
        <f>'Suc. Mololoa'!C121</f>
        <v>0</v>
      </c>
      <c r="I121" s="120">
        <f>'Suc. Plaza'!C121</f>
        <v>0</v>
      </c>
      <c r="J121" s="120">
        <f>'Suc. Vistas'!C121</f>
        <v>0</v>
      </c>
      <c r="K121" s="120">
        <f>'Suc. Xalisco'!C121</f>
        <v>1</v>
      </c>
      <c r="L121" s="120">
        <f t="shared" si="96"/>
        <v>4</v>
      </c>
      <c r="M121" s="131">
        <f>'Suc. Acaponeta'!C121</f>
        <v>1</v>
      </c>
      <c r="N121" s="131">
        <f>'Suc. Compostela'!C121</f>
        <v>0</v>
      </c>
      <c r="O121" s="131">
        <f>'Suc. Ruiz'!C121</f>
        <v>0</v>
      </c>
      <c r="P121" s="131">
        <f>'Suc. Sanblas'!C121</f>
        <v>0</v>
      </c>
      <c r="Q121" s="131">
        <f>'LALO VARAS'!C121</f>
        <v>0</v>
      </c>
      <c r="R121" s="131">
        <f>'Suc. Santiago 2'!C121</f>
        <v>0</v>
      </c>
      <c r="S121" s="131">
        <f>'Suc. Tecuala'!C121</f>
        <v>1</v>
      </c>
      <c r="T121" s="131">
        <f>'Suc. Tuxpan'!C121</f>
        <v>0</v>
      </c>
      <c r="U121" s="131">
        <f>'Suc. Varas'!C121</f>
        <v>0</v>
      </c>
      <c r="V121" s="131">
        <f>'Suc. Santa María del Oro'!C121</f>
        <v>0</v>
      </c>
      <c r="W121" s="131">
        <f>'Suc. Villa Hidalgo'!C121</f>
        <v>0</v>
      </c>
      <c r="X121" s="131">
        <f>'Suc. Peñita'!C121</f>
        <v>0</v>
      </c>
      <c r="Y121" s="120">
        <f t="shared" si="97"/>
        <v>2</v>
      </c>
      <c r="Z121" s="120">
        <f t="shared" si="98"/>
        <v>6</v>
      </c>
      <c r="AB121" s="131">
        <f>IFERROR(VLOOKUP(A121,'GRAL. SUC. FORANEAS'!$R:$S,2,0),0)</f>
        <v>0</v>
      </c>
      <c r="AD121" s="131">
        <f t="shared" si="78"/>
        <v>6</v>
      </c>
    </row>
    <row r="122" spans="1:30" ht="17.399999999999999" x14ac:dyDescent="0.35">
      <c r="A122" s="95" t="s">
        <v>1014</v>
      </c>
      <c r="B122" s="131">
        <f>'Suc. Amado Nervo'!C122</f>
        <v>10</v>
      </c>
      <c r="C122" s="131">
        <f>'Suc. León'!C122</f>
        <v>11</v>
      </c>
      <c r="D122" s="120">
        <f>'San Cayetano'!C122</f>
        <v>5</v>
      </c>
      <c r="E122" s="120">
        <f>'Suc. Boulevard'!C122</f>
        <v>2</v>
      </c>
      <c r="F122" s="120">
        <f>'Suc. Dos de Agosto'!C122</f>
        <v>4</v>
      </c>
      <c r="G122" s="120">
        <f>'Suc. La Nueva Canasta'!C122</f>
        <v>0</v>
      </c>
      <c r="H122" s="120">
        <f>'Suc. Mololoa'!C122</f>
        <v>10</v>
      </c>
      <c r="I122" s="120">
        <f>'Suc. Plaza'!C122</f>
        <v>9</v>
      </c>
      <c r="J122" s="120">
        <f>'Suc. Vistas'!C122</f>
        <v>4</v>
      </c>
      <c r="K122" s="120">
        <f>'Suc. Xalisco'!C122</f>
        <v>4</v>
      </c>
      <c r="L122" s="120">
        <f t="shared" si="96"/>
        <v>59</v>
      </c>
      <c r="M122" s="131">
        <f>'Suc. Acaponeta'!C122</f>
        <v>10</v>
      </c>
      <c r="N122" s="131">
        <f>'Suc. Compostela'!C122</f>
        <v>3</v>
      </c>
      <c r="O122" s="131">
        <f>'Suc. Ruiz'!C122</f>
        <v>0</v>
      </c>
      <c r="P122" s="131">
        <f>'Suc. Sanblas'!C122</f>
        <v>0</v>
      </c>
      <c r="Q122" s="131">
        <f>'LALO VARAS'!C122</f>
        <v>5</v>
      </c>
      <c r="R122" s="131">
        <f>'Suc. Santiago 2'!C122</f>
        <v>10</v>
      </c>
      <c r="S122" s="131">
        <f>'Suc. Tecuala'!C122</f>
        <v>4</v>
      </c>
      <c r="T122" s="131">
        <f>'Suc. Tuxpan'!C122</f>
        <v>0</v>
      </c>
      <c r="U122" s="131">
        <f>'Suc. Varas'!C122</f>
        <v>4</v>
      </c>
      <c r="V122" s="131">
        <f>'Suc. Santa María del Oro'!C122</f>
        <v>0</v>
      </c>
      <c r="W122" s="131">
        <f>'Suc. Villa Hidalgo'!C122</f>
        <v>2</v>
      </c>
      <c r="X122" s="131">
        <f>'Suc. Peñita'!C122</f>
        <v>0</v>
      </c>
      <c r="Y122" s="120">
        <f t="shared" si="97"/>
        <v>38</v>
      </c>
      <c r="Z122" s="120">
        <f t="shared" si="98"/>
        <v>97</v>
      </c>
      <c r="AB122" s="131">
        <f>IFERROR(VLOOKUP(A122,'GRAL. SUC. FORANEAS'!$R:$S,2,0),0)</f>
        <v>35</v>
      </c>
      <c r="AD122" s="131">
        <f t="shared" si="78"/>
        <v>132</v>
      </c>
    </row>
    <row r="123" spans="1:30" ht="17.399999999999999" x14ac:dyDescent="0.35">
      <c r="A123" s="95" t="s">
        <v>1015</v>
      </c>
      <c r="B123" s="131">
        <f>'Suc. Amado Nervo'!C123</f>
        <v>5</v>
      </c>
      <c r="C123" s="131">
        <f>'Suc. León'!C123</f>
        <v>12</v>
      </c>
      <c r="D123" s="120">
        <f>'San Cayetano'!C123</f>
        <v>5</v>
      </c>
      <c r="E123" s="120">
        <f>'Suc. Boulevard'!C123</f>
        <v>4</v>
      </c>
      <c r="F123" s="120">
        <f>'Suc. Dos de Agosto'!C123</f>
        <v>3</v>
      </c>
      <c r="G123" s="120">
        <f>'Suc. La Nueva Canasta'!C123</f>
        <v>0</v>
      </c>
      <c r="H123" s="120">
        <f>'Suc. Mololoa'!C123</f>
        <v>5</v>
      </c>
      <c r="I123" s="120">
        <f>'Suc. Plaza'!C123</f>
        <v>10</v>
      </c>
      <c r="J123" s="120">
        <f>'Suc. Vistas'!C123</f>
        <v>10</v>
      </c>
      <c r="K123" s="120">
        <f>'Suc. Xalisco'!C123</f>
        <v>0</v>
      </c>
      <c r="L123" s="120">
        <f t="shared" si="96"/>
        <v>54</v>
      </c>
      <c r="M123" s="131">
        <f>'Suc. Acaponeta'!C123</f>
        <v>5</v>
      </c>
      <c r="N123" s="131">
        <f>'Suc. Compostela'!C123</f>
        <v>3</v>
      </c>
      <c r="O123" s="131">
        <f>'Suc. Ruiz'!C123</f>
        <v>4</v>
      </c>
      <c r="P123" s="131">
        <f>'Suc. Sanblas'!C123</f>
        <v>0</v>
      </c>
      <c r="Q123" s="131">
        <f>'LALO VARAS'!C123</f>
        <v>5</v>
      </c>
      <c r="R123" s="131">
        <f>'Suc. Santiago 2'!C123</f>
        <v>1</v>
      </c>
      <c r="S123" s="131">
        <f>'Suc. Tecuala'!C123</f>
        <v>0</v>
      </c>
      <c r="T123" s="131">
        <f>'Suc. Tuxpan'!C123</f>
        <v>3</v>
      </c>
      <c r="U123" s="131">
        <f>'Suc. Varas'!C123</f>
        <v>14</v>
      </c>
      <c r="V123" s="131">
        <f>'Suc. Santa María del Oro'!C123</f>
        <v>7</v>
      </c>
      <c r="W123" s="131">
        <f>'Suc. Villa Hidalgo'!C123</f>
        <v>3</v>
      </c>
      <c r="X123" s="131">
        <f>'Suc. Peñita'!C123</f>
        <v>0</v>
      </c>
      <c r="Y123" s="120">
        <f t="shared" si="97"/>
        <v>45</v>
      </c>
      <c r="Z123" s="120">
        <f t="shared" si="98"/>
        <v>99</v>
      </c>
      <c r="AB123" s="131">
        <f>IFERROR(VLOOKUP(A123,'GRAL. SUC. FORANEAS'!$R:$S,2,0),0)</f>
        <v>12</v>
      </c>
      <c r="AD123" s="131">
        <f t="shared" si="78"/>
        <v>111</v>
      </c>
    </row>
    <row r="124" spans="1:30" ht="17.399999999999999" x14ac:dyDescent="0.35">
      <c r="A124" s="95" t="s">
        <v>1016</v>
      </c>
      <c r="B124" s="131">
        <f>'Suc. Amado Nervo'!C124</f>
        <v>5</v>
      </c>
      <c r="C124" s="131">
        <f>'Suc. León'!C124</f>
        <v>10</v>
      </c>
      <c r="D124" s="120">
        <f>'San Cayetano'!C124</f>
        <v>5</v>
      </c>
      <c r="E124" s="120">
        <f>'Suc. Boulevard'!C124</f>
        <v>3</v>
      </c>
      <c r="F124" s="120">
        <f>'Suc. Dos de Agosto'!C124</f>
        <v>3</v>
      </c>
      <c r="G124" s="120">
        <f>'Suc. La Nueva Canasta'!C124</f>
        <v>0</v>
      </c>
      <c r="H124" s="120">
        <f>'Suc. Mololoa'!C124</f>
        <v>8</v>
      </c>
      <c r="I124" s="120">
        <f>'Suc. Plaza'!C124</f>
        <v>10</v>
      </c>
      <c r="J124" s="120">
        <f>'Suc. Vistas'!C124</f>
        <v>5</v>
      </c>
      <c r="K124" s="120">
        <f>'Suc. Xalisco'!C124</f>
        <v>10</v>
      </c>
      <c r="L124" s="120">
        <f t="shared" si="96"/>
        <v>59</v>
      </c>
      <c r="M124" s="131">
        <f>'Suc. Acaponeta'!C124</f>
        <v>5</v>
      </c>
      <c r="N124" s="131">
        <f>'Suc. Compostela'!C124</f>
        <v>6</v>
      </c>
      <c r="O124" s="131">
        <f>'Suc. Ruiz'!C124</f>
        <v>0</v>
      </c>
      <c r="P124" s="131">
        <f>'Suc. Sanblas'!C124</f>
        <v>0</v>
      </c>
      <c r="Q124" s="131">
        <f>'LALO VARAS'!C124</f>
        <v>10</v>
      </c>
      <c r="R124" s="131">
        <f>'Suc. Santiago 2'!C124</f>
        <v>12</v>
      </c>
      <c r="S124" s="131">
        <f>'Suc. Tecuala'!C124</f>
        <v>0</v>
      </c>
      <c r="T124" s="131">
        <f>'Suc. Tuxpan'!C124</f>
        <v>0</v>
      </c>
      <c r="U124" s="131">
        <f>'Suc. Varas'!C124</f>
        <v>0</v>
      </c>
      <c r="V124" s="131">
        <f>'Suc. Santa María del Oro'!C124</f>
        <v>6</v>
      </c>
      <c r="W124" s="131">
        <f>'Suc. Villa Hidalgo'!C124</f>
        <v>1</v>
      </c>
      <c r="X124" s="131">
        <f>'Suc. Peñita'!C124</f>
        <v>1</v>
      </c>
      <c r="Y124" s="120">
        <f t="shared" si="97"/>
        <v>41</v>
      </c>
      <c r="Z124" s="120">
        <f t="shared" si="98"/>
        <v>100</v>
      </c>
      <c r="AB124" s="131">
        <f>IFERROR(VLOOKUP(A124,'GRAL. SUC. FORANEAS'!$R:$S,2,0),0)</f>
        <v>10</v>
      </c>
      <c r="AD124" s="131">
        <f t="shared" si="78"/>
        <v>110</v>
      </c>
    </row>
    <row r="125" spans="1:30" ht="17.399999999999999" x14ac:dyDescent="0.35">
      <c r="A125" s="95" t="s">
        <v>1017</v>
      </c>
      <c r="B125" s="131">
        <f>'Suc. Amado Nervo'!C125</f>
        <v>10</v>
      </c>
      <c r="C125" s="131">
        <f>'Suc. León'!C125</f>
        <v>10</v>
      </c>
      <c r="D125" s="120">
        <f>'San Cayetano'!C125</f>
        <v>5</v>
      </c>
      <c r="E125" s="120">
        <f>'Suc. Boulevard'!C125</f>
        <v>2</v>
      </c>
      <c r="F125" s="120">
        <f>'Suc. Dos de Agosto'!C125</f>
        <v>2</v>
      </c>
      <c r="G125" s="120">
        <f>'Suc. La Nueva Canasta'!C125</f>
        <v>0</v>
      </c>
      <c r="H125" s="120">
        <f>'Suc. Mololoa'!C125</f>
        <v>5</v>
      </c>
      <c r="I125" s="120">
        <f>'Suc. Plaza'!C125</f>
        <v>10</v>
      </c>
      <c r="J125" s="120">
        <f>'Suc. Vistas'!C125</f>
        <v>10</v>
      </c>
      <c r="K125" s="120">
        <f>'Suc. Xalisco'!C125</f>
        <v>3</v>
      </c>
      <c r="L125" s="120">
        <f t="shared" si="96"/>
        <v>57</v>
      </c>
      <c r="M125" s="131">
        <f>'Suc. Acaponeta'!C125</f>
        <v>10</v>
      </c>
      <c r="N125" s="131">
        <f>'Suc. Compostela'!C125</f>
        <v>10</v>
      </c>
      <c r="O125" s="131">
        <f>'Suc. Ruiz'!C125</f>
        <v>4</v>
      </c>
      <c r="P125" s="131">
        <f>'Suc. Sanblas'!C125</f>
        <v>0</v>
      </c>
      <c r="Q125" s="131">
        <f>'LALO VARAS'!C125</f>
        <v>6</v>
      </c>
      <c r="R125" s="131">
        <f>'Suc. Santiago 2'!C125</f>
        <v>10</v>
      </c>
      <c r="S125" s="131">
        <f>'Suc. Tecuala'!C125</f>
        <v>4</v>
      </c>
      <c r="T125" s="131">
        <f>'Suc. Tuxpan'!C125</f>
        <v>1</v>
      </c>
      <c r="U125" s="131">
        <f>'Suc. Varas'!C125</f>
        <v>2</v>
      </c>
      <c r="V125" s="131">
        <f>'Suc. Santa María del Oro'!C125</f>
        <v>1</v>
      </c>
      <c r="W125" s="131">
        <f>'Suc. Villa Hidalgo'!C125</f>
        <v>1</v>
      </c>
      <c r="X125" s="131">
        <f>'Suc. Peñita'!C125</f>
        <v>0</v>
      </c>
      <c r="Y125" s="120">
        <f t="shared" si="97"/>
        <v>49</v>
      </c>
      <c r="Z125" s="120">
        <f t="shared" si="98"/>
        <v>106</v>
      </c>
      <c r="AB125" s="131">
        <f>IFERROR(VLOOKUP(A125,'GRAL. SUC. FORANEAS'!$R:$S,2,0),0)</f>
        <v>1</v>
      </c>
      <c r="AD125" s="131">
        <f t="shared" si="78"/>
        <v>107</v>
      </c>
    </row>
    <row r="126" spans="1:30" ht="17.399999999999999" x14ac:dyDescent="0.35">
      <c r="A126" s="95" t="s">
        <v>1125</v>
      </c>
      <c r="B126" s="131">
        <f>'Suc. Amado Nervo'!C126</f>
        <v>7</v>
      </c>
      <c r="C126" s="131">
        <f>'Suc. León'!C126</f>
        <v>0</v>
      </c>
      <c r="D126" s="120">
        <f>'San Cayetano'!C126</f>
        <v>2</v>
      </c>
      <c r="E126" s="120">
        <f>'Suc. Boulevard'!C126</f>
        <v>0</v>
      </c>
      <c r="F126" s="120">
        <f>'Suc. Dos de Agosto'!C126</f>
        <v>0</v>
      </c>
      <c r="G126" s="120">
        <f>'Suc. La Nueva Canasta'!C126</f>
        <v>0</v>
      </c>
      <c r="H126" s="120">
        <f>'Suc. Mololoa'!C126</f>
        <v>1</v>
      </c>
      <c r="I126" s="120">
        <f>'Suc. Plaza'!C126</f>
        <v>2</v>
      </c>
      <c r="J126" s="120">
        <f>'Suc. Vistas'!C126</f>
        <v>1</v>
      </c>
      <c r="K126" s="120">
        <f>'Suc. Xalisco'!C126</f>
        <v>2</v>
      </c>
      <c r="L126" s="120">
        <f t="shared" si="96"/>
        <v>15</v>
      </c>
      <c r="M126" s="131">
        <f>'Suc. Acaponeta'!C126</f>
        <v>0</v>
      </c>
      <c r="N126" s="131">
        <f>'Suc. Compostela'!C126</f>
        <v>1</v>
      </c>
      <c r="O126" s="131">
        <f>'Suc. Ruiz'!C126</f>
        <v>1</v>
      </c>
      <c r="P126" s="131">
        <f>'Suc. Sanblas'!C126</f>
        <v>1</v>
      </c>
      <c r="Q126" s="131">
        <f>'LALO VARAS'!C126</f>
        <v>0</v>
      </c>
      <c r="R126" s="131">
        <f>'Suc. Santiago 2'!C126</f>
        <v>0</v>
      </c>
      <c r="S126" s="131">
        <f>'Suc. Tecuala'!C126</f>
        <v>0</v>
      </c>
      <c r="T126" s="131">
        <f>'Suc. Tuxpan'!C126</f>
        <v>0</v>
      </c>
      <c r="U126" s="131">
        <f>'Suc. Varas'!C126</f>
        <v>1</v>
      </c>
      <c r="V126" s="131">
        <f>'Suc. Santa María del Oro'!C126</f>
        <v>0</v>
      </c>
      <c r="W126" s="131">
        <f>'Suc. Villa Hidalgo'!C126</f>
        <v>1</v>
      </c>
      <c r="X126" s="131">
        <f>'Suc. Peñita'!C126</f>
        <v>0</v>
      </c>
      <c r="Y126" s="120">
        <f t="shared" si="97"/>
        <v>5</v>
      </c>
      <c r="Z126" s="120">
        <f t="shared" si="98"/>
        <v>20</v>
      </c>
      <c r="AB126" s="131">
        <f>IFERROR(VLOOKUP(A126,'GRAL. SUC. FORANEAS'!$R:$S,2,0),0)</f>
        <v>0</v>
      </c>
      <c r="AD126" s="131">
        <f t="shared" si="78"/>
        <v>20</v>
      </c>
    </row>
    <row r="127" spans="1:30" ht="17.399999999999999" x14ac:dyDescent="0.35">
      <c r="A127" s="95" t="s">
        <v>1126</v>
      </c>
      <c r="B127" s="131">
        <f>'Suc. Amado Nervo'!C127</f>
        <v>0</v>
      </c>
      <c r="C127" s="131">
        <f>'Suc. León'!C127</f>
        <v>0</v>
      </c>
      <c r="D127" s="120">
        <f>'San Cayetano'!C127</f>
        <v>1</v>
      </c>
      <c r="E127" s="120">
        <f>'Suc. Boulevard'!C127</f>
        <v>1</v>
      </c>
      <c r="F127" s="120">
        <f>'Suc. Dos de Agosto'!C127</f>
        <v>1</v>
      </c>
      <c r="G127" s="120">
        <f>'Suc. La Nueva Canasta'!C127</f>
        <v>0</v>
      </c>
      <c r="H127" s="120">
        <f>'Suc. Mololoa'!C127</f>
        <v>1</v>
      </c>
      <c r="I127" s="120">
        <f>'Suc. Plaza'!C127</f>
        <v>2</v>
      </c>
      <c r="J127" s="120">
        <f>'Suc. Vistas'!C127</f>
        <v>0</v>
      </c>
      <c r="K127" s="120">
        <f>'Suc. Xalisco'!C127</f>
        <v>1</v>
      </c>
      <c r="L127" s="120">
        <f t="shared" si="96"/>
        <v>7</v>
      </c>
      <c r="M127" s="131">
        <f>'Suc. Acaponeta'!C127</f>
        <v>0</v>
      </c>
      <c r="N127" s="131">
        <f>'Suc. Compostela'!C127</f>
        <v>2</v>
      </c>
      <c r="O127" s="131">
        <f>'Suc. Ruiz'!C127</f>
        <v>1</v>
      </c>
      <c r="P127" s="131">
        <f>'Suc. Sanblas'!C127</f>
        <v>0</v>
      </c>
      <c r="Q127" s="131">
        <f>'LALO VARAS'!C127</f>
        <v>0</v>
      </c>
      <c r="R127" s="131">
        <f>'Suc. Santiago 2'!C127</f>
        <v>0</v>
      </c>
      <c r="S127" s="131">
        <f>'Suc. Tecuala'!C127</f>
        <v>2</v>
      </c>
      <c r="T127" s="131">
        <f>'Suc. Tuxpan'!C127</f>
        <v>1</v>
      </c>
      <c r="U127" s="131">
        <f>'Suc. Varas'!C127</f>
        <v>0</v>
      </c>
      <c r="V127" s="131">
        <f>'Suc. Santa María del Oro'!C127</f>
        <v>0</v>
      </c>
      <c r="W127" s="131">
        <f>'Suc. Villa Hidalgo'!C127</f>
        <v>0</v>
      </c>
      <c r="X127" s="131">
        <f>'Suc. Peñita'!C127</f>
        <v>0</v>
      </c>
      <c r="Y127" s="120">
        <f t="shared" si="97"/>
        <v>6</v>
      </c>
      <c r="Z127" s="120">
        <f t="shared" si="98"/>
        <v>13</v>
      </c>
      <c r="AB127" s="131">
        <f>IFERROR(VLOOKUP(A127,'GRAL. SUC. FORANEAS'!$R:$S,2,0),0)</f>
        <v>0</v>
      </c>
      <c r="AD127" s="131">
        <f t="shared" si="78"/>
        <v>13</v>
      </c>
    </row>
    <row r="128" spans="1:30" ht="17.399999999999999" x14ac:dyDescent="0.35">
      <c r="A128" s="95" t="s">
        <v>568</v>
      </c>
      <c r="B128" s="131">
        <f>'Suc. Amado Nervo'!C128</f>
        <v>2</v>
      </c>
      <c r="C128" s="131">
        <f>'Suc. León'!C128</f>
        <v>3</v>
      </c>
      <c r="D128" s="120">
        <f>'San Cayetano'!C128</f>
        <v>3</v>
      </c>
      <c r="E128" s="120">
        <f>'Suc. Boulevard'!C128</f>
        <v>0</v>
      </c>
      <c r="F128" s="120">
        <f>'Suc. Dos de Agosto'!C128</f>
        <v>3</v>
      </c>
      <c r="G128" s="120">
        <f>'Suc. La Nueva Canasta'!C128</f>
        <v>0</v>
      </c>
      <c r="H128" s="120">
        <f>'Suc. Mololoa'!C128</f>
        <v>3</v>
      </c>
      <c r="I128" s="120">
        <f>'Suc. Plaza'!C128</f>
        <v>2</v>
      </c>
      <c r="J128" s="120">
        <f>'Suc. Vistas'!C128</f>
        <v>1</v>
      </c>
      <c r="K128" s="120">
        <f>'Suc. Xalisco'!C128</f>
        <v>0</v>
      </c>
      <c r="L128" s="120">
        <f t="shared" si="96"/>
        <v>17</v>
      </c>
      <c r="M128" s="131">
        <f>'Suc. Acaponeta'!C128</f>
        <v>0</v>
      </c>
      <c r="N128" s="131">
        <f>'Suc. Compostela'!C128</f>
        <v>0</v>
      </c>
      <c r="O128" s="131">
        <f>'Suc. Ruiz'!C128</f>
        <v>2</v>
      </c>
      <c r="P128" s="131">
        <f>'Suc. Sanblas'!C128</f>
        <v>3</v>
      </c>
      <c r="Q128" s="131">
        <f>'LALO VARAS'!C128</f>
        <v>3</v>
      </c>
      <c r="R128" s="131">
        <f>'Suc. Santiago 2'!C128</f>
        <v>3</v>
      </c>
      <c r="S128" s="131">
        <f>'Suc. Tecuala'!C128</f>
        <v>3</v>
      </c>
      <c r="T128" s="131">
        <f>'Suc. Tuxpan'!C128</f>
        <v>0</v>
      </c>
      <c r="U128" s="131">
        <f>'Suc. Varas'!C128</f>
        <v>0</v>
      </c>
      <c r="V128" s="131">
        <f>'Suc. Santa María del Oro'!C128</f>
        <v>0</v>
      </c>
      <c r="W128" s="131">
        <f>'Suc. Villa Hidalgo'!C128</f>
        <v>3</v>
      </c>
      <c r="X128" s="131">
        <f>'Suc. Peñita'!C128</f>
        <v>0</v>
      </c>
      <c r="Y128" s="120">
        <f t="shared" si="97"/>
        <v>17</v>
      </c>
      <c r="Z128" s="120">
        <f t="shared" si="98"/>
        <v>34</v>
      </c>
      <c r="AB128" s="131">
        <f>IFERROR(VLOOKUP(A128,'GRAL. SUC. FORANEAS'!$R:$S,2,0),0)</f>
        <v>15</v>
      </c>
      <c r="AD128" s="131">
        <f t="shared" si="78"/>
        <v>49</v>
      </c>
    </row>
    <row r="129" spans="1:30" ht="17.399999999999999" x14ac:dyDescent="0.35">
      <c r="A129" s="95" t="s">
        <v>565</v>
      </c>
      <c r="B129" s="131">
        <f>'Suc. Amado Nervo'!C129</f>
        <v>2</v>
      </c>
      <c r="C129" s="131">
        <f>'Suc. León'!C129</f>
        <v>2</v>
      </c>
      <c r="D129" s="120">
        <f>'San Cayetano'!C129</f>
        <v>2</v>
      </c>
      <c r="E129" s="120">
        <f>'Suc. Boulevard'!C129</f>
        <v>2</v>
      </c>
      <c r="F129" s="120">
        <f>'Suc. Dos de Agosto'!C129</f>
        <v>0</v>
      </c>
      <c r="G129" s="120">
        <f>'Suc. La Nueva Canasta'!C129</f>
        <v>0</v>
      </c>
      <c r="H129" s="120">
        <f>'Suc. Mololoa'!C129</f>
        <v>1</v>
      </c>
      <c r="I129" s="120">
        <f>'Suc. Plaza'!C129</f>
        <v>0</v>
      </c>
      <c r="J129" s="120">
        <f>'Suc. Vistas'!C129</f>
        <v>1</v>
      </c>
      <c r="K129" s="120">
        <f>'Suc. Xalisco'!C129</f>
        <v>0</v>
      </c>
      <c r="L129" s="120">
        <f t="shared" si="96"/>
        <v>10</v>
      </c>
      <c r="M129" s="131">
        <f>'Suc. Acaponeta'!C129</f>
        <v>0</v>
      </c>
      <c r="N129" s="131">
        <f>'Suc. Compostela'!C129</f>
        <v>0</v>
      </c>
      <c r="O129" s="131">
        <f>'Suc. Ruiz'!C129</f>
        <v>0</v>
      </c>
      <c r="P129" s="131">
        <f>'Suc. Sanblas'!C129</f>
        <v>1</v>
      </c>
      <c r="Q129" s="131">
        <f>'LALO VARAS'!C129</f>
        <v>2</v>
      </c>
      <c r="R129" s="131">
        <f>'Suc. Santiago 2'!C129</f>
        <v>1</v>
      </c>
      <c r="S129" s="131">
        <f>'Suc. Tecuala'!C129</f>
        <v>1</v>
      </c>
      <c r="T129" s="131">
        <f>'Suc. Tuxpan'!C129</f>
        <v>0</v>
      </c>
      <c r="U129" s="131">
        <f>'Suc. Varas'!C129</f>
        <v>1</v>
      </c>
      <c r="V129" s="131">
        <f>'Suc. Santa María del Oro'!C129</f>
        <v>0</v>
      </c>
      <c r="W129" s="131">
        <f>'Suc. Villa Hidalgo'!C129</f>
        <v>0</v>
      </c>
      <c r="X129" s="131">
        <f>'Suc. Peñita'!C129</f>
        <v>0</v>
      </c>
      <c r="Y129" s="120">
        <f t="shared" si="97"/>
        <v>6</v>
      </c>
      <c r="Z129" s="120">
        <f t="shared" si="98"/>
        <v>16</v>
      </c>
      <c r="AB129" s="131">
        <f>IFERROR(VLOOKUP(A129,'GRAL. SUC. FORANEAS'!$R:$S,2,0),0)</f>
        <v>1</v>
      </c>
      <c r="AD129" s="131">
        <f t="shared" si="78"/>
        <v>17</v>
      </c>
    </row>
    <row r="130" spans="1:30" ht="17.399999999999999" x14ac:dyDescent="0.35">
      <c r="A130" s="95" t="s">
        <v>912</v>
      </c>
      <c r="B130" s="131">
        <f>'Suc. Amado Nervo'!C130</f>
        <v>0</v>
      </c>
      <c r="C130" s="131">
        <f>'Suc. León'!C130</f>
        <v>0</v>
      </c>
      <c r="D130" s="120">
        <f>'San Cayetano'!C130</f>
        <v>0</v>
      </c>
      <c r="E130" s="120">
        <f>'Suc. Boulevard'!C130</f>
        <v>0</v>
      </c>
      <c r="F130" s="120">
        <f>'Suc. Dos de Agosto'!C130</f>
        <v>2</v>
      </c>
      <c r="G130" s="120">
        <f>'Suc. La Nueva Canasta'!C130</f>
        <v>0</v>
      </c>
      <c r="H130" s="120">
        <f>'Suc. Mololoa'!C130</f>
        <v>0</v>
      </c>
      <c r="I130" s="120">
        <f>'Suc. Plaza'!C130</f>
        <v>0</v>
      </c>
      <c r="J130" s="120">
        <f>'Suc. Vistas'!C130</f>
        <v>0</v>
      </c>
      <c r="K130" s="120">
        <f>'Suc. Xalisco'!C130</f>
        <v>1</v>
      </c>
      <c r="L130" s="120">
        <f t="shared" si="96"/>
        <v>3</v>
      </c>
      <c r="M130" s="131">
        <f>'Suc. Acaponeta'!C130</f>
        <v>1</v>
      </c>
      <c r="N130" s="131">
        <f>'Suc. Compostela'!C130</f>
        <v>1</v>
      </c>
      <c r="O130" s="131">
        <f>'Suc. Ruiz'!C130</f>
        <v>1</v>
      </c>
      <c r="P130" s="131">
        <f>'Suc. Sanblas'!C130</f>
        <v>0</v>
      </c>
      <c r="Q130" s="131">
        <f>'LALO VARAS'!C130</f>
        <v>1</v>
      </c>
      <c r="R130" s="131">
        <f>'Suc. Santiago 2'!C130</f>
        <v>2</v>
      </c>
      <c r="S130" s="131">
        <f>'Suc. Tecuala'!C130</f>
        <v>2</v>
      </c>
      <c r="T130" s="131">
        <f>'Suc. Tuxpan'!C130</f>
        <v>0</v>
      </c>
      <c r="U130" s="131">
        <f>'Suc. Varas'!C130</f>
        <v>1</v>
      </c>
      <c r="V130" s="131">
        <f>'Suc. Santa María del Oro'!C130</f>
        <v>0</v>
      </c>
      <c r="W130" s="131">
        <f>'Suc. Villa Hidalgo'!C130</f>
        <v>1</v>
      </c>
      <c r="X130" s="131">
        <f>'Suc. Peñita'!C130</f>
        <v>0</v>
      </c>
      <c r="Y130" s="120">
        <f t="shared" si="97"/>
        <v>10</v>
      </c>
      <c r="Z130" s="120">
        <f t="shared" si="98"/>
        <v>13</v>
      </c>
      <c r="AB130" s="131">
        <f>IFERROR(VLOOKUP(A130,'GRAL. SUC. FORANEAS'!$R:$S,2,0),0)</f>
        <v>20</v>
      </c>
      <c r="AD130" s="131">
        <f t="shared" si="78"/>
        <v>33</v>
      </c>
    </row>
    <row r="131" spans="1:30" ht="17.399999999999999" x14ac:dyDescent="0.35">
      <c r="A131" s="95" t="s">
        <v>557</v>
      </c>
      <c r="B131" s="131">
        <f>'Suc. Amado Nervo'!C131</f>
        <v>1</v>
      </c>
      <c r="C131" s="131">
        <f>'Suc. León'!C131</f>
        <v>0</v>
      </c>
      <c r="D131" s="120">
        <f>'San Cayetano'!C131</f>
        <v>1</v>
      </c>
      <c r="E131" s="120">
        <f>'Suc. Boulevard'!C131</f>
        <v>2</v>
      </c>
      <c r="F131" s="120">
        <f>'Suc. Dos de Agosto'!C131</f>
        <v>1</v>
      </c>
      <c r="G131" s="120">
        <f>'Suc. La Nueva Canasta'!C131</f>
        <v>0</v>
      </c>
      <c r="H131" s="120">
        <f>'Suc. Mololoa'!C131</f>
        <v>2</v>
      </c>
      <c r="I131" s="120">
        <f>'Suc. Plaza'!C131</f>
        <v>1</v>
      </c>
      <c r="J131" s="120">
        <f>'Suc. Vistas'!C131</f>
        <v>1</v>
      </c>
      <c r="K131" s="120">
        <f>'Suc. Xalisco'!C131</f>
        <v>2</v>
      </c>
      <c r="L131" s="120">
        <f t="shared" si="96"/>
        <v>11</v>
      </c>
      <c r="M131" s="131">
        <f>'Suc. Acaponeta'!C131</f>
        <v>0</v>
      </c>
      <c r="N131" s="131">
        <f>'Suc. Compostela'!C131</f>
        <v>0</v>
      </c>
      <c r="O131" s="131">
        <f>'Suc. Ruiz'!C131</f>
        <v>0</v>
      </c>
      <c r="P131" s="131">
        <f>'Suc. Sanblas'!C131</f>
        <v>0</v>
      </c>
      <c r="Q131" s="131">
        <f>'LALO VARAS'!C131</f>
        <v>0</v>
      </c>
      <c r="R131" s="131">
        <f>'Suc. Santiago 2'!C131</f>
        <v>0</v>
      </c>
      <c r="S131" s="131">
        <f>'Suc. Tecuala'!C131</f>
        <v>0</v>
      </c>
      <c r="T131" s="131">
        <f>'Suc. Tuxpan'!C131</f>
        <v>0</v>
      </c>
      <c r="U131" s="131">
        <f>'Suc. Varas'!C131</f>
        <v>1</v>
      </c>
      <c r="V131" s="131">
        <f>'Suc. Santa María del Oro'!C131</f>
        <v>0</v>
      </c>
      <c r="W131" s="131">
        <f>'Suc. Villa Hidalgo'!C131</f>
        <v>2</v>
      </c>
      <c r="X131" s="131">
        <f>'Suc. Peñita'!C131</f>
        <v>0</v>
      </c>
      <c r="Y131" s="120">
        <f t="shared" si="97"/>
        <v>3</v>
      </c>
      <c r="Z131" s="120">
        <f t="shared" si="98"/>
        <v>14</v>
      </c>
      <c r="AB131" s="131">
        <f>IFERROR(VLOOKUP(A131,'GRAL. SUC. FORANEAS'!$R:$S,2,0),0)</f>
        <v>15</v>
      </c>
      <c r="AD131" s="131">
        <f t="shared" si="78"/>
        <v>29</v>
      </c>
    </row>
    <row r="132" spans="1:30" ht="17.399999999999999" x14ac:dyDescent="0.35">
      <c r="A132" s="95" t="s">
        <v>573</v>
      </c>
      <c r="B132" s="131">
        <f>'Suc. Amado Nervo'!C132</f>
        <v>0</v>
      </c>
      <c r="C132" s="131">
        <f>'Suc. León'!C132</f>
        <v>2</v>
      </c>
      <c r="D132" s="120">
        <f>'San Cayetano'!C132</f>
        <v>2</v>
      </c>
      <c r="E132" s="120">
        <f>'Suc. Boulevard'!C132</f>
        <v>0</v>
      </c>
      <c r="F132" s="120">
        <f>'Suc. Dos de Agosto'!C132</f>
        <v>0</v>
      </c>
      <c r="G132" s="120">
        <f>'Suc. La Nueva Canasta'!C132</f>
        <v>0</v>
      </c>
      <c r="H132" s="120">
        <f>'Suc. Mololoa'!C132</f>
        <v>0</v>
      </c>
      <c r="I132" s="120">
        <f>'Suc. Plaza'!C132</f>
        <v>0</v>
      </c>
      <c r="J132" s="120">
        <f>'Suc. Vistas'!C132</f>
        <v>0</v>
      </c>
      <c r="K132" s="120">
        <f>'Suc. Xalisco'!C132</f>
        <v>0</v>
      </c>
      <c r="L132" s="120">
        <f t="shared" si="96"/>
        <v>4</v>
      </c>
      <c r="M132" s="131">
        <f>'Suc. Acaponeta'!C132</f>
        <v>1</v>
      </c>
      <c r="N132" s="131">
        <f>'Suc. Compostela'!C132</f>
        <v>1</v>
      </c>
      <c r="O132" s="131">
        <f>'Suc. Ruiz'!C132</f>
        <v>0</v>
      </c>
      <c r="P132" s="131">
        <f>'Suc. Sanblas'!C132</f>
        <v>1</v>
      </c>
      <c r="Q132" s="131">
        <f>'LALO VARAS'!C132</f>
        <v>1</v>
      </c>
      <c r="R132" s="131">
        <f>'Suc. Santiago 2'!C132</f>
        <v>1</v>
      </c>
      <c r="S132" s="131">
        <f>'Suc. Tecuala'!C132</f>
        <v>0</v>
      </c>
      <c r="T132" s="131">
        <f>'Suc. Tuxpan'!C132</f>
        <v>0</v>
      </c>
      <c r="U132" s="131">
        <f>'Suc. Varas'!C132</f>
        <v>1</v>
      </c>
      <c r="V132" s="131">
        <f>'Suc. Santa María del Oro'!C132</f>
        <v>0</v>
      </c>
      <c r="W132" s="131">
        <f>'Suc. Villa Hidalgo'!C132</f>
        <v>1</v>
      </c>
      <c r="X132" s="131">
        <f>'Suc. Peñita'!C132</f>
        <v>0</v>
      </c>
      <c r="Y132" s="120">
        <f t="shared" si="97"/>
        <v>7</v>
      </c>
      <c r="Z132" s="120">
        <f t="shared" si="98"/>
        <v>11</v>
      </c>
      <c r="AB132" s="131">
        <f>IFERROR(VLOOKUP(A132,'GRAL. SUC. FORANEAS'!$R:$S,2,0),0)</f>
        <v>0</v>
      </c>
      <c r="AD132" s="131">
        <f t="shared" si="78"/>
        <v>11</v>
      </c>
    </row>
    <row r="133" spans="1:30" ht="17.399999999999999" x14ac:dyDescent="0.35">
      <c r="A133" s="95" t="s">
        <v>421</v>
      </c>
      <c r="B133" s="131">
        <f>'Suc. Amado Nervo'!C133</f>
        <v>2</v>
      </c>
      <c r="C133" s="131">
        <f>'Suc. León'!C133</f>
        <v>1</v>
      </c>
      <c r="D133" s="120">
        <f>'San Cayetano'!C133</f>
        <v>2</v>
      </c>
      <c r="E133" s="120">
        <f>'Suc. Boulevard'!C133</f>
        <v>2</v>
      </c>
      <c r="F133" s="120">
        <f>'Suc. Dos de Agosto'!C133</f>
        <v>4</v>
      </c>
      <c r="G133" s="120">
        <f>'Suc. La Nueva Canasta'!C133</f>
        <v>0</v>
      </c>
      <c r="H133" s="120">
        <f>'Suc. Mololoa'!C133</f>
        <v>3</v>
      </c>
      <c r="I133" s="120">
        <f>'Suc. Plaza'!C133</f>
        <v>3</v>
      </c>
      <c r="J133" s="120">
        <f>'Suc. Vistas'!C133</f>
        <v>1</v>
      </c>
      <c r="K133" s="120">
        <f>'Suc. Xalisco'!C133</f>
        <v>2</v>
      </c>
      <c r="L133" s="120">
        <f t="shared" si="96"/>
        <v>20</v>
      </c>
      <c r="M133" s="131">
        <f>'Suc. Acaponeta'!C133</f>
        <v>2</v>
      </c>
      <c r="N133" s="131">
        <f>'Suc. Compostela'!C133</f>
        <v>1</v>
      </c>
      <c r="O133" s="131">
        <f>'Suc. Ruiz'!C133</f>
        <v>2</v>
      </c>
      <c r="P133" s="131">
        <f>'Suc. Sanblas'!C133</f>
        <v>2</v>
      </c>
      <c r="Q133" s="131">
        <f>'LALO VARAS'!C133</f>
        <v>2</v>
      </c>
      <c r="R133" s="131">
        <f>'Suc. Santiago 2'!C133</f>
        <v>2</v>
      </c>
      <c r="S133" s="131">
        <f>'Suc. Tecuala'!C133</f>
        <v>2</v>
      </c>
      <c r="T133" s="131">
        <f>'Suc. Tuxpan'!C133</f>
        <v>0</v>
      </c>
      <c r="U133" s="131">
        <f>'Suc. Varas'!C133</f>
        <v>2</v>
      </c>
      <c r="V133" s="131">
        <f>'Suc. Santa María del Oro'!C133</f>
        <v>2</v>
      </c>
      <c r="W133" s="131">
        <f>'Suc. Villa Hidalgo'!C133</f>
        <v>2</v>
      </c>
      <c r="X133" s="131">
        <f>'Suc. Peñita'!C133</f>
        <v>1</v>
      </c>
      <c r="Y133" s="120">
        <f t="shared" si="97"/>
        <v>20</v>
      </c>
      <c r="Z133" s="120">
        <f t="shared" si="98"/>
        <v>40</v>
      </c>
      <c r="AB133" s="131">
        <f>IFERROR(VLOOKUP(A133,'GRAL. SUC. FORANEAS'!$R:$S,2,0),0)</f>
        <v>4</v>
      </c>
      <c r="AD133" s="131">
        <f t="shared" si="78"/>
        <v>44</v>
      </c>
    </row>
    <row r="134" spans="1:30" ht="17.399999999999999" x14ac:dyDescent="0.35">
      <c r="A134" s="95" t="s">
        <v>249</v>
      </c>
      <c r="B134" s="131">
        <f>'Suc. Amado Nervo'!C134</f>
        <v>1</v>
      </c>
      <c r="C134" s="131">
        <f>'Suc. León'!C134</f>
        <v>0</v>
      </c>
      <c r="D134" s="120">
        <f>'San Cayetano'!C134</f>
        <v>0</v>
      </c>
      <c r="E134" s="120">
        <f>'Suc. Boulevard'!C134</f>
        <v>1</v>
      </c>
      <c r="F134" s="120">
        <f>'Suc. Dos de Agosto'!C134</f>
        <v>0</v>
      </c>
      <c r="G134" s="120">
        <f>'Suc. La Nueva Canasta'!C134</f>
        <v>0</v>
      </c>
      <c r="H134" s="120">
        <f>'Suc. Mololoa'!C134</f>
        <v>0</v>
      </c>
      <c r="I134" s="120">
        <f>'Suc. Plaza'!C134</f>
        <v>2</v>
      </c>
      <c r="J134" s="120">
        <f>'Suc. Vistas'!C134</f>
        <v>2</v>
      </c>
      <c r="K134" s="120">
        <f>'Suc. Xalisco'!C134</f>
        <v>2</v>
      </c>
      <c r="L134" s="120">
        <f t="shared" si="96"/>
        <v>8</v>
      </c>
      <c r="M134" s="131">
        <f>'Suc. Acaponeta'!C134</f>
        <v>1</v>
      </c>
      <c r="N134" s="131">
        <f>'Suc. Compostela'!C134</f>
        <v>2</v>
      </c>
      <c r="O134" s="131">
        <f>'Suc. Ruiz'!C134</f>
        <v>0</v>
      </c>
      <c r="P134" s="131">
        <f>'Suc. Sanblas'!C134</f>
        <v>0</v>
      </c>
      <c r="Q134" s="131">
        <f>'LALO VARAS'!C134</f>
        <v>0</v>
      </c>
      <c r="R134" s="131">
        <f>'Suc. Santiago 2'!C134</f>
        <v>0</v>
      </c>
      <c r="S134" s="131">
        <f>'Suc. Tecuala'!C134</f>
        <v>2</v>
      </c>
      <c r="T134" s="131">
        <f>'Suc. Tuxpan'!C134</f>
        <v>1</v>
      </c>
      <c r="U134" s="131">
        <f>'Suc. Varas'!C134</f>
        <v>2</v>
      </c>
      <c r="V134" s="131">
        <f>'Suc. Santa María del Oro'!C134</f>
        <v>0</v>
      </c>
      <c r="W134" s="131">
        <f>'Suc. Villa Hidalgo'!C134</f>
        <v>0</v>
      </c>
      <c r="X134" s="131">
        <f>'Suc. Peñita'!C134</f>
        <v>1</v>
      </c>
      <c r="Y134" s="120">
        <f t="shared" si="97"/>
        <v>9</v>
      </c>
      <c r="Z134" s="120">
        <f t="shared" si="98"/>
        <v>17</v>
      </c>
      <c r="AB134" s="131">
        <f>IFERROR(VLOOKUP(A134,'GRAL. SUC. FORANEAS'!$R:$S,2,0),0)</f>
        <v>10</v>
      </c>
      <c r="AD134" s="131">
        <f t="shared" si="78"/>
        <v>27</v>
      </c>
    </row>
    <row r="135" spans="1:30" ht="17.399999999999999" x14ac:dyDescent="0.35">
      <c r="A135" s="95" t="s">
        <v>1030</v>
      </c>
      <c r="B135" s="131">
        <f>'Suc. Amado Nervo'!C135</f>
        <v>1</v>
      </c>
      <c r="C135" s="131">
        <f>'Suc. León'!C135</f>
        <v>0</v>
      </c>
      <c r="D135" s="120">
        <f>'San Cayetano'!C135</f>
        <v>5</v>
      </c>
      <c r="E135" s="120">
        <f>'Suc. Boulevard'!C135</f>
        <v>6</v>
      </c>
      <c r="F135" s="120">
        <f>'Suc. Dos de Agosto'!C135</f>
        <v>4</v>
      </c>
      <c r="G135" s="120">
        <f>'Suc. La Nueva Canasta'!C135</f>
        <v>0</v>
      </c>
      <c r="H135" s="120">
        <f>'Suc. Mololoa'!C135</f>
        <v>5</v>
      </c>
      <c r="I135" s="120">
        <f>'Suc. Plaza'!C135</f>
        <v>5</v>
      </c>
      <c r="J135" s="120">
        <f>'Suc. Vistas'!C135</f>
        <v>5</v>
      </c>
      <c r="K135" s="120">
        <f>'Suc. Xalisco'!C135</f>
        <v>4</v>
      </c>
      <c r="L135" s="120">
        <f t="shared" si="96"/>
        <v>35</v>
      </c>
      <c r="M135" s="131">
        <f>'Suc. Acaponeta'!C135</f>
        <v>5</v>
      </c>
      <c r="N135" s="131">
        <f>'Suc. Compostela'!C135</f>
        <v>6</v>
      </c>
      <c r="O135" s="131">
        <f>'Suc. Ruiz'!C135</f>
        <v>3</v>
      </c>
      <c r="P135" s="131">
        <f>'Suc. Sanblas'!C135</f>
        <v>3</v>
      </c>
      <c r="Q135" s="131">
        <f>'LALO VARAS'!C135</f>
        <v>0</v>
      </c>
      <c r="R135" s="131">
        <f>'Suc. Santiago 2'!C135</f>
        <v>0</v>
      </c>
      <c r="S135" s="131">
        <f>'Suc. Tecuala'!C135</f>
        <v>5</v>
      </c>
      <c r="T135" s="131">
        <f>'Suc. Tuxpan'!C135</f>
        <v>4</v>
      </c>
      <c r="U135" s="131">
        <f>'Suc. Varas'!C135</f>
        <v>5</v>
      </c>
      <c r="V135" s="131">
        <f>'Suc. Santa María del Oro'!C135</f>
        <v>4</v>
      </c>
      <c r="W135" s="131">
        <f>'Suc. Villa Hidalgo'!C135</f>
        <v>1</v>
      </c>
      <c r="X135" s="131">
        <f>'Suc. Peñita'!C135</f>
        <v>0</v>
      </c>
      <c r="Y135" s="120">
        <f t="shared" si="97"/>
        <v>36</v>
      </c>
      <c r="Z135" s="120">
        <f t="shared" si="98"/>
        <v>71</v>
      </c>
      <c r="AB135" s="131">
        <f>IFERROR(VLOOKUP(A135,'GRAL. SUC. FORANEAS'!$R:$S,2,0),0)</f>
        <v>0</v>
      </c>
      <c r="AD135" s="131">
        <f t="shared" si="78"/>
        <v>71</v>
      </c>
    </row>
    <row r="136" spans="1:30" ht="17.399999999999999" x14ac:dyDescent="0.35">
      <c r="A136" s="95" t="s">
        <v>253</v>
      </c>
      <c r="B136" s="131">
        <f>'Suc. Amado Nervo'!C136</f>
        <v>6</v>
      </c>
      <c r="C136" s="131">
        <f>'Suc. León'!C136</f>
        <v>6</v>
      </c>
      <c r="D136" s="120">
        <f>'San Cayetano'!C136</f>
        <v>2</v>
      </c>
      <c r="E136" s="120">
        <f>'Suc. Boulevard'!C136</f>
        <v>2</v>
      </c>
      <c r="F136" s="120">
        <f>'Suc. Dos de Agosto'!C136</f>
        <v>4</v>
      </c>
      <c r="G136" s="120">
        <f>'Suc. La Nueva Canasta'!C136</f>
        <v>0</v>
      </c>
      <c r="H136" s="120">
        <f>'Suc. Mololoa'!C136</f>
        <v>2</v>
      </c>
      <c r="I136" s="120">
        <f>'Suc. Plaza'!C136</f>
        <v>2</v>
      </c>
      <c r="J136" s="120">
        <f>'Suc. Vistas'!C136</f>
        <v>4</v>
      </c>
      <c r="K136" s="120">
        <f>'Suc. Xalisco'!C136</f>
        <v>3</v>
      </c>
      <c r="L136" s="120">
        <f t="shared" si="96"/>
        <v>31</v>
      </c>
      <c r="M136" s="131">
        <f>'Suc. Acaponeta'!C136</f>
        <v>2</v>
      </c>
      <c r="N136" s="131">
        <f>'Suc. Compostela'!C136</f>
        <v>0</v>
      </c>
      <c r="O136" s="131">
        <f>'Suc. Ruiz'!C136</f>
        <v>0</v>
      </c>
      <c r="P136" s="131">
        <f>'Suc. Sanblas'!C136</f>
        <v>2</v>
      </c>
      <c r="Q136" s="131">
        <f>'LALO VARAS'!C136</f>
        <v>4</v>
      </c>
      <c r="R136" s="131">
        <f>'Suc. Santiago 2'!C136</f>
        <v>4</v>
      </c>
      <c r="S136" s="131">
        <f>'Suc. Tecuala'!C136</f>
        <v>0</v>
      </c>
      <c r="T136" s="131">
        <f>'Suc. Tuxpan'!C136</f>
        <v>0</v>
      </c>
      <c r="U136" s="131">
        <f>'Suc. Varas'!C136</f>
        <v>0</v>
      </c>
      <c r="V136" s="131">
        <f>'Suc. Santa María del Oro'!C136</f>
        <v>4</v>
      </c>
      <c r="W136" s="131">
        <f>'Suc. Villa Hidalgo'!C136</f>
        <v>2</v>
      </c>
      <c r="X136" s="131">
        <f>'Suc. Peñita'!C136</f>
        <v>1</v>
      </c>
      <c r="Y136" s="120">
        <f t="shared" si="97"/>
        <v>19</v>
      </c>
      <c r="Z136" s="120">
        <f t="shared" si="98"/>
        <v>50</v>
      </c>
      <c r="AB136" s="131">
        <f>IFERROR(VLOOKUP(A136,'GRAL. SUC. FORANEAS'!$R:$S,2,0),0)</f>
        <v>20</v>
      </c>
      <c r="AD136" s="131">
        <f t="shared" si="78"/>
        <v>70</v>
      </c>
    </row>
    <row r="137" spans="1:30" ht="17.399999999999999" x14ac:dyDescent="0.35">
      <c r="A137" s="95" t="s">
        <v>240</v>
      </c>
      <c r="B137" s="131">
        <f>'Suc. Amado Nervo'!C137</f>
        <v>0</v>
      </c>
      <c r="C137" s="131">
        <f>'Suc. León'!C137</f>
        <v>0</v>
      </c>
      <c r="D137" s="120">
        <f>'San Cayetano'!C137</f>
        <v>0</v>
      </c>
      <c r="E137" s="120">
        <f>'Suc. Boulevard'!C137</f>
        <v>0</v>
      </c>
      <c r="F137" s="120">
        <f>'Suc. Dos de Agosto'!C137</f>
        <v>0</v>
      </c>
      <c r="G137" s="120">
        <f>'Suc. La Nueva Canasta'!C137</f>
        <v>0</v>
      </c>
      <c r="H137" s="120">
        <f>'Suc. Mololoa'!C137</f>
        <v>0</v>
      </c>
      <c r="I137" s="120">
        <f>'Suc. Plaza'!C137</f>
        <v>0</v>
      </c>
      <c r="J137" s="120">
        <f>'Suc. Vistas'!C137</f>
        <v>0</v>
      </c>
      <c r="K137" s="120">
        <f>'Suc. Xalisco'!C137</f>
        <v>0</v>
      </c>
      <c r="L137" s="120">
        <f t="shared" si="96"/>
        <v>0</v>
      </c>
      <c r="M137" s="131">
        <f>'Suc. Acaponeta'!C137</f>
        <v>0</v>
      </c>
      <c r="N137" s="131">
        <f>'Suc. Compostela'!C137</f>
        <v>0</v>
      </c>
      <c r="O137" s="131">
        <f>'Suc. Ruiz'!C137</f>
        <v>0</v>
      </c>
      <c r="P137" s="131">
        <f>'Suc. Sanblas'!C137</f>
        <v>0</v>
      </c>
      <c r="Q137" s="131">
        <f>'LALO VARAS'!C137</f>
        <v>0</v>
      </c>
      <c r="R137" s="131">
        <f>'Suc. Santiago 2'!C137</f>
        <v>0</v>
      </c>
      <c r="S137" s="131">
        <f>'Suc. Tecuala'!C137</f>
        <v>0</v>
      </c>
      <c r="T137" s="131">
        <f>'Suc. Tuxpan'!C137</f>
        <v>0</v>
      </c>
      <c r="U137" s="131">
        <f>'Suc. Varas'!C137</f>
        <v>0</v>
      </c>
      <c r="V137" s="131">
        <f>'Suc. Santa María del Oro'!C137</f>
        <v>0</v>
      </c>
      <c r="W137" s="131">
        <f>'Suc. Villa Hidalgo'!C137</f>
        <v>0</v>
      </c>
      <c r="X137" s="131">
        <f>'Suc. Peñita'!C137</f>
        <v>0</v>
      </c>
      <c r="Y137" s="120">
        <f t="shared" si="97"/>
        <v>0</v>
      </c>
      <c r="Z137" s="120">
        <f t="shared" si="98"/>
        <v>0</v>
      </c>
      <c r="AB137" s="131">
        <f>IFERROR(VLOOKUP(A137,'GRAL. SUC. FORANEAS'!$R:$S,2,0),0)</f>
        <v>0</v>
      </c>
      <c r="AD137" s="131">
        <f t="shared" si="78"/>
        <v>0</v>
      </c>
    </row>
    <row r="138" spans="1:30" ht="17.399999999999999" x14ac:dyDescent="0.35">
      <c r="A138" s="95" t="s">
        <v>204</v>
      </c>
      <c r="B138" s="131">
        <f>'Suc. Amado Nervo'!C138</f>
        <v>0</v>
      </c>
      <c r="C138" s="131">
        <f>'Suc. León'!C138</f>
        <v>0</v>
      </c>
      <c r="D138" s="120">
        <f>'San Cayetano'!C138</f>
        <v>0</v>
      </c>
      <c r="E138" s="120">
        <f>'Suc. Boulevard'!C138</f>
        <v>0</v>
      </c>
      <c r="F138" s="120">
        <f>'Suc. Dos de Agosto'!C138</f>
        <v>0</v>
      </c>
      <c r="G138" s="120">
        <f>'Suc. La Nueva Canasta'!C138</f>
        <v>0</v>
      </c>
      <c r="H138" s="120">
        <f>'Suc. Mololoa'!C138</f>
        <v>0</v>
      </c>
      <c r="I138" s="120">
        <f>'Suc. Plaza'!C138</f>
        <v>0</v>
      </c>
      <c r="J138" s="120">
        <f>'Suc. Vistas'!C138</f>
        <v>0</v>
      </c>
      <c r="K138" s="120">
        <f>'Suc. Xalisco'!C138</f>
        <v>0</v>
      </c>
      <c r="L138" s="120">
        <f t="shared" si="96"/>
        <v>0</v>
      </c>
      <c r="M138" s="131">
        <f>'Suc. Acaponeta'!C138</f>
        <v>0</v>
      </c>
      <c r="N138" s="131">
        <f>'Suc. Compostela'!C138</f>
        <v>0</v>
      </c>
      <c r="O138" s="131">
        <f>'Suc. Ruiz'!C138</f>
        <v>0</v>
      </c>
      <c r="P138" s="131">
        <f>'Suc. Sanblas'!C138</f>
        <v>0</v>
      </c>
      <c r="Q138" s="131">
        <f>'LALO VARAS'!C138</f>
        <v>0</v>
      </c>
      <c r="R138" s="131">
        <f>'Suc. Santiago 2'!C138</f>
        <v>0</v>
      </c>
      <c r="S138" s="131">
        <f>'Suc. Tecuala'!C138</f>
        <v>0</v>
      </c>
      <c r="T138" s="131">
        <f>'Suc. Tuxpan'!C138</f>
        <v>0</v>
      </c>
      <c r="U138" s="131">
        <f>'Suc. Varas'!C138</f>
        <v>0</v>
      </c>
      <c r="V138" s="131">
        <f>'Suc. Santa María del Oro'!C138</f>
        <v>0</v>
      </c>
      <c r="W138" s="131">
        <f>'Suc. Villa Hidalgo'!C138</f>
        <v>0</v>
      </c>
      <c r="X138" s="131">
        <f>'Suc. Peñita'!C138</f>
        <v>0</v>
      </c>
      <c r="Y138" s="120">
        <f t="shared" si="97"/>
        <v>0</v>
      </c>
      <c r="Z138" s="120">
        <f t="shared" si="98"/>
        <v>0</v>
      </c>
      <c r="AB138" s="131">
        <f>IFERROR(VLOOKUP(A138,'GRAL. SUC. FORANEAS'!$R:$S,2,0),0)</f>
        <v>0</v>
      </c>
      <c r="AD138" s="131">
        <f t="shared" si="78"/>
        <v>0</v>
      </c>
    </row>
    <row r="139" spans="1:30" ht="17.399999999999999" x14ac:dyDescent="0.35">
      <c r="A139" s="95" t="s">
        <v>1132</v>
      </c>
      <c r="B139" s="131">
        <f>'Suc. Amado Nervo'!C139</f>
        <v>1</v>
      </c>
      <c r="C139" s="131">
        <f>'Suc. León'!C139</f>
        <v>1</v>
      </c>
      <c r="D139" s="120">
        <f>'San Cayetano'!C139</f>
        <v>1</v>
      </c>
      <c r="E139" s="120">
        <f>'Suc. Boulevard'!C139</f>
        <v>1</v>
      </c>
      <c r="F139" s="120">
        <f>'Suc. Dos de Agosto'!C139</f>
        <v>1</v>
      </c>
      <c r="G139" s="120">
        <f>'Suc. La Nueva Canasta'!C139</f>
        <v>0</v>
      </c>
      <c r="H139" s="120">
        <f>'Suc. Mololoa'!C139</f>
        <v>0</v>
      </c>
      <c r="I139" s="120">
        <f>'Suc. Plaza'!C139</f>
        <v>0</v>
      </c>
      <c r="J139" s="120">
        <f>'Suc. Vistas'!C139</f>
        <v>1</v>
      </c>
      <c r="K139" s="120">
        <f>'Suc. Xalisco'!C139</f>
        <v>0</v>
      </c>
      <c r="L139" s="120">
        <f t="shared" si="96"/>
        <v>6</v>
      </c>
      <c r="M139" s="131">
        <f>'Suc. Acaponeta'!C139</f>
        <v>1</v>
      </c>
      <c r="N139" s="131">
        <f>'Suc. Compostela'!C139</f>
        <v>0</v>
      </c>
      <c r="O139" s="131">
        <f>'Suc. Ruiz'!C139</f>
        <v>1</v>
      </c>
      <c r="P139" s="131">
        <f>'Suc. Sanblas'!C139</f>
        <v>0</v>
      </c>
      <c r="Q139" s="131">
        <f>'LALO VARAS'!C139</f>
        <v>0</v>
      </c>
      <c r="R139" s="131">
        <f>'Suc. Santiago 2'!C139</f>
        <v>0</v>
      </c>
      <c r="S139" s="131">
        <f>'Suc. Tecuala'!C139</f>
        <v>0</v>
      </c>
      <c r="T139" s="131">
        <f>'Suc. Tuxpan'!C139</f>
        <v>0</v>
      </c>
      <c r="U139" s="131">
        <f>'Suc. Varas'!C139</f>
        <v>0</v>
      </c>
      <c r="V139" s="131">
        <f>'Suc. Santa María del Oro'!C139</f>
        <v>0</v>
      </c>
      <c r="W139" s="131">
        <f>'Suc. Villa Hidalgo'!C139</f>
        <v>0</v>
      </c>
      <c r="X139" s="131">
        <f>'Suc. Peñita'!C139</f>
        <v>1</v>
      </c>
      <c r="Y139" s="120">
        <f t="shared" si="97"/>
        <v>3</v>
      </c>
      <c r="Z139" s="120">
        <f t="shared" si="98"/>
        <v>9</v>
      </c>
      <c r="AB139" s="131">
        <f>IFERROR(VLOOKUP(A139,'GRAL. SUC. FORANEAS'!$R:$S,2,0),0)</f>
        <v>16</v>
      </c>
      <c r="AD139" s="131">
        <f t="shared" si="78"/>
        <v>25</v>
      </c>
    </row>
    <row r="140" spans="1:30" ht="17.399999999999999" x14ac:dyDescent="0.35">
      <c r="A140" s="95" t="s">
        <v>914</v>
      </c>
      <c r="B140" s="131">
        <f>'Suc. Amado Nervo'!C140</f>
        <v>3</v>
      </c>
      <c r="C140" s="131">
        <f>'Suc. León'!C140</f>
        <v>1</v>
      </c>
      <c r="D140" s="120">
        <f>'San Cayetano'!C140</f>
        <v>1</v>
      </c>
      <c r="E140" s="120">
        <f>'Suc. Boulevard'!C140</f>
        <v>2</v>
      </c>
      <c r="F140" s="120">
        <f>'Suc. Dos de Agosto'!C140</f>
        <v>0</v>
      </c>
      <c r="G140" s="120">
        <f>'Suc. La Nueva Canasta'!C140</f>
        <v>0</v>
      </c>
      <c r="H140" s="120">
        <f>'Suc. Mololoa'!C140</f>
        <v>1</v>
      </c>
      <c r="I140" s="120">
        <f>'Suc. Plaza'!C140</f>
        <v>1</v>
      </c>
      <c r="J140" s="120">
        <f>'Suc. Vistas'!C140</f>
        <v>1</v>
      </c>
      <c r="K140" s="120">
        <f>'Suc. Xalisco'!C140</f>
        <v>0</v>
      </c>
      <c r="L140" s="120">
        <f t="shared" si="96"/>
        <v>10</v>
      </c>
      <c r="M140" s="131">
        <f>'Suc. Acaponeta'!C140</f>
        <v>2</v>
      </c>
      <c r="N140" s="131">
        <f>'Suc. Compostela'!C140</f>
        <v>1</v>
      </c>
      <c r="O140" s="131">
        <f>'Suc. Ruiz'!C140</f>
        <v>1</v>
      </c>
      <c r="P140" s="131">
        <f>'Suc. Sanblas'!C140</f>
        <v>1</v>
      </c>
      <c r="Q140" s="131">
        <f>'LALO VARAS'!C140</f>
        <v>0</v>
      </c>
      <c r="R140" s="131">
        <f>'Suc. Santiago 2'!C140</f>
        <v>0</v>
      </c>
      <c r="S140" s="131">
        <f>'Suc. Tecuala'!C140</f>
        <v>0</v>
      </c>
      <c r="T140" s="131">
        <f>'Suc. Tuxpan'!C140</f>
        <v>1</v>
      </c>
      <c r="U140" s="131">
        <f>'Suc. Varas'!C140</f>
        <v>1</v>
      </c>
      <c r="V140" s="131">
        <f>'Suc. Santa María del Oro'!C140</f>
        <v>0</v>
      </c>
      <c r="W140" s="131">
        <f>'Suc. Villa Hidalgo'!C140</f>
        <v>1</v>
      </c>
      <c r="X140" s="131">
        <f>'Suc. Peñita'!C140</f>
        <v>0</v>
      </c>
      <c r="Y140" s="120">
        <f t="shared" si="97"/>
        <v>8</v>
      </c>
      <c r="Z140" s="120">
        <f t="shared" si="98"/>
        <v>18</v>
      </c>
      <c r="AB140" s="131">
        <f>IFERROR(VLOOKUP(A140,'GRAL. SUC. FORANEAS'!$R:$S,2,0),0)</f>
        <v>0</v>
      </c>
      <c r="AD140" s="131">
        <f t="shared" si="78"/>
        <v>18</v>
      </c>
    </row>
    <row r="141" spans="1:30" ht="17.399999999999999" x14ac:dyDescent="0.35">
      <c r="A141" s="243" t="s">
        <v>1120</v>
      </c>
      <c r="B141" s="131">
        <f>'Suc. Amado Nervo'!C141</f>
        <v>0</v>
      </c>
      <c r="C141" s="131">
        <f>'Suc. León'!C141</f>
        <v>0</v>
      </c>
      <c r="D141" s="120">
        <f>'San Cayetano'!C141</f>
        <v>0</v>
      </c>
      <c r="E141" s="120">
        <f>'Suc. Boulevard'!C141</f>
        <v>0</v>
      </c>
      <c r="F141" s="120">
        <f>'Suc. Dos de Agosto'!C141</f>
        <v>0</v>
      </c>
      <c r="G141" s="120">
        <f>'Suc. La Nueva Canasta'!C141</f>
        <v>0</v>
      </c>
      <c r="H141" s="120">
        <f>'Suc. Mololoa'!C141</f>
        <v>0</v>
      </c>
      <c r="I141" s="120">
        <f>'Suc. Plaza'!C141</f>
        <v>0</v>
      </c>
      <c r="J141" s="120">
        <f>'Suc. Vistas'!C141</f>
        <v>0</v>
      </c>
      <c r="K141" s="120">
        <f>'Suc. Xalisco'!C141</f>
        <v>0</v>
      </c>
      <c r="L141" s="120">
        <f t="shared" si="93"/>
        <v>0</v>
      </c>
      <c r="M141" s="131">
        <f>'Suc. Acaponeta'!C141</f>
        <v>0</v>
      </c>
      <c r="N141" s="131">
        <f>'Suc. Compostela'!C141</f>
        <v>0</v>
      </c>
      <c r="O141" s="131">
        <f>'Suc. Ruiz'!C141</f>
        <v>0</v>
      </c>
      <c r="P141" s="131">
        <f>'Suc. Sanblas'!C141</f>
        <v>0</v>
      </c>
      <c r="Q141" s="131">
        <f>'LALO VARAS'!C141</f>
        <v>0</v>
      </c>
      <c r="R141" s="131">
        <f>'Suc. Santiago 2'!C141</f>
        <v>0</v>
      </c>
      <c r="S141" s="131">
        <f>'Suc. Tecuala'!C141</f>
        <v>0</v>
      </c>
      <c r="T141" s="131">
        <f>'Suc. Tuxpan'!C141</f>
        <v>0</v>
      </c>
      <c r="U141" s="131">
        <f>'Suc. Varas'!C141</f>
        <v>0</v>
      </c>
      <c r="V141" s="131">
        <f>'Suc. Santa María del Oro'!C141</f>
        <v>0</v>
      </c>
      <c r="W141" s="131">
        <f>'Suc. Villa Hidalgo'!C141</f>
        <v>0</v>
      </c>
      <c r="X141" s="131">
        <f>'Suc. Peñita'!C141</f>
        <v>0</v>
      </c>
      <c r="Y141" s="120">
        <f t="shared" si="94"/>
        <v>0</v>
      </c>
      <c r="Z141" s="120">
        <f t="shared" si="95"/>
        <v>0</v>
      </c>
      <c r="AB141" s="131">
        <f>IFERROR(VLOOKUP(A141,'GRAL. SUC. FORANEAS'!$R:$S,2,0),0)</f>
        <v>0</v>
      </c>
      <c r="AD141" s="131">
        <f t="shared" si="78"/>
        <v>0</v>
      </c>
    </row>
    <row r="142" spans="1:30" ht="17.399999999999999" x14ac:dyDescent="0.35">
      <c r="A142" s="95"/>
      <c r="B142" s="131">
        <f>'Suc. Amado Nervo'!C142</f>
        <v>0</v>
      </c>
      <c r="C142" s="131">
        <f>'Suc. León'!C142</f>
        <v>0</v>
      </c>
      <c r="D142" s="120">
        <f>'San Cayetano'!C142</f>
        <v>0</v>
      </c>
      <c r="E142" s="120">
        <f>'Suc. Boulevard'!C142</f>
        <v>0</v>
      </c>
      <c r="F142" s="120">
        <f>'Suc. Dos de Agosto'!C142</f>
        <v>0</v>
      </c>
      <c r="G142" s="120">
        <f>'Suc. La Nueva Canasta'!C142</f>
        <v>0</v>
      </c>
      <c r="H142" s="120">
        <f>'Suc. Mololoa'!C142</f>
        <v>0</v>
      </c>
      <c r="I142" s="120">
        <f>'Suc. Plaza'!C142</f>
        <v>0</v>
      </c>
      <c r="J142" s="120">
        <f>'Suc. Vistas'!C142</f>
        <v>0</v>
      </c>
      <c r="K142" s="120">
        <f>'Suc. Xalisco'!C142</f>
        <v>0</v>
      </c>
      <c r="L142" s="120">
        <f t="shared" si="93"/>
        <v>0</v>
      </c>
      <c r="M142" s="131">
        <f>'Suc. Acaponeta'!C142</f>
        <v>0</v>
      </c>
      <c r="N142" s="131">
        <f>'Suc. Compostela'!C142</f>
        <v>0</v>
      </c>
      <c r="O142" s="131">
        <f>'Suc. Ruiz'!C142</f>
        <v>0</v>
      </c>
      <c r="P142" s="131">
        <f>'Suc. Sanblas'!C142</f>
        <v>0</v>
      </c>
      <c r="Q142" s="131">
        <f>'LALO VARAS'!C142</f>
        <v>0</v>
      </c>
      <c r="R142" s="131">
        <f>'Suc. Santiago 2'!C142</f>
        <v>0</v>
      </c>
      <c r="S142" s="131">
        <f>'Suc. Tecuala'!C142</f>
        <v>0</v>
      </c>
      <c r="T142" s="131">
        <f>'Suc. Tuxpan'!C142</f>
        <v>0</v>
      </c>
      <c r="U142" s="131">
        <f>'Suc. Varas'!C142</f>
        <v>0</v>
      </c>
      <c r="V142" s="131">
        <f>'Suc. Santa María del Oro'!C142</f>
        <v>0</v>
      </c>
      <c r="W142" s="131">
        <f>'Suc. Villa Hidalgo'!C142</f>
        <v>0</v>
      </c>
      <c r="X142" s="131">
        <f>'Suc. Peñita'!C142</f>
        <v>0</v>
      </c>
      <c r="Y142" s="120">
        <f t="shared" si="94"/>
        <v>0</v>
      </c>
      <c r="Z142" s="120">
        <f t="shared" si="95"/>
        <v>0</v>
      </c>
      <c r="AB142" s="131">
        <f>IFERROR(VLOOKUP(A142,'GRAL. SUC. FORANEAS'!$R:$S,2,0),0)</f>
        <v>0</v>
      </c>
      <c r="AD142" s="131">
        <f t="shared" si="78"/>
        <v>0</v>
      </c>
    </row>
    <row r="143" spans="1:30" ht="17.399999999999999" x14ac:dyDescent="0.35">
      <c r="A143" s="95"/>
      <c r="B143" s="131">
        <f>'Suc. Amado Nervo'!C143</f>
        <v>0</v>
      </c>
      <c r="C143" s="131">
        <f>'Suc. León'!C143</f>
        <v>0</v>
      </c>
      <c r="D143" s="120">
        <f>'San Cayetano'!C143</f>
        <v>0</v>
      </c>
      <c r="E143" s="120">
        <f>'Suc. Boulevard'!C143</f>
        <v>0</v>
      </c>
      <c r="F143" s="120">
        <f>'Suc. Dos de Agosto'!C143</f>
        <v>0</v>
      </c>
      <c r="G143" s="120">
        <f>'Suc. La Nueva Canasta'!C143</f>
        <v>0</v>
      </c>
      <c r="H143" s="120">
        <f>'Suc. Mololoa'!C143</f>
        <v>0</v>
      </c>
      <c r="I143" s="120">
        <f>'Suc. Plaza'!C143</f>
        <v>0</v>
      </c>
      <c r="J143" s="120">
        <f>'Suc. Vistas'!C143</f>
        <v>0</v>
      </c>
      <c r="K143" s="120">
        <f>'Suc. Xalisco'!C143</f>
        <v>0</v>
      </c>
      <c r="L143" s="120">
        <f t="shared" si="93"/>
        <v>0</v>
      </c>
      <c r="M143" s="131">
        <f>'Suc. Acaponeta'!C143</f>
        <v>0</v>
      </c>
      <c r="N143" s="131">
        <f>'Suc. Compostela'!C143</f>
        <v>0</v>
      </c>
      <c r="O143" s="131">
        <f>'Suc. Ruiz'!C143</f>
        <v>0</v>
      </c>
      <c r="P143" s="131">
        <f>'Suc. Sanblas'!C143</f>
        <v>0</v>
      </c>
      <c r="Q143" s="131">
        <f>'LALO VARAS'!C143</f>
        <v>0</v>
      </c>
      <c r="R143" s="131">
        <f>'Suc. Santiago 2'!C143</f>
        <v>0</v>
      </c>
      <c r="S143" s="131">
        <f>'Suc. Tecuala'!C143</f>
        <v>0</v>
      </c>
      <c r="T143" s="131">
        <f>'Suc. Tuxpan'!C143</f>
        <v>0</v>
      </c>
      <c r="U143" s="131">
        <f>'Suc. Varas'!C143</f>
        <v>0</v>
      </c>
      <c r="V143" s="131">
        <f>'Suc. Santa María del Oro'!C143</f>
        <v>0</v>
      </c>
      <c r="W143" s="131">
        <f>'Suc. Villa Hidalgo'!C143</f>
        <v>0</v>
      </c>
      <c r="X143" s="131">
        <f>'Suc. Peñita'!C143</f>
        <v>0</v>
      </c>
      <c r="Y143" s="120">
        <f t="shared" si="94"/>
        <v>0</v>
      </c>
      <c r="Z143" s="120">
        <f t="shared" si="95"/>
        <v>0</v>
      </c>
      <c r="AB143" s="131">
        <f>IFERROR(VLOOKUP(A143,'GRAL. SUC. FORANEAS'!$R:$S,2,0),0)</f>
        <v>0</v>
      </c>
      <c r="AD143" s="131">
        <f t="shared" si="78"/>
        <v>0</v>
      </c>
    </row>
    <row r="144" spans="1:30" ht="17.399999999999999" x14ac:dyDescent="0.35">
      <c r="A144" s="95"/>
      <c r="B144" s="131">
        <f>'Suc. Amado Nervo'!C144</f>
        <v>0</v>
      </c>
      <c r="C144" s="131">
        <f>'Suc. León'!C144</f>
        <v>0</v>
      </c>
      <c r="D144" s="120">
        <f>'San Cayetano'!C144</f>
        <v>0</v>
      </c>
      <c r="E144" s="120">
        <f>'Suc. Boulevard'!C144</f>
        <v>0</v>
      </c>
      <c r="F144" s="120">
        <f>'Suc. Dos de Agosto'!C144</f>
        <v>0</v>
      </c>
      <c r="G144" s="120">
        <f>'Suc. La Nueva Canasta'!C144</f>
        <v>0</v>
      </c>
      <c r="H144" s="120">
        <f>'Suc. Mololoa'!C144</f>
        <v>0</v>
      </c>
      <c r="I144" s="120">
        <f>'Suc. Plaza'!C144</f>
        <v>0</v>
      </c>
      <c r="J144" s="120">
        <f>'Suc. Vistas'!C144</f>
        <v>0</v>
      </c>
      <c r="K144" s="120">
        <f>'Suc. Xalisco'!C144</f>
        <v>0</v>
      </c>
      <c r="L144" s="120">
        <f t="shared" si="93"/>
        <v>0</v>
      </c>
      <c r="M144" s="131">
        <f>'Suc. Acaponeta'!C144</f>
        <v>0</v>
      </c>
      <c r="N144" s="131">
        <f>'Suc. Compostela'!C144</f>
        <v>0</v>
      </c>
      <c r="O144" s="131">
        <f>'Suc. Ruiz'!C144</f>
        <v>0</v>
      </c>
      <c r="P144" s="131">
        <f>'Suc. Sanblas'!C144</f>
        <v>0</v>
      </c>
      <c r="Q144" s="131">
        <f>'LALO VARAS'!C144</f>
        <v>0</v>
      </c>
      <c r="R144" s="131">
        <f>'Suc. Santiago 2'!C144</f>
        <v>0</v>
      </c>
      <c r="S144" s="131">
        <f>'Suc. Tecuala'!C144</f>
        <v>0</v>
      </c>
      <c r="T144" s="131">
        <f>'Suc. Tuxpan'!C144</f>
        <v>0</v>
      </c>
      <c r="U144" s="131">
        <f>'Suc. Varas'!C144</f>
        <v>0</v>
      </c>
      <c r="V144" s="131">
        <f>'Suc. Santa María del Oro'!C144</f>
        <v>0</v>
      </c>
      <c r="W144" s="131">
        <f>'Suc. Villa Hidalgo'!C144</f>
        <v>0</v>
      </c>
      <c r="X144" s="131">
        <f>'Suc. Peñita'!C144</f>
        <v>0</v>
      </c>
      <c r="Y144" s="120">
        <f t="shared" si="94"/>
        <v>0</v>
      </c>
      <c r="Z144" s="120">
        <f t="shared" si="95"/>
        <v>0</v>
      </c>
      <c r="AB144" s="131">
        <f>IFERROR(VLOOKUP(A144,'GRAL. SUC. FORANEAS'!$R:$S,2,0),0)</f>
        <v>0</v>
      </c>
      <c r="AD144" s="131">
        <f t="shared" si="78"/>
        <v>0</v>
      </c>
    </row>
    <row r="145" spans="1:30" ht="17.399999999999999" x14ac:dyDescent="0.35">
      <c r="A145" s="95"/>
      <c r="B145" s="131">
        <f>'Suc. Amado Nervo'!C145</f>
        <v>0</v>
      </c>
      <c r="C145" s="131">
        <f>'Suc. León'!C145</f>
        <v>0</v>
      </c>
      <c r="D145" s="120">
        <f>'San Cayetano'!C145</f>
        <v>0</v>
      </c>
      <c r="E145" s="120">
        <f>'Suc. Boulevard'!C145</f>
        <v>0</v>
      </c>
      <c r="F145" s="120">
        <f>'Suc. Dos de Agosto'!C145</f>
        <v>0</v>
      </c>
      <c r="G145" s="120">
        <f>'Suc. La Nueva Canasta'!C145</f>
        <v>0</v>
      </c>
      <c r="H145" s="120">
        <f>'Suc. Mololoa'!C145</f>
        <v>0</v>
      </c>
      <c r="I145" s="120">
        <f>'Suc. Plaza'!C145</f>
        <v>0</v>
      </c>
      <c r="J145" s="120">
        <f>'Suc. Vistas'!C145</f>
        <v>0</v>
      </c>
      <c r="K145" s="120">
        <f>'Suc. Xalisco'!C145</f>
        <v>0</v>
      </c>
      <c r="L145" s="120">
        <f t="shared" si="93"/>
        <v>0</v>
      </c>
      <c r="M145" s="131">
        <f>'Suc. Acaponeta'!C145</f>
        <v>0</v>
      </c>
      <c r="N145" s="131">
        <f>'Suc. Compostela'!C145</f>
        <v>0</v>
      </c>
      <c r="O145" s="131">
        <f>'Suc. Ruiz'!C145</f>
        <v>0</v>
      </c>
      <c r="P145" s="131">
        <f>'Suc. Sanblas'!C145</f>
        <v>0</v>
      </c>
      <c r="Q145" s="131">
        <f>'LALO VARAS'!C145</f>
        <v>0</v>
      </c>
      <c r="R145" s="131">
        <f>'Suc. Santiago 2'!C145</f>
        <v>0</v>
      </c>
      <c r="S145" s="131">
        <f>'Suc. Tecuala'!C145</f>
        <v>0</v>
      </c>
      <c r="T145" s="131">
        <f>'Suc. Tuxpan'!C145</f>
        <v>0</v>
      </c>
      <c r="U145" s="131">
        <f>'Suc. Varas'!C145</f>
        <v>0</v>
      </c>
      <c r="V145" s="131">
        <f>'Suc. Santa María del Oro'!C145</f>
        <v>0</v>
      </c>
      <c r="W145" s="131">
        <f>'Suc. Villa Hidalgo'!C145</f>
        <v>0</v>
      </c>
      <c r="X145" s="131">
        <f>'Suc. Peñita'!C145</f>
        <v>0</v>
      </c>
      <c r="Y145" s="120">
        <f t="shared" si="94"/>
        <v>0</v>
      </c>
      <c r="Z145" s="120">
        <f t="shared" si="95"/>
        <v>0</v>
      </c>
      <c r="AB145" s="131">
        <f>IFERROR(VLOOKUP(A145,'GRAL. SUC. FORANEAS'!$R:$S,2,0),0)</f>
        <v>0</v>
      </c>
      <c r="AD145" s="131">
        <f t="shared" si="78"/>
        <v>0</v>
      </c>
    </row>
    <row r="146" spans="1:30" ht="17.399999999999999" x14ac:dyDescent="0.35">
      <c r="A146" s="95"/>
      <c r="B146" s="131">
        <f>'Suc. Amado Nervo'!C146</f>
        <v>0</v>
      </c>
      <c r="C146" s="131">
        <f>'Suc. León'!C146</f>
        <v>0</v>
      </c>
      <c r="D146" s="120">
        <f>'San Cayetano'!C146</f>
        <v>0</v>
      </c>
      <c r="E146" s="120">
        <f>'Suc. Boulevard'!C146</f>
        <v>0</v>
      </c>
      <c r="F146" s="120">
        <f>'Suc. Dos de Agosto'!C146</f>
        <v>0</v>
      </c>
      <c r="G146" s="120">
        <f>'Suc. La Nueva Canasta'!C146</f>
        <v>0</v>
      </c>
      <c r="H146" s="120">
        <f>'Suc. Mololoa'!C146</f>
        <v>0</v>
      </c>
      <c r="I146" s="120">
        <f>'Suc. Plaza'!C146</f>
        <v>0</v>
      </c>
      <c r="J146" s="120">
        <f>'Suc. Vistas'!C146</f>
        <v>0</v>
      </c>
      <c r="K146" s="120">
        <f>'Suc. Xalisco'!C146</f>
        <v>0</v>
      </c>
      <c r="L146" s="120">
        <f t="shared" si="93"/>
        <v>0</v>
      </c>
      <c r="M146" s="131">
        <f>'Suc. Acaponeta'!C146</f>
        <v>0</v>
      </c>
      <c r="N146" s="131">
        <f>'Suc. Compostela'!C146</f>
        <v>0</v>
      </c>
      <c r="O146" s="131">
        <f>'Suc. Ruiz'!C146</f>
        <v>0</v>
      </c>
      <c r="P146" s="131">
        <f>'Suc. Sanblas'!C146</f>
        <v>0</v>
      </c>
      <c r="Q146" s="131">
        <f>'LALO VARAS'!C146</f>
        <v>0</v>
      </c>
      <c r="R146" s="131">
        <f>'Suc. Santiago 2'!C146</f>
        <v>0</v>
      </c>
      <c r="S146" s="131">
        <f>'Suc. Tecuala'!C146</f>
        <v>0</v>
      </c>
      <c r="T146" s="131">
        <f>'Suc. Tuxpan'!C146</f>
        <v>0</v>
      </c>
      <c r="U146" s="131">
        <f>'Suc. Varas'!C146</f>
        <v>0</v>
      </c>
      <c r="V146" s="131">
        <f>'Suc. Santa María del Oro'!C146</f>
        <v>0</v>
      </c>
      <c r="W146" s="131">
        <f>'Suc. Villa Hidalgo'!C146</f>
        <v>0</v>
      </c>
      <c r="X146" s="131">
        <f>'Suc. Peñita'!C146</f>
        <v>0</v>
      </c>
      <c r="Y146" s="120">
        <f t="shared" si="94"/>
        <v>0</v>
      </c>
      <c r="Z146" s="120">
        <f t="shared" si="95"/>
        <v>0</v>
      </c>
      <c r="AB146" s="131">
        <f>IFERROR(VLOOKUP(A146,'GRAL. SUC. FORANEAS'!$R:$S,2,0),0)</f>
        <v>0</v>
      </c>
      <c r="AD146" s="131">
        <f t="shared" si="78"/>
        <v>0</v>
      </c>
    </row>
    <row r="147" spans="1:30" ht="17.399999999999999" x14ac:dyDescent="0.35">
      <c r="A147" s="95"/>
      <c r="B147" s="131">
        <f>'Suc. Amado Nervo'!C147</f>
        <v>0</v>
      </c>
      <c r="C147" s="131">
        <f>'Suc. León'!C147</f>
        <v>0</v>
      </c>
      <c r="D147" s="120">
        <f>'San Cayetano'!C147</f>
        <v>0</v>
      </c>
      <c r="E147" s="120">
        <f>'Suc. Boulevard'!C147</f>
        <v>0</v>
      </c>
      <c r="F147" s="120">
        <f>'Suc. Dos de Agosto'!C147</f>
        <v>0</v>
      </c>
      <c r="G147" s="120">
        <f>'Suc. La Nueva Canasta'!C147</f>
        <v>0</v>
      </c>
      <c r="H147" s="120">
        <f>'Suc. Mololoa'!C147</f>
        <v>0</v>
      </c>
      <c r="I147" s="120">
        <f>'Suc. Plaza'!C147</f>
        <v>0</v>
      </c>
      <c r="J147" s="120">
        <f>'Suc. Vistas'!C147</f>
        <v>0</v>
      </c>
      <c r="K147" s="120">
        <f>'Suc. Xalisco'!C147</f>
        <v>0</v>
      </c>
      <c r="L147" s="120">
        <f t="shared" si="93"/>
        <v>0</v>
      </c>
      <c r="M147" s="131">
        <f>'Suc. Acaponeta'!C147</f>
        <v>0</v>
      </c>
      <c r="N147" s="131">
        <f>'Suc. Compostela'!C147</f>
        <v>0</v>
      </c>
      <c r="O147" s="131">
        <f>'Suc. Ruiz'!C147</f>
        <v>0</v>
      </c>
      <c r="P147" s="131">
        <f>'Suc. Sanblas'!C147</f>
        <v>0</v>
      </c>
      <c r="Q147" s="131">
        <f>'LALO VARAS'!C147</f>
        <v>0</v>
      </c>
      <c r="R147" s="131">
        <f>'Suc. Santiago 2'!C147</f>
        <v>0</v>
      </c>
      <c r="S147" s="131">
        <f>'Suc. Tecuala'!C147</f>
        <v>0</v>
      </c>
      <c r="T147" s="131">
        <f>'Suc. Tuxpan'!C147</f>
        <v>0</v>
      </c>
      <c r="U147" s="131">
        <f>'Suc. Varas'!C147</f>
        <v>0</v>
      </c>
      <c r="V147" s="131">
        <f>'Suc. Santa María del Oro'!C147</f>
        <v>0</v>
      </c>
      <c r="W147" s="131">
        <f>'Suc. Villa Hidalgo'!C147</f>
        <v>0</v>
      </c>
      <c r="X147" s="131">
        <f>'Suc. Peñita'!C147</f>
        <v>0</v>
      </c>
      <c r="Y147" s="120">
        <f t="shared" si="94"/>
        <v>0</v>
      </c>
      <c r="Z147" s="120">
        <f t="shared" si="95"/>
        <v>0</v>
      </c>
      <c r="AB147" s="131">
        <f>IFERROR(VLOOKUP(A147,'GRAL. SUC. FORANEAS'!$R:$S,2,0),0)</f>
        <v>0</v>
      </c>
      <c r="AD147" s="131">
        <f t="shared" si="78"/>
        <v>0</v>
      </c>
    </row>
    <row r="148" spans="1:30" ht="18" thickBot="1" x14ac:dyDescent="0.4">
      <c r="A148" s="95"/>
      <c r="B148" s="131">
        <f>'Suc. Amado Nervo'!C148</f>
        <v>0</v>
      </c>
      <c r="C148" s="131">
        <f>'Suc. León'!C148</f>
        <v>0</v>
      </c>
      <c r="D148" s="120">
        <f>'San Cayetano'!C148</f>
        <v>0</v>
      </c>
      <c r="E148" s="120">
        <f>'Suc. Boulevard'!C148</f>
        <v>0</v>
      </c>
      <c r="F148" s="120">
        <f>'Suc. Dos de Agosto'!C148</f>
        <v>0</v>
      </c>
      <c r="G148" s="120">
        <f>'Suc. La Nueva Canasta'!C148</f>
        <v>0</v>
      </c>
      <c r="H148" s="120">
        <f>'Suc. Mololoa'!C148</f>
        <v>0</v>
      </c>
      <c r="I148" s="120">
        <f>'Suc. Plaza'!C148</f>
        <v>0</v>
      </c>
      <c r="J148" s="120">
        <f>'Suc. Vistas'!C148</f>
        <v>0</v>
      </c>
      <c r="K148" s="120">
        <f>'Suc. Xalisco'!C148</f>
        <v>0</v>
      </c>
      <c r="L148" s="120">
        <f t="shared" si="93"/>
        <v>0</v>
      </c>
      <c r="M148" s="131">
        <f>'Suc. Acaponeta'!C148</f>
        <v>0</v>
      </c>
      <c r="N148" s="131">
        <f>'Suc. Compostela'!C148</f>
        <v>0</v>
      </c>
      <c r="O148" s="131">
        <f>'Suc. Ruiz'!C148</f>
        <v>0</v>
      </c>
      <c r="P148" s="131">
        <f>'Suc. Sanblas'!C148</f>
        <v>0</v>
      </c>
      <c r="Q148" s="131">
        <f>'LALO VARAS'!C148</f>
        <v>0</v>
      </c>
      <c r="R148" s="131">
        <f>'Suc. Santiago 2'!C148</f>
        <v>0</v>
      </c>
      <c r="S148" s="131">
        <f>'Suc. Tecuala'!C148</f>
        <v>0</v>
      </c>
      <c r="T148" s="131">
        <f>'Suc. Tuxpan'!C148</f>
        <v>0</v>
      </c>
      <c r="U148" s="131">
        <f>'Suc. Varas'!C148</f>
        <v>0</v>
      </c>
      <c r="V148" s="131">
        <f>'Suc. Santa María del Oro'!C148</f>
        <v>0</v>
      </c>
      <c r="W148" s="131">
        <f>'Suc. Villa Hidalgo'!C148</f>
        <v>0</v>
      </c>
      <c r="X148" s="131">
        <f>'Suc. Peñita'!C148</f>
        <v>0</v>
      </c>
      <c r="Y148" s="120">
        <f t="shared" si="94"/>
        <v>0</v>
      </c>
      <c r="Z148" s="120">
        <f t="shared" si="95"/>
        <v>0</v>
      </c>
      <c r="AB148" s="131">
        <f>IFERROR(VLOOKUP(A148,'GRAL. SUC. FORANEAS'!$R:$S,2,0),0)</f>
        <v>0</v>
      </c>
      <c r="AD148" s="131">
        <f t="shared" si="78"/>
        <v>0</v>
      </c>
    </row>
    <row r="149" spans="1:30" ht="18" thickBot="1" x14ac:dyDescent="0.4">
      <c r="A149" s="173"/>
      <c r="B149" s="114">
        <f t="shared" ref="B149:Z149" si="99">SUM(B118:B127)</f>
        <v>43</v>
      </c>
      <c r="C149" s="114">
        <f t="shared" si="99"/>
        <v>49</v>
      </c>
      <c r="D149" s="114">
        <f t="shared" si="99"/>
        <v>27</v>
      </c>
      <c r="E149" s="114">
        <f t="shared" si="99"/>
        <v>15</v>
      </c>
      <c r="F149" s="114">
        <f t="shared" si="99"/>
        <v>17</v>
      </c>
      <c r="G149" s="114">
        <f>SUM(G118:G148,)</f>
        <v>0</v>
      </c>
      <c r="H149" s="114">
        <f t="shared" si="99"/>
        <v>33</v>
      </c>
      <c r="I149" s="114">
        <f t="shared" si="99"/>
        <v>49</v>
      </c>
      <c r="J149" s="114">
        <f t="shared" si="99"/>
        <v>31</v>
      </c>
      <c r="K149" s="114">
        <f t="shared" si="99"/>
        <v>23</v>
      </c>
      <c r="L149" s="114">
        <f t="shared" si="99"/>
        <v>287</v>
      </c>
      <c r="M149" s="114">
        <f t="shared" si="99"/>
        <v>53</v>
      </c>
      <c r="N149" s="114">
        <f t="shared" si="99"/>
        <v>25</v>
      </c>
      <c r="O149" s="114">
        <f t="shared" si="99"/>
        <v>15</v>
      </c>
      <c r="P149" s="114">
        <f t="shared" si="99"/>
        <v>7</v>
      </c>
      <c r="Q149" s="114">
        <f t="shared" si="99"/>
        <v>32</v>
      </c>
      <c r="R149" s="114">
        <f t="shared" si="99"/>
        <v>41</v>
      </c>
      <c r="S149" s="114">
        <f t="shared" si="99"/>
        <v>18</v>
      </c>
      <c r="T149" s="114">
        <f t="shared" si="99"/>
        <v>5</v>
      </c>
      <c r="U149" s="114">
        <f t="shared" si="99"/>
        <v>21</v>
      </c>
      <c r="V149" s="114">
        <f t="shared" si="99"/>
        <v>19</v>
      </c>
      <c r="W149" s="114">
        <f t="shared" si="99"/>
        <v>17</v>
      </c>
      <c r="X149" s="114">
        <f t="shared" si="99"/>
        <v>1</v>
      </c>
      <c r="Y149" s="114">
        <f t="shared" si="99"/>
        <v>254</v>
      </c>
      <c r="Z149" s="114">
        <f t="shared" si="99"/>
        <v>541</v>
      </c>
      <c r="AB149" s="114">
        <f>SUM(AB118:AB127)</f>
        <v>81</v>
      </c>
      <c r="AD149" s="114">
        <f t="shared" si="78"/>
        <v>622</v>
      </c>
    </row>
    <row r="150" spans="1:30" ht="18" thickBot="1" x14ac:dyDescent="0.4">
      <c r="A150" s="110" t="s">
        <v>86</v>
      </c>
      <c r="B150" s="59">
        <f t="shared" ref="B150:Z150" si="100">B117+B149</f>
        <v>326</v>
      </c>
      <c r="C150" s="59">
        <f t="shared" si="100"/>
        <v>361</v>
      </c>
      <c r="D150" s="59">
        <f t="shared" si="100"/>
        <v>170</v>
      </c>
      <c r="E150" s="59">
        <f t="shared" si="100"/>
        <v>110</v>
      </c>
      <c r="F150" s="59">
        <f t="shared" si="100"/>
        <v>129</v>
      </c>
      <c r="G150" s="59">
        <f t="shared" si="100"/>
        <v>0</v>
      </c>
      <c r="H150" s="59">
        <f t="shared" si="100"/>
        <v>142</v>
      </c>
      <c r="I150" s="59">
        <f t="shared" si="100"/>
        <v>155</v>
      </c>
      <c r="J150" s="59">
        <f t="shared" si="100"/>
        <v>181</v>
      </c>
      <c r="K150" s="59">
        <f t="shared" si="100"/>
        <v>127</v>
      </c>
      <c r="L150" s="59">
        <f t="shared" si="100"/>
        <v>1701</v>
      </c>
      <c r="M150" s="59">
        <f t="shared" si="100"/>
        <v>265</v>
      </c>
      <c r="N150" s="59">
        <f t="shared" si="100"/>
        <v>129</v>
      </c>
      <c r="O150" s="59">
        <f t="shared" si="100"/>
        <v>132</v>
      </c>
      <c r="P150" s="59">
        <f t="shared" si="100"/>
        <v>166</v>
      </c>
      <c r="Q150" s="59">
        <f t="shared" si="100"/>
        <v>232</v>
      </c>
      <c r="R150" s="59">
        <f t="shared" si="100"/>
        <v>275</v>
      </c>
      <c r="S150" s="59">
        <f t="shared" si="100"/>
        <v>176</v>
      </c>
      <c r="T150" s="59">
        <f t="shared" si="100"/>
        <v>74</v>
      </c>
      <c r="U150" s="59">
        <f t="shared" si="100"/>
        <v>92</v>
      </c>
      <c r="V150" s="59">
        <f t="shared" si="100"/>
        <v>161</v>
      </c>
      <c r="W150" s="59">
        <f t="shared" si="100"/>
        <v>185</v>
      </c>
      <c r="X150" s="59">
        <f t="shared" si="100"/>
        <v>98</v>
      </c>
      <c r="Y150" s="59">
        <f t="shared" si="100"/>
        <v>1985</v>
      </c>
      <c r="Z150" s="59">
        <f t="shared" si="100"/>
        <v>3686</v>
      </c>
      <c r="AB150" s="59">
        <f>AB117+AB149</f>
        <v>1542</v>
      </c>
      <c r="AD150" s="59">
        <f t="shared" si="78"/>
        <v>5228</v>
      </c>
    </row>
  </sheetData>
  <mergeCells count="2">
    <mergeCell ref="B1:K1"/>
    <mergeCell ref="M1:W1"/>
  </mergeCells>
  <conditionalFormatting sqref="B3:K17">
    <cfRule type="cellIs" dxfId="230" priority="254" operator="equal">
      <formula>0</formula>
    </cfRule>
  </conditionalFormatting>
  <conditionalFormatting sqref="B19:K31">
    <cfRule type="cellIs" dxfId="229" priority="66" operator="equal">
      <formula>0</formula>
    </cfRule>
  </conditionalFormatting>
  <conditionalFormatting sqref="B33:K48">
    <cfRule type="cellIs" dxfId="228" priority="60" operator="equal">
      <formula>0</formula>
    </cfRule>
  </conditionalFormatting>
  <conditionalFormatting sqref="B50:K51">
    <cfRule type="cellIs" dxfId="227" priority="54" operator="equal">
      <formula>0</formula>
    </cfRule>
  </conditionalFormatting>
  <conditionalFormatting sqref="B53:K54">
    <cfRule type="cellIs" dxfId="226" priority="42" operator="equal">
      <formula>0</formula>
    </cfRule>
  </conditionalFormatting>
  <conditionalFormatting sqref="B56:K77">
    <cfRule type="cellIs" dxfId="225" priority="36" operator="equal">
      <formula>0</formula>
    </cfRule>
  </conditionalFormatting>
  <conditionalFormatting sqref="B81:K90">
    <cfRule type="cellIs" dxfId="224" priority="30" operator="equal">
      <formula>0</formula>
    </cfRule>
  </conditionalFormatting>
  <conditionalFormatting sqref="B93:K104">
    <cfRule type="cellIs" dxfId="223" priority="24" operator="equal">
      <formula>0</formula>
    </cfRule>
  </conditionalFormatting>
  <conditionalFormatting sqref="B107:K112">
    <cfRule type="cellIs" dxfId="222" priority="18" operator="equal">
      <formula>0</formula>
    </cfRule>
  </conditionalFormatting>
  <conditionalFormatting sqref="B114:K116">
    <cfRule type="cellIs" dxfId="221" priority="12" operator="equal">
      <formula>0</formula>
    </cfRule>
  </conditionalFormatting>
  <conditionalFormatting sqref="B118:K148">
    <cfRule type="cellIs" dxfId="220" priority="6" operator="equal">
      <formula>0</formula>
    </cfRule>
  </conditionalFormatting>
  <conditionalFormatting sqref="L3:L17">
    <cfRule type="cellIs" dxfId="219" priority="253" operator="equal">
      <formula>0</formula>
    </cfRule>
  </conditionalFormatting>
  <conditionalFormatting sqref="L19:L31">
    <cfRule type="cellIs" dxfId="218" priority="65" operator="equal">
      <formula>0</formula>
    </cfRule>
  </conditionalFormatting>
  <conditionalFormatting sqref="L33:L48">
    <cfRule type="cellIs" dxfId="217" priority="59" operator="equal">
      <formula>0</formula>
    </cfRule>
  </conditionalFormatting>
  <conditionalFormatting sqref="L50:L51">
    <cfRule type="cellIs" dxfId="216" priority="53" operator="equal">
      <formula>0</formula>
    </cfRule>
  </conditionalFormatting>
  <conditionalFormatting sqref="L53:L54">
    <cfRule type="cellIs" dxfId="215" priority="41" operator="equal">
      <formula>0</formula>
    </cfRule>
  </conditionalFormatting>
  <conditionalFormatting sqref="L56:L77">
    <cfRule type="cellIs" dxfId="214" priority="35" operator="equal">
      <formula>0</formula>
    </cfRule>
  </conditionalFormatting>
  <conditionalFormatting sqref="L81:L90">
    <cfRule type="cellIs" dxfId="213" priority="29" operator="equal">
      <formula>0</formula>
    </cfRule>
  </conditionalFormatting>
  <conditionalFormatting sqref="L93:L104">
    <cfRule type="cellIs" dxfId="212" priority="23" operator="equal">
      <formula>0</formula>
    </cfRule>
  </conditionalFormatting>
  <conditionalFormatting sqref="L107:L112">
    <cfRule type="cellIs" dxfId="211" priority="17" operator="equal">
      <formula>0</formula>
    </cfRule>
  </conditionalFormatting>
  <conditionalFormatting sqref="L114:L116">
    <cfRule type="cellIs" dxfId="210" priority="11" operator="equal">
      <formula>0</formula>
    </cfRule>
  </conditionalFormatting>
  <conditionalFormatting sqref="L118:L148">
    <cfRule type="cellIs" dxfId="209" priority="5" operator="equal">
      <formula>0</formula>
    </cfRule>
  </conditionalFormatting>
  <conditionalFormatting sqref="M3:X17">
    <cfRule type="cellIs" dxfId="208" priority="165" operator="equal">
      <formula>0</formula>
    </cfRule>
  </conditionalFormatting>
  <conditionalFormatting sqref="M19:X31">
    <cfRule type="cellIs" dxfId="207" priority="61" operator="equal">
      <formula>0</formula>
    </cfRule>
  </conditionalFormatting>
  <conditionalFormatting sqref="M33:X48">
    <cfRule type="cellIs" dxfId="206" priority="55" operator="equal">
      <formula>0</formula>
    </cfRule>
  </conditionalFormatting>
  <conditionalFormatting sqref="M50:X51">
    <cfRule type="cellIs" dxfId="205" priority="49" operator="equal">
      <formula>0</formula>
    </cfRule>
  </conditionalFormatting>
  <conditionalFormatting sqref="M53:X54">
    <cfRule type="cellIs" dxfId="204" priority="37" operator="equal">
      <formula>0</formula>
    </cfRule>
  </conditionalFormatting>
  <conditionalFormatting sqref="M56:X77">
    <cfRule type="cellIs" dxfId="203" priority="31" operator="equal">
      <formula>0</formula>
    </cfRule>
  </conditionalFormatting>
  <conditionalFormatting sqref="M81:X90">
    <cfRule type="cellIs" dxfId="202" priority="25" operator="equal">
      <formula>0</formula>
    </cfRule>
  </conditionalFormatting>
  <conditionalFormatting sqref="M93:X104">
    <cfRule type="cellIs" dxfId="201" priority="19" operator="equal">
      <formula>0</formula>
    </cfRule>
  </conditionalFormatting>
  <conditionalFormatting sqref="M107:X112">
    <cfRule type="cellIs" dxfId="200" priority="13" operator="equal">
      <formula>0</formula>
    </cfRule>
  </conditionalFormatting>
  <conditionalFormatting sqref="M114:X116">
    <cfRule type="cellIs" dxfId="199" priority="7" operator="equal">
      <formula>0</formula>
    </cfRule>
  </conditionalFormatting>
  <conditionalFormatting sqref="M118:X148">
    <cfRule type="cellIs" dxfId="198" priority="1" operator="equal">
      <formula>0</formula>
    </cfRule>
  </conditionalFormatting>
  <conditionalFormatting sqref="Y3:Z17">
    <cfRule type="cellIs" dxfId="197" priority="189" operator="equal">
      <formula>0</formula>
    </cfRule>
  </conditionalFormatting>
  <conditionalFormatting sqref="Y19:Z31">
    <cfRule type="cellIs" dxfId="196" priority="63" operator="equal">
      <formula>0</formula>
    </cfRule>
  </conditionalFormatting>
  <conditionalFormatting sqref="Y33:Z48">
    <cfRule type="cellIs" dxfId="195" priority="57" operator="equal">
      <formula>0</formula>
    </cfRule>
  </conditionalFormatting>
  <conditionalFormatting sqref="Y50:Z51">
    <cfRule type="cellIs" dxfId="194" priority="51" operator="equal">
      <formula>0</formula>
    </cfRule>
  </conditionalFormatting>
  <conditionalFormatting sqref="Y53:Z54">
    <cfRule type="cellIs" dxfId="193" priority="39" operator="equal">
      <formula>0</formula>
    </cfRule>
  </conditionalFormatting>
  <conditionalFormatting sqref="Y56:Z77">
    <cfRule type="cellIs" dxfId="192" priority="33" operator="equal">
      <formula>0</formula>
    </cfRule>
  </conditionalFormatting>
  <conditionalFormatting sqref="Y81:Z90">
    <cfRule type="cellIs" dxfId="191" priority="27" operator="equal">
      <formula>0</formula>
    </cfRule>
  </conditionalFormatting>
  <conditionalFormatting sqref="Y93:Z104">
    <cfRule type="cellIs" dxfId="190" priority="21" operator="equal">
      <formula>0</formula>
    </cfRule>
  </conditionalFormatting>
  <conditionalFormatting sqref="Y107:Z112">
    <cfRule type="cellIs" dxfId="189" priority="15" operator="equal">
      <formula>0</formula>
    </cfRule>
  </conditionalFormatting>
  <conditionalFormatting sqref="Y114:Z116">
    <cfRule type="cellIs" dxfId="188" priority="9" operator="equal">
      <formula>0</formula>
    </cfRule>
  </conditionalFormatting>
  <conditionalFormatting sqref="Y118:Z148">
    <cfRule type="cellIs" dxfId="187" priority="3" operator="equal">
      <formula>0</formula>
    </cfRule>
  </conditionalFormatting>
  <conditionalFormatting sqref="AB3:AB17">
    <cfRule type="cellIs" dxfId="186" priority="210" operator="equal">
      <formula>0</formula>
    </cfRule>
  </conditionalFormatting>
  <conditionalFormatting sqref="AB19:AB31">
    <cfRule type="cellIs" dxfId="185" priority="64" operator="equal">
      <formula>0</formula>
    </cfRule>
  </conditionalFormatting>
  <conditionalFormatting sqref="AB33:AB48">
    <cfRule type="cellIs" dxfId="184" priority="58" operator="equal">
      <formula>0</formula>
    </cfRule>
  </conditionalFormatting>
  <conditionalFormatting sqref="AB50:AB51">
    <cfRule type="cellIs" dxfId="183" priority="52" operator="equal">
      <formula>0</formula>
    </cfRule>
  </conditionalFormatting>
  <conditionalFormatting sqref="AB53:AB54">
    <cfRule type="cellIs" dxfId="182" priority="40" operator="equal">
      <formula>0</formula>
    </cfRule>
  </conditionalFormatting>
  <conditionalFormatting sqref="AB56:AB77">
    <cfRule type="cellIs" dxfId="181" priority="34" operator="equal">
      <formula>0</formula>
    </cfRule>
  </conditionalFormatting>
  <conditionalFormatting sqref="AB81:AB90">
    <cfRule type="cellIs" dxfId="180" priority="28" operator="equal">
      <formula>0</formula>
    </cfRule>
  </conditionalFormatting>
  <conditionalFormatting sqref="AB93:AB104">
    <cfRule type="cellIs" dxfId="179" priority="22" operator="equal">
      <formula>0</formula>
    </cfRule>
  </conditionalFormatting>
  <conditionalFormatting sqref="AB107:AB112">
    <cfRule type="cellIs" dxfId="178" priority="16" operator="equal">
      <formula>0</formula>
    </cfRule>
  </conditionalFormatting>
  <conditionalFormatting sqref="AB114:AB116">
    <cfRule type="cellIs" dxfId="177" priority="10" operator="equal">
      <formula>0</formula>
    </cfRule>
  </conditionalFormatting>
  <conditionalFormatting sqref="AB118:AB148">
    <cfRule type="cellIs" dxfId="176" priority="4" operator="equal">
      <formula>0</formula>
    </cfRule>
  </conditionalFormatting>
  <conditionalFormatting sqref="AD3:AD17">
    <cfRule type="cellIs" dxfId="175" priority="178" operator="equal">
      <formula>0</formula>
    </cfRule>
  </conditionalFormatting>
  <conditionalFormatting sqref="AD19:AD31">
    <cfRule type="cellIs" dxfId="174" priority="62" operator="equal">
      <formula>0</formula>
    </cfRule>
  </conditionalFormatting>
  <conditionalFormatting sqref="AD33:AD48">
    <cfRule type="cellIs" dxfId="173" priority="56" operator="equal">
      <formula>0</formula>
    </cfRule>
  </conditionalFormatting>
  <conditionalFormatting sqref="AD50:AD51">
    <cfRule type="cellIs" dxfId="172" priority="50" operator="equal">
      <formula>0</formula>
    </cfRule>
  </conditionalFormatting>
  <conditionalFormatting sqref="AD53:AD54">
    <cfRule type="cellIs" dxfId="171" priority="38" operator="equal">
      <formula>0</formula>
    </cfRule>
  </conditionalFormatting>
  <conditionalFormatting sqref="AD56:AD77">
    <cfRule type="cellIs" dxfId="170" priority="32" operator="equal">
      <formula>0</formula>
    </cfRule>
  </conditionalFormatting>
  <conditionalFormatting sqref="AD81:AD90">
    <cfRule type="cellIs" dxfId="169" priority="26" operator="equal">
      <formula>0</formula>
    </cfRule>
  </conditionalFormatting>
  <conditionalFormatting sqref="AD93:AD104">
    <cfRule type="cellIs" dxfId="168" priority="20" operator="equal">
      <formula>0</formula>
    </cfRule>
  </conditionalFormatting>
  <conditionalFormatting sqref="AD107:AD112">
    <cfRule type="cellIs" dxfId="167" priority="14" operator="equal">
      <formula>0</formula>
    </cfRule>
  </conditionalFormatting>
  <conditionalFormatting sqref="AD114:AD116">
    <cfRule type="cellIs" dxfId="166" priority="8" operator="equal">
      <formula>0</formula>
    </cfRule>
  </conditionalFormatting>
  <conditionalFormatting sqref="AD118:AD148">
    <cfRule type="cellIs" dxfId="165" priority="2" operator="equal">
      <formula>0</formula>
    </cfRule>
  </conditionalFormatting>
  <pageMargins left="0.7" right="0.7" top="0.75" bottom="0.75" header="0.3" footer="0.3"/>
  <ignoredErrors>
    <ignoredError sqref="Y149:AD150 B150:T150 B117:T117 Y117:AD117 Y18:AD18 B18:T18 Y32:AD32 B32:T32 Y49:AD49 B49:T49 Y78:AD80 B78:T80 Y91:AD92 B91:T92 Y105:AD106 B105:T106 W117 W113 W105:W106 W91:W92 W78:W80 W55 W52 W49 W32 W149:W150 W18 Y52:AD52 Y55:AD55 Y113:AD113 B113:T113 B149:F149 H149:T149 B52:T52 B55:T55" unlockedFormula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B75A6-C890-4A01-AB3B-E3ACF4BA3F02}">
  <sheetPr>
    <tabColor rgb="FFFFC000"/>
  </sheetPr>
  <dimension ref="A1:AB150"/>
  <sheetViews>
    <sheetView zoomScale="55" zoomScaleNormal="55" workbookViewId="0">
      <pane xSplit="1" ySplit="2" topLeftCell="B114" activePane="bottomRight" state="frozen"/>
      <selection activeCell="A3" sqref="A3"/>
      <selection pane="topRight" activeCell="A3" sqref="A3"/>
      <selection pane="bottomLeft" activeCell="A3" sqref="A3"/>
      <selection pane="bottomRight" activeCell="A141" sqref="A141"/>
    </sheetView>
  </sheetViews>
  <sheetFormatPr baseColWidth="10" defaultRowHeight="14.4" outlineLevelCol="1" x14ac:dyDescent="0.3"/>
  <cols>
    <col min="1" max="1" width="55.6640625" customWidth="1"/>
    <col min="2" max="6" width="12.6640625" customWidth="1" outlineLevel="1"/>
    <col min="7" max="7" width="12.6640625" hidden="1" customWidth="1" outlineLevel="1"/>
    <col min="8" max="11" width="12.6640625" customWidth="1" outlineLevel="1"/>
    <col min="12" max="12" width="12.6640625" customWidth="1"/>
    <col min="13" max="13" width="12.6640625" customWidth="1" outlineLevel="1"/>
    <col min="14" max="14" width="13.88671875" customWidth="1" outlineLevel="1"/>
    <col min="15" max="24" width="12.6640625" customWidth="1" outlineLevel="1"/>
    <col min="25" max="26" width="12.6640625" customWidth="1"/>
    <col min="27" max="27" width="3.109375" customWidth="1"/>
    <col min="28" max="28" width="17.109375" customWidth="1"/>
  </cols>
  <sheetData>
    <row r="1" spans="1:28" ht="18" thickBot="1" x14ac:dyDescent="0.4">
      <c r="A1" s="1">
        <f>RAIZ!B1</f>
        <v>46301</v>
      </c>
      <c r="B1" s="257" t="s">
        <v>861</v>
      </c>
      <c r="C1" s="257"/>
      <c r="D1" s="257"/>
      <c r="E1" s="257"/>
      <c r="F1" s="257"/>
      <c r="G1" s="257"/>
      <c r="H1" s="257"/>
      <c r="I1" s="257"/>
      <c r="J1" s="257"/>
      <c r="K1" s="257"/>
      <c r="L1" s="164"/>
      <c r="M1" s="257" t="s">
        <v>862</v>
      </c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167"/>
      <c r="Y1" s="164"/>
      <c r="AB1" s="164"/>
    </row>
    <row r="2" spans="1:28" ht="31.8" thickBot="1" x14ac:dyDescent="0.35">
      <c r="A2" s="90" t="s">
        <v>0</v>
      </c>
      <c r="B2" s="62" t="s">
        <v>701</v>
      </c>
      <c r="C2" s="62" t="s">
        <v>706</v>
      </c>
      <c r="D2" s="62" t="s">
        <v>707</v>
      </c>
      <c r="E2" s="62" t="s">
        <v>708</v>
      </c>
      <c r="F2" s="62" t="s">
        <v>709</v>
      </c>
      <c r="G2" s="62" t="s">
        <v>710</v>
      </c>
      <c r="H2" s="62" t="s">
        <v>711</v>
      </c>
      <c r="I2" s="62" t="s">
        <v>712</v>
      </c>
      <c r="J2" s="62" t="s">
        <v>713</v>
      </c>
      <c r="K2" s="62" t="s">
        <v>714</v>
      </c>
      <c r="L2" s="61" t="s">
        <v>838</v>
      </c>
      <c r="M2" s="62" t="s">
        <v>717</v>
      </c>
      <c r="N2" s="62" t="s">
        <v>718</v>
      </c>
      <c r="O2" s="62" t="s">
        <v>719</v>
      </c>
      <c r="P2" s="62" t="s">
        <v>720</v>
      </c>
      <c r="Q2" s="62" t="s">
        <v>721</v>
      </c>
      <c r="R2" s="62" t="s">
        <v>722</v>
      </c>
      <c r="S2" s="62" t="s">
        <v>723</v>
      </c>
      <c r="T2" s="62" t="s">
        <v>724</v>
      </c>
      <c r="U2" s="62" t="s">
        <v>860</v>
      </c>
      <c r="V2" s="62" t="s">
        <v>942</v>
      </c>
      <c r="W2" s="62" t="s">
        <v>1000</v>
      </c>
      <c r="X2" s="62" t="s">
        <v>1033</v>
      </c>
      <c r="Y2" s="61" t="s">
        <v>840</v>
      </c>
      <c r="Z2" s="115" t="s">
        <v>841</v>
      </c>
      <c r="AB2" s="165" t="s">
        <v>863</v>
      </c>
    </row>
    <row r="3" spans="1:28" ht="17.399999999999999" x14ac:dyDescent="0.35">
      <c r="A3" s="93" t="s">
        <v>1</v>
      </c>
      <c r="B3" s="131">
        <f>'Suc. Amado Nervo'!G3</f>
        <v>2</v>
      </c>
      <c r="C3" s="131">
        <f>'Suc. León'!G3</f>
        <v>1</v>
      </c>
      <c r="D3" s="120">
        <f>'San Cayetano'!G3</f>
        <v>0</v>
      </c>
      <c r="E3" s="120">
        <f>'Suc. Boulevard'!G3</f>
        <v>1</v>
      </c>
      <c r="F3" s="120">
        <f>'Suc. Dos de Agosto'!G3</f>
        <v>0</v>
      </c>
      <c r="G3" s="120">
        <f>'Suc. La Nueva Canasta'!G3</f>
        <v>0</v>
      </c>
      <c r="H3" s="120">
        <f>'Suc. Mololoa'!G3</f>
        <v>1</v>
      </c>
      <c r="I3" s="120">
        <f>'Suc. Plaza'!G3</f>
        <v>1</v>
      </c>
      <c r="J3" s="120">
        <f>'Suc. Vistas'!G3</f>
        <v>1</v>
      </c>
      <c r="K3" s="120">
        <f>'Suc. Xalisco'!G3</f>
        <v>1</v>
      </c>
      <c r="L3" s="120">
        <f>SUM(B3:K3)</f>
        <v>8</v>
      </c>
      <c r="M3" s="131">
        <f>'Suc. Acaponeta'!G3</f>
        <v>0</v>
      </c>
      <c r="N3" s="131">
        <f>'Suc. Compostela'!G3</f>
        <v>0</v>
      </c>
      <c r="O3" s="131">
        <f>'Suc. Ruiz'!G3</f>
        <v>0</v>
      </c>
      <c r="P3" s="131">
        <f>'Suc. Sanblas'!G3</f>
        <v>0</v>
      </c>
      <c r="Q3" s="131">
        <f>'LALO VARAS'!G3</f>
        <v>0</v>
      </c>
      <c r="R3" s="131">
        <f>'Suc. Santiago 2'!G3</f>
        <v>0</v>
      </c>
      <c r="S3" s="131">
        <f>'Suc. Tecuala'!G3</f>
        <v>0</v>
      </c>
      <c r="T3" s="131">
        <f>'Suc. Tuxpan'!G3</f>
        <v>2</v>
      </c>
      <c r="U3" s="131">
        <f>'Suc. Varas'!G3</f>
        <v>0</v>
      </c>
      <c r="V3" s="131">
        <f>'Suc. Santa María del Oro'!G3</f>
        <v>0</v>
      </c>
      <c r="W3" s="131">
        <f>'Suc. Villa Hidalgo'!G3</f>
        <v>0</v>
      </c>
      <c r="X3" s="131">
        <f>'Suc. Peñita'!G3</f>
        <v>0</v>
      </c>
      <c r="Y3" s="120">
        <f>SUM(M3:X3)</f>
        <v>2</v>
      </c>
      <c r="Z3" s="120">
        <f>L3+Y3</f>
        <v>10</v>
      </c>
      <c r="AB3" s="131">
        <f>'GRAL. SUC. LOCALES'!N3</f>
        <v>5</v>
      </c>
    </row>
    <row r="4" spans="1:28" ht="17.399999999999999" x14ac:dyDescent="0.35">
      <c r="A4" s="93" t="s">
        <v>2</v>
      </c>
      <c r="B4" s="131">
        <f>'Suc. Amado Nervo'!G4</f>
        <v>0</v>
      </c>
      <c r="C4" s="131">
        <f>'Suc. León'!G4</f>
        <v>0</v>
      </c>
      <c r="D4" s="120">
        <f>'San Cayetano'!G4</f>
        <v>0</v>
      </c>
      <c r="E4" s="120">
        <f>'Suc. Boulevard'!G4</f>
        <v>0</v>
      </c>
      <c r="F4" s="120">
        <f>'Suc. Dos de Agosto'!G4</f>
        <v>0</v>
      </c>
      <c r="G4" s="120">
        <f>'Suc. La Nueva Canasta'!G4</f>
        <v>0</v>
      </c>
      <c r="H4" s="120">
        <f>'Suc. Mololoa'!G4</f>
        <v>2</v>
      </c>
      <c r="I4" s="120">
        <f>'Suc. Plaza'!G4</f>
        <v>1</v>
      </c>
      <c r="J4" s="120">
        <f>'Suc. Vistas'!G4</f>
        <v>0</v>
      </c>
      <c r="K4" s="120">
        <f>'Suc. Xalisco'!G4</f>
        <v>1</v>
      </c>
      <c r="L4" s="120">
        <f t="shared" ref="L4:L17" si="0">SUM(B4:K4)</f>
        <v>4</v>
      </c>
      <c r="M4" s="131">
        <f>'Suc. Acaponeta'!G4</f>
        <v>0</v>
      </c>
      <c r="N4" s="131">
        <f>'Suc. Compostela'!G4</f>
        <v>0</v>
      </c>
      <c r="O4" s="131">
        <f>'Suc. Ruiz'!G4</f>
        <v>0</v>
      </c>
      <c r="P4" s="131">
        <f>'Suc. Sanblas'!G4</f>
        <v>0</v>
      </c>
      <c r="Q4" s="131">
        <f>'LALO VARAS'!G4</f>
        <v>1</v>
      </c>
      <c r="R4" s="131">
        <f>'Suc. Santiago 2'!G4</f>
        <v>0</v>
      </c>
      <c r="S4" s="131">
        <f>'Suc. Tecuala'!G4</f>
        <v>0</v>
      </c>
      <c r="T4" s="131">
        <f>'Suc. Tuxpan'!G4</f>
        <v>2</v>
      </c>
      <c r="U4" s="131">
        <f>'Suc. Varas'!G4</f>
        <v>0</v>
      </c>
      <c r="V4" s="131">
        <f>'Suc. Santa María del Oro'!G4</f>
        <v>0</v>
      </c>
      <c r="W4" s="131">
        <f>'Suc. Villa Hidalgo'!G4</f>
        <v>0</v>
      </c>
      <c r="X4" s="131">
        <f>'Suc. Peñita'!G4</f>
        <v>0</v>
      </c>
      <c r="Y4" s="120">
        <f t="shared" ref="Y4:Y17" si="1">SUM(M4:X4)</f>
        <v>3</v>
      </c>
      <c r="Z4" s="120">
        <f t="shared" ref="Z4:Z17" si="2">L4+Y4</f>
        <v>7</v>
      </c>
      <c r="AB4" s="131">
        <f>'GRAL. SUC. LOCALES'!N4</f>
        <v>9</v>
      </c>
    </row>
    <row r="5" spans="1:28" ht="17.399999999999999" x14ac:dyDescent="0.35">
      <c r="A5" s="93" t="s">
        <v>3</v>
      </c>
      <c r="B5" s="131">
        <f>'Suc. Amado Nervo'!G5</f>
        <v>0</v>
      </c>
      <c r="C5" s="131">
        <f>'Suc. León'!G5</f>
        <v>0</v>
      </c>
      <c r="D5" s="120">
        <f>'San Cayetano'!G5</f>
        <v>1</v>
      </c>
      <c r="E5" s="120">
        <f>'Suc. Boulevard'!G5</f>
        <v>1</v>
      </c>
      <c r="F5" s="120">
        <f>'Suc. Dos de Agosto'!G5</f>
        <v>0</v>
      </c>
      <c r="G5" s="120">
        <f>'Suc. La Nueva Canasta'!G5</f>
        <v>0</v>
      </c>
      <c r="H5" s="120">
        <f>'Suc. Mololoa'!G5</f>
        <v>0</v>
      </c>
      <c r="I5" s="120">
        <f>'Suc. Plaza'!G5</f>
        <v>0</v>
      </c>
      <c r="J5" s="120">
        <f>'Suc. Vistas'!G5</f>
        <v>0</v>
      </c>
      <c r="K5" s="120">
        <f>'Suc. Xalisco'!G5</f>
        <v>0</v>
      </c>
      <c r="L5" s="120">
        <f t="shared" si="0"/>
        <v>2</v>
      </c>
      <c r="M5" s="131">
        <f>'Suc. Acaponeta'!G5</f>
        <v>0</v>
      </c>
      <c r="N5" s="131">
        <f>'Suc. Compostela'!G5</f>
        <v>1</v>
      </c>
      <c r="O5" s="131">
        <f>'Suc. Ruiz'!G5</f>
        <v>0</v>
      </c>
      <c r="P5" s="131">
        <f>'Suc. Sanblas'!G5</f>
        <v>0</v>
      </c>
      <c r="Q5" s="131">
        <f>'LALO VARAS'!G5</f>
        <v>4</v>
      </c>
      <c r="R5" s="131">
        <f>'Suc. Santiago 2'!G5</f>
        <v>0</v>
      </c>
      <c r="S5" s="131">
        <f>'Suc. Tecuala'!G5</f>
        <v>0</v>
      </c>
      <c r="T5" s="131">
        <f>'Suc. Tuxpan'!G5</f>
        <v>2</v>
      </c>
      <c r="U5" s="131">
        <f>'Suc. Varas'!G5</f>
        <v>0</v>
      </c>
      <c r="V5" s="131">
        <f>'Suc. Santa María del Oro'!G5</f>
        <v>0</v>
      </c>
      <c r="W5" s="131">
        <f>'Suc. Villa Hidalgo'!G5</f>
        <v>0</v>
      </c>
      <c r="X5" s="131">
        <f>'Suc. Peñita'!G5</f>
        <v>0</v>
      </c>
      <c r="Y5" s="120">
        <f t="shared" si="1"/>
        <v>7</v>
      </c>
      <c r="Z5" s="120">
        <f t="shared" si="2"/>
        <v>9</v>
      </c>
      <c r="AB5" s="131">
        <f>'GRAL. SUC. LOCALES'!N5</f>
        <v>2</v>
      </c>
    </row>
    <row r="6" spans="1:28" ht="17.399999999999999" x14ac:dyDescent="0.35">
      <c r="A6" s="93" t="s">
        <v>4</v>
      </c>
      <c r="B6" s="131">
        <f>'Suc. Amado Nervo'!G6</f>
        <v>0</v>
      </c>
      <c r="C6" s="131">
        <f>'Suc. León'!G6</f>
        <v>0</v>
      </c>
      <c r="D6" s="120">
        <f>'San Cayetano'!G6</f>
        <v>2</v>
      </c>
      <c r="E6" s="120">
        <f>'Suc. Boulevard'!G6</f>
        <v>0</v>
      </c>
      <c r="F6" s="120">
        <f>'Suc. Dos de Agosto'!G6</f>
        <v>0</v>
      </c>
      <c r="G6" s="120">
        <f>'Suc. La Nueva Canasta'!G6</f>
        <v>0</v>
      </c>
      <c r="H6" s="120">
        <f>'Suc. Mololoa'!G6</f>
        <v>1</v>
      </c>
      <c r="I6" s="120">
        <f>'Suc. Plaza'!G6</f>
        <v>0</v>
      </c>
      <c r="J6" s="120">
        <f>'Suc. Vistas'!G6</f>
        <v>2</v>
      </c>
      <c r="K6" s="120">
        <f>'Suc. Xalisco'!G6</f>
        <v>0</v>
      </c>
      <c r="L6" s="120">
        <f t="shared" si="0"/>
        <v>5</v>
      </c>
      <c r="M6" s="131">
        <f>'Suc. Acaponeta'!G6</f>
        <v>0</v>
      </c>
      <c r="N6" s="131">
        <f>'Suc. Compostela'!G6</f>
        <v>0</v>
      </c>
      <c r="O6" s="131">
        <f>'Suc. Ruiz'!G6</f>
        <v>0</v>
      </c>
      <c r="P6" s="131">
        <f>'Suc. Sanblas'!G6</f>
        <v>0</v>
      </c>
      <c r="Q6" s="131">
        <f>'LALO VARAS'!G6</f>
        <v>2</v>
      </c>
      <c r="R6" s="131">
        <f>'Suc. Santiago 2'!G6</f>
        <v>0</v>
      </c>
      <c r="S6" s="131">
        <f>'Suc. Tecuala'!G6</f>
        <v>0</v>
      </c>
      <c r="T6" s="131">
        <f>'Suc. Tuxpan'!G6</f>
        <v>2</v>
      </c>
      <c r="U6" s="131">
        <f>'Suc. Varas'!G6</f>
        <v>0</v>
      </c>
      <c r="V6" s="131">
        <f>'Suc. Santa María del Oro'!G6</f>
        <v>0</v>
      </c>
      <c r="W6" s="131">
        <f>'Suc. Villa Hidalgo'!G6</f>
        <v>0</v>
      </c>
      <c r="X6" s="131">
        <f>'Suc. Peñita'!G6</f>
        <v>0</v>
      </c>
      <c r="Y6" s="120">
        <f t="shared" si="1"/>
        <v>4</v>
      </c>
      <c r="Z6" s="120">
        <f t="shared" si="2"/>
        <v>9</v>
      </c>
      <c r="AB6" s="131">
        <f>'GRAL. SUC. LOCALES'!N6</f>
        <v>20</v>
      </c>
    </row>
    <row r="7" spans="1:28" ht="17.399999999999999" x14ac:dyDescent="0.35">
      <c r="A7" s="93" t="s">
        <v>5</v>
      </c>
      <c r="B7" s="131">
        <f>'Suc. Amado Nervo'!G7</f>
        <v>0</v>
      </c>
      <c r="C7" s="131">
        <f>'Suc. León'!G7</f>
        <v>0</v>
      </c>
      <c r="D7" s="120">
        <f>'San Cayetano'!G7</f>
        <v>1</v>
      </c>
      <c r="E7" s="120">
        <f>'Suc. Boulevard'!G7</f>
        <v>0</v>
      </c>
      <c r="F7" s="120">
        <f>'Suc. Dos de Agosto'!G7</f>
        <v>0</v>
      </c>
      <c r="G7" s="120">
        <f>'Suc. La Nueva Canasta'!G7</f>
        <v>0</v>
      </c>
      <c r="H7" s="120">
        <f>'Suc. Mololoa'!G7</f>
        <v>1</v>
      </c>
      <c r="I7" s="120">
        <f>'Suc. Plaza'!G7</f>
        <v>0</v>
      </c>
      <c r="J7" s="120">
        <f>'Suc. Vistas'!G7</f>
        <v>0</v>
      </c>
      <c r="K7" s="120">
        <f>'Suc. Xalisco'!G7</f>
        <v>1</v>
      </c>
      <c r="L7" s="120">
        <f t="shared" si="0"/>
        <v>3</v>
      </c>
      <c r="M7" s="131">
        <f>'Suc. Acaponeta'!G7</f>
        <v>0</v>
      </c>
      <c r="N7" s="131">
        <f>'Suc. Compostela'!G7</f>
        <v>0</v>
      </c>
      <c r="O7" s="131">
        <f>'Suc. Ruiz'!G7</f>
        <v>0</v>
      </c>
      <c r="P7" s="131">
        <f>'Suc. Sanblas'!G7</f>
        <v>0</v>
      </c>
      <c r="Q7" s="131">
        <f>'LALO VARAS'!G7</f>
        <v>0</v>
      </c>
      <c r="R7" s="131">
        <f>'Suc. Santiago 2'!G7</f>
        <v>0</v>
      </c>
      <c r="S7" s="131">
        <f>'Suc. Tecuala'!G7</f>
        <v>0</v>
      </c>
      <c r="T7" s="131">
        <f>'Suc. Tuxpan'!G7</f>
        <v>2</v>
      </c>
      <c r="U7" s="131">
        <f>'Suc. Varas'!G7</f>
        <v>0</v>
      </c>
      <c r="V7" s="131">
        <f>'Suc. Santa María del Oro'!G7</f>
        <v>1</v>
      </c>
      <c r="W7" s="131">
        <f>'Suc. Villa Hidalgo'!G7</f>
        <v>0</v>
      </c>
      <c r="X7" s="131">
        <f>'Suc. Peñita'!G7</f>
        <v>0</v>
      </c>
      <c r="Y7" s="120">
        <f t="shared" si="1"/>
        <v>3</v>
      </c>
      <c r="Z7" s="120">
        <f t="shared" si="2"/>
        <v>6</v>
      </c>
      <c r="AB7" s="131">
        <f>'GRAL. SUC. LOCALES'!N7</f>
        <v>13</v>
      </c>
    </row>
    <row r="8" spans="1:28" ht="17.399999999999999" x14ac:dyDescent="0.35">
      <c r="A8" s="93" t="s">
        <v>6</v>
      </c>
      <c r="B8" s="131">
        <f>'Suc. Amado Nervo'!G8</f>
        <v>1</v>
      </c>
      <c r="C8" s="131">
        <f>'Suc. León'!G8</f>
        <v>1</v>
      </c>
      <c r="D8" s="120">
        <f>'San Cayetano'!G8</f>
        <v>1</v>
      </c>
      <c r="E8" s="120">
        <f>'Suc. Boulevard'!G8</f>
        <v>0</v>
      </c>
      <c r="F8" s="120">
        <f>'Suc. Dos de Agosto'!G8</f>
        <v>0</v>
      </c>
      <c r="G8" s="120">
        <f>'Suc. La Nueva Canasta'!G8</f>
        <v>0</v>
      </c>
      <c r="H8" s="120">
        <f>'Suc. Mololoa'!G8</f>
        <v>1</v>
      </c>
      <c r="I8" s="120">
        <f>'Suc. Plaza'!G8</f>
        <v>1</v>
      </c>
      <c r="J8" s="120">
        <f>'Suc. Vistas'!G8</f>
        <v>2</v>
      </c>
      <c r="K8" s="120">
        <f>'Suc. Xalisco'!G8</f>
        <v>0</v>
      </c>
      <c r="L8" s="120">
        <f t="shared" si="0"/>
        <v>7</v>
      </c>
      <c r="M8" s="131">
        <f>'Suc. Acaponeta'!G8</f>
        <v>0</v>
      </c>
      <c r="N8" s="131">
        <f>'Suc. Compostela'!G8</f>
        <v>1</v>
      </c>
      <c r="O8" s="131">
        <f>'Suc. Ruiz'!G8</f>
        <v>0</v>
      </c>
      <c r="P8" s="131">
        <f>'Suc. Sanblas'!G8</f>
        <v>0</v>
      </c>
      <c r="Q8" s="131">
        <f>'LALO VARAS'!G8</f>
        <v>4</v>
      </c>
      <c r="R8" s="131">
        <f>'Suc. Santiago 2'!G8</f>
        <v>0</v>
      </c>
      <c r="S8" s="131">
        <f>'Suc. Tecuala'!G8</f>
        <v>0</v>
      </c>
      <c r="T8" s="131">
        <f>'Suc. Tuxpan'!G8</f>
        <v>2</v>
      </c>
      <c r="U8" s="131">
        <f>'Suc. Varas'!G8</f>
        <v>0</v>
      </c>
      <c r="V8" s="131">
        <f>'Suc. Santa María del Oro'!G8</f>
        <v>1</v>
      </c>
      <c r="W8" s="131">
        <f>'Suc. Villa Hidalgo'!G8</f>
        <v>0</v>
      </c>
      <c r="X8" s="131">
        <f>'Suc. Peñita'!G8</f>
        <v>0</v>
      </c>
      <c r="Y8" s="120">
        <f t="shared" si="1"/>
        <v>8</v>
      </c>
      <c r="Z8" s="120">
        <f t="shared" si="2"/>
        <v>15</v>
      </c>
      <c r="AB8" s="131">
        <f>'GRAL. SUC. LOCALES'!N8</f>
        <v>10</v>
      </c>
    </row>
    <row r="9" spans="1:28" ht="17.399999999999999" x14ac:dyDescent="0.35">
      <c r="A9" s="93" t="s">
        <v>7</v>
      </c>
      <c r="B9" s="131">
        <f>'Suc. Amado Nervo'!G9</f>
        <v>0</v>
      </c>
      <c r="C9" s="131">
        <f>'Suc. León'!G9</f>
        <v>0</v>
      </c>
      <c r="D9" s="120">
        <f>'San Cayetano'!G9</f>
        <v>0</v>
      </c>
      <c r="E9" s="120">
        <f>'Suc. Boulevard'!G9</f>
        <v>0</v>
      </c>
      <c r="F9" s="120">
        <f>'Suc. Dos de Agosto'!G9</f>
        <v>2</v>
      </c>
      <c r="G9" s="120">
        <f>'Suc. La Nueva Canasta'!G9</f>
        <v>0</v>
      </c>
      <c r="H9" s="120">
        <f>'Suc. Mololoa'!G9</f>
        <v>0</v>
      </c>
      <c r="I9" s="120">
        <f>'Suc. Plaza'!G9</f>
        <v>1</v>
      </c>
      <c r="J9" s="120">
        <f>'Suc. Vistas'!G9</f>
        <v>1</v>
      </c>
      <c r="K9" s="120">
        <f>'Suc. Xalisco'!G9</f>
        <v>0</v>
      </c>
      <c r="L9" s="120">
        <f t="shared" si="0"/>
        <v>4</v>
      </c>
      <c r="M9" s="131">
        <f>'Suc. Acaponeta'!G9</f>
        <v>0</v>
      </c>
      <c r="N9" s="131">
        <f>'Suc. Compostela'!G9</f>
        <v>0</v>
      </c>
      <c r="O9" s="131">
        <f>'Suc. Ruiz'!G9</f>
        <v>0</v>
      </c>
      <c r="P9" s="131">
        <f>'Suc. Sanblas'!G9</f>
        <v>0</v>
      </c>
      <c r="Q9" s="131">
        <f>'LALO VARAS'!G9</f>
        <v>0</v>
      </c>
      <c r="R9" s="131">
        <f>'Suc. Santiago 2'!G9</f>
        <v>0</v>
      </c>
      <c r="S9" s="131">
        <f>'Suc. Tecuala'!G9</f>
        <v>0</v>
      </c>
      <c r="T9" s="131">
        <f>'Suc. Tuxpan'!G9</f>
        <v>2</v>
      </c>
      <c r="U9" s="131">
        <f>'Suc. Varas'!G9</f>
        <v>0</v>
      </c>
      <c r="V9" s="131">
        <f>'Suc. Santa María del Oro'!G9</f>
        <v>0</v>
      </c>
      <c r="W9" s="131">
        <f>'Suc. Villa Hidalgo'!G9</f>
        <v>0</v>
      </c>
      <c r="X9" s="131">
        <f>'Suc. Peñita'!G9</f>
        <v>0</v>
      </c>
      <c r="Y9" s="120">
        <f t="shared" si="1"/>
        <v>2</v>
      </c>
      <c r="Z9" s="120">
        <f t="shared" si="2"/>
        <v>6</v>
      </c>
      <c r="AB9" s="131">
        <f>'GRAL. SUC. LOCALES'!N9</f>
        <v>4</v>
      </c>
    </row>
    <row r="10" spans="1:28" ht="17.399999999999999" x14ac:dyDescent="0.35">
      <c r="A10" s="93" t="s">
        <v>8</v>
      </c>
      <c r="B10" s="131">
        <f>'Suc. Amado Nervo'!G10</f>
        <v>0</v>
      </c>
      <c r="C10" s="131">
        <f>'Suc. León'!G10</f>
        <v>0</v>
      </c>
      <c r="D10" s="120">
        <f>'San Cayetano'!G10</f>
        <v>0</v>
      </c>
      <c r="E10" s="120">
        <f>'Suc. Boulevard'!G10</f>
        <v>0</v>
      </c>
      <c r="F10" s="120">
        <f>'Suc. Dos de Agosto'!G10</f>
        <v>0</v>
      </c>
      <c r="G10" s="120">
        <f>'Suc. La Nueva Canasta'!G10</f>
        <v>0</v>
      </c>
      <c r="H10" s="120">
        <f>'Suc. Mololoa'!G10</f>
        <v>0</v>
      </c>
      <c r="I10" s="120">
        <f>'Suc. Plaza'!G10</f>
        <v>1</v>
      </c>
      <c r="J10" s="120">
        <f>'Suc. Vistas'!G10</f>
        <v>0</v>
      </c>
      <c r="K10" s="120">
        <f>'Suc. Xalisco'!G10</f>
        <v>1</v>
      </c>
      <c r="L10" s="120">
        <f t="shared" si="0"/>
        <v>2</v>
      </c>
      <c r="M10" s="131">
        <f>'Suc. Acaponeta'!G10</f>
        <v>0</v>
      </c>
      <c r="N10" s="131">
        <f>'Suc. Compostela'!G10</f>
        <v>1</v>
      </c>
      <c r="O10" s="131">
        <f>'Suc. Ruiz'!G10</f>
        <v>0</v>
      </c>
      <c r="P10" s="131">
        <f>'Suc. Sanblas'!G10</f>
        <v>0</v>
      </c>
      <c r="Q10" s="131">
        <f>'LALO VARAS'!G10</f>
        <v>4</v>
      </c>
      <c r="R10" s="131">
        <f>'Suc. Santiago 2'!G10</f>
        <v>0</v>
      </c>
      <c r="S10" s="131">
        <f>'Suc. Tecuala'!G10</f>
        <v>0</v>
      </c>
      <c r="T10" s="131">
        <f>'Suc. Tuxpan'!G10</f>
        <v>2</v>
      </c>
      <c r="U10" s="131">
        <f>'Suc. Varas'!G10</f>
        <v>0</v>
      </c>
      <c r="V10" s="131">
        <f>'Suc. Santa María del Oro'!G10</f>
        <v>1</v>
      </c>
      <c r="W10" s="131">
        <f>'Suc. Villa Hidalgo'!G10</f>
        <v>0</v>
      </c>
      <c r="X10" s="131">
        <f>'Suc. Peñita'!G10</f>
        <v>0</v>
      </c>
      <c r="Y10" s="120">
        <f t="shared" si="1"/>
        <v>8</v>
      </c>
      <c r="Z10" s="120">
        <f t="shared" si="2"/>
        <v>10</v>
      </c>
      <c r="AB10" s="131">
        <f>'GRAL. SUC. LOCALES'!N10</f>
        <v>12</v>
      </c>
    </row>
    <row r="11" spans="1:28" ht="17.399999999999999" x14ac:dyDescent="0.35">
      <c r="A11" s="93" t="s">
        <v>9</v>
      </c>
      <c r="B11" s="131">
        <f>'Suc. Amado Nervo'!G11</f>
        <v>0</v>
      </c>
      <c r="C11" s="131">
        <f>'Suc. León'!G11</f>
        <v>0</v>
      </c>
      <c r="D11" s="120">
        <f>'San Cayetano'!G11</f>
        <v>0</v>
      </c>
      <c r="E11" s="120">
        <f>'Suc. Boulevard'!G11</f>
        <v>0</v>
      </c>
      <c r="F11" s="120">
        <f>'Suc. Dos de Agosto'!G11</f>
        <v>2</v>
      </c>
      <c r="G11" s="120">
        <f>'Suc. La Nueva Canasta'!G11</f>
        <v>0</v>
      </c>
      <c r="H11" s="120">
        <f>'Suc. Mololoa'!G11</f>
        <v>2</v>
      </c>
      <c r="I11" s="120">
        <f>'Suc. Plaza'!G11</f>
        <v>1</v>
      </c>
      <c r="J11" s="120">
        <f>'Suc. Vistas'!G11</f>
        <v>1</v>
      </c>
      <c r="K11" s="120">
        <f>'Suc. Xalisco'!G11</f>
        <v>2</v>
      </c>
      <c r="L11" s="120">
        <f t="shared" si="0"/>
        <v>8</v>
      </c>
      <c r="M11" s="131">
        <f>'Suc. Acaponeta'!G11</f>
        <v>0</v>
      </c>
      <c r="N11" s="131">
        <f>'Suc. Compostela'!G11</f>
        <v>0</v>
      </c>
      <c r="O11" s="131">
        <f>'Suc. Ruiz'!G11</f>
        <v>0</v>
      </c>
      <c r="P11" s="131">
        <f>'Suc. Sanblas'!G11</f>
        <v>0</v>
      </c>
      <c r="Q11" s="131">
        <f>'LALO VARAS'!G11</f>
        <v>0</v>
      </c>
      <c r="R11" s="131">
        <f>'Suc. Santiago 2'!G11</f>
        <v>0</v>
      </c>
      <c r="S11" s="131">
        <f>'Suc. Tecuala'!G11</f>
        <v>0</v>
      </c>
      <c r="T11" s="131">
        <f>'Suc. Tuxpan'!G11</f>
        <v>2</v>
      </c>
      <c r="U11" s="131">
        <f>'Suc. Varas'!G11</f>
        <v>0</v>
      </c>
      <c r="V11" s="131">
        <f>'Suc. Santa María del Oro'!G11</f>
        <v>0</v>
      </c>
      <c r="W11" s="131">
        <f>'Suc. Villa Hidalgo'!G11</f>
        <v>0</v>
      </c>
      <c r="X11" s="131">
        <f>'Suc. Peñita'!G11</f>
        <v>0</v>
      </c>
      <c r="Y11" s="120">
        <f t="shared" si="1"/>
        <v>2</v>
      </c>
      <c r="Z11" s="120">
        <f t="shared" si="2"/>
        <v>10</v>
      </c>
      <c r="AB11" s="131">
        <f>'GRAL. SUC. LOCALES'!N11</f>
        <v>4</v>
      </c>
    </row>
    <row r="12" spans="1:28" ht="17.399999999999999" x14ac:dyDescent="0.35">
      <c r="A12" s="93"/>
      <c r="B12" s="131">
        <f>'Suc. Amado Nervo'!G12</f>
        <v>0</v>
      </c>
      <c r="C12" s="131">
        <f>'Suc. León'!G12</f>
        <v>0</v>
      </c>
      <c r="D12" s="120">
        <f>'San Cayetano'!G12</f>
        <v>0</v>
      </c>
      <c r="E12" s="120">
        <f>'Suc. Boulevard'!G12</f>
        <v>0</v>
      </c>
      <c r="F12" s="120">
        <f>'Suc. Dos de Agosto'!G12</f>
        <v>0</v>
      </c>
      <c r="G12" s="120">
        <f>'Suc. La Nueva Canasta'!G12</f>
        <v>0</v>
      </c>
      <c r="H12" s="120">
        <f>'Suc. Mololoa'!G12</f>
        <v>0</v>
      </c>
      <c r="I12" s="120">
        <f>'Suc. Plaza'!G12</f>
        <v>0</v>
      </c>
      <c r="J12" s="120">
        <f>'Suc. Vistas'!G12</f>
        <v>0</v>
      </c>
      <c r="K12" s="120">
        <f>'Suc. Xalisco'!G12</f>
        <v>0</v>
      </c>
      <c r="L12" s="120">
        <f t="shared" si="0"/>
        <v>0</v>
      </c>
      <c r="M12" s="131">
        <f>'Suc. Acaponeta'!G12</f>
        <v>0</v>
      </c>
      <c r="N12" s="131">
        <f>'Suc. Compostela'!G12</f>
        <v>0</v>
      </c>
      <c r="O12" s="131">
        <f>'Suc. Ruiz'!G12</f>
        <v>0</v>
      </c>
      <c r="P12" s="131">
        <f>'Suc. Sanblas'!G12</f>
        <v>0</v>
      </c>
      <c r="Q12" s="131">
        <f>'LALO VARAS'!G12</f>
        <v>0</v>
      </c>
      <c r="R12" s="131">
        <f>'Suc. Santiago 2'!G12</f>
        <v>0</v>
      </c>
      <c r="S12" s="131">
        <f>'Suc. Tecuala'!G12</f>
        <v>0</v>
      </c>
      <c r="T12" s="131">
        <f>'Suc. Tuxpan'!G12</f>
        <v>0</v>
      </c>
      <c r="U12" s="131">
        <f>'Suc. Varas'!G12</f>
        <v>0</v>
      </c>
      <c r="V12" s="131">
        <f>'Suc. Santa María del Oro'!G12</f>
        <v>0</v>
      </c>
      <c r="W12" s="131">
        <f>'Suc. Villa Hidalgo'!G12</f>
        <v>0</v>
      </c>
      <c r="X12" s="131">
        <f>'Suc. Peñita'!G12</f>
        <v>0</v>
      </c>
      <c r="Y12" s="120">
        <f t="shared" si="1"/>
        <v>0</v>
      </c>
      <c r="Z12" s="120">
        <f t="shared" si="2"/>
        <v>0</v>
      </c>
      <c r="AB12" s="131">
        <f>'GRAL. SUC. LOCALES'!N12</f>
        <v>0</v>
      </c>
    </row>
    <row r="13" spans="1:28" ht="17.399999999999999" x14ac:dyDescent="0.35">
      <c r="A13" s="93"/>
      <c r="B13" s="131">
        <f>'Suc. Amado Nervo'!G13</f>
        <v>0</v>
      </c>
      <c r="C13" s="131">
        <f>'Suc. León'!G13</f>
        <v>0</v>
      </c>
      <c r="D13" s="120">
        <f>'San Cayetano'!G13</f>
        <v>0</v>
      </c>
      <c r="E13" s="120">
        <f>'Suc. Boulevard'!G13</f>
        <v>0</v>
      </c>
      <c r="F13" s="120">
        <f>'Suc. Dos de Agosto'!G13</f>
        <v>0</v>
      </c>
      <c r="G13" s="120">
        <f>'Suc. La Nueva Canasta'!G13</f>
        <v>0</v>
      </c>
      <c r="H13" s="120">
        <f>'Suc. Mololoa'!G13</f>
        <v>0</v>
      </c>
      <c r="I13" s="120">
        <f>'Suc. Plaza'!G13</f>
        <v>0</v>
      </c>
      <c r="J13" s="120">
        <f>'Suc. Vistas'!G13</f>
        <v>0</v>
      </c>
      <c r="K13" s="120">
        <f>'Suc. Xalisco'!G13</f>
        <v>0</v>
      </c>
      <c r="L13" s="120">
        <f t="shared" si="0"/>
        <v>0</v>
      </c>
      <c r="M13" s="131">
        <f>'Suc. Acaponeta'!G13</f>
        <v>0</v>
      </c>
      <c r="N13" s="131">
        <f>'Suc. Compostela'!G13</f>
        <v>0</v>
      </c>
      <c r="O13" s="131">
        <f>'Suc. Ruiz'!G13</f>
        <v>0</v>
      </c>
      <c r="P13" s="131">
        <f>'Suc. Sanblas'!G13</f>
        <v>0</v>
      </c>
      <c r="Q13" s="131">
        <f>'LALO VARAS'!G13</f>
        <v>0</v>
      </c>
      <c r="R13" s="131">
        <f>'Suc. Santiago 2'!G13</f>
        <v>0</v>
      </c>
      <c r="S13" s="131">
        <f>'Suc. Tecuala'!G13</f>
        <v>0</v>
      </c>
      <c r="T13" s="131">
        <f>'Suc. Tuxpan'!G13</f>
        <v>0</v>
      </c>
      <c r="U13" s="131">
        <f>'Suc. Varas'!G13</f>
        <v>0</v>
      </c>
      <c r="V13" s="131">
        <f>'Suc. Santa María del Oro'!G13</f>
        <v>0</v>
      </c>
      <c r="W13" s="131">
        <f>'Suc. Villa Hidalgo'!G13</f>
        <v>0</v>
      </c>
      <c r="X13" s="131">
        <f>'Suc. Peñita'!G13</f>
        <v>0</v>
      </c>
      <c r="Y13" s="120">
        <f t="shared" si="1"/>
        <v>0</v>
      </c>
      <c r="Z13" s="120">
        <f t="shared" si="2"/>
        <v>0</v>
      </c>
      <c r="AB13" s="131">
        <f>'GRAL. SUC. LOCALES'!N13</f>
        <v>0</v>
      </c>
    </row>
    <row r="14" spans="1:28" ht="17.399999999999999" x14ac:dyDescent="0.35">
      <c r="A14" s="93"/>
      <c r="B14" s="131">
        <f>'Suc. Amado Nervo'!G14</f>
        <v>0</v>
      </c>
      <c r="C14" s="131">
        <f>'Suc. León'!G14</f>
        <v>0</v>
      </c>
      <c r="D14" s="120">
        <f>'San Cayetano'!G14</f>
        <v>0</v>
      </c>
      <c r="E14" s="120">
        <f>'Suc. Boulevard'!G14</f>
        <v>0</v>
      </c>
      <c r="F14" s="120">
        <f>'Suc. Dos de Agosto'!G14</f>
        <v>0</v>
      </c>
      <c r="G14" s="120">
        <f>'Suc. La Nueva Canasta'!G14</f>
        <v>0</v>
      </c>
      <c r="H14" s="120">
        <f>'Suc. Mololoa'!G14</f>
        <v>0</v>
      </c>
      <c r="I14" s="120">
        <f>'Suc. Plaza'!G14</f>
        <v>0</v>
      </c>
      <c r="J14" s="120">
        <f>'Suc. Vistas'!G14</f>
        <v>0</v>
      </c>
      <c r="K14" s="120">
        <f>'Suc. Xalisco'!G14</f>
        <v>0</v>
      </c>
      <c r="L14" s="120">
        <f t="shared" si="0"/>
        <v>0</v>
      </c>
      <c r="M14" s="131">
        <f>'Suc. Acaponeta'!G14</f>
        <v>0</v>
      </c>
      <c r="N14" s="131">
        <f>'Suc. Compostela'!G14</f>
        <v>0</v>
      </c>
      <c r="O14" s="131">
        <f>'Suc. Ruiz'!G14</f>
        <v>0</v>
      </c>
      <c r="P14" s="131">
        <f>'Suc. Sanblas'!G14</f>
        <v>0</v>
      </c>
      <c r="Q14" s="131">
        <f>'LALO VARAS'!G14</f>
        <v>0</v>
      </c>
      <c r="R14" s="131">
        <f>'Suc. Santiago 2'!G14</f>
        <v>0</v>
      </c>
      <c r="S14" s="131">
        <f>'Suc. Tecuala'!G14</f>
        <v>0</v>
      </c>
      <c r="T14" s="131">
        <f>'Suc. Tuxpan'!G14</f>
        <v>0</v>
      </c>
      <c r="U14" s="131">
        <f>'Suc. Varas'!G14</f>
        <v>0</v>
      </c>
      <c r="V14" s="131">
        <f>'Suc. Santa María del Oro'!G14</f>
        <v>0</v>
      </c>
      <c r="W14" s="131">
        <f>'Suc. Villa Hidalgo'!G14</f>
        <v>0</v>
      </c>
      <c r="X14" s="131">
        <f>'Suc. Peñita'!G14</f>
        <v>0</v>
      </c>
      <c r="Y14" s="120">
        <f t="shared" si="1"/>
        <v>0</v>
      </c>
      <c r="Z14" s="120">
        <f t="shared" si="2"/>
        <v>0</v>
      </c>
      <c r="AB14" s="131">
        <f>'GRAL. SUC. LOCALES'!N14</f>
        <v>0</v>
      </c>
    </row>
    <row r="15" spans="1:28" ht="17.399999999999999" x14ac:dyDescent="0.35">
      <c r="A15" s="93"/>
      <c r="B15" s="131">
        <f>'Suc. Amado Nervo'!G15</f>
        <v>0</v>
      </c>
      <c r="C15" s="131">
        <f>'Suc. León'!G15</f>
        <v>0</v>
      </c>
      <c r="D15" s="120">
        <f>'San Cayetano'!G15</f>
        <v>0</v>
      </c>
      <c r="E15" s="120">
        <f>'Suc. Boulevard'!G15</f>
        <v>0</v>
      </c>
      <c r="F15" s="120">
        <f>'Suc. Dos de Agosto'!G15</f>
        <v>0</v>
      </c>
      <c r="G15" s="120">
        <f>'Suc. La Nueva Canasta'!G15</f>
        <v>0</v>
      </c>
      <c r="H15" s="120">
        <f>'Suc. Mololoa'!G15</f>
        <v>0</v>
      </c>
      <c r="I15" s="120">
        <f>'Suc. Plaza'!G15</f>
        <v>0</v>
      </c>
      <c r="J15" s="120">
        <f>'Suc. Vistas'!G15</f>
        <v>0</v>
      </c>
      <c r="K15" s="120">
        <f>'Suc. Xalisco'!G15</f>
        <v>0</v>
      </c>
      <c r="L15" s="120">
        <f t="shared" si="0"/>
        <v>0</v>
      </c>
      <c r="M15" s="131">
        <f>'Suc. Acaponeta'!G15</f>
        <v>0</v>
      </c>
      <c r="N15" s="131">
        <f>'Suc. Compostela'!G15</f>
        <v>0</v>
      </c>
      <c r="O15" s="131">
        <f>'Suc. Ruiz'!G15</f>
        <v>0</v>
      </c>
      <c r="P15" s="131">
        <f>'Suc. Sanblas'!G15</f>
        <v>0</v>
      </c>
      <c r="Q15" s="131">
        <f>'LALO VARAS'!G15</f>
        <v>0</v>
      </c>
      <c r="R15" s="131">
        <f>'Suc. Santiago 2'!G15</f>
        <v>0</v>
      </c>
      <c r="S15" s="131">
        <f>'Suc. Tecuala'!G15</f>
        <v>0</v>
      </c>
      <c r="T15" s="131">
        <f>'Suc. Tuxpan'!G15</f>
        <v>0</v>
      </c>
      <c r="U15" s="131">
        <f>'Suc. Varas'!G15</f>
        <v>0</v>
      </c>
      <c r="V15" s="131">
        <f>'Suc. Santa María del Oro'!G15</f>
        <v>0</v>
      </c>
      <c r="W15" s="131">
        <f>'Suc. Villa Hidalgo'!G15</f>
        <v>0</v>
      </c>
      <c r="X15" s="131">
        <f>'Suc. Peñita'!G15</f>
        <v>0</v>
      </c>
      <c r="Y15" s="120">
        <f t="shared" si="1"/>
        <v>0</v>
      </c>
      <c r="Z15" s="120">
        <f t="shared" si="2"/>
        <v>0</v>
      </c>
      <c r="AB15" s="131">
        <f>'GRAL. SUC. LOCALES'!N15</f>
        <v>0</v>
      </c>
    </row>
    <row r="16" spans="1:28" ht="17.399999999999999" x14ac:dyDescent="0.35">
      <c r="A16" s="93"/>
      <c r="B16" s="131">
        <f>'Suc. Amado Nervo'!G16</f>
        <v>0</v>
      </c>
      <c r="C16" s="131">
        <f>'Suc. León'!G16</f>
        <v>0</v>
      </c>
      <c r="D16" s="120">
        <f>'San Cayetano'!G16</f>
        <v>0</v>
      </c>
      <c r="E16" s="120">
        <f>'Suc. Boulevard'!G16</f>
        <v>0</v>
      </c>
      <c r="F16" s="120">
        <f>'Suc. Dos de Agosto'!G16</f>
        <v>0</v>
      </c>
      <c r="G16" s="120">
        <f>'Suc. La Nueva Canasta'!G16</f>
        <v>0</v>
      </c>
      <c r="H16" s="120">
        <f>'Suc. Mololoa'!G16</f>
        <v>0</v>
      </c>
      <c r="I16" s="120">
        <f>'Suc. Plaza'!G16</f>
        <v>0</v>
      </c>
      <c r="J16" s="120">
        <f>'Suc. Vistas'!G16</f>
        <v>0</v>
      </c>
      <c r="K16" s="120">
        <f>'Suc. Xalisco'!G16</f>
        <v>0</v>
      </c>
      <c r="L16" s="120">
        <f t="shared" si="0"/>
        <v>0</v>
      </c>
      <c r="M16" s="131">
        <f>'Suc. Acaponeta'!G16</f>
        <v>0</v>
      </c>
      <c r="N16" s="131">
        <f>'Suc. Compostela'!G16</f>
        <v>0</v>
      </c>
      <c r="O16" s="131">
        <f>'Suc. Ruiz'!G16</f>
        <v>0</v>
      </c>
      <c r="P16" s="131">
        <f>'Suc. Sanblas'!G16</f>
        <v>0</v>
      </c>
      <c r="Q16" s="131">
        <f>'LALO VARAS'!G16</f>
        <v>0</v>
      </c>
      <c r="R16" s="131">
        <f>'Suc. Santiago 2'!G16</f>
        <v>0</v>
      </c>
      <c r="S16" s="131">
        <f>'Suc. Tecuala'!G16</f>
        <v>0</v>
      </c>
      <c r="T16" s="131">
        <f>'Suc. Tuxpan'!G16</f>
        <v>0</v>
      </c>
      <c r="U16" s="131">
        <f>'Suc. Varas'!G16</f>
        <v>0</v>
      </c>
      <c r="V16" s="131">
        <f>'Suc. Santa María del Oro'!G16</f>
        <v>0</v>
      </c>
      <c r="W16" s="131">
        <f>'Suc. Villa Hidalgo'!G16</f>
        <v>0</v>
      </c>
      <c r="X16" s="131">
        <f>'Suc. Peñita'!G16</f>
        <v>0</v>
      </c>
      <c r="Y16" s="120">
        <f t="shared" si="1"/>
        <v>0</v>
      </c>
      <c r="Z16" s="120">
        <f t="shared" si="2"/>
        <v>0</v>
      </c>
      <c r="AB16" s="131">
        <f>'GRAL. SUC. LOCALES'!N16</f>
        <v>0</v>
      </c>
    </row>
    <row r="17" spans="1:28" ht="18" thickBot="1" x14ac:dyDescent="0.4">
      <c r="A17" s="93"/>
      <c r="B17" s="131">
        <f>'Suc. Amado Nervo'!G17</f>
        <v>0</v>
      </c>
      <c r="C17" s="131">
        <f>'Suc. León'!G17</f>
        <v>0</v>
      </c>
      <c r="D17" s="120">
        <f>'San Cayetano'!G17</f>
        <v>0</v>
      </c>
      <c r="E17" s="120">
        <f>'Suc. Boulevard'!G17</f>
        <v>0</v>
      </c>
      <c r="F17" s="120">
        <f>'Suc. Dos de Agosto'!G17</f>
        <v>0</v>
      </c>
      <c r="G17" s="120">
        <f>'Suc. La Nueva Canasta'!G17</f>
        <v>0</v>
      </c>
      <c r="H17" s="120">
        <f>'Suc. Mololoa'!G17</f>
        <v>0</v>
      </c>
      <c r="I17" s="120">
        <f>'Suc. Plaza'!G17</f>
        <v>0</v>
      </c>
      <c r="J17" s="120">
        <f>'Suc. Vistas'!G17</f>
        <v>0</v>
      </c>
      <c r="K17" s="120">
        <f>'Suc. Xalisco'!G17</f>
        <v>0</v>
      </c>
      <c r="L17" s="120">
        <f t="shared" si="0"/>
        <v>0</v>
      </c>
      <c r="M17" s="131">
        <f>'Suc. Acaponeta'!G17</f>
        <v>0</v>
      </c>
      <c r="N17" s="131">
        <f>'Suc. Compostela'!G17</f>
        <v>0</v>
      </c>
      <c r="O17" s="131">
        <f>'Suc. Ruiz'!G17</f>
        <v>0</v>
      </c>
      <c r="P17" s="131">
        <f>'Suc. Sanblas'!G17</f>
        <v>0</v>
      </c>
      <c r="Q17" s="131">
        <f>'LALO VARAS'!G17</f>
        <v>0</v>
      </c>
      <c r="R17" s="131">
        <f>'Suc. Santiago 2'!G17</f>
        <v>0</v>
      </c>
      <c r="S17" s="131">
        <f>'Suc. Tecuala'!G17</f>
        <v>0</v>
      </c>
      <c r="T17" s="131">
        <f>'Suc. Tuxpan'!G17</f>
        <v>0</v>
      </c>
      <c r="U17" s="131">
        <f>'Suc. Varas'!G17</f>
        <v>0</v>
      </c>
      <c r="V17" s="131">
        <f>'Suc. Santa María del Oro'!G17</f>
        <v>0</v>
      </c>
      <c r="W17" s="131">
        <f>'Suc. Villa Hidalgo'!G17</f>
        <v>0</v>
      </c>
      <c r="X17" s="131">
        <f>'Suc. Peñita'!G17</f>
        <v>0</v>
      </c>
      <c r="Y17" s="120">
        <f t="shared" si="1"/>
        <v>0</v>
      </c>
      <c r="Z17" s="120">
        <f t="shared" si="2"/>
        <v>0</v>
      </c>
      <c r="AB17" s="131">
        <f>'GRAL. SUC. LOCALES'!N17</f>
        <v>0</v>
      </c>
    </row>
    <row r="18" spans="1:28" ht="18" thickBot="1" x14ac:dyDescent="0.4">
      <c r="A18" s="96" t="s">
        <v>10</v>
      </c>
      <c r="B18" s="121">
        <f>SUM(B3:B17)</f>
        <v>3</v>
      </c>
      <c r="C18" s="121">
        <f t="shared" ref="C18:Z18" si="3">SUM(C3:C17)</f>
        <v>2</v>
      </c>
      <c r="D18" s="121">
        <f t="shared" si="3"/>
        <v>5</v>
      </c>
      <c r="E18" s="121">
        <f t="shared" si="3"/>
        <v>2</v>
      </c>
      <c r="F18" s="121">
        <f t="shared" si="3"/>
        <v>4</v>
      </c>
      <c r="G18" s="121">
        <f t="shared" si="3"/>
        <v>0</v>
      </c>
      <c r="H18" s="121">
        <f t="shared" si="3"/>
        <v>8</v>
      </c>
      <c r="I18" s="121">
        <f t="shared" si="3"/>
        <v>6</v>
      </c>
      <c r="J18" s="121">
        <f t="shared" si="3"/>
        <v>7</v>
      </c>
      <c r="K18" s="121">
        <f t="shared" si="3"/>
        <v>6</v>
      </c>
      <c r="L18" s="121">
        <f t="shared" si="3"/>
        <v>43</v>
      </c>
      <c r="M18" s="121">
        <f t="shared" si="3"/>
        <v>0</v>
      </c>
      <c r="N18" s="121">
        <f t="shared" si="3"/>
        <v>3</v>
      </c>
      <c r="O18" s="121">
        <f t="shared" si="3"/>
        <v>0</v>
      </c>
      <c r="P18" s="121">
        <f t="shared" si="3"/>
        <v>0</v>
      </c>
      <c r="Q18" s="121">
        <f t="shared" si="3"/>
        <v>15</v>
      </c>
      <c r="R18" s="121">
        <f t="shared" si="3"/>
        <v>0</v>
      </c>
      <c r="S18" s="121">
        <f t="shared" si="3"/>
        <v>0</v>
      </c>
      <c r="T18" s="121">
        <f t="shared" si="3"/>
        <v>18</v>
      </c>
      <c r="U18" s="121">
        <f t="shared" ref="U18:V18" si="4">SUM(U3:U17)</f>
        <v>0</v>
      </c>
      <c r="V18" s="121">
        <f t="shared" si="4"/>
        <v>3</v>
      </c>
      <c r="W18" s="121">
        <f t="shared" si="3"/>
        <v>0</v>
      </c>
      <c r="X18" s="121">
        <f t="shared" ref="X18" si="5">SUM(X3:X17)</f>
        <v>0</v>
      </c>
      <c r="Y18" s="121">
        <f t="shared" si="3"/>
        <v>39</v>
      </c>
      <c r="Z18" s="121">
        <f t="shared" si="3"/>
        <v>82</v>
      </c>
      <c r="AB18" s="121">
        <f t="shared" ref="AB18" si="6">SUM(AB3:AB17)</f>
        <v>79</v>
      </c>
    </row>
    <row r="19" spans="1:28" ht="17.399999999999999" x14ac:dyDescent="0.35">
      <c r="A19" s="97" t="s">
        <v>676</v>
      </c>
      <c r="B19" s="131">
        <f>'Suc. Amado Nervo'!G19</f>
        <v>0</v>
      </c>
      <c r="C19" s="131">
        <f>'Suc. León'!G19</f>
        <v>0</v>
      </c>
      <c r="D19" s="120">
        <f>'San Cayetano'!G19</f>
        <v>0</v>
      </c>
      <c r="E19" s="120">
        <f>'Suc. Boulevard'!G19</f>
        <v>0</v>
      </c>
      <c r="F19" s="120">
        <f>'Suc. Dos de Agosto'!G19</f>
        <v>0</v>
      </c>
      <c r="G19" s="120">
        <f>'Suc. La Nueva Canasta'!G19</f>
        <v>0</v>
      </c>
      <c r="H19" s="120">
        <f>'Suc. Mololoa'!G19</f>
        <v>0</v>
      </c>
      <c r="I19" s="120">
        <f>'Suc. Plaza'!G19</f>
        <v>0</v>
      </c>
      <c r="J19" s="120">
        <f>'Suc. Vistas'!G19</f>
        <v>1</v>
      </c>
      <c r="K19" s="120">
        <f>'Suc. Xalisco'!G19</f>
        <v>0</v>
      </c>
      <c r="L19" s="120">
        <f t="shared" ref="L19:L31" si="7">SUM(B19:K19)</f>
        <v>1</v>
      </c>
      <c r="M19" s="131">
        <f>'Suc. Acaponeta'!G19</f>
        <v>0</v>
      </c>
      <c r="N19" s="131">
        <f>'Suc. Compostela'!G19</f>
        <v>0</v>
      </c>
      <c r="O19" s="131">
        <f>'Suc. Ruiz'!G19</f>
        <v>0</v>
      </c>
      <c r="P19" s="131">
        <f>'Suc. Sanblas'!G19</f>
        <v>0</v>
      </c>
      <c r="Q19" s="131">
        <f>'LALO VARAS'!G19</f>
        <v>0</v>
      </c>
      <c r="R19" s="131">
        <f>'Suc. Santiago 2'!G19</f>
        <v>0</v>
      </c>
      <c r="S19" s="131">
        <f>'Suc. Tecuala'!G19</f>
        <v>0</v>
      </c>
      <c r="T19" s="131">
        <f>'Suc. Tuxpan'!G19</f>
        <v>2</v>
      </c>
      <c r="U19" s="131">
        <f>'Suc. Varas'!G19</f>
        <v>0</v>
      </c>
      <c r="V19" s="131">
        <f>'Suc. Santa María del Oro'!G19</f>
        <v>2</v>
      </c>
      <c r="W19" s="131">
        <f>'Suc. Villa Hidalgo'!G19</f>
        <v>0</v>
      </c>
      <c r="X19" s="131">
        <f>'Suc. Peñita'!G19</f>
        <v>0</v>
      </c>
      <c r="Y19" s="120">
        <f t="shared" ref="Y19:Y31" si="8">SUM(M19:X19)</f>
        <v>4</v>
      </c>
      <c r="Z19" s="120">
        <f t="shared" ref="Z19:Z31" si="9">L19+Y19</f>
        <v>5</v>
      </c>
      <c r="AB19" s="131">
        <f>'GRAL. SUC. LOCALES'!N19</f>
        <v>7</v>
      </c>
    </row>
    <row r="20" spans="1:28" ht="17.399999999999999" x14ac:dyDescent="0.35">
      <c r="A20" s="97" t="s">
        <v>11</v>
      </c>
      <c r="B20" s="131">
        <f>'Suc. Amado Nervo'!G20</f>
        <v>0</v>
      </c>
      <c r="C20" s="131">
        <f>'Suc. León'!G20</f>
        <v>1</v>
      </c>
      <c r="D20" s="120">
        <f>'San Cayetano'!G20</f>
        <v>1</v>
      </c>
      <c r="E20" s="120">
        <f>'Suc. Boulevard'!G20</f>
        <v>1</v>
      </c>
      <c r="F20" s="120">
        <f>'Suc. Dos de Agosto'!G20</f>
        <v>0</v>
      </c>
      <c r="G20" s="120">
        <f>'Suc. La Nueva Canasta'!G20</f>
        <v>0</v>
      </c>
      <c r="H20" s="120">
        <f>'Suc. Mololoa'!G20</f>
        <v>1</v>
      </c>
      <c r="I20" s="120">
        <f>'Suc. Plaza'!G20</f>
        <v>0</v>
      </c>
      <c r="J20" s="120">
        <f>'Suc. Vistas'!G20</f>
        <v>2</v>
      </c>
      <c r="K20" s="120">
        <f>'Suc. Xalisco'!G20</f>
        <v>1</v>
      </c>
      <c r="L20" s="120">
        <f t="shared" si="7"/>
        <v>7</v>
      </c>
      <c r="M20" s="131">
        <f>'Suc. Acaponeta'!G20</f>
        <v>0</v>
      </c>
      <c r="N20" s="131">
        <f>'Suc. Compostela'!G20</f>
        <v>0</v>
      </c>
      <c r="O20" s="131">
        <f>'Suc. Ruiz'!G20</f>
        <v>0</v>
      </c>
      <c r="P20" s="131">
        <f>'Suc. Sanblas'!G20</f>
        <v>0</v>
      </c>
      <c r="Q20" s="131">
        <f>'LALO VARAS'!G20</f>
        <v>2</v>
      </c>
      <c r="R20" s="131">
        <f>'Suc. Santiago 2'!G20</f>
        <v>0</v>
      </c>
      <c r="S20" s="131">
        <f>'Suc. Tecuala'!G20</f>
        <v>0</v>
      </c>
      <c r="T20" s="131">
        <f>'Suc. Tuxpan'!G20</f>
        <v>2</v>
      </c>
      <c r="U20" s="131">
        <f>'Suc. Varas'!G20</f>
        <v>0</v>
      </c>
      <c r="V20" s="131">
        <f>'Suc. Santa María del Oro'!G20</f>
        <v>3</v>
      </c>
      <c r="W20" s="131">
        <f>'Suc. Villa Hidalgo'!G20</f>
        <v>0</v>
      </c>
      <c r="X20" s="131">
        <f>'Suc. Peñita'!G20</f>
        <v>0</v>
      </c>
      <c r="Y20" s="120">
        <f t="shared" si="8"/>
        <v>7</v>
      </c>
      <c r="Z20" s="120">
        <f t="shared" si="9"/>
        <v>14</v>
      </c>
      <c r="AB20" s="131">
        <f>'GRAL. SUC. LOCALES'!N20</f>
        <v>16</v>
      </c>
    </row>
    <row r="21" spans="1:28" ht="17.399999999999999" x14ac:dyDescent="0.35">
      <c r="A21" s="97" t="s">
        <v>344</v>
      </c>
      <c r="B21" s="131">
        <f>'Suc. Amado Nervo'!G21</f>
        <v>0</v>
      </c>
      <c r="C21" s="131">
        <f>'Suc. León'!G21</f>
        <v>2</v>
      </c>
      <c r="D21" s="120">
        <f>'San Cayetano'!G21</f>
        <v>0</v>
      </c>
      <c r="E21" s="120">
        <f>'Suc. Boulevard'!G21</f>
        <v>0</v>
      </c>
      <c r="F21" s="120">
        <f>'Suc. Dos de Agosto'!G21</f>
        <v>1</v>
      </c>
      <c r="G21" s="120">
        <f>'Suc. La Nueva Canasta'!G21</f>
        <v>0</v>
      </c>
      <c r="H21" s="120">
        <f>'Suc. Mololoa'!G21</f>
        <v>0</v>
      </c>
      <c r="I21" s="120">
        <f>'Suc. Plaza'!G21</f>
        <v>1</v>
      </c>
      <c r="J21" s="120">
        <f>'Suc. Vistas'!G21</f>
        <v>1</v>
      </c>
      <c r="K21" s="120">
        <f>'Suc. Xalisco'!G21</f>
        <v>0</v>
      </c>
      <c r="L21" s="120">
        <f t="shared" si="7"/>
        <v>5</v>
      </c>
      <c r="M21" s="131">
        <f>'Suc. Acaponeta'!G21</f>
        <v>0</v>
      </c>
      <c r="N21" s="131">
        <f>'Suc. Compostela'!G21</f>
        <v>0</v>
      </c>
      <c r="O21" s="131">
        <f>'Suc. Ruiz'!G21</f>
        <v>0</v>
      </c>
      <c r="P21" s="131">
        <f>'Suc. Sanblas'!G21</f>
        <v>0</v>
      </c>
      <c r="Q21" s="131">
        <f>'LALO VARAS'!G21</f>
        <v>2</v>
      </c>
      <c r="R21" s="131">
        <f>'Suc. Santiago 2'!G21</f>
        <v>0</v>
      </c>
      <c r="S21" s="131">
        <f>'Suc. Tecuala'!G21</f>
        <v>0</v>
      </c>
      <c r="T21" s="131">
        <f>'Suc. Tuxpan'!G21</f>
        <v>2</v>
      </c>
      <c r="U21" s="131">
        <f>'Suc. Varas'!G21</f>
        <v>0</v>
      </c>
      <c r="V21" s="131">
        <f>'Suc. Santa María del Oro'!G21</f>
        <v>1</v>
      </c>
      <c r="W21" s="131">
        <f>'Suc. Villa Hidalgo'!G21</f>
        <v>0</v>
      </c>
      <c r="X21" s="131">
        <f>'Suc. Peñita'!G21</f>
        <v>0</v>
      </c>
      <c r="Y21" s="120">
        <f t="shared" si="8"/>
        <v>5</v>
      </c>
      <c r="Z21" s="120">
        <f t="shared" si="9"/>
        <v>10</v>
      </c>
      <c r="AB21" s="131">
        <f>'GRAL. SUC. LOCALES'!N21</f>
        <v>0</v>
      </c>
    </row>
    <row r="22" spans="1:28" ht="17.399999999999999" x14ac:dyDescent="0.35">
      <c r="A22" s="97" t="s">
        <v>832</v>
      </c>
      <c r="B22" s="131">
        <f>'Suc. Amado Nervo'!G22</f>
        <v>1</v>
      </c>
      <c r="C22" s="131">
        <f>'Suc. León'!G22</f>
        <v>0</v>
      </c>
      <c r="D22" s="120">
        <f>'San Cayetano'!G22</f>
        <v>0</v>
      </c>
      <c r="E22" s="120">
        <f>'Suc. Boulevard'!G22</f>
        <v>0</v>
      </c>
      <c r="F22" s="120">
        <f>'Suc. Dos de Agosto'!G22</f>
        <v>0</v>
      </c>
      <c r="G22" s="120">
        <f>'Suc. La Nueva Canasta'!G22</f>
        <v>0</v>
      </c>
      <c r="H22" s="120">
        <f>'Suc. Mololoa'!G22</f>
        <v>1</v>
      </c>
      <c r="I22" s="120">
        <f>'Suc. Plaza'!G22</f>
        <v>0</v>
      </c>
      <c r="J22" s="120">
        <f>'Suc. Vistas'!G22</f>
        <v>0</v>
      </c>
      <c r="K22" s="120">
        <f>'Suc. Xalisco'!G22</f>
        <v>1</v>
      </c>
      <c r="L22" s="120">
        <f t="shared" si="7"/>
        <v>3</v>
      </c>
      <c r="M22" s="131">
        <f>'Suc. Acaponeta'!G22</f>
        <v>0</v>
      </c>
      <c r="N22" s="131">
        <f>'Suc. Compostela'!G22</f>
        <v>0</v>
      </c>
      <c r="O22" s="131">
        <f>'Suc. Ruiz'!G22</f>
        <v>0</v>
      </c>
      <c r="P22" s="131">
        <f>'Suc. Sanblas'!G22</f>
        <v>0</v>
      </c>
      <c r="Q22" s="131">
        <f>'LALO VARAS'!G22</f>
        <v>0</v>
      </c>
      <c r="R22" s="131">
        <f>'Suc. Santiago 2'!G22</f>
        <v>0</v>
      </c>
      <c r="S22" s="131">
        <f>'Suc. Tecuala'!G22</f>
        <v>0</v>
      </c>
      <c r="T22" s="131">
        <f>'Suc. Tuxpan'!G22</f>
        <v>2</v>
      </c>
      <c r="U22" s="131">
        <f>'Suc. Varas'!G22</f>
        <v>0</v>
      </c>
      <c r="V22" s="131">
        <f>'Suc. Santa María del Oro'!G22</f>
        <v>0</v>
      </c>
      <c r="W22" s="131">
        <f>'Suc. Villa Hidalgo'!G22</f>
        <v>0</v>
      </c>
      <c r="X22" s="131">
        <f>'Suc. Peñita'!G22</f>
        <v>0</v>
      </c>
      <c r="Y22" s="120">
        <f t="shared" si="8"/>
        <v>2</v>
      </c>
      <c r="Z22" s="120">
        <f t="shared" si="9"/>
        <v>5</v>
      </c>
      <c r="AB22" s="131">
        <f>'GRAL. SUC. LOCALES'!N22</f>
        <v>19</v>
      </c>
    </row>
    <row r="23" spans="1:28" ht="17.399999999999999" x14ac:dyDescent="0.35">
      <c r="A23" s="97" t="s">
        <v>12</v>
      </c>
      <c r="B23" s="131">
        <f>'Suc. Amado Nervo'!G23</f>
        <v>2</v>
      </c>
      <c r="C23" s="131">
        <f>'Suc. León'!G23</f>
        <v>3</v>
      </c>
      <c r="D23" s="120">
        <f>'San Cayetano'!G23</f>
        <v>0</v>
      </c>
      <c r="E23" s="120">
        <f>'Suc. Boulevard'!G23</f>
        <v>0</v>
      </c>
      <c r="F23" s="120">
        <f>'Suc. Dos de Agosto'!G23</f>
        <v>0</v>
      </c>
      <c r="G23" s="120">
        <f>'Suc. La Nueva Canasta'!G23</f>
        <v>0</v>
      </c>
      <c r="H23" s="120">
        <f>'Suc. Mololoa'!G23</f>
        <v>0</v>
      </c>
      <c r="I23" s="120">
        <f>'Suc. Plaza'!G23</f>
        <v>1</v>
      </c>
      <c r="J23" s="120">
        <f>'Suc. Vistas'!G23</f>
        <v>1</v>
      </c>
      <c r="K23" s="120">
        <f>'Suc. Xalisco'!G23</f>
        <v>1</v>
      </c>
      <c r="L23" s="120">
        <f t="shared" si="7"/>
        <v>8</v>
      </c>
      <c r="M23" s="131">
        <f>'Suc. Acaponeta'!G23</f>
        <v>0</v>
      </c>
      <c r="N23" s="131">
        <f>'Suc. Compostela'!G23</f>
        <v>0</v>
      </c>
      <c r="O23" s="131">
        <f>'Suc. Ruiz'!G23</f>
        <v>0</v>
      </c>
      <c r="P23" s="131">
        <f>'Suc. Sanblas'!G23</f>
        <v>0</v>
      </c>
      <c r="Q23" s="131">
        <f>'LALO VARAS'!G23</f>
        <v>2</v>
      </c>
      <c r="R23" s="131">
        <f>'Suc. Santiago 2'!G23</f>
        <v>0</v>
      </c>
      <c r="S23" s="131">
        <f>'Suc. Tecuala'!G23</f>
        <v>0</v>
      </c>
      <c r="T23" s="131">
        <f>'Suc. Tuxpan'!G23</f>
        <v>2</v>
      </c>
      <c r="U23" s="131">
        <f>'Suc. Varas'!G23</f>
        <v>0</v>
      </c>
      <c r="V23" s="131">
        <f>'Suc. Santa María del Oro'!G23</f>
        <v>0</v>
      </c>
      <c r="W23" s="131">
        <f>'Suc. Villa Hidalgo'!G23</f>
        <v>0</v>
      </c>
      <c r="X23" s="131">
        <f>'Suc. Peñita'!G23</f>
        <v>0</v>
      </c>
      <c r="Y23" s="120">
        <f t="shared" si="8"/>
        <v>4</v>
      </c>
      <c r="Z23" s="120">
        <f t="shared" si="9"/>
        <v>12</v>
      </c>
      <c r="AB23" s="131">
        <f>'GRAL. SUC. LOCALES'!N23</f>
        <v>3</v>
      </c>
    </row>
    <row r="24" spans="1:28" ht="17.399999999999999" x14ac:dyDescent="0.35">
      <c r="A24" s="97" t="s">
        <v>432</v>
      </c>
      <c r="B24" s="131">
        <f>'Suc. Amado Nervo'!G24</f>
        <v>0</v>
      </c>
      <c r="C24" s="131">
        <f>'Suc. León'!G24</f>
        <v>0</v>
      </c>
      <c r="D24" s="120">
        <f>'San Cayetano'!G24</f>
        <v>0</v>
      </c>
      <c r="E24" s="120">
        <f>'Suc. Boulevard'!G24</f>
        <v>0</v>
      </c>
      <c r="F24" s="120">
        <f>'Suc. Dos de Agosto'!G24</f>
        <v>0</v>
      </c>
      <c r="G24" s="120">
        <f>'Suc. La Nueva Canasta'!G24</f>
        <v>0</v>
      </c>
      <c r="H24" s="120">
        <f>'Suc. Mololoa'!G24</f>
        <v>0</v>
      </c>
      <c r="I24" s="120">
        <f>'Suc. Plaza'!G24</f>
        <v>0</v>
      </c>
      <c r="J24" s="120">
        <f>'Suc. Vistas'!G24</f>
        <v>0</v>
      </c>
      <c r="K24" s="120">
        <f>'Suc. Xalisco'!G24</f>
        <v>0</v>
      </c>
      <c r="L24" s="120">
        <f t="shared" si="7"/>
        <v>0</v>
      </c>
      <c r="M24" s="131">
        <f>'Suc. Acaponeta'!G24</f>
        <v>0</v>
      </c>
      <c r="N24" s="131">
        <f>'Suc. Compostela'!G24</f>
        <v>0</v>
      </c>
      <c r="O24" s="131">
        <f>'Suc. Ruiz'!G24</f>
        <v>0</v>
      </c>
      <c r="P24" s="131">
        <f>'Suc. Sanblas'!G24</f>
        <v>0</v>
      </c>
      <c r="Q24" s="131">
        <f>'LALO VARAS'!G24</f>
        <v>0</v>
      </c>
      <c r="R24" s="131">
        <f>'Suc. Santiago 2'!G24</f>
        <v>0</v>
      </c>
      <c r="S24" s="131">
        <f>'Suc. Tecuala'!G24</f>
        <v>0</v>
      </c>
      <c r="T24" s="131">
        <f>'Suc. Tuxpan'!G24</f>
        <v>0</v>
      </c>
      <c r="U24" s="131">
        <f>'Suc. Varas'!G24</f>
        <v>0</v>
      </c>
      <c r="V24" s="131">
        <f>'Suc. Santa María del Oro'!G24</f>
        <v>0</v>
      </c>
      <c r="W24" s="131">
        <f>'Suc. Villa Hidalgo'!G24</f>
        <v>0</v>
      </c>
      <c r="X24" s="131">
        <f>'Suc. Peñita'!G24</f>
        <v>0</v>
      </c>
      <c r="Y24" s="120">
        <f t="shared" si="8"/>
        <v>0</v>
      </c>
      <c r="Z24" s="120">
        <f t="shared" si="9"/>
        <v>0</v>
      </c>
      <c r="AB24" s="131">
        <f>'GRAL. SUC. LOCALES'!N24</f>
        <v>0</v>
      </c>
    </row>
    <row r="25" spans="1:28" ht="17.399999999999999" x14ac:dyDescent="0.35">
      <c r="A25" s="97" t="s">
        <v>468</v>
      </c>
      <c r="B25" s="131">
        <f>'Suc. Amado Nervo'!G25</f>
        <v>0</v>
      </c>
      <c r="C25" s="131">
        <f>'Suc. León'!G25</f>
        <v>0</v>
      </c>
      <c r="D25" s="120">
        <f>'San Cayetano'!G25</f>
        <v>2</v>
      </c>
      <c r="E25" s="120">
        <f>'Suc. Boulevard'!G25</f>
        <v>3</v>
      </c>
      <c r="F25" s="120">
        <f>'Suc. Dos de Agosto'!G25</f>
        <v>2</v>
      </c>
      <c r="G25" s="120">
        <f>'Suc. La Nueva Canasta'!G25</f>
        <v>0</v>
      </c>
      <c r="H25" s="120">
        <f>'Suc. Mololoa'!G25</f>
        <v>3</v>
      </c>
      <c r="I25" s="120">
        <f>'Suc. Plaza'!G25</f>
        <v>0</v>
      </c>
      <c r="J25" s="120">
        <f>'Suc. Vistas'!G25</f>
        <v>4</v>
      </c>
      <c r="K25" s="120">
        <f>'Suc. Xalisco'!G25</f>
        <v>3</v>
      </c>
      <c r="L25" s="120">
        <f t="shared" si="7"/>
        <v>17</v>
      </c>
      <c r="M25" s="131">
        <f>'Suc. Acaponeta'!G25</f>
        <v>0</v>
      </c>
      <c r="N25" s="131">
        <f>'Suc. Compostela'!G25</f>
        <v>0</v>
      </c>
      <c r="O25" s="131">
        <f>'Suc. Ruiz'!G25</f>
        <v>0</v>
      </c>
      <c r="P25" s="131">
        <f>'Suc. Sanblas'!G25</f>
        <v>0</v>
      </c>
      <c r="Q25" s="131">
        <f>'LALO VARAS'!G25</f>
        <v>2</v>
      </c>
      <c r="R25" s="131">
        <f>'Suc. Santiago 2'!G25</f>
        <v>0</v>
      </c>
      <c r="S25" s="131">
        <f>'Suc. Tecuala'!G25</f>
        <v>0</v>
      </c>
      <c r="T25" s="131">
        <f>'Suc. Tuxpan'!G25</f>
        <v>2</v>
      </c>
      <c r="U25" s="131">
        <f>'Suc. Varas'!G25</f>
        <v>0</v>
      </c>
      <c r="V25" s="131">
        <f>'Suc. Santa María del Oro'!G25</f>
        <v>3</v>
      </c>
      <c r="W25" s="131">
        <f>'Suc. Villa Hidalgo'!G25</f>
        <v>0</v>
      </c>
      <c r="X25" s="131">
        <f>'Suc. Peñita'!G25</f>
        <v>0</v>
      </c>
      <c r="Y25" s="120">
        <f t="shared" si="8"/>
        <v>7</v>
      </c>
      <c r="Z25" s="120">
        <f t="shared" si="9"/>
        <v>24</v>
      </c>
      <c r="AB25" s="131">
        <f>'GRAL. SUC. LOCALES'!N25</f>
        <v>34</v>
      </c>
    </row>
    <row r="26" spans="1:28" ht="17.399999999999999" x14ac:dyDescent="0.35">
      <c r="A26" s="97"/>
      <c r="B26" s="131">
        <f>'Suc. Amado Nervo'!G26</f>
        <v>0</v>
      </c>
      <c r="C26" s="131">
        <f>'Suc. León'!G26</f>
        <v>0</v>
      </c>
      <c r="D26" s="120">
        <f>'San Cayetano'!G26</f>
        <v>0</v>
      </c>
      <c r="E26" s="120">
        <f>'Suc. Boulevard'!G26</f>
        <v>0</v>
      </c>
      <c r="F26" s="120">
        <f>'Suc. Dos de Agosto'!G26</f>
        <v>0</v>
      </c>
      <c r="G26" s="120">
        <f>'Suc. La Nueva Canasta'!G26</f>
        <v>0</v>
      </c>
      <c r="H26" s="120">
        <f>'Suc. Mololoa'!G26</f>
        <v>0</v>
      </c>
      <c r="I26" s="120">
        <f>'Suc. Plaza'!G26</f>
        <v>0</v>
      </c>
      <c r="J26" s="120">
        <f>'Suc. Vistas'!G26</f>
        <v>0</v>
      </c>
      <c r="K26" s="120">
        <f>'Suc. Xalisco'!G26</f>
        <v>0</v>
      </c>
      <c r="L26" s="120">
        <f t="shared" si="7"/>
        <v>0</v>
      </c>
      <c r="M26" s="131">
        <f>'Suc. Acaponeta'!G26</f>
        <v>0</v>
      </c>
      <c r="N26" s="131">
        <f>'Suc. Compostela'!G26</f>
        <v>0</v>
      </c>
      <c r="O26" s="131">
        <f>'Suc. Ruiz'!G26</f>
        <v>0</v>
      </c>
      <c r="P26" s="131">
        <f>'Suc. Sanblas'!G26</f>
        <v>0</v>
      </c>
      <c r="Q26" s="131">
        <f>'LALO VARAS'!G26</f>
        <v>0</v>
      </c>
      <c r="R26" s="131">
        <f>'Suc. Santiago 2'!G26</f>
        <v>0</v>
      </c>
      <c r="S26" s="131">
        <f>'Suc. Tecuala'!G26</f>
        <v>0</v>
      </c>
      <c r="T26" s="131">
        <f>'Suc. Tuxpan'!G26</f>
        <v>0</v>
      </c>
      <c r="U26" s="131">
        <f>'Suc. Varas'!G26</f>
        <v>0</v>
      </c>
      <c r="V26" s="131">
        <f>'Suc. Santa María del Oro'!G26</f>
        <v>0</v>
      </c>
      <c r="W26" s="131">
        <f>'Suc. Villa Hidalgo'!G26</f>
        <v>0</v>
      </c>
      <c r="X26" s="131">
        <f>'Suc. Peñita'!G26</f>
        <v>0</v>
      </c>
      <c r="Y26" s="120">
        <f t="shared" si="8"/>
        <v>0</v>
      </c>
      <c r="Z26" s="120">
        <f t="shared" si="9"/>
        <v>0</v>
      </c>
      <c r="AB26" s="131">
        <f>'GRAL. SUC. LOCALES'!N26</f>
        <v>0</v>
      </c>
    </row>
    <row r="27" spans="1:28" ht="17.399999999999999" x14ac:dyDescent="0.35">
      <c r="A27" s="97"/>
      <c r="B27" s="131">
        <f>'Suc. Amado Nervo'!G27</f>
        <v>0</v>
      </c>
      <c r="C27" s="131">
        <f>'Suc. León'!G27</f>
        <v>0</v>
      </c>
      <c r="D27" s="120">
        <f>'San Cayetano'!G27</f>
        <v>0</v>
      </c>
      <c r="E27" s="120">
        <f>'Suc. Boulevard'!G27</f>
        <v>0</v>
      </c>
      <c r="F27" s="120">
        <f>'Suc. Dos de Agosto'!G27</f>
        <v>0</v>
      </c>
      <c r="G27" s="120">
        <f>'Suc. La Nueva Canasta'!G27</f>
        <v>0</v>
      </c>
      <c r="H27" s="120">
        <f>'Suc. Mololoa'!G27</f>
        <v>0</v>
      </c>
      <c r="I27" s="120">
        <f>'Suc. Plaza'!G27</f>
        <v>0</v>
      </c>
      <c r="J27" s="120">
        <f>'Suc. Vistas'!G27</f>
        <v>0</v>
      </c>
      <c r="K27" s="120">
        <f>'Suc. Xalisco'!G27</f>
        <v>0</v>
      </c>
      <c r="L27" s="120">
        <f t="shared" si="7"/>
        <v>0</v>
      </c>
      <c r="M27" s="131">
        <f>'Suc. Acaponeta'!G27</f>
        <v>0</v>
      </c>
      <c r="N27" s="131">
        <f>'Suc. Compostela'!G27</f>
        <v>0</v>
      </c>
      <c r="O27" s="131">
        <f>'Suc. Ruiz'!G27</f>
        <v>0</v>
      </c>
      <c r="P27" s="131">
        <f>'Suc. Sanblas'!G27</f>
        <v>0</v>
      </c>
      <c r="Q27" s="131">
        <f>'LALO VARAS'!G27</f>
        <v>0</v>
      </c>
      <c r="R27" s="131">
        <f>'Suc. Santiago 2'!G27</f>
        <v>0</v>
      </c>
      <c r="S27" s="131">
        <f>'Suc. Tecuala'!G27</f>
        <v>0</v>
      </c>
      <c r="T27" s="131">
        <f>'Suc. Tuxpan'!G27</f>
        <v>0</v>
      </c>
      <c r="U27" s="131">
        <f>'Suc. Varas'!G27</f>
        <v>0</v>
      </c>
      <c r="V27" s="131">
        <f>'Suc. Santa María del Oro'!G27</f>
        <v>0</v>
      </c>
      <c r="W27" s="131">
        <f>'Suc. Villa Hidalgo'!G27</f>
        <v>0</v>
      </c>
      <c r="X27" s="131">
        <f>'Suc. Peñita'!G27</f>
        <v>0</v>
      </c>
      <c r="Y27" s="120">
        <f t="shared" si="8"/>
        <v>0</v>
      </c>
      <c r="Z27" s="120">
        <f t="shared" si="9"/>
        <v>0</v>
      </c>
      <c r="AB27" s="131">
        <f>'GRAL. SUC. LOCALES'!N27</f>
        <v>0</v>
      </c>
    </row>
    <row r="28" spans="1:28" ht="17.399999999999999" x14ac:dyDescent="0.35">
      <c r="A28" s="97"/>
      <c r="B28" s="131">
        <f>'Suc. Amado Nervo'!G28</f>
        <v>0</v>
      </c>
      <c r="C28" s="131">
        <f>'Suc. León'!G28</f>
        <v>0</v>
      </c>
      <c r="D28" s="120">
        <f>'San Cayetano'!G28</f>
        <v>0</v>
      </c>
      <c r="E28" s="120">
        <f>'Suc. Boulevard'!G28</f>
        <v>0</v>
      </c>
      <c r="F28" s="120">
        <f>'Suc. Dos de Agosto'!G28</f>
        <v>0</v>
      </c>
      <c r="G28" s="120">
        <f>'Suc. La Nueva Canasta'!G28</f>
        <v>0</v>
      </c>
      <c r="H28" s="120">
        <f>'Suc. Mololoa'!G28</f>
        <v>0</v>
      </c>
      <c r="I28" s="120">
        <f>'Suc. Plaza'!G28</f>
        <v>0</v>
      </c>
      <c r="J28" s="120">
        <f>'Suc. Vistas'!G28</f>
        <v>0</v>
      </c>
      <c r="K28" s="120">
        <f>'Suc. Xalisco'!G28</f>
        <v>0</v>
      </c>
      <c r="L28" s="120">
        <f t="shared" si="7"/>
        <v>0</v>
      </c>
      <c r="M28" s="131">
        <f>'Suc. Acaponeta'!G28</f>
        <v>0</v>
      </c>
      <c r="N28" s="131">
        <f>'Suc. Compostela'!G28</f>
        <v>0</v>
      </c>
      <c r="O28" s="131">
        <f>'Suc. Ruiz'!G28</f>
        <v>0</v>
      </c>
      <c r="P28" s="131">
        <f>'Suc. Sanblas'!G28</f>
        <v>0</v>
      </c>
      <c r="Q28" s="131">
        <f>'LALO VARAS'!G28</f>
        <v>0</v>
      </c>
      <c r="R28" s="131">
        <f>'Suc. Santiago 2'!G28</f>
        <v>0</v>
      </c>
      <c r="S28" s="131">
        <f>'Suc. Tecuala'!G28</f>
        <v>0</v>
      </c>
      <c r="T28" s="131">
        <f>'Suc. Tuxpan'!G28</f>
        <v>0</v>
      </c>
      <c r="U28" s="131">
        <f>'Suc. Varas'!G28</f>
        <v>0</v>
      </c>
      <c r="V28" s="131">
        <f>'Suc. Santa María del Oro'!G28</f>
        <v>0</v>
      </c>
      <c r="W28" s="131">
        <f>'Suc. Villa Hidalgo'!G28</f>
        <v>0</v>
      </c>
      <c r="X28" s="131">
        <f>'Suc. Peñita'!G28</f>
        <v>0</v>
      </c>
      <c r="Y28" s="120">
        <f t="shared" si="8"/>
        <v>0</v>
      </c>
      <c r="Z28" s="120">
        <f t="shared" si="9"/>
        <v>0</v>
      </c>
      <c r="AB28" s="131">
        <f>'GRAL. SUC. LOCALES'!N28</f>
        <v>0</v>
      </c>
    </row>
    <row r="29" spans="1:28" ht="17.399999999999999" x14ac:dyDescent="0.35">
      <c r="A29" s="97"/>
      <c r="B29" s="131">
        <f>'Suc. Amado Nervo'!G29</f>
        <v>0</v>
      </c>
      <c r="C29" s="131">
        <f>'Suc. León'!G29</f>
        <v>0</v>
      </c>
      <c r="D29" s="120">
        <f>'San Cayetano'!G29</f>
        <v>0</v>
      </c>
      <c r="E29" s="120">
        <f>'Suc. Boulevard'!G29</f>
        <v>0</v>
      </c>
      <c r="F29" s="120">
        <f>'Suc. Dos de Agosto'!G29</f>
        <v>0</v>
      </c>
      <c r="G29" s="120">
        <f>'Suc. La Nueva Canasta'!G29</f>
        <v>0</v>
      </c>
      <c r="H29" s="120">
        <f>'Suc. Mololoa'!G29</f>
        <v>0</v>
      </c>
      <c r="I29" s="120">
        <f>'Suc. Plaza'!G29</f>
        <v>0</v>
      </c>
      <c r="J29" s="120">
        <f>'Suc. Vistas'!G29</f>
        <v>0</v>
      </c>
      <c r="K29" s="120">
        <f>'Suc. Xalisco'!G29</f>
        <v>0</v>
      </c>
      <c r="L29" s="120">
        <f t="shared" si="7"/>
        <v>0</v>
      </c>
      <c r="M29" s="131">
        <f>'Suc. Acaponeta'!G29</f>
        <v>0</v>
      </c>
      <c r="N29" s="131">
        <f>'Suc. Compostela'!G29</f>
        <v>0</v>
      </c>
      <c r="O29" s="131">
        <f>'Suc. Ruiz'!G29</f>
        <v>0</v>
      </c>
      <c r="P29" s="131">
        <f>'Suc. Sanblas'!G29</f>
        <v>0</v>
      </c>
      <c r="Q29" s="131">
        <f>'LALO VARAS'!G29</f>
        <v>0</v>
      </c>
      <c r="R29" s="131">
        <f>'Suc. Santiago 2'!G29</f>
        <v>0</v>
      </c>
      <c r="S29" s="131">
        <f>'Suc. Tecuala'!G29</f>
        <v>0</v>
      </c>
      <c r="T29" s="131">
        <f>'Suc. Tuxpan'!G29</f>
        <v>0</v>
      </c>
      <c r="U29" s="131">
        <f>'Suc. Varas'!G29</f>
        <v>0</v>
      </c>
      <c r="V29" s="131">
        <f>'Suc. Santa María del Oro'!G29</f>
        <v>0</v>
      </c>
      <c r="W29" s="131">
        <f>'Suc. Villa Hidalgo'!G29</f>
        <v>0</v>
      </c>
      <c r="X29" s="131">
        <f>'Suc. Peñita'!G29</f>
        <v>0</v>
      </c>
      <c r="Y29" s="120">
        <f t="shared" si="8"/>
        <v>0</v>
      </c>
      <c r="Z29" s="120">
        <f t="shared" si="9"/>
        <v>0</v>
      </c>
      <c r="AB29" s="131">
        <f>'GRAL. SUC. LOCALES'!N29</f>
        <v>0</v>
      </c>
    </row>
    <row r="30" spans="1:28" ht="17.399999999999999" x14ac:dyDescent="0.35">
      <c r="A30" s="97"/>
      <c r="B30" s="131">
        <f>'Suc. Amado Nervo'!G30</f>
        <v>0</v>
      </c>
      <c r="C30" s="131">
        <f>'Suc. León'!G30</f>
        <v>0</v>
      </c>
      <c r="D30" s="120">
        <f>'San Cayetano'!G30</f>
        <v>0</v>
      </c>
      <c r="E30" s="120">
        <f>'Suc. Boulevard'!G30</f>
        <v>0</v>
      </c>
      <c r="F30" s="120">
        <f>'Suc. Dos de Agosto'!G30</f>
        <v>0</v>
      </c>
      <c r="G30" s="120">
        <f>'Suc. La Nueva Canasta'!G30</f>
        <v>0</v>
      </c>
      <c r="H30" s="120">
        <f>'Suc. Mololoa'!G30</f>
        <v>0</v>
      </c>
      <c r="I30" s="120">
        <f>'Suc. Plaza'!G30</f>
        <v>0</v>
      </c>
      <c r="J30" s="120">
        <f>'Suc. Vistas'!G30</f>
        <v>0</v>
      </c>
      <c r="K30" s="120">
        <f>'Suc. Xalisco'!G30</f>
        <v>0</v>
      </c>
      <c r="L30" s="120">
        <f t="shared" si="7"/>
        <v>0</v>
      </c>
      <c r="M30" s="131">
        <f>'Suc. Acaponeta'!G30</f>
        <v>0</v>
      </c>
      <c r="N30" s="131">
        <f>'Suc. Compostela'!G30</f>
        <v>0</v>
      </c>
      <c r="O30" s="131">
        <f>'Suc. Ruiz'!G30</f>
        <v>0</v>
      </c>
      <c r="P30" s="131">
        <f>'Suc. Sanblas'!G30</f>
        <v>0</v>
      </c>
      <c r="Q30" s="131">
        <f>'LALO VARAS'!G30</f>
        <v>0</v>
      </c>
      <c r="R30" s="131">
        <f>'Suc. Santiago 2'!G30</f>
        <v>0</v>
      </c>
      <c r="S30" s="131">
        <f>'Suc. Tecuala'!G30</f>
        <v>0</v>
      </c>
      <c r="T30" s="131">
        <f>'Suc. Tuxpan'!G30</f>
        <v>0</v>
      </c>
      <c r="U30" s="131">
        <f>'Suc. Varas'!G30</f>
        <v>0</v>
      </c>
      <c r="V30" s="131">
        <f>'Suc. Santa María del Oro'!G30</f>
        <v>0</v>
      </c>
      <c r="W30" s="131">
        <f>'Suc. Villa Hidalgo'!G30</f>
        <v>0</v>
      </c>
      <c r="X30" s="131">
        <f>'Suc. Peñita'!G30</f>
        <v>0</v>
      </c>
      <c r="Y30" s="120">
        <f t="shared" si="8"/>
        <v>0</v>
      </c>
      <c r="Z30" s="120">
        <f t="shared" si="9"/>
        <v>0</v>
      </c>
      <c r="AB30" s="131">
        <f>'GRAL. SUC. LOCALES'!N30</f>
        <v>0</v>
      </c>
    </row>
    <row r="31" spans="1:28" ht="18" thickBot="1" x14ac:dyDescent="0.4">
      <c r="A31" s="97"/>
      <c r="B31" s="131">
        <f>'Suc. Amado Nervo'!G31</f>
        <v>0</v>
      </c>
      <c r="C31" s="131">
        <f>'Suc. León'!G31</f>
        <v>0</v>
      </c>
      <c r="D31" s="120">
        <f>'San Cayetano'!G31</f>
        <v>0</v>
      </c>
      <c r="E31" s="120">
        <f>'Suc. Boulevard'!G31</f>
        <v>0</v>
      </c>
      <c r="F31" s="120">
        <f>'Suc. Dos de Agosto'!G31</f>
        <v>0</v>
      </c>
      <c r="G31" s="120">
        <f>'Suc. La Nueva Canasta'!G31</f>
        <v>0</v>
      </c>
      <c r="H31" s="120">
        <f>'Suc. Mololoa'!G31</f>
        <v>0</v>
      </c>
      <c r="I31" s="120">
        <f>'Suc. Plaza'!G31</f>
        <v>0</v>
      </c>
      <c r="J31" s="120">
        <f>'Suc. Vistas'!G31</f>
        <v>0</v>
      </c>
      <c r="K31" s="120">
        <f>'Suc. Xalisco'!G31</f>
        <v>0</v>
      </c>
      <c r="L31" s="120">
        <f t="shared" si="7"/>
        <v>0</v>
      </c>
      <c r="M31" s="131">
        <f>'Suc. Acaponeta'!G31</f>
        <v>0</v>
      </c>
      <c r="N31" s="131">
        <f>'Suc. Compostela'!G31</f>
        <v>0</v>
      </c>
      <c r="O31" s="131">
        <f>'Suc. Ruiz'!G31</f>
        <v>0</v>
      </c>
      <c r="P31" s="131">
        <f>'Suc. Sanblas'!G31</f>
        <v>0</v>
      </c>
      <c r="Q31" s="131">
        <f>'LALO VARAS'!G31</f>
        <v>0</v>
      </c>
      <c r="R31" s="131">
        <f>'Suc. Santiago 2'!G31</f>
        <v>0</v>
      </c>
      <c r="S31" s="131">
        <f>'Suc. Tecuala'!G31</f>
        <v>0</v>
      </c>
      <c r="T31" s="131">
        <f>'Suc. Tuxpan'!G31</f>
        <v>0</v>
      </c>
      <c r="U31" s="131">
        <f>'Suc. Varas'!G31</f>
        <v>0</v>
      </c>
      <c r="V31" s="131">
        <f>'Suc. Santa María del Oro'!G31</f>
        <v>0</v>
      </c>
      <c r="W31" s="131">
        <f>'Suc. Villa Hidalgo'!G31</f>
        <v>0</v>
      </c>
      <c r="X31" s="131">
        <f>'Suc. Peñita'!G31</f>
        <v>0</v>
      </c>
      <c r="Y31" s="120">
        <f t="shared" si="8"/>
        <v>0</v>
      </c>
      <c r="Z31" s="120">
        <f t="shared" si="9"/>
        <v>0</v>
      </c>
      <c r="AB31" s="131">
        <f>'GRAL. SUC. LOCALES'!N31</f>
        <v>0</v>
      </c>
    </row>
    <row r="32" spans="1:28" ht="18" thickBot="1" x14ac:dyDescent="0.4">
      <c r="A32" s="98" t="s">
        <v>13</v>
      </c>
      <c r="B32" s="122">
        <f>SUM(B19:B31)</f>
        <v>3</v>
      </c>
      <c r="C32" s="122">
        <f t="shared" ref="C32:Z32" si="10">SUM(C19:C31)</f>
        <v>6</v>
      </c>
      <c r="D32" s="122">
        <f t="shared" si="10"/>
        <v>3</v>
      </c>
      <c r="E32" s="122">
        <f t="shared" si="10"/>
        <v>4</v>
      </c>
      <c r="F32" s="122">
        <f t="shared" si="10"/>
        <v>3</v>
      </c>
      <c r="G32" s="122">
        <f t="shared" si="10"/>
        <v>0</v>
      </c>
      <c r="H32" s="122">
        <f t="shared" si="10"/>
        <v>5</v>
      </c>
      <c r="I32" s="122">
        <f t="shared" si="10"/>
        <v>2</v>
      </c>
      <c r="J32" s="122">
        <f t="shared" si="10"/>
        <v>9</v>
      </c>
      <c r="K32" s="122">
        <f t="shared" si="10"/>
        <v>6</v>
      </c>
      <c r="L32" s="122">
        <f t="shared" si="10"/>
        <v>41</v>
      </c>
      <c r="M32" s="122">
        <f t="shared" si="10"/>
        <v>0</v>
      </c>
      <c r="N32" s="122">
        <f t="shared" si="10"/>
        <v>0</v>
      </c>
      <c r="O32" s="122">
        <f t="shared" si="10"/>
        <v>0</v>
      </c>
      <c r="P32" s="122">
        <f t="shared" si="10"/>
        <v>0</v>
      </c>
      <c r="Q32" s="122">
        <f t="shared" si="10"/>
        <v>8</v>
      </c>
      <c r="R32" s="122">
        <f t="shared" si="10"/>
        <v>0</v>
      </c>
      <c r="S32" s="122">
        <f t="shared" si="10"/>
        <v>0</v>
      </c>
      <c r="T32" s="122">
        <f t="shared" si="10"/>
        <v>12</v>
      </c>
      <c r="U32" s="122">
        <f t="shared" ref="U32:V32" si="11">SUM(U19:U31)</f>
        <v>0</v>
      </c>
      <c r="V32" s="122">
        <f t="shared" si="11"/>
        <v>9</v>
      </c>
      <c r="W32" s="122">
        <f t="shared" si="10"/>
        <v>0</v>
      </c>
      <c r="X32" s="122">
        <f t="shared" ref="X32" si="12">SUM(X19:X31)</f>
        <v>0</v>
      </c>
      <c r="Y32" s="122">
        <f t="shared" si="10"/>
        <v>29</v>
      </c>
      <c r="Z32" s="122">
        <f t="shared" si="10"/>
        <v>70</v>
      </c>
      <c r="AB32" s="122">
        <f t="shared" ref="AB32" si="13">SUM(AB19:AB31)</f>
        <v>79</v>
      </c>
    </row>
    <row r="33" spans="1:28" ht="17.399999999999999" x14ac:dyDescent="0.35">
      <c r="A33" s="97" t="s">
        <v>14</v>
      </c>
      <c r="B33" s="131">
        <f>'Suc. Amado Nervo'!G33</f>
        <v>1</v>
      </c>
      <c r="C33" s="131">
        <f>'Suc. León'!G33</f>
        <v>0</v>
      </c>
      <c r="D33" s="120">
        <f>'San Cayetano'!G33</f>
        <v>0</v>
      </c>
      <c r="E33" s="120">
        <f>'Suc. Boulevard'!G33</f>
        <v>1</v>
      </c>
      <c r="F33" s="120">
        <f>'Suc. Dos de Agosto'!G33</f>
        <v>1</v>
      </c>
      <c r="G33" s="120">
        <f>'Suc. La Nueva Canasta'!G33</f>
        <v>0</v>
      </c>
      <c r="H33" s="120">
        <f>'Suc. Mololoa'!G33</f>
        <v>0</v>
      </c>
      <c r="I33" s="120">
        <f>'Suc. Plaza'!G33</f>
        <v>0</v>
      </c>
      <c r="J33" s="120">
        <f>'Suc. Vistas'!G33</f>
        <v>2</v>
      </c>
      <c r="K33" s="120">
        <f>'Suc. Xalisco'!G33</f>
        <v>0</v>
      </c>
      <c r="L33" s="120">
        <f t="shared" ref="L33:L48" si="14">SUM(B33:K33)</f>
        <v>5</v>
      </c>
      <c r="M33" s="131">
        <f>'Suc. Acaponeta'!G33</f>
        <v>0</v>
      </c>
      <c r="N33" s="131">
        <f>'Suc. Compostela'!G33</f>
        <v>1</v>
      </c>
      <c r="O33" s="131">
        <f>'Suc. Ruiz'!G33</f>
        <v>0</v>
      </c>
      <c r="P33" s="131">
        <f>'Suc. Sanblas'!G33</f>
        <v>0</v>
      </c>
      <c r="Q33" s="131">
        <f>'LALO VARAS'!G33</f>
        <v>1</v>
      </c>
      <c r="R33" s="131">
        <f>'Suc. Santiago 2'!G33</f>
        <v>0</v>
      </c>
      <c r="S33" s="131">
        <f>'Suc. Tecuala'!G33</f>
        <v>0</v>
      </c>
      <c r="T33" s="131">
        <f>'Suc. Tuxpan'!G33</f>
        <v>2</v>
      </c>
      <c r="U33" s="131">
        <f>'Suc. Varas'!G33</f>
        <v>0</v>
      </c>
      <c r="V33" s="131">
        <f>'Suc. Santa María del Oro'!G33</f>
        <v>0</v>
      </c>
      <c r="W33" s="131">
        <f>'Suc. Villa Hidalgo'!G33</f>
        <v>0</v>
      </c>
      <c r="X33" s="131">
        <f>'Suc. Peñita'!G33</f>
        <v>0</v>
      </c>
      <c r="Y33" s="120">
        <f t="shared" ref="Y33:Y48" si="15">SUM(M33:X33)</f>
        <v>4</v>
      </c>
      <c r="Z33" s="120">
        <f t="shared" ref="Z33:Z48" si="16">L33+Y33</f>
        <v>9</v>
      </c>
      <c r="AB33" s="131">
        <f>'GRAL. SUC. LOCALES'!N33</f>
        <v>5</v>
      </c>
    </row>
    <row r="34" spans="1:28" ht="17.399999999999999" x14ac:dyDescent="0.35">
      <c r="A34" s="97" t="s">
        <v>15</v>
      </c>
      <c r="B34" s="131">
        <f>'Suc. Amado Nervo'!G34</f>
        <v>0</v>
      </c>
      <c r="C34" s="131">
        <f>'Suc. León'!G34</f>
        <v>0</v>
      </c>
      <c r="D34" s="120">
        <f>'San Cayetano'!G34</f>
        <v>1</v>
      </c>
      <c r="E34" s="120">
        <f>'Suc. Boulevard'!G34</f>
        <v>1</v>
      </c>
      <c r="F34" s="120">
        <f>'Suc. Dos de Agosto'!G34</f>
        <v>0</v>
      </c>
      <c r="G34" s="120">
        <f>'Suc. La Nueva Canasta'!G34</f>
        <v>0</v>
      </c>
      <c r="H34" s="120">
        <f>'Suc. Mololoa'!G34</f>
        <v>0</v>
      </c>
      <c r="I34" s="120">
        <f>'Suc. Plaza'!G34</f>
        <v>1</v>
      </c>
      <c r="J34" s="120">
        <f>'Suc. Vistas'!G34</f>
        <v>0</v>
      </c>
      <c r="K34" s="120">
        <f>'Suc. Xalisco'!G34</f>
        <v>0</v>
      </c>
      <c r="L34" s="120">
        <f t="shared" si="14"/>
        <v>3</v>
      </c>
      <c r="M34" s="131">
        <f>'Suc. Acaponeta'!G34</f>
        <v>0</v>
      </c>
      <c r="N34" s="131">
        <f>'Suc. Compostela'!G34</f>
        <v>2</v>
      </c>
      <c r="O34" s="131">
        <f>'Suc. Ruiz'!G34</f>
        <v>0</v>
      </c>
      <c r="P34" s="131">
        <f>'Suc. Sanblas'!G34</f>
        <v>0</v>
      </c>
      <c r="Q34" s="131">
        <f>'LALO VARAS'!G34</f>
        <v>1</v>
      </c>
      <c r="R34" s="131">
        <f>'Suc. Santiago 2'!G34</f>
        <v>0</v>
      </c>
      <c r="S34" s="131">
        <f>'Suc. Tecuala'!G34</f>
        <v>0</v>
      </c>
      <c r="T34" s="131">
        <f>'Suc. Tuxpan'!G34</f>
        <v>2</v>
      </c>
      <c r="U34" s="131">
        <f>'Suc. Varas'!G34</f>
        <v>0</v>
      </c>
      <c r="V34" s="131">
        <f>'Suc. Santa María del Oro'!G34</f>
        <v>3</v>
      </c>
      <c r="W34" s="131">
        <f>'Suc. Villa Hidalgo'!G34</f>
        <v>0</v>
      </c>
      <c r="X34" s="131">
        <f>'Suc. Peñita'!G34</f>
        <v>0</v>
      </c>
      <c r="Y34" s="120">
        <f t="shared" si="15"/>
        <v>8</v>
      </c>
      <c r="Z34" s="120">
        <f t="shared" si="16"/>
        <v>11</v>
      </c>
      <c r="AB34" s="131">
        <f>'GRAL. SUC. LOCALES'!N34</f>
        <v>6</v>
      </c>
    </row>
    <row r="35" spans="1:28" ht="17.399999999999999" x14ac:dyDescent="0.35">
      <c r="A35" s="97" t="s">
        <v>16</v>
      </c>
      <c r="B35" s="131">
        <f>'Suc. Amado Nervo'!G35</f>
        <v>0</v>
      </c>
      <c r="C35" s="131">
        <f>'Suc. León'!G35</f>
        <v>1</v>
      </c>
      <c r="D35" s="120">
        <f>'San Cayetano'!G35</f>
        <v>0</v>
      </c>
      <c r="E35" s="120">
        <f>'Suc. Boulevard'!G35</f>
        <v>0</v>
      </c>
      <c r="F35" s="120">
        <f>'Suc. Dos de Agosto'!G35</f>
        <v>0</v>
      </c>
      <c r="G35" s="120">
        <f>'Suc. La Nueva Canasta'!G35</f>
        <v>0</v>
      </c>
      <c r="H35" s="120">
        <f>'Suc. Mololoa'!G35</f>
        <v>1</v>
      </c>
      <c r="I35" s="120">
        <f>'Suc. Plaza'!G35</f>
        <v>0</v>
      </c>
      <c r="J35" s="120">
        <f>'Suc. Vistas'!G35</f>
        <v>1</v>
      </c>
      <c r="K35" s="120">
        <f>'Suc. Xalisco'!G35</f>
        <v>0</v>
      </c>
      <c r="L35" s="120">
        <f t="shared" si="14"/>
        <v>3</v>
      </c>
      <c r="M35" s="131">
        <f>'Suc. Acaponeta'!G35</f>
        <v>0</v>
      </c>
      <c r="N35" s="131">
        <f>'Suc. Compostela'!G35</f>
        <v>1</v>
      </c>
      <c r="O35" s="131">
        <f>'Suc. Ruiz'!G35</f>
        <v>0</v>
      </c>
      <c r="P35" s="131">
        <f>'Suc. Sanblas'!G35</f>
        <v>0</v>
      </c>
      <c r="Q35" s="131">
        <f>'LALO VARAS'!G35</f>
        <v>1</v>
      </c>
      <c r="R35" s="131">
        <f>'Suc. Santiago 2'!G35</f>
        <v>0</v>
      </c>
      <c r="S35" s="131">
        <f>'Suc. Tecuala'!G35</f>
        <v>0</v>
      </c>
      <c r="T35" s="131">
        <f>'Suc. Tuxpan'!G35</f>
        <v>2</v>
      </c>
      <c r="U35" s="131">
        <f>'Suc. Varas'!G35</f>
        <v>0</v>
      </c>
      <c r="V35" s="131">
        <f>'Suc. Santa María del Oro'!G35</f>
        <v>0</v>
      </c>
      <c r="W35" s="131">
        <f>'Suc. Villa Hidalgo'!G35</f>
        <v>0</v>
      </c>
      <c r="X35" s="131">
        <f>'Suc. Peñita'!G35</f>
        <v>0</v>
      </c>
      <c r="Y35" s="120">
        <f t="shared" si="15"/>
        <v>4</v>
      </c>
      <c r="Z35" s="120">
        <f t="shared" si="16"/>
        <v>7</v>
      </c>
      <c r="AB35" s="131">
        <f>'GRAL. SUC. LOCALES'!N35</f>
        <v>7</v>
      </c>
    </row>
    <row r="36" spans="1:28" ht="17.399999999999999" x14ac:dyDescent="0.35">
      <c r="A36" s="97" t="s">
        <v>17</v>
      </c>
      <c r="B36" s="131">
        <f>'Suc. Amado Nervo'!G36</f>
        <v>0</v>
      </c>
      <c r="C36" s="131">
        <f>'Suc. León'!G36</f>
        <v>0</v>
      </c>
      <c r="D36" s="120">
        <f>'San Cayetano'!G36</f>
        <v>1</v>
      </c>
      <c r="E36" s="120">
        <f>'Suc. Boulevard'!G36</f>
        <v>0</v>
      </c>
      <c r="F36" s="120">
        <f>'Suc. Dos de Agosto'!G36</f>
        <v>1</v>
      </c>
      <c r="G36" s="120">
        <f>'Suc. La Nueva Canasta'!G36</f>
        <v>0</v>
      </c>
      <c r="H36" s="120">
        <f>'Suc. Mololoa'!G36</f>
        <v>0</v>
      </c>
      <c r="I36" s="120">
        <f>'Suc. Plaza'!G36</f>
        <v>0</v>
      </c>
      <c r="J36" s="120">
        <f>'Suc. Vistas'!G36</f>
        <v>1</v>
      </c>
      <c r="K36" s="120">
        <f>'Suc. Xalisco'!G36</f>
        <v>0</v>
      </c>
      <c r="L36" s="120">
        <f t="shared" si="14"/>
        <v>3</v>
      </c>
      <c r="M36" s="131">
        <f>'Suc. Acaponeta'!G36</f>
        <v>0</v>
      </c>
      <c r="N36" s="131">
        <f>'Suc. Compostela'!G36</f>
        <v>1</v>
      </c>
      <c r="O36" s="131">
        <f>'Suc. Ruiz'!G36</f>
        <v>0</v>
      </c>
      <c r="P36" s="131">
        <f>'Suc. Sanblas'!G36</f>
        <v>0</v>
      </c>
      <c r="Q36" s="131">
        <f>'LALO VARAS'!G36</f>
        <v>1</v>
      </c>
      <c r="R36" s="131">
        <f>'Suc. Santiago 2'!G36</f>
        <v>0</v>
      </c>
      <c r="S36" s="131">
        <f>'Suc. Tecuala'!G36</f>
        <v>0</v>
      </c>
      <c r="T36" s="131">
        <f>'Suc. Tuxpan'!G36</f>
        <v>2</v>
      </c>
      <c r="U36" s="131">
        <f>'Suc. Varas'!G36</f>
        <v>0</v>
      </c>
      <c r="V36" s="131">
        <f>'Suc. Santa María del Oro'!G36</f>
        <v>2</v>
      </c>
      <c r="W36" s="131">
        <f>'Suc. Villa Hidalgo'!G36</f>
        <v>0</v>
      </c>
      <c r="X36" s="131">
        <f>'Suc. Peñita'!G36</f>
        <v>0</v>
      </c>
      <c r="Y36" s="120">
        <f t="shared" si="15"/>
        <v>6</v>
      </c>
      <c r="Z36" s="120">
        <f t="shared" si="16"/>
        <v>9</v>
      </c>
      <c r="AB36" s="131">
        <f>'GRAL. SUC. LOCALES'!N36</f>
        <v>6</v>
      </c>
    </row>
    <row r="37" spans="1:28" ht="17.399999999999999" x14ac:dyDescent="0.35">
      <c r="A37" s="97" t="s">
        <v>18</v>
      </c>
      <c r="B37" s="131">
        <f>'Suc. Amado Nervo'!G37</f>
        <v>0</v>
      </c>
      <c r="C37" s="131">
        <f>'Suc. León'!G37</f>
        <v>0</v>
      </c>
      <c r="D37" s="120">
        <f>'San Cayetano'!G37</f>
        <v>0</v>
      </c>
      <c r="E37" s="120">
        <f>'Suc. Boulevard'!G37</f>
        <v>0</v>
      </c>
      <c r="F37" s="120">
        <f>'Suc. Dos de Agosto'!G37</f>
        <v>0</v>
      </c>
      <c r="G37" s="120">
        <f>'Suc. La Nueva Canasta'!G37</f>
        <v>0</v>
      </c>
      <c r="H37" s="120">
        <f>'Suc. Mololoa'!G37</f>
        <v>0</v>
      </c>
      <c r="I37" s="120">
        <f>'Suc. Plaza'!G37</f>
        <v>1</v>
      </c>
      <c r="J37" s="120">
        <f>'Suc. Vistas'!G37</f>
        <v>4</v>
      </c>
      <c r="K37" s="120">
        <f>'Suc. Xalisco'!G37</f>
        <v>0</v>
      </c>
      <c r="L37" s="120">
        <f t="shared" si="14"/>
        <v>5</v>
      </c>
      <c r="M37" s="131">
        <f>'Suc. Acaponeta'!G37</f>
        <v>0</v>
      </c>
      <c r="N37" s="131">
        <f>'Suc. Compostela'!G37</f>
        <v>2</v>
      </c>
      <c r="O37" s="131">
        <f>'Suc. Ruiz'!G37</f>
        <v>0</v>
      </c>
      <c r="P37" s="131">
        <f>'Suc. Sanblas'!G37</f>
        <v>0</v>
      </c>
      <c r="Q37" s="131">
        <f>'LALO VARAS'!G37</f>
        <v>1</v>
      </c>
      <c r="R37" s="131">
        <f>'Suc. Santiago 2'!G37</f>
        <v>0</v>
      </c>
      <c r="S37" s="131">
        <f>'Suc. Tecuala'!G37</f>
        <v>0</v>
      </c>
      <c r="T37" s="131">
        <f>'Suc. Tuxpan'!G37</f>
        <v>2</v>
      </c>
      <c r="U37" s="131">
        <f>'Suc. Varas'!G37</f>
        <v>0</v>
      </c>
      <c r="V37" s="131">
        <f>'Suc. Santa María del Oro'!G37</f>
        <v>0</v>
      </c>
      <c r="W37" s="131">
        <f>'Suc. Villa Hidalgo'!G37</f>
        <v>0</v>
      </c>
      <c r="X37" s="131">
        <f>'Suc. Peñita'!G37</f>
        <v>0</v>
      </c>
      <c r="Y37" s="120">
        <f t="shared" si="15"/>
        <v>5</v>
      </c>
      <c r="Z37" s="120">
        <f t="shared" si="16"/>
        <v>10</v>
      </c>
      <c r="AB37" s="131">
        <f>'GRAL. SUC. LOCALES'!N37</f>
        <v>12</v>
      </c>
    </row>
    <row r="38" spans="1:28" ht="17.399999999999999" x14ac:dyDescent="0.35">
      <c r="A38" s="97" t="s">
        <v>22</v>
      </c>
      <c r="B38" s="131">
        <f>'Suc. Amado Nervo'!G38</f>
        <v>1</v>
      </c>
      <c r="C38" s="131">
        <f>'Suc. León'!G38</f>
        <v>0</v>
      </c>
      <c r="D38" s="120">
        <f>'San Cayetano'!G38</f>
        <v>0</v>
      </c>
      <c r="E38" s="120">
        <f>'Suc. Boulevard'!G38</f>
        <v>0</v>
      </c>
      <c r="F38" s="120">
        <f>'Suc. Dos de Agosto'!G38</f>
        <v>2</v>
      </c>
      <c r="G38" s="120">
        <f>'Suc. La Nueva Canasta'!G38</f>
        <v>0</v>
      </c>
      <c r="H38" s="120">
        <f>'Suc. Mololoa'!G38</f>
        <v>1</v>
      </c>
      <c r="I38" s="120">
        <f>'Suc. Plaza'!G38</f>
        <v>1</v>
      </c>
      <c r="J38" s="120">
        <f>'Suc. Vistas'!G38</f>
        <v>4</v>
      </c>
      <c r="K38" s="120">
        <f>'Suc. Xalisco'!G38</f>
        <v>1</v>
      </c>
      <c r="L38" s="120">
        <f t="shared" si="14"/>
        <v>10</v>
      </c>
      <c r="M38" s="131">
        <f>'Suc. Acaponeta'!G38</f>
        <v>0</v>
      </c>
      <c r="N38" s="131">
        <f>'Suc. Compostela'!G38</f>
        <v>1</v>
      </c>
      <c r="O38" s="131">
        <f>'Suc. Ruiz'!G38</f>
        <v>0</v>
      </c>
      <c r="P38" s="131">
        <f>'Suc. Sanblas'!G38</f>
        <v>0</v>
      </c>
      <c r="Q38" s="131">
        <f>'LALO VARAS'!G38</f>
        <v>2</v>
      </c>
      <c r="R38" s="131">
        <f>'Suc. Santiago 2'!G38</f>
        <v>0</v>
      </c>
      <c r="S38" s="131">
        <f>'Suc. Tecuala'!G38</f>
        <v>0</v>
      </c>
      <c r="T38" s="131">
        <f>'Suc. Tuxpan'!G38</f>
        <v>2</v>
      </c>
      <c r="U38" s="131">
        <f>'Suc. Varas'!G38</f>
        <v>0</v>
      </c>
      <c r="V38" s="131">
        <f>'Suc. Santa María del Oro'!G38</f>
        <v>2</v>
      </c>
      <c r="W38" s="131">
        <f>'Suc. Villa Hidalgo'!G38</f>
        <v>0</v>
      </c>
      <c r="X38" s="131">
        <f>'Suc. Peñita'!G38</f>
        <v>0</v>
      </c>
      <c r="Y38" s="120">
        <f t="shared" si="15"/>
        <v>7</v>
      </c>
      <c r="Z38" s="120">
        <f t="shared" si="16"/>
        <v>17</v>
      </c>
      <c r="AB38" s="131">
        <f>'GRAL. SUC. LOCALES'!N38</f>
        <v>10</v>
      </c>
    </row>
    <row r="39" spans="1:28" ht="17.399999999999999" x14ac:dyDescent="0.35">
      <c r="A39" s="97" t="s">
        <v>23</v>
      </c>
      <c r="B39" s="131">
        <f>'Suc. Amado Nervo'!G39</f>
        <v>1</v>
      </c>
      <c r="C39" s="131">
        <f>'Suc. León'!G39</f>
        <v>0</v>
      </c>
      <c r="D39" s="120">
        <f>'San Cayetano'!G39</f>
        <v>0</v>
      </c>
      <c r="E39" s="120">
        <f>'Suc. Boulevard'!G39</f>
        <v>0</v>
      </c>
      <c r="F39" s="120">
        <f>'Suc. Dos de Agosto'!G39</f>
        <v>1</v>
      </c>
      <c r="G39" s="120">
        <f>'Suc. La Nueva Canasta'!G39</f>
        <v>0</v>
      </c>
      <c r="H39" s="120">
        <f>'Suc. Mololoa'!G39</f>
        <v>0</v>
      </c>
      <c r="I39" s="120">
        <f>'Suc. Plaza'!G39</f>
        <v>0</v>
      </c>
      <c r="J39" s="120">
        <f>'Suc. Vistas'!G39</f>
        <v>1</v>
      </c>
      <c r="K39" s="120">
        <f>'Suc. Xalisco'!G39</f>
        <v>1</v>
      </c>
      <c r="L39" s="120">
        <f t="shared" si="14"/>
        <v>4</v>
      </c>
      <c r="M39" s="131">
        <f>'Suc. Acaponeta'!G39</f>
        <v>0</v>
      </c>
      <c r="N39" s="131">
        <f>'Suc. Compostela'!G39</f>
        <v>1</v>
      </c>
      <c r="O39" s="131">
        <f>'Suc. Ruiz'!G39</f>
        <v>0</v>
      </c>
      <c r="P39" s="131">
        <f>'Suc. Sanblas'!G39</f>
        <v>0</v>
      </c>
      <c r="Q39" s="131">
        <f>'LALO VARAS'!G39</f>
        <v>0</v>
      </c>
      <c r="R39" s="131">
        <f>'Suc. Santiago 2'!G39</f>
        <v>0</v>
      </c>
      <c r="S39" s="131">
        <f>'Suc. Tecuala'!G39</f>
        <v>0</v>
      </c>
      <c r="T39" s="131">
        <f>'Suc. Tuxpan'!G39</f>
        <v>2</v>
      </c>
      <c r="U39" s="131">
        <f>'Suc. Varas'!G39</f>
        <v>0</v>
      </c>
      <c r="V39" s="131">
        <f>'Suc. Santa María del Oro'!G39</f>
        <v>3</v>
      </c>
      <c r="W39" s="131">
        <f>'Suc. Villa Hidalgo'!G39</f>
        <v>0</v>
      </c>
      <c r="X39" s="131">
        <f>'Suc. Peñita'!G39</f>
        <v>0</v>
      </c>
      <c r="Y39" s="120">
        <f t="shared" si="15"/>
        <v>6</v>
      </c>
      <c r="Z39" s="120">
        <f t="shared" si="16"/>
        <v>10</v>
      </c>
      <c r="AB39" s="131">
        <f>'GRAL. SUC. LOCALES'!N39</f>
        <v>0</v>
      </c>
    </row>
    <row r="40" spans="1:28" ht="17.399999999999999" x14ac:dyDescent="0.35">
      <c r="A40" s="97" t="s">
        <v>24</v>
      </c>
      <c r="B40" s="131">
        <f>'Suc. Amado Nervo'!G40</f>
        <v>0</v>
      </c>
      <c r="C40" s="131">
        <f>'Suc. León'!G40</f>
        <v>0</v>
      </c>
      <c r="D40" s="120">
        <f>'San Cayetano'!G40</f>
        <v>0</v>
      </c>
      <c r="E40" s="120">
        <f>'Suc. Boulevard'!G40</f>
        <v>1</v>
      </c>
      <c r="F40" s="120">
        <f>'Suc. Dos de Agosto'!G40</f>
        <v>0</v>
      </c>
      <c r="G40" s="120">
        <f>'Suc. La Nueva Canasta'!G40</f>
        <v>0</v>
      </c>
      <c r="H40" s="120">
        <f>'Suc. Mololoa'!G40</f>
        <v>0</v>
      </c>
      <c r="I40" s="120">
        <f>'Suc. Plaza'!G40</f>
        <v>1</v>
      </c>
      <c r="J40" s="120">
        <f>'Suc. Vistas'!G40</f>
        <v>4</v>
      </c>
      <c r="K40" s="120">
        <f>'Suc. Xalisco'!G40</f>
        <v>1</v>
      </c>
      <c r="L40" s="120">
        <f t="shared" si="14"/>
        <v>7</v>
      </c>
      <c r="M40" s="131">
        <f>'Suc. Acaponeta'!G40</f>
        <v>0</v>
      </c>
      <c r="N40" s="131">
        <f>'Suc. Compostela'!G40</f>
        <v>1</v>
      </c>
      <c r="O40" s="131">
        <f>'Suc. Ruiz'!G40</f>
        <v>0</v>
      </c>
      <c r="P40" s="131">
        <f>'Suc. Sanblas'!G40</f>
        <v>0</v>
      </c>
      <c r="Q40" s="131">
        <f>'LALO VARAS'!G40</f>
        <v>2</v>
      </c>
      <c r="R40" s="131">
        <f>'Suc. Santiago 2'!G40</f>
        <v>0</v>
      </c>
      <c r="S40" s="131">
        <f>'Suc. Tecuala'!G40</f>
        <v>0</v>
      </c>
      <c r="T40" s="131">
        <f>'Suc. Tuxpan'!G40</f>
        <v>2</v>
      </c>
      <c r="U40" s="131">
        <f>'Suc. Varas'!G40</f>
        <v>0</v>
      </c>
      <c r="V40" s="131">
        <f>'Suc. Santa María del Oro'!G40</f>
        <v>1</v>
      </c>
      <c r="W40" s="131">
        <f>'Suc. Villa Hidalgo'!G40</f>
        <v>0</v>
      </c>
      <c r="X40" s="131">
        <f>'Suc. Peñita'!G40</f>
        <v>0</v>
      </c>
      <c r="Y40" s="120">
        <f t="shared" si="15"/>
        <v>6</v>
      </c>
      <c r="Z40" s="120">
        <f t="shared" si="16"/>
        <v>13</v>
      </c>
      <c r="AB40" s="131">
        <f>'GRAL. SUC. LOCALES'!N40</f>
        <v>12</v>
      </c>
    </row>
    <row r="41" spans="1:28" ht="17.399999999999999" x14ac:dyDescent="0.35">
      <c r="A41" s="97" t="s">
        <v>25</v>
      </c>
      <c r="B41" s="131">
        <f>'Suc. Amado Nervo'!G41</f>
        <v>0</v>
      </c>
      <c r="C41" s="131">
        <f>'Suc. León'!G41</f>
        <v>1</v>
      </c>
      <c r="D41" s="120">
        <f>'San Cayetano'!G41</f>
        <v>1</v>
      </c>
      <c r="E41" s="120">
        <f>'Suc. Boulevard'!G41</f>
        <v>1</v>
      </c>
      <c r="F41" s="120">
        <f>'Suc. Dos de Agosto'!G41</f>
        <v>1</v>
      </c>
      <c r="G41" s="120">
        <f>'Suc. La Nueva Canasta'!G41</f>
        <v>0</v>
      </c>
      <c r="H41" s="120">
        <f>'Suc. Mololoa'!G41</f>
        <v>0</v>
      </c>
      <c r="I41" s="120">
        <f>'Suc. Plaza'!G41</f>
        <v>1</v>
      </c>
      <c r="J41" s="120">
        <f>'Suc. Vistas'!G41</f>
        <v>0</v>
      </c>
      <c r="K41" s="120">
        <f>'Suc. Xalisco'!G41</f>
        <v>0</v>
      </c>
      <c r="L41" s="120">
        <f t="shared" si="14"/>
        <v>5</v>
      </c>
      <c r="M41" s="131">
        <f>'Suc. Acaponeta'!G41</f>
        <v>0</v>
      </c>
      <c r="N41" s="131">
        <f>'Suc. Compostela'!G41</f>
        <v>0</v>
      </c>
      <c r="O41" s="131">
        <f>'Suc. Ruiz'!G41</f>
        <v>0</v>
      </c>
      <c r="P41" s="131">
        <f>'Suc. Sanblas'!G41</f>
        <v>0</v>
      </c>
      <c r="Q41" s="131">
        <f>'LALO VARAS'!G41</f>
        <v>0</v>
      </c>
      <c r="R41" s="131">
        <f>'Suc. Santiago 2'!G41</f>
        <v>0</v>
      </c>
      <c r="S41" s="131">
        <f>'Suc. Tecuala'!G41</f>
        <v>0</v>
      </c>
      <c r="T41" s="131">
        <f>'Suc. Tuxpan'!G41</f>
        <v>2</v>
      </c>
      <c r="U41" s="131">
        <f>'Suc. Varas'!G41</f>
        <v>0</v>
      </c>
      <c r="V41" s="131">
        <f>'Suc. Santa María del Oro'!G41</f>
        <v>1</v>
      </c>
      <c r="W41" s="131">
        <f>'Suc. Villa Hidalgo'!G41</f>
        <v>0</v>
      </c>
      <c r="X41" s="131">
        <f>'Suc. Peñita'!G41</f>
        <v>0</v>
      </c>
      <c r="Y41" s="120">
        <f t="shared" si="15"/>
        <v>3</v>
      </c>
      <c r="Z41" s="120">
        <f t="shared" si="16"/>
        <v>8</v>
      </c>
      <c r="AB41" s="131">
        <f>'GRAL. SUC. LOCALES'!N41</f>
        <v>5</v>
      </c>
    </row>
    <row r="42" spans="1:28" ht="17.399999999999999" x14ac:dyDescent="0.35">
      <c r="A42" s="97"/>
      <c r="B42" s="131">
        <f>'Suc. Amado Nervo'!G42</f>
        <v>0</v>
      </c>
      <c r="C42" s="131">
        <f>'Suc. León'!G42</f>
        <v>0</v>
      </c>
      <c r="D42" s="120">
        <f>'San Cayetano'!G42</f>
        <v>0</v>
      </c>
      <c r="E42" s="120">
        <f>'Suc. Boulevard'!G42</f>
        <v>0</v>
      </c>
      <c r="F42" s="120">
        <f>'Suc. Dos de Agosto'!G42</f>
        <v>0</v>
      </c>
      <c r="G42" s="120">
        <f>'Suc. La Nueva Canasta'!G42</f>
        <v>0</v>
      </c>
      <c r="H42" s="120">
        <f>'Suc. Mololoa'!G42</f>
        <v>0</v>
      </c>
      <c r="I42" s="120">
        <f>'Suc. Plaza'!G42</f>
        <v>0</v>
      </c>
      <c r="J42" s="120">
        <f>'Suc. Vistas'!G42</f>
        <v>0</v>
      </c>
      <c r="K42" s="120">
        <f>'Suc. Xalisco'!G42</f>
        <v>0</v>
      </c>
      <c r="L42" s="120">
        <f t="shared" si="14"/>
        <v>0</v>
      </c>
      <c r="M42" s="131">
        <f>'Suc. Acaponeta'!G42</f>
        <v>0</v>
      </c>
      <c r="N42" s="131">
        <f>'Suc. Compostela'!G42</f>
        <v>0</v>
      </c>
      <c r="O42" s="131">
        <f>'Suc. Ruiz'!G42</f>
        <v>0</v>
      </c>
      <c r="P42" s="131">
        <f>'Suc. Sanblas'!G42</f>
        <v>0</v>
      </c>
      <c r="Q42" s="131">
        <f>'LALO VARAS'!G42</f>
        <v>0</v>
      </c>
      <c r="R42" s="131">
        <f>'Suc. Santiago 2'!G42</f>
        <v>0</v>
      </c>
      <c r="S42" s="131">
        <f>'Suc. Tecuala'!G42</f>
        <v>0</v>
      </c>
      <c r="T42" s="131">
        <f>'Suc. Tuxpan'!G42</f>
        <v>0</v>
      </c>
      <c r="U42" s="131">
        <f>'Suc. Varas'!G42</f>
        <v>0</v>
      </c>
      <c r="V42" s="131">
        <f>'Suc. Santa María del Oro'!G42</f>
        <v>0</v>
      </c>
      <c r="W42" s="131">
        <f>'Suc. Villa Hidalgo'!G42</f>
        <v>0</v>
      </c>
      <c r="X42" s="131">
        <f>'Suc. Peñita'!G42</f>
        <v>0</v>
      </c>
      <c r="Y42" s="120">
        <f t="shared" si="15"/>
        <v>0</v>
      </c>
      <c r="Z42" s="120">
        <f t="shared" si="16"/>
        <v>0</v>
      </c>
      <c r="AB42" s="131">
        <f>'GRAL. SUC. LOCALES'!N42</f>
        <v>0</v>
      </c>
    </row>
    <row r="43" spans="1:28" ht="17.399999999999999" x14ac:dyDescent="0.35">
      <c r="A43" s="97"/>
      <c r="B43" s="131">
        <f>'Suc. Amado Nervo'!G43</f>
        <v>0</v>
      </c>
      <c r="C43" s="131">
        <f>'Suc. León'!G43</f>
        <v>0</v>
      </c>
      <c r="D43" s="120">
        <f>'San Cayetano'!G43</f>
        <v>0</v>
      </c>
      <c r="E43" s="120">
        <f>'Suc. Boulevard'!G43</f>
        <v>0</v>
      </c>
      <c r="F43" s="120">
        <f>'Suc. Dos de Agosto'!G43</f>
        <v>0</v>
      </c>
      <c r="G43" s="120">
        <f>'Suc. La Nueva Canasta'!G43</f>
        <v>0</v>
      </c>
      <c r="H43" s="120">
        <f>'Suc. Mololoa'!G43</f>
        <v>0</v>
      </c>
      <c r="I43" s="120">
        <f>'Suc. Plaza'!G43</f>
        <v>0</v>
      </c>
      <c r="J43" s="120">
        <f>'Suc. Vistas'!G43</f>
        <v>0</v>
      </c>
      <c r="K43" s="120">
        <f>'Suc. Xalisco'!G43</f>
        <v>0</v>
      </c>
      <c r="L43" s="120">
        <f t="shared" si="14"/>
        <v>0</v>
      </c>
      <c r="M43" s="131">
        <f>'Suc. Acaponeta'!G43</f>
        <v>0</v>
      </c>
      <c r="N43" s="131">
        <f>'Suc. Compostela'!G43</f>
        <v>0</v>
      </c>
      <c r="O43" s="131">
        <f>'Suc. Ruiz'!G43</f>
        <v>0</v>
      </c>
      <c r="P43" s="131">
        <f>'Suc. Sanblas'!G43</f>
        <v>0</v>
      </c>
      <c r="Q43" s="131">
        <f>'LALO VARAS'!G43</f>
        <v>0</v>
      </c>
      <c r="R43" s="131">
        <f>'Suc. Santiago 2'!G43</f>
        <v>0</v>
      </c>
      <c r="S43" s="131">
        <f>'Suc. Tecuala'!G43</f>
        <v>0</v>
      </c>
      <c r="T43" s="131">
        <f>'Suc. Tuxpan'!G43</f>
        <v>0</v>
      </c>
      <c r="U43" s="131">
        <f>'Suc. Varas'!G43</f>
        <v>0</v>
      </c>
      <c r="V43" s="131">
        <f>'Suc. Santa María del Oro'!G43</f>
        <v>0</v>
      </c>
      <c r="W43" s="131">
        <f>'Suc. Villa Hidalgo'!G43</f>
        <v>0</v>
      </c>
      <c r="X43" s="131">
        <f>'Suc. Peñita'!G43</f>
        <v>0</v>
      </c>
      <c r="Y43" s="120">
        <f t="shared" si="15"/>
        <v>0</v>
      </c>
      <c r="Z43" s="120">
        <f t="shared" si="16"/>
        <v>0</v>
      </c>
      <c r="AB43" s="131">
        <f>'GRAL. SUC. LOCALES'!N43</f>
        <v>0</v>
      </c>
    </row>
    <row r="44" spans="1:28" ht="17.399999999999999" x14ac:dyDescent="0.35">
      <c r="A44" s="97"/>
      <c r="B44" s="131">
        <f>'Suc. Amado Nervo'!G44</f>
        <v>0</v>
      </c>
      <c r="C44" s="131">
        <f>'Suc. León'!G44</f>
        <v>0</v>
      </c>
      <c r="D44" s="120">
        <f>'San Cayetano'!G44</f>
        <v>0</v>
      </c>
      <c r="E44" s="120">
        <f>'Suc. Boulevard'!G44</f>
        <v>0</v>
      </c>
      <c r="F44" s="120">
        <f>'Suc. Dos de Agosto'!G44</f>
        <v>0</v>
      </c>
      <c r="G44" s="120">
        <f>'Suc. La Nueva Canasta'!G44</f>
        <v>0</v>
      </c>
      <c r="H44" s="120">
        <f>'Suc. Mololoa'!G44</f>
        <v>0</v>
      </c>
      <c r="I44" s="120">
        <f>'Suc. Plaza'!G44</f>
        <v>0</v>
      </c>
      <c r="J44" s="120">
        <f>'Suc. Vistas'!G44</f>
        <v>0</v>
      </c>
      <c r="K44" s="120">
        <f>'Suc. Xalisco'!G44</f>
        <v>0</v>
      </c>
      <c r="L44" s="120">
        <f t="shared" si="14"/>
        <v>0</v>
      </c>
      <c r="M44" s="131">
        <f>'Suc. Acaponeta'!G44</f>
        <v>0</v>
      </c>
      <c r="N44" s="131">
        <f>'Suc. Compostela'!G44</f>
        <v>0</v>
      </c>
      <c r="O44" s="131">
        <f>'Suc. Ruiz'!G44</f>
        <v>0</v>
      </c>
      <c r="P44" s="131">
        <f>'Suc. Sanblas'!G44</f>
        <v>0</v>
      </c>
      <c r="Q44" s="131">
        <f>'LALO VARAS'!G44</f>
        <v>0</v>
      </c>
      <c r="R44" s="131">
        <f>'Suc. Santiago 2'!G44</f>
        <v>0</v>
      </c>
      <c r="S44" s="131">
        <f>'Suc. Tecuala'!G44</f>
        <v>0</v>
      </c>
      <c r="T44" s="131">
        <f>'Suc. Tuxpan'!G44</f>
        <v>0</v>
      </c>
      <c r="U44" s="131">
        <f>'Suc. Varas'!G44</f>
        <v>0</v>
      </c>
      <c r="V44" s="131">
        <f>'Suc. Santa María del Oro'!G44</f>
        <v>0</v>
      </c>
      <c r="W44" s="131">
        <f>'Suc. Villa Hidalgo'!G44</f>
        <v>0</v>
      </c>
      <c r="X44" s="131">
        <f>'Suc. Peñita'!G44</f>
        <v>0</v>
      </c>
      <c r="Y44" s="120">
        <f t="shared" si="15"/>
        <v>0</v>
      </c>
      <c r="Z44" s="120">
        <f t="shared" si="16"/>
        <v>0</v>
      </c>
      <c r="AB44" s="131">
        <f>'GRAL. SUC. LOCALES'!N44</f>
        <v>0</v>
      </c>
    </row>
    <row r="45" spans="1:28" ht="17.399999999999999" x14ac:dyDescent="0.35">
      <c r="A45" s="97"/>
      <c r="B45" s="131">
        <f>'Suc. Amado Nervo'!G45</f>
        <v>0</v>
      </c>
      <c r="C45" s="131">
        <f>'Suc. León'!G45</f>
        <v>0</v>
      </c>
      <c r="D45" s="120">
        <f>'San Cayetano'!G45</f>
        <v>0</v>
      </c>
      <c r="E45" s="120">
        <f>'Suc. Boulevard'!G45</f>
        <v>0</v>
      </c>
      <c r="F45" s="120">
        <f>'Suc. Dos de Agosto'!G45</f>
        <v>0</v>
      </c>
      <c r="G45" s="120">
        <f>'Suc. La Nueva Canasta'!G45</f>
        <v>0</v>
      </c>
      <c r="H45" s="120">
        <f>'Suc. Mololoa'!G45</f>
        <v>0</v>
      </c>
      <c r="I45" s="120">
        <f>'Suc. Plaza'!G45</f>
        <v>0</v>
      </c>
      <c r="J45" s="120">
        <f>'Suc. Vistas'!G45</f>
        <v>0</v>
      </c>
      <c r="K45" s="120">
        <f>'Suc. Xalisco'!G45</f>
        <v>0</v>
      </c>
      <c r="L45" s="120">
        <f t="shared" si="14"/>
        <v>0</v>
      </c>
      <c r="M45" s="131">
        <f>'Suc. Acaponeta'!G45</f>
        <v>0</v>
      </c>
      <c r="N45" s="131">
        <f>'Suc. Compostela'!G45</f>
        <v>0</v>
      </c>
      <c r="O45" s="131">
        <f>'Suc. Ruiz'!G45</f>
        <v>0</v>
      </c>
      <c r="P45" s="131">
        <f>'Suc. Sanblas'!G45</f>
        <v>0</v>
      </c>
      <c r="Q45" s="131">
        <f>'LALO VARAS'!G45</f>
        <v>0</v>
      </c>
      <c r="R45" s="131">
        <f>'Suc. Santiago 2'!G45</f>
        <v>0</v>
      </c>
      <c r="S45" s="131">
        <f>'Suc. Tecuala'!G45</f>
        <v>0</v>
      </c>
      <c r="T45" s="131">
        <f>'Suc. Tuxpan'!G45</f>
        <v>0</v>
      </c>
      <c r="U45" s="131">
        <f>'Suc. Varas'!G45</f>
        <v>0</v>
      </c>
      <c r="V45" s="131">
        <f>'Suc. Santa María del Oro'!G45</f>
        <v>0</v>
      </c>
      <c r="W45" s="131">
        <f>'Suc. Villa Hidalgo'!G45</f>
        <v>0</v>
      </c>
      <c r="X45" s="131">
        <f>'Suc. Peñita'!G45</f>
        <v>0</v>
      </c>
      <c r="Y45" s="120">
        <f t="shared" si="15"/>
        <v>0</v>
      </c>
      <c r="Z45" s="120">
        <f t="shared" si="16"/>
        <v>0</v>
      </c>
      <c r="AB45" s="131">
        <f>'GRAL. SUC. LOCALES'!N45</f>
        <v>0</v>
      </c>
    </row>
    <row r="46" spans="1:28" ht="17.399999999999999" x14ac:dyDescent="0.35">
      <c r="A46" s="97"/>
      <c r="B46" s="131">
        <f>'Suc. Amado Nervo'!G46</f>
        <v>0</v>
      </c>
      <c r="C46" s="131">
        <f>'Suc. León'!G46</f>
        <v>0</v>
      </c>
      <c r="D46" s="120">
        <f>'San Cayetano'!G46</f>
        <v>0</v>
      </c>
      <c r="E46" s="120">
        <f>'Suc. Boulevard'!G46</f>
        <v>0</v>
      </c>
      <c r="F46" s="120">
        <f>'Suc. Dos de Agosto'!G46</f>
        <v>0</v>
      </c>
      <c r="G46" s="120">
        <f>'Suc. La Nueva Canasta'!G46</f>
        <v>0</v>
      </c>
      <c r="H46" s="120">
        <f>'Suc. Mololoa'!G46</f>
        <v>0</v>
      </c>
      <c r="I46" s="120">
        <f>'Suc. Plaza'!G46</f>
        <v>0</v>
      </c>
      <c r="J46" s="120">
        <f>'Suc. Vistas'!G46</f>
        <v>0</v>
      </c>
      <c r="K46" s="120">
        <f>'Suc. Xalisco'!G46</f>
        <v>0</v>
      </c>
      <c r="L46" s="120">
        <f t="shared" si="14"/>
        <v>0</v>
      </c>
      <c r="M46" s="131">
        <f>'Suc. Acaponeta'!G46</f>
        <v>0</v>
      </c>
      <c r="N46" s="131">
        <f>'Suc. Compostela'!G46</f>
        <v>0</v>
      </c>
      <c r="O46" s="131">
        <f>'Suc. Ruiz'!G46</f>
        <v>0</v>
      </c>
      <c r="P46" s="131">
        <f>'Suc. Sanblas'!G46</f>
        <v>0</v>
      </c>
      <c r="Q46" s="131">
        <f>'LALO VARAS'!G46</f>
        <v>0</v>
      </c>
      <c r="R46" s="131">
        <f>'Suc. Santiago 2'!G46</f>
        <v>0</v>
      </c>
      <c r="S46" s="131">
        <f>'Suc. Tecuala'!G46</f>
        <v>0</v>
      </c>
      <c r="T46" s="131">
        <f>'Suc. Tuxpan'!G46</f>
        <v>0</v>
      </c>
      <c r="U46" s="131">
        <f>'Suc. Varas'!G46</f>
        <v>0</v>
      </c>
      <c r="V46" s="131">
        <f>'Suc. Santa María del Oro'!G46</f>
        <v>0</v>
      </c>
      <c r="W46" s="131">
        <f>'Suc. Villa Hidalgo'!G46</f>
        <v>0</v>
      </c>
      <c r="X46" s="131">
        <f>'Suc. Peñita'!G46</f>
        <v>0</v>
      </c>
      <c r="Y46" s="120">
        <f t="shared" si="15"/>
        <v>0</v>
      </c>
      <c r="Z46" s="120">
        <f t="shared" si="16"/>
        <v>0</v>
      </c>
      <c r="AB46" s="131">
        <f>'GRAL. SUC. LOCALES'!N46</f>
        <v>0</v>
      </c>
    </row>
    <row r="47" spans="1:28" ht="17.399999999999999" x14ac:dyDescent="0.35">
      <c r="A47" s="97"/>
      <c r="B47" s="131">
        <f>'Suc. Amado Nervo'!G47</f>
        <v>0</v>
      </c>
      <c r="C47" s="131">
        <f>'Suc. León'!G47</f>
        <v>0</v>
      </c>
      <c r="D47" s="120">
        <f>'San Cayetano'!G47</f>
        <v>0</v>
      </c>
      <c r="E47" s="120">
        <f>'Suc. Boulevard'!G47</f>
        <v>0</v>
      </c>
      <c r="F47" s="120">
        <f>'Suc. Dos de Agosto'!G47</f>
        <v>0</v>
      </c>
      <c r="G47" s="120">
        <f>'Suc. La Nueva Canasta'!G47</f>
        <v>0</v>
      </c>
      <c r="H47" s="120">
        <f>'Suc. Mololoa'!G47</f>
        <v>0</v>
      </c>
      <c r="I47" s="120">
        <f>'Suc. Plaza'!G47</f>
        <v>0</v>
      </c>
      <c r="J47" s="120">
        <f>'Suc. Vistas'!G47</f>
        <v>0</v>
      </c>
      <c r="K47" s="120">
        <f>'Suc. Xalisco'!G47</f>
        <v>0</v>
      </c>
      <c r="L47" s="120">
        <f t="shared" si="14"/>
        <v>0</v>
      </c>
      <c r="M47" s="131">
        <f>'Suc. Acaponeta'!G47</f>
        <v>0</v>
      </c>
      <c r="N47" s="131">
        <f>'Suc. Compostela'!G47</f>
        <v>0</v>
      </c>
      <c r="O47" s="131">
        <f>'Suc. Ruiz'!G47</f>
        <v>0</v>
      </c>
      <c r="P47" s="131">
        <f>'Suc. Sanblas'!G47</f>
        <v>0</v>
      </c>
      <c r="Q47" s="131">
        <f>'LALO VARAS'!G47</f>
        <v>0</v>
      </c>
      <c r="R47" s="131">
        <f>'Suc. Santiago 2'!G47</f>
        <v>0</v>
      </c>
      <c r="S47" s="131">
        <f>'Suc. Tecuala'!G47</f>
        <v>0</v>
      </c>
      <c r="T47" s="131">
        <f>'Suc. Tuxpan'!G47</f>
        <v>0</v>
      </c>
      <c r="U47" s="131">
        <f>'Suc. Varas'!G47</f>
        <v>0</v>
      </c>
      <c r="V47" s="131">
        <f>'Suc. Santa María del Oro'!G47</f>
        <v>0</v>
      </c>
      <c r="W47" s="131">
        <f>'Suc. Villa Hidalgo'!G47</f>
        <v>0</v>
      </c>
      <c r="X47" s="131">
        <f>'Suc. Peñita'!G47</f>
        <v>0</v>
      </c>
      <c r="Y47" s="120">
        <f t="shared" si="15"/>
        <v>0</v>
      </c>
      <c r="Z47" s="120">
        <f t="shared" si="16"/>
        <v>0</v>
      </c>
      <c r="AB47" s="131">
        <f>'GRAL. SUC. LOCALES'!N47</f>
        <v>0</v>
      </c>
    </row>
    <row r="48" spans="1:28" ht="18" thickBot="1" x14ac:dyDescent="0.4">
      <c r="A48" s="97"/>
      <c r="B48" s="131">
        <f>'Suc. Amado Nervo'!G48</f>
        <v>0</v>
      </c>
      <c r="C48" s="131">
        <f>'Suc. León'!G48</f>
        <v>0</v>
      </c>
      <c r="D48" s="120">
        <f>'San Cayetano'!G48</f>
        <v>0</v>
      </c>
      <c r="E48" s="120">
        <f>'Suc. Boulevard'!G48</f>
        <v>0</v>
      </c>
      <c r="F48" s="120">
        <f>'Suc. Dos de Agosto'!G48</f>
        <v>0</v>
      </c>
      <c r="G48" s="120">
        <f>'Suc. La Nueva Canasta'!G48</f>
        <v>0</v>
      </c>
      <c r="H48" s="120">
        <f>'Suc. Mololoa'!G48</f>
        <v>0</v>
      </c>
      <c r="I48" s="120">
        <f>'Suc. Plaza'!G48</f>
        <v>0</v>
      </c>
      <c r="J48" s="120">
        <f>'Suc. Vistas'!G48</f>
        <v>0</v>
      </c>
      <c r="K48" s="120">
        <f>'Suc. Xalisco'!G48</f>
        <v>0</v>
      </c>
      <c r="L48" s="120">
        <f t="shared" si="14"/>
        <v>0</v>
      </c>
      <c r="M48" s="131">
        <f>'Suc. Acaponeta'!G48</f>
        <v>0</v>
      </c>
      <c r="N48" s="131">
        <f>'Suc. Compostela'!G48</f>
        <v>0</v>
      </c>
      <c r="O48" s="131">
        <f>'Suc. Ruiz'!G48</f>
        <v>0</v>
      </c>
      <c r="P48" s="131">
        <f>'Suc. Sanblas'!G48</f>
        <v>0</v>
      </c>
      <c r="Q48" s="131">
        <f>'LALO VARAS'!G48</f>
        <v>0</v>
      </c>
      <c r="R48" s="131">
        <f>'Suc. Santiago 2'!G48</f>
        <v>0</v>
      </c>
      <c r="S48" s="131">
        <f>'Suc. Tecuala'!G48</f>
        <v>0</v>
      </c>
      <c r="T48" s="131">
        <f>'Suc. Tuxpan'!G48</f>
        <v>0</v>
      </c>
      <c r="U48" s="131">
        <f>'Suc. Varas'!G48</f>
        <v>0</v>
      </c>
      <c r="V48" s="131">
        <f>'Suc. Santa María del Oro'!G48</f>
        <v>0</v>
      </c>
      <c r="W48" s="131">
        <f>'Suc. Villa Hidalgo'!G48</f>
        <v>0</v>
      </c>
      <c r="X48" s="131">
        <f>'Suc. Peñita'!G48</f>
        <v>0</v>
      </c>
      <c r="Y48" s="120">
        <f t="shared" si="15"/>
        <v>0</v>
      </c>
      <c r="Z48" s="120">
        <f t="shared" si="16"/>
        <v>0</v>
      </c>
      <c r="AB48" s="131">
        <f>'GRAL. SUC. LOCALES'!N48</f>
        <v>0</v>
      </c>
    </row>
    <row r="49" spans="1:28" ht="18" thickBot="1" x14ac:dyDescent="0.4">
      <c r="A49" s="99" t="s">
        <v>29</v>
      </c>
      <c r="B49" s="123">
        <f>SUM(B33:B48)</f>
        <v>3</v>
      </c>
      <c r="C49" s="123">
        <f t="shared" ref="C49:Z49" si="17">SUM(C33:C48)</f>
        <v>2</v>
      </c>
      <c r="D49" s="123">
        <f t="shared" si="17"/>
        <v>3</v>
      </c>
      <c r="E49" s="123">
        <f t="shared" si="17"/>
        <v>4</v>
      </c>
      <c r="F49" s="123">
        <f t="shared" si="17"/>
        <v>6</v>
      </c>
      <c r="G49" s="123">
        <f t="shared" si="17"/>
        <v>0</v>
      </c>
      <c r="H49" s="123">
        <f t="shared" si="17"/>
        <v>2</v>
      </c>
      <c r="I49" s="123">
        <f t="shared" si="17"/>
        <v>5</v>
      </c>
      <c r="J49" s="123">
        <f t="shared" si="17"/>
        <v>17</v>
      </c>
      <c r="K49" s="123">
        <f t="shared" si="17"/>
        <v>3</v>
      </c>
      <c r="L49" s="123">
        <f t="shared" si="17"/>
        <v>45</v>
      </c>
      <c r="M49" s="123">
        <f t="shared" si="17"/>
        <v>0</v>
      </c>
      <c r="N49" s="123">
        <f t="shared" si="17"/>
        <v>10</v>
      </c>
      <c r="O49" s="123">
        <f t="shared" si="17"/>
        <v>0</v>
      </c>
      <c r="P49" s="123">
        <f t="shared" si="17"/>
        <v>0</v>
      </c>
      <c r="Q49" s="123">
        <f t="shared" si="17"/>
        <v>9</v>
      </c>
      <c r="R49" s="123">
        <f t="shared" si="17"/>
        <v>0</v>
      </c>
      <c r="S49" s="123">
        <f t="shared" si="17"/>
        <v>0</v>
      </c>
      <c r="T49" s="123">
        <f t="shared" si="17"/>
        <v>18</v>
      </c>
      <c r="U49" s="123">
        <f t="shared" ref="U49:V49" si="18">SUM(U33:U48)</f>
        <v>0</v>
      </c>
      <c r="V49" s="123">
        <f t="shared" si="18"/>
        <v>12</v>
      </c>
      <c r="W49" s="123">
        <f t="shared" si="17"/>
        <v>0</v>
      </c>
      <c r="X49" s="123">
        <f t="shared" ref="X49" si="19">SUM(X33:X48)</f>
        <v>0</v>
      </c>
      <c r="Y49" s="123">
        <f t="shared" si="17"/>
        <v>49</v>
      </c>
      <c r="Z49" s="123">
        <f t="shared" si="17"/>
        <v>94</v>
      </c>
      <c r="AB49" s="123">
        <f t="shared" ref="AB49" si="20">SUM(AB33:AB48)</f>
        <v>63</v>
      </c>
    </row>
    <row r="50" spans="1:28" ht="17.399999999999999" x14ac:dyDescent="0.35">
      <c r="A50" s="93" t="s">
        <v>30</v>
      </c>
      <c r="B50" s="131">
        <f>'Suc. Amado Nervo'!G50</f>
        <v>1</v>
      </c>
      <c r="C50" s="131">
        <f>'Suc. León'!G50</f>
        <v>1</v>
      </c>
      <c r="D50" s="120">
        <f>'San Cayetano'!G50</f>
        <v>0</v>
      </c>
      <c r="E50" s="120">
        <f>'Suc. Boulevard'!G50</f>
        <v>2</v>
      </c>
      <c r="F50" s="120">
        <f>'Suc. Dos de Agosto'!G50</f>
        <v>2</v>
      </c>
      <c r="G50" s="120">
        <f>'Suc. La Nueva Canasta'!G50</f>
        <v>0</v>
      </c>
      <c r="H50" s="120">
        <f>'Suc. Mololoa'!G50</f>
        <v>2</v>
      </c>
      <c r="I50" s="120">
        <f>'Suc. Plaza'!G50</f>
        <v>1</v>
      </c>
      <c r="J50" s="120">
        <f>'Suc. Vistas'!G50</f>
        <v>1</v>
      </c>
      <c r="K50" s="120">
        <f>'Suc. Xalisco'!G50</f>
        <v>0</v>
      </c>
      <c r="L50" s="120">
        <f t="shared" ref="L50:L51" si="21">SUM(B50:K50)</f>
        <v>10</v>
      </c>
      <c r="M50" s="131">
        <f>'Suc. Acaponeta'!G50</f>
        <v>0</v>
      </c>
      <c r="N50" s="131">
        <f>'Suc. Compostela'!G50</f>
        <v>0</v>
      </c>
      <c r="O50" s="131">
        <f>'Suc. Ruiz'!G50</f>
        <v>0</v>
      </c>
      <c r="P50" s="131">
        <f>'Suc. Sanblas'!G50</f>
        <v>0</v>
      </c>
      <c r="Q50" s="131">
        <f>'LALO VARAS'!G50</f>
        <v>0</v>
      </c>
      <c r="R50" s="131">
        <f>'Suc. Santiago 2'!G50</f>
        <v>0</v>
      </c>
      <c r="S50" s="131">
        <f>'Suc. Tecuala'!G50</f>
        <v>0</v>
      </c>
      <c r="T50" s="131">
        <f>'Suc. Tuxpan'!G50</f>
        <v>5</v>
      </c>
      <c r="U50" s="131">
        <f>'Suc. Varas'!G50</f>
        <v>0</v>
      </c>
      <c r="V50" s="131">
        <f>'Suc. Santa María del Oro'!G50</f>
        <v>0</v>
      </c>
      <c r="W50" s="131">
        <f>'Suc. Villa Hidalgo'!G50</f>
        <v>0</v>
      </c>
      <c r="X50" s="131">
        <f>'Suc. Peñita'!G50</f>
        <v>0</v>
      </c>
      <c r="Y50" s="120">
        <f t="shared" ref="Y50:Y51" si="22">SUM(M50:X50)</f>
        <v>5</v>
      </c>
      <c r="Z50" s="120">
        <f t="shared" ref="Z50:Z51" si="23">L50+Y50</f>
        <v>15</v>
      </c>
      <c r="AB50" s="131">
        <f>'GRAL. SUC. LOCALES'!N50</f>
        <v>22</v>
      </c>
    </row>
    <row r="51" spans="1:28" ht="18" thickBot="1" x14ac:dyDescent="0.4">
      <c r="A51" s="95" t="s">
        <v>31</v>
      </c>
      <c r="B51" s="131">
        <f>'Suc. Amado Nervo'!G51</f>
        <v>3</v>
      </c>
      <c r="C51" s="131">
        <f>'Suc. León'!G51</f>
        <v>0</v>
      </c>
      <c r="D51" s="120">
        <f>'San Cayetano'!G51</f>
        <v>3</v>
      </c>
      <c r="E51" s="120">
        <f>'Suc. Boulevard'!G51</f>
        <v>1</v>
      </c>
      <c r="F51" s="120">
        <f>'Suc. Dos de Agosto'!G51</f>
        <v>3</v>
      </c>
      <c r="G51" s="120">
        <f>'Suc. La Nueva Canasta'!G51</f>
        <v>0</v>
      </c>
      <c r="H51" s="120">
        <f>'Suc. Mololoa'!G51</f>
        <v>2</v>
      </c>
      <c r="I51" s="120">
        <f>'Suc. Plaza'!G51</f>
        <v>1</v>
      </c>
      <c r="J51" s="120">
        <f>'Suc. Vistas'!G51</f>
        <v>2</v>
      </c>
      <c r="K51" s="120">
        <f>'Suc. Xalisco'!G51</f>
        <v>0</v>
      </c>
      <c r="L51" s="120">
        <f t="shared" si="21"/>
        <v>15</v>
      </c>
      <c r="M51" s="131">
        <f>'Suc. Acaponeta'!G51</f>
        <v>0</v>
      </c>
      <c r="N51" s="131">
        <f>'Suc. Compostela'!G51</f>
        <v>5</v>
      </c>
      <c r="O51" s="131">
        <f>'Suc. Ruiz'!G51</f>
        <v>0</v>
      </c>
      <c r="P51" s="131">
        <f>'Suc. Sanblas'!G51</f>
        <v>0</v>
      </c>
      <c r="Q51" s="131">
        <f>'LALO VARAS'!G51</f>
        <v>0</v>
      </c>
      <c r="R51" s="131">
        <f>'Suc. Santiago 2'!G51</f>
        <v>0</v>
      </c>
      <c r="S51" s="131">
        <f>'Suc. Tecuala'!G51</f>
        <v>0</v>
      </c>
      <c r="T51" s="131">
        <f>'Suc. Tuxpan'!G51</f>
        <v>5</v>
      </c>
      <c r="U51" s="131">
        <f>'Suc. Varas'!G51</f>
        <v>0</v>
      </c>
      <c r="V51" s="131">
        <f>'Suc. Santa María del Oro'!G51</f>
        <v>0</v>
      </c>
      <c r="W51" s="131">
        <f>'Suc. Villa Hidalgo'!G51</f>
        <v>0</v>
      </c>
      <c r="X51" s="131">
        <f>'Suc. Peñita'!G51</f>
        <v>0</v>
      </c>
      <c r="Y51" s="120">
        <f t="shared" si="22"/>
        <v>10</v>
      </c>
      <c r="Z51" s="120">
        <f t="shared" si="23"/>
        <v>25</v>
      </c>
      <c r="AB51" s="131">
        <f>'GRAL. SUC. LOCALES'!N51</f>
        <v>39</v>
      </c>
    </row>
    <row r="52" spans="1:28" ht="18" thickBot="1" x14ac:dyDescent="0.4">
      <c r="A52" s="100" t="s">
        <v>32</v>
      </c>
      <c r="B52" s="124">
        <f>SUM(B50:B51)</f>
        <v>4</v>
      </c>
      <c r="C52" s="124">
        <f t="shared" ref="C52:L52" si="24">SUM(C50:C51)</f>
        <v>1</v>
      </c>
      <c r="D52" s="124">
        <f t="shared" si="24"/>
        <v>3</v>
      </c>
      <c r="E52" s="124">
        <f t="shared" si="24"/>
        <v>3</v>
      </c>
      <c r="F52" s="124">
        <f t="shared" si="24"/>
        <v>5</v>
      </c>
      <c r="G52" s="124">
        <f t="shared" si="24"/>
        <v>0</v>
      </c>
      <c r="H52" s="124">
        <f t="shared" si="24"/>
        <v>4</v>
      </c>
      <c r="I52" s="124">
        <f t="shared" si="24"/>
        <v>2</v>
      </c>
      <c r="J52" s="124">
        <f t="shared" si="24"/>
        <v>3</v>
      </c>
      <c r="K52" s="124">
        <f t="shared" si="24"/>
        <v>0</v>
      </c>
      <c r="L52" s="124">
        <f t="shared" si="24"/>
        <v>25</v>
      </c>
      <c r="M52" s="124">
        <f>SUM(M50:M51)</f>
        <v>0</v>
      </c>
      <c r="N52" s="124">
        <f t="shared" ref="N52:Z52" si="25">SUM(N50:N51)</f>
        <v>5</v>
      </c>
      <c r="O52" s="124">
        <f t="shared" si="25"/>
        <v>0</v>
      </c>
      <c r="P52" s="124">
        <f t="shared" si="25"/>
        <v>0</v>
      </c>
      <c r="Q52" s="124">
        <f t="shared" si="25"/>
        <v>0</v>
      </c>
      <c r="R52" s="124">
        <f t="shared" si="25"/>
        <v>0</v>
      </c>
      <c r="S52" s="124">
        <f t="shared" si="25"/>
        <v>0</v>
      </c>
      <c r="T52" s="124">
        <f t="shared" si="25"/>
        <v>10</v>
      </c>
      <c r="U52" s="124">
        <f t="shared" ref="U52:V52" si="26">SUM(U50:U51)</f>
        <v>0</v>
      </c>
      <c r="V52" s="124">
        <f t="shared" si="26"/>
        <v>0</v>
      </c>
      <c r="W52" s="124">
        <f t="shared" si="25"/>
        <v>0</v>
      </c>
      <c r="X52" s="124">
        <f t="shared" ref="X52" si="27">SUM(X50:X51)</f>
        <v>0</v>
      </c>
      <c r="Y52" s="124">
        <f t="shared" si="25"/>
        <v>15</v>
      </c>
      <c r="Z52" s="124">
        <f t="shared" si="25"/>
        <v>40</v>
      </c>
      <c r="AB52" s="124">
        <f t="shared" ref="AB52" si="28">SUM(AB50:AB51)</f>
        <v>61</v>
      </c>
    </row>
    <row r="53" spans="1:28" ht="17.399999999999999" x14ac:dyDescent="0.35">
      <c r="A53" s="93" t="s">
        <v>33</v>
      </c>
      <c r="B53" s="131">
        <f>'Suc. Amado Nervo'!G53</f>
        <v>0</v>
      </c>
      <c r="C53" s="131">
        <f>'Suc. León'!G53</f>
        <v>0</v>
      </c>
      <c r="D53" s="120">
        <f>'San Cayetano'!G53</f>
        <v>4</v>
      </c>
      <c r="E53" s="120">
        <f>'Suc. Boulevard'!G53</f>
        <v>0</v>
      </c>
      <c r="F53" s="120">
        <f>'Suc. Dos de Agosto'!G53</f>
        <v>0</v>
      </c>
      <c r="G53" s="120">
        <f>'Suc. La Nueva Canasta'!G53</f>
        <v>0</v>
      </c>
      <c r="H53" s="120">
        <f>'Suc. Mololoa'!G53</f>
        <v>1</v>
      </c>
      <c r="I53" s="120">
        <f>'Suc. Plaza'!G53</f>
        <v>1</v>
      </c>
      <c r="J53" s="120">
        <f>'Suc. Vistas'!G53</f>
        <v>3</v>
      </c>
      <c r="K53" s="120">
        <f>'Suc. Xalisco'!G53</f>
        <v>1</v>
      </c>
      <c r="L53" s="120">
        <f t="shared" ref="L53:L54" si="29">SUM(B53:K53)</f>
        <v>10</v>
      </c>
      <c r="M53" s="131">
        <f>'Suc. Acaponeta'!G53</f>
        <v>0</v>
      </c>
      <c r="N53" s="131">
        <f>'Suc. Compostela'!G53</f>
        <v>0</v>
      </c>
      <c r="O53" s="131">
        <f>'Suc. Ruiz'!G53</f>
        <v>0</v>
      </c>
      <c r="P53" s="131">
        <f>'Suc. Sanblas'!G53</f>
        <v>0</v>
      </c>
      <c r="Q53" s="131">
        <f>'LALO VARAS'!G53</f>
        <v>0</v>
      </c>
      <c r="R53" s="131">
        <f>'Suc. Santiago 2'!G53</f>
        <v>0</v>
      </c>
      <c r="S53" s="131">
        <f>'Suc. Tecuala'!G53</f>
        <v>0</v>
      </c>
      <c r="T53" s="131">
        <f>'Suc. Tuxpan'!G53</f>
        <v>0</v>
      </c>
      <c r="U53" s="131">
        <f>'Suc. Varas'!G53</f>
        <v>0</v>
      </c>
      <c r="V53" s="131">
        <f>'Suc. Santa María del Oro'!G53</f>
        <v>3</v>
      </c>
      <c r="W53" s="131">
        <f>'Suc. Villa Hidalgo'!G53</f>
        <v>0</v>
      </c>
      <c r="X53" s="131">
        <f>'Suc. Peñita'!G53</f>
        <v>0</v>
      </c>
      <c r="Y53" s="120">
        <f t="shared" ref="Y53:Y54" si="30">SUM(M53:X53)</f>
        <v>3</v>
      </c>
      <c r="Z53" s="120">
        <f t="shared" ref="Z53:Z54" si="31">L53+Y53</f>
        <v>13</v>
      </c>
      <c r="AB53" s="131">
        <f>'GRAL. SUC. LOCALES'!N53</f>
        <v>19</v>
      </c>
    </row>
    <row r="54" spans="1:28" ht="18" thickBot="1" x14ac:dyDescent="0.4">
      <c r="A54" s="95" t="s">
        <v>34</v>
      </c>
      <c r="B54" s="131">
        <f>'Suc. Amado Nervo'!G54</f>
        <v>0</v>
      </c>
      <c r="C54" s="131">
        <f>'Suc. León'!G54</f>
        <v>0</v>
      </c>
      <c r="D54" s="120">
        <f>'San Cayetano'!G54</f>
        <v>3</v>
      </c>
      <c r="E54" s="120">
        <f>'Suc. Boulevard'!G54</f>
        <v>2</v>
      </c>
      <c r="F54" s="120">
        <f>'Suc. Dos de Agosto'!G54</f>
        <v>4</v>
      </c>
      <c r="G54" s="120">
        <f>'Suc. La Nueva Canasta'!G54</f>
        <v>0</v>
      </c>
      <c r="H54" s="120">
        <f>'Suc. Mololoa'!G54</f>
        <v>2</v>
      </c>
      <c r="I54" s="120">
        <f>'Suc. Plaza'!G54</f>
        <v>1</v>
      </c>
      <c r="J54" s="120">
        <f>'Suc. Vistas'!G54</f>
        <v>4</v>
      </c>
      <c r="K54" s="120">
        <f>'Suc. Xalisco'!G54</f>
        <v>3</v>
      </c>
      <c r="L54" s="120">
        <f t="shared" si="29"/>
        <v>19</v>
      </c>
      <c r="M54" s="131">
        <f>'Suc. Acaponeta'!G54</f>
        <v>0</v>
      </c>
      <c r="N54" s="131">
        <f>'Suc. Compostela'!G54</f>
        <v>6</v>
      </c>
      <c r="O54" s="131">
        <f>'Suc. Ruiz'!G54</f>
        <v>0</v>
      </c>
      <c r="P54" s="131">
        <f>'Suc. Sanblas'!G54</f>
        <v>0</v>
      </c>
      <c r="Q54" s="131">
        <f>'LALO VARAS'!G54</f>
        <v>0</v>
      </c>
      <c r="R54" s="131">
        <f>'Suc. Santiago 2'!G54</f>
        <v>0</v>
      </c>
      <c r="S54" s="131">
        <f>'Suc. Tecuala'!G54</f>
        <v>0</v>
      </c>
      <c r="T54" s="131">
        <f>'Suc. Tuxpan'!G54</f>
        <v>0</v>
      </c>
      <c r="U54" s="131">
        <f>'Suc. Varas'!G54</f>
        <v>0</v>
      </c>
      <c r="V54" s="131">
        <f>'Suc. Santa María del Oro'!G54</f>
        <v>0</v>
      </c>
      <c r="W54" s="131">
        <f>'Suc. Villa Hidalgo'!G54</f>
        <v>0</v>
      </c>
      <c r="X54" s="131">
        <f>'Suc. Peñita'!G54</f>
        <v>0</v>
      </c>
      <c r="Y54" s="120">
        <f t="shared" si="30"/>
        <v>6</v>
      </c>
      <c r="Z54" s="120">
        <f t="shared" si="31"/>
        <v>25</v>
      </c>
      <c r="AB54" s="131">
        <f>'GRAL. SUC. LOCALES'!N54</f>
        <v>31</v>
      </c>
    </row>
    <row r="55" spans="1:28" ht="18" thickBot="1" x14ac:dyDescent="0.4">
      <c r="A55" s="99" t="s">
        <v>35</v>
      </c>
      <c r="B55" s="123">
        <f>SUM(B53:B54)</f>
        <v>0</v>
      </c>
      <c r="C55" s="123">
        <f t="shared" ref="C55:L55" si="32">SUM(C53:C54)</f>
        <v>0</v>
      </c>
      <c r="D55" s="123">
        <f t="shared" si="32"/>
        <v>7</v>
      </c>
      <c r="E55" s="123">
        <f t="shared" si="32"/>
        <v>2</v>
      </c>
      <c r="F55" s="123">
        <f t="shared" si="32"/>
        <v>4</v>
      </c>
      <c r="G55" s="123">
        <f t="shared" si="32"/>
        <v>0</v>
      </c>
      <c r="H55" s="123">
        <f t="shared" si="32"/>
        <v>3</v>
      </c>
      <c r="I55" s="123">
        <f t="shared" si="32"/>
        <v>2</v>
      </c>
      <c r="J55" s="123">
        <f t="shared" si="32"/>
        <v>7</v>
      </c>
      <c r="K55" s="123">
        <f t="shared" si="32"/>
        <v>4</v>
      </c>
      <c r="L55" s="123">
        <f t="shared" si="32"/>
        <v>29</v>
      </c>
      <c r="M55" s="123">
        <f>SUM(M53:M54)</f>
        <v>0</v>
      </c>
      <c r="N55" s="123">
        <f t="shared" ref="N55:Z55" si="33">SUM(N53:N54)</f>
        <v>6</v>
      </c>
      <c r="O55" s="123">
        <f t="shared" si="33"/>
        <v>0</v>
      </c>
      <c r="P55" s="123">
        <f t="shared" si="33"/>
        <v>0</v>
      </c>
      <c r="Q55" s="123">
        <f t="shared" si="33"/>
        <v>0</v>
      </c>
      <c r="R55" s="123">
        <f t="shared" si="33"/>
        <v>0</v>
      </c>
      <c r="S55" s="123">
        <f t="shared" si="33"/>
        <v>0</v>
      </c>
      <c r="T55" s="123">
        <f t="shared" si="33"/>
        <v>0</v>
      </c>
      <c r="U55" s="123">
        <f t="shared" ref="U55:V55" si="34">SUM(U53:U54)</f>
        <v>0</v>
      </c>
      <c r="V55" s="123">
        <f t="shared" si="34"/>
        <v>3</v>
      </c>
      <c r="W55" s="123">
        <f t="shared" si="33"/>
        <v>0</v>
      </c>
      <c r="X55" s="123">
        <f t="shared" ref="X55" si="35">SUM(X53:X54)</f>
        <v>0</v>
      </c>
      <c r="Y55" s="123">
        <f t="shared" si="33"/>
        <v>9</v>
      </c>
      <c r="Z55" s="123">
        <f t="shared" si="33"/>
        <v>38</v>
      </c>
      <c r="AB55" s="123">
        <f t="shared" ref="AB55" si="36">SUM(AB53:AB54)</f>
        <v>50</v>
      </c>
    </row>
    <row r="56" spans="1:28" ht="17.399999999999999" x14ac:dyDescent="0.35">
      <c r="A56" s="93" t="s">
        <v>36</v>
      </c>
      <c r="B56" s="131">
        <f>'Suc. Amado Nervo'!G56</f>
        <v>0</v>
      </c>
      <c r="C56" s="131">
        <f>'Suc. León'!G56</f>
        <v>1</v>
      </c>
      <c r="D56" s="120">
        <f>'San Cayetano'!G56</f>
        <v>0</v>
      </c>
      <c r="E56" s="120">
        <f>'Suc. Boulevard'!G56</f>
        <v>0</v>
      </c>
      <c r="F56" s="120">
        <f>'Suc. Dos de Agosto'!G56</f>
        <v>0</v>
      </c>
      <c r="G56" s="120">
        <f>'Suc. La Nueva Canasta'!G56</f>
        <v>0</v>
      </c>
      <c r="H56" s="120">
        <f>'Suc. Mololoa'!G56</f>
        <v>0</v>
      </c>
      <c r="I56" s="120">
        <f>'Suc. Plaza'!G56</f>
        <v>0</v>
      </c>
      <c r="J56" s="120">
        <f>'Suc. Vistas'!G56</f>
        <v>0</v>
      </c>
      <c r="K56" s="120">
        <f>'Suc. Xalisco'!G56</f>
        <v>0</v>
      </c>
      <c r="L56" s="120">
        <f t="shared" ref="L56:L77" si="37">SUM(B56:K56)</f>
        <v>1</v>
      </c>
      <c r="M56" s="131">
        <f>'Suc. Acaponeta'!G56</f>
        <v>0</v>
      </c>
      <c r="N56" s="131">
        <f>'Suc. Compostela'!G56</f>
        <v>0</v>
      </c>
      <c r="O56" s="131">
        <f>'Suc. Ruiz'!G56</f>
        <v>0</v>
      </c>
      <c r="P56" s="131">
        <f>'Suc. Sanblas'!G56</f>
        <v>0</v>
      </c>
      <c r="Q56" s="131">
        <f>'LALO VARAS'!G56</f>
        <v>1</v>
      </c>
      <c r="R56" s="131">
        <f>'Suc. Santiago 2'!G56</f>
        <v>0</v>
      </c>
      <c r="S56" s="131">
        <f>'Suc. Tecuala'!G56</f>
        <v>0</v>
      </c>
      <c r="T56" s="131">
        <f>'Suc. Tuxpan'!G56</f>
        <v>1</v>
      </c>
      <c r="U56" s="131">
        <f>'Suc. Varas'!G56</f>
        <v>0</v>
      </c>
      <c r="V56" s="131">
        <f>'Suc. Santa María del Oro'!G56</f>
        <v>0</v>
      </c>
      <c r="W56" s="131">
        <f>'Suc. Villa Hidalgo'!G56</f>
        <v>0</v>
      </c>
      <c r="X56" s="131">
        <f>'Suc. Peñita'!G56</f>
        <v>0</v>
      </c>
      <c r="Y56" s="120">
        <f t="shared" ref="Y56:Y77" si="38">SUM(M56:X56)</f>
        <v>2</v>
      </c>
      <c r="Z56" s="120">
        <f t="shared" ref="Z56:Z77" si="39">L56+Y56</f>
        <v>3</v>
      </c>
      <c r="AB56" s="131">
        <f>'GRAL. SUC. LOCALES'!N56</f>
        <v>12</v>
      </c>
    </row>
    <row r="57" spans="1:28" ht="17.399999999999999" x14ac:dyDescent="0.35">
      <c r="A57" s="93" t="s">
        <v>37</v>
      </c>
      <c r="B57" s="131">
        <f>'Suc. Amado Nervo'!G57</f>
        <v>0</v>
      </c>
      <c r="C57" s="131">
        <f>'Suc. León'!G57</f>
        <v>0</v>
      </c>
      <c r="D57" s="120">
        <f>'San Cayetano'!G57</f>
        <v>0</v>
      </c>
      <c r="E57" s="120">
        <f>'Suc. Boulevard'!G57</f>
        <v>0</v>
      </c>
      <c r="F57" s="120">
        <f>'Suc. Dos de Agosto'!G57</f>
        <v>0</v>
      </c>
      <c r="G57" s="120">
        <f>'Suc. La Nueva Canasta'!G57</f>
        <v>0</v>
      </c>
      <c r="H57" s="120">
        <f>'Suc. Mololoa'!G57</f>
        <v>0</v>
      </c>
      <c r="I57" s="120">
        <f>'Suc. Plaza'!G57</f>
        <v>0</v>
      </c>
      <c r="J57" s="120">
        <f>'Suc. Vistas'!G57</f>
        <v>0</v>
      </c>
      <c r="K57" s="120">
        <f>'Suc. Xalisco'!G57</f>
        <v>1</v>
      </c>
      <c r="L57" s="120">
        <f t="shared" si="37"/>
        <v>1</v>
      </c>
      <c r="M57" s="131">
        <f>'Suc. Acaponeta'!G57</f>
        <v>0</v>
      </c>
      <c r="N57" s="131">
        <f>'Suc. Compostela'!G57</f>
        <v>0</v>
      </c>
      <c r="O57" s="131">
        <f>'Suc. Ruiz'!G57</f>
        <v>0</v>
      </c>
      <c r="P57" s="131">
        <f>'Suc. Sanblas'!G57</f>
        <v>0</v>
      </c>
      <c r="Q57" s="131">
        <f>'LALO VARAS'!G57</f>
        <v>0</v>
      </c>
      <c r="R57" s="131">
        <f>'Suc. Santiago 2'!G57</f>
        <v>0</v>
      </c>
      <c r="S57" s="131">
        <f>'Suc. Tecuala'!G57</f>
        <v>0</v>
      </c>
      <c r="T57" s="131">
        <f>'Suc. Tuxpan'!G57</f>
        <v>0</v>
      </c>
      <c r="U57" s="131">
        <f>'Suc. Varas'!G57</f>
        <v>0</v>
      </c>
      <c r="V57" s="131">
        <f>'Suc. Santa María del Oro'!G57</f>
        <v>0</v>
      </c>
      <c r="W57" s="131">
        <f>'Suc. Villa Hidalgo'!G57</f>
        <v>0</v>
      </c>
      <c r="X57" s="131">
        <f>'Suc. Peñita'!G57</f>
        <v>0</v>
      </c>
      <c r="Y57" s="120">
        <f t="shared" si="38"/>
        <v>0</v>
      </c>
      <c r="Z57" s="120">
        <f t="shared" si="39"/>
        <v>1</v>
      </c>
      <c r="AB57" s="131">
        <f>'GRAL. SUC. LOCALES'!N57</f>
        <v>8</v>
      </c>
    </row>
    <row r="58" spans="1:28" ht="17.399999999999999" x14ac:dyDescent="0.35">
      <c r="A58" s="93" t="s">
        <v>39</v>
      </c>
      <c r="B58" s="131">
        <f>'Suc. Amado Nervo'!G58</f>
        <v>0</v>
      </c>
      <c r="C58" s="131">
        <f>'Suc. León'!G58</f>
        <v>0</v>
      </c>
      <c r="D58" s="120">
        <f>'San Cayetano'!G58</f>
        <v>0</v>
      </c>
      <c r="E58" s="120">
        <f>'Suc. Boulevard'!G58</f>
        <v>0</v>
      </c>
      <c r="F58" s="120">
        <f>'Suc. Dos de Agosto'!G58</f>
        <v>0</v>
      </c>
      <c r="G58" s="120">
        <f>'Suc. La Nueva Canasta'!G58</f>
        <v>0</v>
      </c>
      <c r="H58" s="120">
        <f>'Suc. Mololoa'!G58</f>
        <v>0</v>
      </c>
      <c r="I58" s="120">
        <f>'Suc. Plaza'!G58</f>
        <v>0</v>
      </c>
      <c r="J58" s="120">
        <f>'Suc. Vistas'!G58</f>
        <v>0</v>
      </c>
      <c r="K58" s="120">
        <f>'Suc. Xalisco'!G58</f>
        <v>0</v>
      </c>
      <c r="L58" s="120">
        <f t="shared" si="37"/>
        <v>0</v>
      </c>
      <c r="M58" s="131">
        <f>'Suc. Acaponeta'!G58</f>
        <v>0</v>
      </c>
      <c r="N58" s="131">
        <f>'Suc. Compostela'!G58</f>
        <v>0</v>
      </c>
      <c r="O58" s="131">
        <f>'Suc. Ruiz'!G58</f>
        <v>0</v>
      </c>
      <c r="P58" s="131">
        <f>'Suc. Sanblas'!G58</f>
        <v>0</v>
      </c>
      <c r="Q58" s="131">
        <f>'LALO VARAS'!G58</f>
        <v>1</v>
      </c>
      <c r="R58" s="131">
        <f>'Suc. Santiago 2'!G58</f>
        <v>0</v>
      </c>
      <c r="S58" s="131">
        <f>'Suc. Tecuala'!G58</f>
        <v>0</v>
      </c>
      <c r="T58" s="131">
        <f>'Suc. Tuxpan'!G58</f>
        <v>0</v>
      </c>
      <c r="U58" s="131">
        <f>'Suc. Varas'!G58</f>
        <v>0</v>
      </c>
      <c r="V58" s="131">
        <f>'Suc. Santa María del Oro'!G58</f>
        <v>0</v>
      </c>
      <c r="W58" s="131">
        <f>'Suc. Villa Hidalgo'!G58</f>
        <v>0</v>
      </c>
      <c r="X58" s="131">
        <f>'Suc. Peñita'!G58</f>
        <v>0</v>
      </c>
      <c r="Y58" s="120">
        <f t="shared" si="38"/>
        <v>1</v>
      </c>
      <c r="Z58" s="120">
        <f t="shared" si="39"/>
        <v>1</v>
      </c>
      <c r="AB58" s="131">
        <f>'GRAL. SUC. LOCALES'!N58</f>
        <v>5</v>
      </c>
    </row>
    <row r="59" spans="1:28" ht="17.399999999999999" x14ac:dyDescent="0.35">
      <c r="A59" s="93" t="s">
        <v>40</v>
      </c>
      <c r="B59" s="131">
        <f>'Suc. Amado Nervo'!G59</f>
        <v>0</v>
      </c>
      <c r="C59" s="131">
        <f>'Suc. León'!G59</f>
        <v>0</v>
      </c>
      <c r="D59" s="120">
        <f>'San Cayetano'!G59</f>
        <v>0</v>
      </c>
      <c r="E59" s="120">
        <f>'Suc. Boulevard'!G59</f>
        <v>0</v>
      </c>
      <c r="F59" s="120">
        <f>'Suc. Dos de Agosto'!G59</f>
        <v>0</v>
      </c>
      <c r="G59" s="120">
        <f>'Suc. La Nueva Canasta'!G59</f>
        <v>0</v>
      </c>
      <c r="H59" s="120">
        <f>'Suc. Mololoa'!G59</f>
        <v>0</v>
      </c>
      <c r="I59" s="120">
        <f>'Suc. Plaza'!G59</f>
        <v>0</v>
      </c>
      <c r="J59" s="120">
        <f>'Suc. Vistas'!G59</f>
        <v>0</v>
      </c>
      <c r="K59" s="120">
        <f>'Suc. Xalisco'!G59</f>
        <v>0</v>
      </c>
      <c r="L59" s="120">
        <f t="shared" si="37"/>
        <v>0</v>
      </c>
      <c r="M59" s="131">
        <f>'Suc. Acaponeta'!G59</f>
        <v>0</v>
      </c>
      <c r="N59" s="131">
        <f>'Suc. Compostela'!G59</f>
        <v>0</v>
      </c>
      <c r="O59" s="131">
        <f>'Suc. Ruiz'!G59</f>
        <v>0</v>
      </c>
      <c r="P59" s="131">
        <f>'Suc. Sanblas'!G59</f>
        <v>0</v>
      </c>
      <c r="Q59" s="131">
        <f>'LALO VARAS'!G59</f>
        <v>0</v>
      </c>
      <c r="R59" s="131">
        <f>'Suc. Santiago 2'!G59</f>
        <v>0</v>
      </c>
      <c r="S59" s="131">
        <f>'Suc. Tecuala'!G59</f>
        <v>0</v>
      </c>
      <c r="T59" s="131">
        <f>'Suc. Tuxpan'!G59</f>
        <v>0</v>
      </c>
      <c r="U59" s="131">
        <f>'Suc. Varas'!G59</f>
        <v>0</v>
      </c>
      <c r="V59" s="131">
        <f>'Suc. Santa María del Oro'!G59</f>
        <v>0</v>
      </c>
      <c r="W59" s="131">
        <f>'Suc. Villa Hidalgo'!G59</f>
        <v>0</v>
      </c>
      <c r="X59" s="131">
        <f>'Suc. Peñita'!G59</f>
        <v>0</v>
      </c>
      <c r="Y59" s="120">
        <f t="shared" si="38"/>
        <v>0</v>
      </c>
      <c r="Z59" s="120">
        <f t="shared" si="39"/>
        <v>0</v>
      </c>
      <c r="AB59" s="131">
        <f>'GRAL. SUC. LOCALES'!N59</f>
        <v>0</v>
      </c>
    </row>
    <row r="60" spans="1:28" ht="17.399999999999999" x14ac:dyDescent="0.35">
      <c r="A60" s="93" t="s">
        <v>41</v>
      </c>
      <c r="B60" s="131">
        <f>'Suc. Amado Nervo'!G60</f>
        <v>0</v>
      </c>
      <c r="C60" s="131">
        <f>'Suc. León'!G60</f>
        <v>0</v>
      </c>
      <c r="D60" s="120">
        <f>'San Cayetano'!G60</f>
        <v>0</v>
      </c>
      <c r="E60" s="120">
        <f>'Suc. Boulevard'!G60</f>
        <v>0</v>
      </c>
      <c r="F60" s="120">
        <f>'Suc. Dos de Agosto'!G60</f>
        <v>0</v>
      </c>
      <c r="G60" s="120">
        <f>'Suc. La Nueva Canasta'!G60</f>
        <v>0</v>
      </c>
      <c r="H60" s="120">
        <f>'Suc. Mololoa'!G60</f>
        <v>0</v>
      </c>
      <c r="I60" s="120">
        <f>'Suc. Plaza'!G60</f>
        <v>0</v>
      </c>
      <c r="J60" s="120">
        <f>'Suc. Vistas'!G60</f>
        <v>0</v>
      </c>
      <c r="K60" s="120">
        <f>'Suc. Xalisco'!G60</f>
        <v>0</v>
      </c>
      <c r="L60" s="120">
        <f t="shared" si="37"/>
        <v>0</v>
      </c>
      <c r="M60" s="131">
        <f>'Suc. Acaponeta'!G60</f>
        <v>0</v>
      </c>
      <c r="N60" s="131">
        <f>'Suc. Compostela'!G60</f>
        <v>0</v>
      </c>
      <c r="O60" s="131">
        <f>'Suc. Ruiz'!G60</f>
        <v>0</v>
      </c>
      <c r="P60" s="131">
        <f>'Suc. Sanblas'!G60</f>
        <v>0</v>
      </c>
      <c r="Q60" s="131">
        <f>'LALO VARAS'!G60</f>
        <v>0</v>
      </c>
      <c r="R60" s="131">
        <f>'Suc. Santiago 2'!G60</f>
        <v>0</v>
      </c>
      <c r="S60" s="131">
        <f>'Suc. Tecuala'!G60</f>
        <v>0</v>
      </c>
      <c r="T60" s="131">
        <f>'Suc. Tuxpan'!G60</f>
        <v>0</v>
      </c>
      <c r="U60" s="131">
        <f>'Suc. Varas'!G60</f>
        <v>0</v>
      </c>
      <c r="V60" s="131">
        <f>'Suc. Santa María del Oro'!G60</f>
        <v>0</v>
      </c>
      <c r="W60" s="131">
        <f>'Suc. Villa Hidalgo'!G60</f>
        <v>0</v>
      </c>
      <c r="X60" s="131">
        <f>'Suc. Peñita'!G60</f>
        <v>0</v>
      </c>
      <c r="Y60" s="120">
        <f t="shared" si="38"/>
        <v>0</v>
      </c>
      <c r="Z60" s="120">
        <f t="shared" si="39"/>
        <v>0</v>
      </c>
      <c r="AB60" s="131">
        <f>'GRAL. SUC. LOCALES'!N60</f>
        <v>0</v>
      </c>
    </row>
    <row r="61" spans="1:28" ht="17.399999999999999" x14ac:dyDescent="0.35">
      <c r="A61" s="101" t="s">
        <v>42</v>
      </c>
      <c r="B61" s="131">
        <f>'Suc. Amado Nervo'!G61</f>
        <v>0</v>
      </c>
      <c r="C61" s="131">
        <f>'Suc. León'!G61</f>
        <v>0</v>
      </c>
      <c r="D61" s="120">
        <f>'San Cayetano'!G61</f>
        <v>0</v>
      </c>
      <c r="E61" s="120">
        <f>'Suc. Boulevard'!G61</f>
        <v>0</v>
      </c>
      <c r="F61" s="120">
        <f>'Suc. Dos de Agosto'!G61</f>
        <v>0</v>
      </c>
      <c r="G61" s="120">
        <f>'Suc. La Nueva Canasta'!G61</f>
        <v>0</v>
      </c>
      <c r="H61" s="120">
        <f>'Suc. Mololoa'!G61</f>
        <v>0</v>
      </c>
      <c r="I61" s="120">
        <f>'Suc. Plaza'!G61</f>
        <v>0</v>
      </c>
      <c r="J61" s="120">
        <f>'Suc. Vistas'!G61</f>
        <v>0</v>
      </c>
      <c r="K61" s="120">
        <f>'Suc. Xalisco'!G61</f>
        <v>0</v>
      </c>
      <c r="L61" s="120">
        <f t="shared" si="37"/>
        <v>0</v>
      </c>
      <c r="M61" s="131">
        <f>'Suc. Acaponeta'!G61</f>
        <v>0</v>
      </c>
      <c r="N61" s="131">
        <f>'Suc. Compostela'!G61</f>
        <v>0</v>
      </c>
      <c r="O61" s="131">
        <f>'Suc. Ruiz'!G61</f>
        <v>0</v>
      </c>
      <c r="P61" s="131">
        <f>'Suc. Sanblas'!G61</f>
        <v>0</v>
      </c>
      <c r="Q61" s="131">
        <f>'LALO VARAS'!G61</f>
        <v>0</v>
      </c>
      <c r="R61" s="131">
        <f>'Suc. Santiago 2'!G61</f>
        <v>0</v>
      </c>
      <c r="S61" s="131">
        <f>'Suc. Tecuala'!G61</f>
        <v>0</v>
      </c>
      <c r="T61" s="131">
        <f>'Suc. Tuxpan'!G61</f>
        <v>0</v>
      </c>
      <c r="U61" s="131">
        <f>'Suc. Varas'!G61</f>
        <v>0</v>
      </c>
      <c r="V61" s="131">
        <f>'Suc. Santa María del Oro'!G61</f>
        <v>0</v>
      </c>
      <c r="W61" s="131">
        <f>'Suc. Villa Hidalgo'!G61</f>
        <v>0</v>
      </c>
      <c r="X61" s="131">
        <f>'Suc. Peñita'!G61</f>
        <v>0</v>
      </c>
      <c r="Y61" s="120">
        <f t="shared" si="38"/>
        <v>0</v>
      </c>
      <c r="Z61" s="120">
        <f t="shared" si="39"/>
        <v>0</v>
      </c>
      <c r="AB61" s="131">
        <f>'GRAL. SUC. LOCALES'!N61</f>
        <v>0</v>
      </c>
    </row>
    <row r="62" spans="1:28" ht="17.399999999999999" x14ac:dyDescent="0.35">
      <c r="A62" s="102" t="s">
        <v>43</v>
      </c>
      <c r="B62" s="131">
        <f>'Suc. Amado Nervo'!G62</f>
        <v>0</v>
      </c>
      <c r="C62" s="131">
        <f>'Suc. León'!G62</f>
        <v>0</v>
      </c>
      <c r="D62" s="120">
        <f>'San Cayetano'!G62</f>
        <v>0</v>
      </c>
      <c r="E62" s="120">
        <f>'Suc. Boulevard'!G62</f>
        <v>1</v>
      </c>
      <c r="F62" s="120">
        <f>'Suc. Dos de Agosto'!G62</f>
        <v>0</v>
      </c>
      <c r="G62" s="120">
        <f>'Suc. La Nueva Canasta'!G62</f>
        <v>0</v>
      </c>
      <c r="H62" s="120">
        <f>'Suc. Mololoa'!G62</f>
        <v>0</v>
      </c>
      <c r="I62" s="120">
        <f>'Suc. Plaza'!G62</f>
        <v>0</v>
      </c>
      <c r="J62" s="120">
        <f>'Suc. Vistas'!G62</f>
        <v>1</v>
      </c>
      <c r="K62" s="120">
        <f>'Suc. Xalisco'!G62</f>
        <v>0</v>
      </c>
      <c r="L62" s="120">
        <f t="shared" si="37"/>
        <v>2</v>
      </c>
      <c r="M62" s="131">
        <f>'Suc. Acaponeta'!G62</f>
        <v>0</v>
      </c>
      <c r="N62" s="131">
        <f>'Suc. Compostela'!G62</f>
        <v>0</v>
      </c>
      <c r="O62" s="131">
        <f>'Suc. Ruiz'!G62</f>
        <v>0</v>
      </c>
      <c r="P62" s="131">
        <f>'Suc. Sanblas'!G62</f>
        <v>0</v>
      </c>
      <c r="Q62" s="131">
        <f>'LALO VARAS'!G62</f>
        <v>0</v>
      </c>
      <c r="R62" s="131">
        <f>'Suc. Santiago 2'!G62</f>
        <v>0</v>
      </c>
      <c r="S62" s="131">
        <f>'Suc. Tecuala'!G62</f>
        <v>0</v>
      </c>
      <c r="T62" s="131">
        <f>'Suc. Tuxpan'!G62</f>
        <v>1</v>
      </c>
      <c r="U62" s="131">
        <f>'Suc. Varas'!G62</f>
        <v>0</v>
      </c>
      <c r="V62" s="131">
        <f>'Suc. Santa María del Oro'!G62</f>
        <v>0</v>
      </c>
      <c r="W62" s="131">
        <f>'Suc. Villa Hidalgo'!G62</f>
        <v>0</v>
      </c>
      <c r="X62" s="131">
        <f>'Suc. Peñita'!G62</f>
        <v>0</v>
      </c>
      <c r="Y62" s="120">
        <f t="shared" si="38"/>
        <v>1</v>
      </c>
      <c r="Z62" s="120">
        <f t="shared" si="39"/>
        <v>3</v>
      </c>
      <c r="AB62" s="131">
        <f>'GRAL. SUC. LOCALES'!N62</f>
        <v>4</v>
      </c>
    </row>
    <row r="63" spans="1:28" ht="17.399999999999999" x14ac:dyDescent="0.35">
      <c r="A63" s="93" t="s">
        <v>44</v>
      </c>
      <c r="B63" s="131">
        <f>'Suc. Amado Nervo'!G63</f>
        <v>0</v>
      </c>
      <c r="C63" s="131">
        <f>'Suc. León'!G63</f>
        <v>0</v>
      </c>
      <c r="D63" s="120">
        <f>'San Cayetano'!G63</f>
        <v>1</v>
      </c>
      <c r="E63" s="120">
        <f>'Suc. Boulevard'!G63</f>
        <v>0</v>
      </c>
      <c r="F63" s="120">
        <f>'Suc. Dos de Agosto'!G63</f>
        <v>0</v>
      </c>
      <c r="G63" s="120">
        <f>'Suc. La Nueva Canasta'!G63</f>
        <v>0</v>
      </c>
      <c r="H63" s="120">
        <f>'Suc. Mololoa'!G63</f>
        <v>0</v>
      </c>
      <c r="I63" s="120">
        <f>'Suc. Plaza'!G63</f>
        <v>0</v>
      </c>
      <c r="J63" s="120">
        <f>'Suc. Vistas'!G63</f>
        <v>0</v>
      </c>
      <c r="K63" s="120">
        <f>'Suc. Xalisco'!G63</f>
        <v>1</v>
      </c>
      <c r="L63" s="120">
        <f t="shared" si="37"/>
        <v>2</v>
      </c>
      <c r="M63" s="131">
        <f>'Suc. Acaponeta'!G63</f>
        <v>0</v>
      </c>
      <c r="N63" s="131">
        <f>'Suc. Compostela'!G63</f>
        <v>0</v>
      </c>
      <c r="O63" s="131">
        <f>'Suc. Ruiz'!G63</f>
        <v>0</v>
      </c>
      <c r="P63" s="131">
        <f>'Suc. Sanblas'!G63</f>
        <v>0</v>
      </c>
      <c r="Q63" s="131">
        <f>'LALO VARAS'!G63</f>
        <v>0</v>
      </c>
      <c r="R63" s="131">
        <f>'Suc. Santiago 2'!G63</f>
        <v>0</v>
      </c>
      <c r="S63" s="131">
        <f>'Suc. Tecuala'!G63</f>
        <v>0</v>
      </c>
      <c r="T63" s="131">
        <f>'Suc. Tuxpan'!G63</f>
        <v>0</v>
      </c>
      <c r="U63" s="131">
        <f>'Suc. Varas'!G63</f>
        <v>0</v>
      </c>
      <c r="V63" s="131">
        <f>'Suc. Santa María del Oro'!G63</f>
        <v>0</v>
      </c>
      <c r="W63" s="131">
        <f>'Suc. Villa Hidalgo'!G63</f>
        <v>0</v>
      </c>
      <c r="X63" s="131">
        <f>'Suc. Peñita'!G63</f>
        <v>0</v>
      </c>
      <c r="Y63" s="120">
        <f t="shared" si="38"/>
        <v>0</v>
      </c>
      <c r="Z63" s="120">
        <f t="shared" si="39"/>
        <v>2</v>
      </c>
      <c r="AB63" s="131">
        <f>'GRAL. SUC. LOCALES'!N63</f>
        <v>5</v>
      </c>
    </row>
    <row r="64" spans="1:28" ht="17.399999999999999" x14ac:dyDescent="0.35">
      <c r="A64" s="93" t="s">
        <v>45</v>
      </c>
      <c r="B64" s="131">
        <f>'Suc. Amado Nervo'!G64</f>
        <v>0</v>
      </c>
      <c r="C64" s="131">
        <f>'Suc. León'!G64</f>
        <v>0</v>
      </c>
      <c r="D64" s="120">
        <f>'San Cayetano'!G64</f>
        <v>0</v>
      </c>
      <c r="E64" s="120">
        <f>'Suc. Boulevard'!G64</f>
        <v>0</v>
      </c>
      <c r="F64" s="120">
        <f>'Suc. Dos de Agosto'!G64</f>
        <v>1</v>
      </c>
      <c r="G64" s="120">
        <f>'Suc. La Nueva Canasta'!G64</f>
        <v>0</v>
      </c>
      <c r="H64" s="120">
        <f>'Suc. Mololoa'!G64</f>
        <v>2</v>
      </c>
      <c r="I64" s="120">
        <f>'Suc. Plaza'!G64</f>
        <v>0</v>
      </c>
      <c r="J64" s="120">
        <f>'Suc. Vistas'!G64</f>
        <v>1</v>
      </c>
      <c r="K64" s="120">
        <f>'Suc. Xalisco'!G64</f>
        <v>0</v>
      </c>
      <c r="L64" s="120">
        <f t="shared" si="37"/>
        <v>4</v>
      </c>
      <c r="M64" s="131">
        <f>'Suc. Acaponeta'!G64</f>
        <v>0</v>
      </c>
      <c r="N64" s="131">
        <f>'Suc. Compostela'!G64</f>
        <v>0</v>
      </c>
      <c r="O64" s="131">
        <f>'Suc. Ruiz'!G64</f>
        <v>0</v>
      </c>
      <c r="P64" s="131">
        <f>'Suc. Sanblas'!G64</f>
        <v>0</v>
      </c>
      <c r="Q64" s="131">
        <f>'LALO VARAS'!G64</f>
        <v>0</v>
      </c>
      <c r="R64" s="131">
        <f>'Suc. Santiago 2'!G64</f>
        <v>0</v>
      </c>
      <c r="S64" s="131">
        <f>'Suc. Tecuala'!G64</f>
        <v>0</v>
      </c>
      <c r="T64" s="131">
        <f>'Suc. Tuxpan'!G64</f>
        <v>0</v>
      </c>
      <c r="U64" s="131">
        <f>'Suc. Varas'!G64</f>
        <v>0</v>
      </c>
      <c r="V64" s="131">
        <f>'Suc. Santa María del Oro'!G64</f>
        <v>0</v>
      </c>
      <c r="W64" s="131">
        <f>'Suc. Villa Hidalgo'!G64</f>
        <v>0</v>
      </c>
      <c r="X64" s="131">
        <f>'Suc. Peñita'!G64</f>
        <v>0</v>
      </c>
      <c r="Y64" s="120">
        <f t="shared" si="38"/>
        <v>0</v>
      </c>
      <c r="Z64" s="120">
        <f t="shared" si="39"/>
        <v>4</v>
      </c>
      <c r="AB64" s="131">
        <f>'GRAL. SUC. LOCALES'!N64</f>
        <v>7</v>
      </c>
    </row>
    <row r="65" spans="1:28" ht="17.399999999999999" x14ac:dyDescent="0.35">
      <c r="A65" s="93" t="s">
        <v>46</v>
      </c>
      <c r="B65" s="131">
        <f>'Suc. Amado Nervo'!G65</f>
        <v>0</v>
      </c>
      <c r="C65" s="131">
        <f>'Suc. León'!G65</f>
        <v>0</v>
      </c>
      <c r="D65" s="120">
        <f>'San Cayetano'!G65</f>
        <v>2</v>
      </c>
      <c r="E65" s="120">
        <f>'Suc. Boulevard'!G65</f>
        <v>1</v>
      </c>
      <c r="F65" s="120">
        <f>'Suc. Dos de Agosto'!G65</f>
        <v>0</v>
      </c>
      <c r="G65" s="120">
        <f>'Suc. La Nueva Canasta'!G65</f>
        <v>0</v>
      </c>
      <c r="H65" s="120">
        <f>'Suc. Mololoa'!G65</f>
        <v>1</v>
      </c>
      <c r="I65" s="120">
        <f>'Suc. Plaza'!G65</f>
        <v>1</v>
      </c>
      <c r="J65" s="120">
        <f>'Suc. Vistas'!G65</f>
        <v>2</v>
      </c>
      <c r="K65" s="120">
        <f>'Suc. Xalisco'!G65</f>
        <v>1</v>
      </c>
      <c r="L65" s="120">
        <f t="shared" si="37"/>
        <v>8</v>
      </c>
      <c r="M65" s="131">
        <f>'Suc. Acaponeta'!G65</f>
        <v>0</v>
      </c>
      <c r="N65" s="131">
        <f>'Suc. Compostela'!G65</f>
        <v>2</v>
      </c>
      <c r="O65" s="131">
        <f>'Suc. Ruiz'!G65</f>
        <v>0</v>
      </c>
      <c r="P65" s="131">
        <f>'Suc. Sanblas'!G65</f>
        <v>0</v>
      </c>
      <c r="Q65" s="131">
        <f>'LALO VARAS'!G65</f>
        <v>0</v>
      </c>
      <c r="R65" s="131">
        <f>'Suc. Santiago 2'!G65</f>
        <v>0</v>
      </c>
      <c r="S65" s="131">
        <f>'Suc. Tecuala'!G65</f>
        <v>0</v>
      </c>
      <c r="T65" s="131">
        <f>'Suc. Tuxpan'!G65</f>
        <v>0</v>
      </c>
      <c r="U65" s="131">
        <f>'Suc. Varas'!G65</f>
        <v>0</v>
      </c>
      <c r="V65" s="131">
        <f>'Suc. Santa María del Oro'!G65</f>
        <v>0</v>
      </c>
      <c r="W65" s="131">
        <f>'Suc. Villa Hidalgo'!G65</f>
        <v>0</v>
      </c>
      <c r="X65" s="131">
        <f>'Suc. Peñita'!G65</f>
        <v>0</v>
      </c>
      <c r="Y65" s="120">
        <f t="shared" si="38"/>
        <v>2</v>
      </c>
      <c r="Z65" s="120">
        <f t="shared" si="39"/>
        <v>10</v>
      </c>
      <c r="AB65" s="131">
        <f>'GRAL. SUC. LOCALES'!N65</f>
        <v>14</v>
      </c>
    </row>
    <row r="66" spans="1:28" ht="17.399999999999999" x14ac:dyDescent="0.35">
      <c r="A66" s="93" t="s">
        <v>48</v>
      </c>
      <c r="B66" s="131">
        <f>'Suc. Amado Nervo'!G66</f>
        <v>0</v>
      </c>
      <c r="C66" s="131">
        <f>'Suc. León'!G66</f>
        <v>0</v>
      </c>
      <c r="D66" s="120">
        <f>'San Cayetano'!G66</f>
        <v>0</v>
      </c>
      <c r="E66" s="120">
        <f>'Suc. Boulevard'!G66</f>
        <v>0</v>
      </c>
      <c r="F66" s="120">
        <f>'Suc. Dos de Agosto'!G66</f>
        <v>0</v>
      </c>
      <c r="G66" s="120">
        <f>'Suc. La Nueva Canasta'!G66</f>
        <v>0</v>
      </c>
      <c r="H66" s="120">
        <f>'Suc. Mololoa'!G66</f>
        <v>0</v>
      </c>
      <c r="I66" s="120">
        <f>'Suc. Plaza'!G66</f>
        <v>0</v>
      </c>
      <c r="J66" s="120">
        <f>'Suc. Vistas'!G66</f>
        <v>1</v>
      </c>
      <c r="K66" s="120">
        <f>'Suc. Xalisco'!G66</f>
        <v>0</v>
      </c>
      <c r="L66" s="120">
        <f t="shared" si="37"/>
        <v>1</v>
      </c>
      <c r="M66" s="131">
        <f>'Suc. Acaponeta'!G66</f>
        <v>0</v>
      </c>
      <c r="N66" s="131">
        <f>'Suc. Compostela'!G66</f>
        <v>0</v>
      </c>
      <c r="O66" s="131">
        <f>'Suc. Ruiz'!G66</f>
        <v>0</v>
      </c>
      <c r="P66" s="131">
        <f>'Suc. Sanblas'!G66</f>
        <v>0</v>
      </c>
      <c r="Q66" s="131">
        <f>'LALO VARAS'!G66</f>
        <v>1</v>
      </c>
      <c r="R66" s="131">
        <f>'Suc. Santiago 2'!G66</f>
        <v>0</v>
      </c>
      <c r="S66" s="131">
        <f>'Suc. Tecuala'!G66</f>
        <v>0</v>
      </c>
      <c r="T66" s="131">
        <f>'Suc. Tuxpan'!G66</f>
        <v>1</v>
      </c>
      <c r="U66" s="131">
        <f>'Suc. Varas'!G66</f>
        <v>0</v>
      </c>
      <c r="V66" s="131">
        <f>'Suc. Santa María del Oro'!G66</f>
        <v>0</v>
      </c>
      <c r="W66" s="131">
        <f>'Suc. Villa Hidalgo'!G66</f>
        <v>0</v>
      </c>
      <c r="X66" s="131">
        <f>'Suc. Peñita'!G66</f>
        <v>0</v>
      </c>
      <c r="Y66" s="120">
        <f t="shared" si="38"/>
        <v>2</v>
      </c>
      <c r="Z66" s="120">
        <f t="shared" si="39"/>
        <v>3</v>
      </c>
      <c r="AB66" s="131">
        <f>'GRAL. SUC. LOCALES'!N66</f>
        <v>5</v>
      </c>
    </row>
    <row r="67" spans="1:28" ht="17.399999999999999" x14ac:dyDescent="0.35">
      <c r="A67" s="93" t="s">
        <v>49</v>
      </c>
      <c r="B67" s="131">
        <f>'Suc. Amado Nervo'!G67</f>
        <v>0</v>
      </c>
      <c r="C67" s="131">
        <f>'Suc. León'!G67</f>
        <v>0</v>
      </c>
      <c r="D67" s="120">
        <f>'San Cayetano'!G67</f>
        <v>0</v>
      </c>
      <c r="E67" s="120">
        <f>'Suc. Boulevard'!G67</f>
        <v>0</v>
      </c>
      <c r="F67" s="120">
        <f>'Suc. Dos de Agosto'!G67</f>
        <v>0</v>
      </c>
      <c r="G67" s="120">
        <f>'Suc. La Nueva Canasta'!G67</f>
        <v>0</v>
      </c>
      <c r="H67" s="120">
        <f>'Suc. Mololoa'!G67</f>
        <v>0</v>
      </c>
      <c r="I67" s="120">
        <f>'Suc. Plaza'!G67</f>
        <v>0</v>
      </c>
      <c r="J67" s="120">
        <f>'Suc. Vistas'!G67</f>
        <v>0</v>
      </c>
      <c r="K67" s="120">
        <f>'Suc. Xalisco'!G67</f>
        <v>0</v>
      </c>
      <c r="L67" s="120">
        <f t="shared" si="37"/>
        <v>0</v>
      </c>
      <c r="M67" s="131">
        <f>'Suc. Acaponeta'!G67</f>
        <v>0</v>
      </c>
      <c r="N67" s="131">
        <f>'Suc. Compostela'!G67</f>
        <v>0</v>
      </c>
      <c r="O67" s="131">
        <f>'Suc. Ruiz'!G67</f>
        <v>0</v>
      </c>
      <c r="P67" s="131">
        <f>'Suc. Sanblas'!G67</f>
        <v>0</v>
      </c>
      <c r="Q67" s="131">
        <f>'LALO VARAS'!G67</f>
        <v>2</v>
      </c>
      <c r="R67" s="131">
        <f>'Suc. Santiago 2'!G67</f>
        <v>0</v>
      </c>
      <c r="S67" s="131">
        <f>'Suc. Tecuala'!G67</f>
        <v>0</v>
      </c>
      <c r="T67" s="131">
        <f>'Suc. Tuxpan'!G67</f>
        <v>0</v>
      </c>
      <c r="U67" s="131">
        <f>'Suc. Varas'!G67</f>
        <v>0</v>
      </c>
      <c r="V67" s="131">
        <f>'Suc. Santa María del Oro'!G67</f>
        <v>1</v>
      </c>
      <c r="W67" s="131">
        <f>'Suc. Villa Hidalgo'!G67</f>
        <v>0</v>
      </c>
      <c r="X67" s="131">
        <f>'Suc. Peñita'!G67</f>
        <v>0</v>
      </c>
      <c r="Y67" s="120">
        <f t="shared" si="38"/>
        <v>3</v>
      </c>
      <c r="Z67" s="120">
        <f t="shared" si="39"/>
        <v>3</v>
      </c>
      <c r="AB67" s="131">
        <f>'GRAL. SUC. LOCALES'!N67</f>
        <v>14</v>
      </c>
    </row>
    <row r="68" spans="1:28" ht="17.399999999999999" x14ac:dyDescent="0.35">
      <c r="A68" s="93" t="s">
        <v>50</v>
      </c>
      <c r="B68" s="131">
        <f>'Suc. Amado Nervo'!G68</f>
        <v>0</v>
      </c>
      <c r="C68" s="131">
        <f>'Suc. León'!G68</f>
        <v>0</v>
      </c>
      <c r="D68" s="120">
        <f>'San Cayetano'!G68</f>
        <v>2</v>
      </c>
      <c r="E68" s="120">
        <f>'Suc. Boulevard'!G68</f>
        <v>0</v>
      </c>
      <c r="F68" s="120">
        <f>'Suc. Dos de Agosto'!G68</f>
        <v>0</v>
      </c>
      <c r="G68" s="120">
        <f>'Suc. La Nueva Canasta'!G68</f>
        <v>0</v>
      </c>
      <c r="H68" s="120">
        <f>'Suc. Mololoa'!G68</f>
        <v>0</v>
      </c>
      <c r="I68" s="120">
        <f>'Suc. Plaza'!G68</f>
        <v>2</v>
      </c>
      <c r="J68" s="120">
        <f>'Suc. Vistas'!G68</f>
        <v>1</v>
      </c>
      <c r="K68" s="120">
        <f>'Suc. Xalisco'!G68</f>
        <v>0</v>
      </c>
      <c r="L68" s="120">
        <f t="shared" si="37"/>
        <v>5</v>
      </c>
      <c r="M68" s="131">
        <f>'Suc. Acaponeta'!G68</f>
        <v>0</v>
      </c>
      <c r="N68" s="131">
        <f>'Suc. Compostela'!G68</f>
        <v>0</v>
      </c>
      <c r="O68" s="131">
        <f>'Suc. Ruiz'!G68</f>
        <v>0</v>
      </c>
      <c r="P68" s="131">
        <f>'Suc. Sanblas'!G68</f>
        <v>0</v>
      </c>
      <c r="Q68" s="131">
        <f>'LALO VARAS'!G68</f>
        <v>0</v>
      </c>
      <c r="R68" s="131">
        <f>'Suc. Santiago 2'!G68</f>
        <v>0</v>
      </c>
      <c r="S68" s="131">
        <f>'Suc. Tecuala'!G68</f>
        <v>0</v>
      </c>
      <c r="T68" s="131">
        <f>'Suc. Tuxpan'!G68</f>
        <v>0</v>
      </c>
      <c r="U68" s="131">
        <f>'Suc. Varas'!G68</f>
        <v>0</v>
      </c>
      <c r="V68" s="131">
        <f>'Suc. Santa María del Oro'!G68</f>
        <v>0</v>
      </c>
      <c r="W68" s="131">
        <f>'Suc. Villa Hidalgo'!G68</f>
        <v>0</v>
      </c>
      <c r="X68" s="131">
        <f>'Suc. Peñita'!G68</f>
        <v>0</v>
      </c>
      <c r="Y68" s="120">
        <f t="shared" si="38"/>
        <v>0</v>
      </c>
      <c r="Z68" s="120">
        <f t="shared" si="39"/>
        <v>5</v>
      </c>
      <c r="AB68" s="131">
        <f>'GRAL. SUC. LOCALES'!N68</f>
        <v>4</v>
      </c>
    </row>
    <row r="69" spans="1:28" ht="17.399999999999999" x14ac:dyDescent="0.35">
      <c r="A69" s="93" t="s">
        <v>51</v>
      </c>
      <c r="B69" s="131">
        <f>'Suc. Amado Nervo'!G69</f>
        <v>0</v>
      </c>
      <c r="C69" s="131">
        <f>'Suc. León'!G69</f>
        <v>0</v>
      </c>
      <c r="D69" s="120">
        <f>'San Cayetano'!G69</f>
        <v>0</v>
      </c>
      <c r="E69" s="120">
        <f>'Suc. Boulevard'!G69</f>
        <v>0</v>
      </c>
      <c r="F69" s="120">
        <f>'Suc. Dos de Agosto'!G69</f>
        <v>0</v>
      </c>
      <c r="G69" s="120">
        <f>'Suc. La Nueva Canasta'!G69</f>
        <v>0</v>
      </c>
      <c r="H69" s="120">
        <f>'Suc. Mololoa'!G69</f>
        <v>0</v>
      </c>
      <c r="I69" s="120">
        <f>'Suc. Plaza'!G69</f>
        <v>0</v>
      </c>
      <c r="J69" s="120">
        <f>'Suc. Vistas'!G69</f>
        <v>0</v>
      </c>
      <c r="K69" s="120">
        <f>'Suc. Xalisco'!G69</f>
        <v>0</v>
      </c>
      <c r="L69" s="120">
        <f t="shared" si="37"/>
        <v>0</v>
      </c>
      <c r="M69" s="131">
        <f>'Suc. Acaponeta'!G69</f>
        <v>0</v>
      </c>
      <c r="N69" s="131">
        <f>'Suc. Compostela'!G69</f>
        <v>0</v>
      </c>
      <c r="O69" s="131">
        <f>'Suc. Ruiz'!G69</f>
        <v>0</v>
      </c>
      <c r="P69" s="131">
        <f>'Suc. Sanblas'!G69</f>
        <v>0</v>
      </c>
      <c r="Q69" s="131">
        <f>'LALO VARAS'!G69</f>
        <v>0</v>
      </c>
      <c r="R69" s="131">
        <f>'Suc. Santiago 2'!G69</f>
        <v>0</v>
      </c>
      <c r="S69" s="131">
        <f>'Suc. Tecuala'!G69</f>
        <v>0</v>
      </c>
      <c r="T69" s="131">
        <f>'Suc. Tuxpan'!G69</f>
        <v>0</v>
      </c>
      <c r="U69" s="131">
        <f>'Suc. Varas'!G69</f>
        <v>0</v>
      </c>
      <c r="V69" s="131">
        <f>'Suc. Santa María del Oro'!G69</f>
        <v>1</v>
      </c>
      <c r="W69" s="131">
        <f>'Suc. Villa Hidalgo'!G69</f>
        <v>0</v>
      </c>
      <c r="X69" s="131">
        <f>'Suc. Peñita'!G69</f>
        <v>0</v>
      </c>
      <c r="Y69" s="120">
        <f t="shared" si="38"/>
        <v>1</v>
      </c>
      <c r="Z69" s="120">
        <f t="shared" si="39"/>
        <v>1</v>
      </c>
      <c r="AB69" s="131">
        <f>'GRAL. SUC. LOCALES'!N69</f>
        <v>-1</v>
      </c>
    </row>
    <row r="70" spans="1:28" ht="17.399999999999999" x14ac:dyDescent="0.35">
      <c r="A70" s="93" t="s">
        <v>53</v>
      </c>
      <c r="B70" s="131">
        <f>'Suc. Amado Nervo'!G70</f>
        <v>0</v>
      </c>
      <c r="C70" s="131">
        <f>'Suc. León'!G70</f>
        <v>0</v>
      </c>
      <c r="D70" s="120">
        <f>'San Cayetano'!G70</f>
        <v>0</v>
      </c>
      <c r="E70" s="120">
        <f>'Suc. Boulevard'!G70</f>
        <v>1</v>
      </c>
      <c r="F70" s="120">
        <f>'Suc. Dos de Agosto'!G70</f>
        <v>1</v>
      </c>
      <c r="G70" s="120">
        <f>'Suc. La Nueva Canasta'!G70</f>
        <v>0</v>
      </c>
      <c r="H70" s="120">
        <f>'Suc. Mololoa'!G70</f>
        <v>2</v>
      </c>
      <c r="I70" s="120">
        <f>'Suc. Plaza'!G70</f>
        <v>0</v>
      </c>
      <c r="J70" s="120">
        <f>'Suc. Vistas'!G70</f>
        <v>0</v>
      </c>
      <c r="K70" s="120">
        <f>'Suc. Xalisco'!G70</f>
        <v>0</v>
      </c>
      <c r="L70" s="120">
        <f t="shared" si="37"/>
        <v>4</v>
      </c>
      <c r="M70" s="131">
        <f>'Suc. Acaponeta'!G70</f>
        <v>0</v>
      </c>
      <c r="N70" s="131">
        <f>'Suc. Compostela'!G70</f>
        <v>2</v>
      </c>
      <c r="O70" s="131">
        <f>'Suc. Ruiz'!G70</f>
        <v>0</v>
      </c>
      <c r="P70" s="131">
        <f>'Suc. Sanblas'!G70</f>
        <v>0</v>
      </c>
      <c r="Q70" s="131">
        <f>'LALO VARAS'!G70</f>
        <v>0</v>
      </c>
      <c r="R70" s="131">
        <f>'Suc. Santiago 2'!G70</f>
        <v>0</v>
      </c>
      <c r="S70" s="131">
        <f>'Suc. Tecuala'!G70</f>
        <v>0</v>
      </c>
      <c r="T70" s="131">
        <f>'Suc. Tuxpan'!G70</f>
        <v>6</v>
      </c>
      <c r="U70" s="131">
        <f>'Suc. Varas'!G70</f>
        <v>0</v>
      </c>
      <c r="V70" s="131">
        <f>'Suc. Santa María del Oro'!G70</f>
        <v>0</v>
      </c>
      <c r="W70" s="131">
        <f>'Suc. Villa Hidalgo'!G70</f>
        <v>0</v>
      </c>
      <c r="X70" s="131">
        <f>'Suc. Peñita'!G70</f>
        <v>0</v>
      </c>
      <c r="Y70" s="120">
        <f t="shared" si="38"/>
        <v>8</v>
      </c>
      <c r="Z70" s="120">
        <f t="shared" si="39"/>
        <v>12</v>
      </c>
      <c r="AB70" s="131">
        <f>'GRAL. SUC. LOCALES'!N70</f>
        <v>8</v>
      </c>
    </row>
    <row r="71" spans="1:28" ht="17.399999999999999" x14ac:dyDescent="0.35">
      <c r="A71" s="93" t="s">
        <v>47</v>
      </c>
      <c r="B71" s="131">
        <f>'Suc. Amado Nervo'!G71</f>
        <v>0</v>
      </c>
      <c r="C71" s="131">
        <f>'Suc. León'!G71</f>
        <v>0</v>
      </c>
      <c r="D71" s="120">
        <f>'San Cayetano'!G71</f>
        <v>0</v>
      </c>
      <c r="E71" s="120">
        <f>'Suc. Boulevard'!G71</f>
        <v>0</v>
      </c>
      <c r="F71" s="120">
        <f>'Suc. Dos de Agosto'!G71</f>
        <v>0</v>
      </c>
      <c r="G71" s="120">
        <f>'Suc. La Nueva Canasta'!G71</f>
        <v>0</v>
      </c>
      <c r="H71" s="120">
        <f>'Suc. Mololoa'!G71</f>
        <v>0</v>
      </c>
      <c r="I71" s="120">
        <f>'Suc. Plaza'!G71</f>
        <v>0</v>
      </c>
      <c r="J71" s="120">
        <f>'Suc. Vistas'!G71</f>
        <v>0</v>
      </c>
      <c r="K71" s="120">
        <f>'Suc. Xalisco'!G71</f>
        <v>1</v>
      </c>
      <c r="L71" s="120">
        <f t="shared" si="37"/>
        <v>1</v>
      </c>
      <c r="M71" s="131">
        <f>'Suc. Acaponeta'!G71</f>
        <v>0</v>
      </c>
      <c r="N71" s="131">
        <f>'Suc. Compostela'!G71</f>
        <v>0</v>
      </c>
      <c r="O71" s="131">
        <f>'Suc. Ruiz'!G71</f>
        <v>0</v>
      </c>
      <c r="P71" s="131">
        <f>'Suc. Sanblas'!G71</f>
        <v>0</v>
      </c>
      <c r="Q71" s="131">
        <f>'LALO VARAS'!G71</f>
        <v>0</v>
      </c>
      <c r="R71" s="131">
        <f>'Suc. Santiago 2'!G71</f>
        <v>0</v>
      </c>
      <c r="S71" s="131">
        <f>'Suc. Tecuala'!G71</f>
        <v>0</v>
      </c>
      <c r="T71" s="131">
        <f>'Suc. Tuxpan'!G71</f>
        <v>0</v>
      </c>
      <c r="U71" s="131">
        <f>'Suc. Varas'!G71</f>
        <v>0</v>
      </c>
      <c r="V71" s="131">
        <f>'Suc. Santa María del Oro'!G71</f>
        <v>0</v>
      </c>
      <c r="W71" s="131">
        <f>'Suc. Villa Hidalgo'!G71</f>
        <v>0</v>
      </c>
      <c r="X71" s="131">
        <f>'Suc. Peñita'!G71</f>
        <v>0</v>
      </c>
      <c r="Y71" s="120">
        <f t="shared" si="38"/>
        <v>0</v>
      </c>
      <c r="Z71" s="120">
        <f t="shared" si="39"/>
        <v>1</v>
      </c>
      <c r="AB71" s="131">
        <f>'GRAL. SUC. LOCALES'!N71</f>
        <v>1</v>
      </c>
    </row>
    <row r="72" spans="1:28" ht="17.399999999999999" hidden="1" x14ac:dyDescent="0.35">
      <c r="A72" s="86" t="s">
        <v>1089</v>
      </c>
      <c r="B72" s="131">
        <f>'Suc. Amado Nervo'!G72</f>
        <v>0</v>
      </c>
      <c r="C72" s="131">
        <f>'Suc. León'!G72</f>
        <v>0</v>
      </c>
      <c r="D72" s="120">
        <f>'San Cayetano'!G72</f>
        <v>0</v>
      </c>
      <c r="E72" s="120">
        <f>'Suc. Boulevard'!G72</f>
        <v>0</v>
      </c>
      <c r="F72" s="120">
        <f>'Suc. Dos de Agosto'!G72</f>
        <v>0</v>
      </c>
      <c r="G72" s="120">
        <f>'Suc. La Nueva Canasta'!G72</f>
        <v>0</v>
      </c>
      <c r="H72" s="120">
        <f>'Suc. Mololoa'!G72</f>
        <v>0</v>
      </c>
      <c r="I72" s="120">
        <f>'Suc. Plaza'!G72</f>
        <v>0</v>
      </c>
      <c r="J72" s="120">
        <f>'Suc. Vistas'!G72</f>
        <v>0</v>
      </c>
      <c r="K72" s="120">
        <f>'Suc. Xalisco'!G72</f>
        <v>0</v>
      </c>
      <c r="L72" s="120">
        <f t="shared" si="37"/>
        <v>0</v>
      </c>
      <c r="M72" s="131">
        <f>'Suc. Acaponeta'!G72</f>
        <v>0</v>
      </c>
      <c r="N72" s="131">
        <f>'Suc. Compostela'!G72</f>
        <v>0</v>
      </c>
      <c r="O72" s="131">
        <f>'Suc. Ruiz'!G72</f>
        <v>0</v>
      </c>
      <c r="P72" s="131">
        <f>'Suc. Sanblas'!G72</f>
        <v>0</v>
      </c>
      <c r="Q72" s="131">
        <f>'LALO VARAS'!G72</f>
        <v>0</v>
      </c>
      <c r="R72" s="131">
        <f>'Suc. Santiago 2'!G72</f>
        <v>0</v>
      </c>
      <c r="S72" s="131">
        <f>'Suc. Tecuala'!G72</f>
        <v>0</v>
      </c>
      <c r="T72" s="131">
        <f>'Suc. Tuxpan'!G72</f>
        <v>0</v>
      </c>
      <c r="U72" s="131">
        <f>'Suc. Varas'!G72</f>
        <v>0</v>
      </c>
      <c r="V72" s="131">
        <f>'Suc. Santa María del Oro'!G72</f>
        <v>0</v>
      </c>
      <c r="W72" s="131">
        <f>'Suc. Villa Hidalgo'!G72</f>
        <v>0</v>
      </c>
      <c r="X72" s="131">
        <f>'Suc. Peñita'!G72</f>
        <v>0</v>
      </c>
      <c r="Y72" s="120">
        <f t="shared" si="38"/>
        <v>0</v>
      </c>
      <c r="Z72" s="120">
        <f t="shared" si="39"/>
        <v>0</v>
      </c>
      <c r="AB72" s="131">
        <f>'GRAL. SUC. LOCALES'!N72</f>
        <v>0</v>
      </c>
    </row>
    <row r="73" spans="1:28" ht="17.399999999999999" x14ac:dyDescent="0.35">
      <c r="A73" s="93"/>
      <c r="B73" s="131">
        <f>'Suc. Amado Nervo'!G73</f>
        <v>0</v>
      </c>
      <c r="C73" s="131">
        <f>'Suc. León'!G73</f>
        <v>0</v>
      </c>
      <c r="D73" s="120">
        <f>'San Cayetano'!G73</f>
        <v>0</v>
      </c>
      <c r="E73" s="120">
        <f>'Suc. Boulevard'!G73</f>
        <v>0</v>
      </c>
      <c r="F73" s="120">
        <f>'Suc. Dos de Agosto'!G73</f>
        <v>0</v>
      </c>
      <c r="G73" s="120">
        <f>'Suc. La Nueva Canasta'!G73</f>
        <v>0</v>
      </c>
      <c r="H73" s="120">
        <f>'Suc. Mololoa'!G73</f>
        <v>0</v>
      </c>
      <c r="I73" s="120">
        <f>'Suc. Plaza'!G73</f>
        <v>0</v>
      </c>
      <c r="J73" s="120">
        <f>'Suc. Vistas'!G73</f>
        <v>0</v>
      </c>
      <c r="K73" s="120">
        <f>'Suc. Xalisco'!G73</f>
        <v>0</v>
      </c>
      <c r="L73" s="120">
        <f t="shared" si="37"/>
        <v>0</v>
      </c>
      <c r="M73" s="131">
        <f>'Suc. Acaponeta'!G73</f>
        <v>0</v>
      </c>
      <c r="N73" s="131">
        <f>'Suc. Compostela'!G73</f>
        <v>0</v>
      </c>
      <c r="O73" s="131">
        <f>'Suc. Ruiz'!G73</f>
        <v>0</v>
      </c>
      <c r="P73" s="131">
        <f>'Suc. Sanblas'!G73</f>
        <v>0</v>
      </c>
      <c r="Q73" s="131">
        <f>'LALO VARAS'!G73</f>
        <v>0</v>
      </c>
      <c r="R73" s="131">
        <f>'Suc. Santiago 2'!G73</f>
        <v>0</v>
      </c>
      <c r="S73" s="131">
        <f>'Suc. Tecuala'!G73</f>
        <v>0</v>
      </c>
      <c r="T73" s="131">
        <f>'Suc. Tuxpan'!G73</f>
        <v>0</v>
      </c>
      <c r="U73" s="131">
        <f>'Suc. Varas'!G73</f>
        <v>0</v>
      </c>
      <c r="V73" s="131">
        <f>'Suc. Santa María del Oro'!G73</f>
        <v>0</v>
      </c>
      <c r="W73" s="131">
        <f>'Suc. Villa Hidalgo'!G73</f>
        <v>0</v>
      </c>
      <c r="X73" s="131">
        <f>'Suc. Peñita'!G73</f>
        <v>0</v>
      </c>
      <c r="Y73" s="120">
        <f t="shared" si="38"/>
        <v>0</v>
      </c>
      <c r="Z73" s="120">
        <f t="shared" si="39"/>
        <v>0</v>
      </c>
      <c r="AB73" s="131">
        <f>'GRAL. SUC. LOCALES'!N73</f>
        <v>0</v>
      </c>
    </row>
    <row r="74" spans="1:28" ht="17.399999999999999" x14ac:dyDescent="0.35">
      <c r="A74" s="93"/>
      <c r="B74" s="131">
        <f>'Suc. Amado Nervo'!G74</f>
        <v>0</v>
      </c>
      <c r="C74" s="131">
        <f>'Suc. León'!G74</f>
        <v>0</v>
      </c>
      <c r="D74" s="120">
        <f>'San Cayetano'!G74</f>
        <v>0</v>
      </c>
      <c r="E74" s="120">
        <f>'Suc. Boulevard'!G74</f>
        <v>0</v>
      </c>
      <c r="F74" s="120">
        <f>'Suc. Dos de Agosto'!G74</f>
        <v>0</v>
      </c>
      <c r="G74" s="120">
        <f>'Suc. La Nueva Canasta'!G74</f>
        <v>0</v>
      </c>
      <c r="H74" s="120">
        <f>'Suc. Mololoa'!G74</f>
        <v>0</v>
      </c>
      <c r="I74" s="120">
        <f>'Suc. Plaza'!G74</f>
        <v>0</v>
      </c>
      <c r="J74" s="120">
        <f>'Suc. Vistas'!G74</f>
        <v>0</v>
      </c>
      <c r="K74" s="120">
        <f>'Suc. Xalisco'!G74</f>
        <v>0</v>
      </c>
      <c r="L74" s="120">
        <f t="shared" si="37"/>
        <v>0</v>
      </c>
      <c r="M74" s="131">
        <f>'Suc. Acaponeta'!G74</f>
        <v>0</v>
      </c>
      <c r="N74" s="131">
        <f>'Suc. Compostela'!G74</f>
        <v>0</v>
      </c>
      <c r="O74" s="131">
        <f>'Suc. Ruiz'!G74</f>
        <v>0</v>
      </c>
      <c r="P74" s="131">
        <f>'Suc. Sanblas'!G74</f>
        <v>0</v>
      </c>
      <c r="Q74" s="131">
        <f>'LALO VARAS'!G74</f>
        <v>0</v>
      </c>
      <c r="R74" s="131">
        <f>'Suc. Santiago 2'!G74</f>
        <v>0</v>
      </c>
      <c r="S74" s="131">
        <f>'Suc. Tecuala'!G74</f>
        <v>0</v>
      </c>
      <c r="T74" s="131">
        <f>'Suc. Tuxpan'!G74</f>
        <v>0</v>
      </c>
      <c r="U74" s="131">
        <f>'Suc. Varas'!G74</f>
        <v>0</v>
      </c>
      <c r="V74" s="131">
        <f>'Suc. Santa María del Oro'!G74</f>
        <v>0</v>
      </c>
      <c r="W74" s="131">
        <f>'Suc. Villa Hidalgo'!G74</f>
        <v>0</v>
      </c>
      <c r="X74" s="131">
        <f>'Suc. Peñita'!G74</f>
        <v>0</v>
      </c>
      <c r="Y74" s="120">
        <f t="shared" si="38"/>
        <v>0</v>
      </c>
      <c r="Z74" s="120">
        <f t="shared" si="39"/>
        <v>0</v>
      </c>
      <c r="AB74" s="131">
        <f>'GRAL. SUC. LOCALES'!N74</f>
        <v>0</v>
      </c>
    </row>
    <row r="75" spans="1:28" ht="17.399999999999999" x14ac:dyDescent="0.35">
      <c r="A75" s="93"/>
      <c r="B75" s="131">
        <f>'Suc. Amado Nervo'!G75</f>
        <v>0</v>
      </c>
      <c r="C75" s="131">
        <f>'Suc. León'!G75</f>
        <v>0</v>
      </c>
      <c r="D75" s="120">
        <f>'San Cayetano'!G75</f>
        <v>0</v>
      </c>
      <c r="E75" s="120">
        <f>'Suc. Boulevard'!G75</f>
        <v>0</v>
      </c>
      <c r="F75" s="120">
        <f>'Suc. Dos de Agosto'!G75</f>
        <v>0</v>
      </c>
      <c r="G75" s="120">
        <f>'Suc. La Nueva Canasta'!G75</f>
        <v>0</v>
      </c>
      <c r="H75" s="120">
        <f>'Suc. Mololoa'!G75</f>
        <v>0</v>
      </c>
      <c r="I75" s="120">
        <f>'Suc. Plaza'!G75</f>
        <v>0</v>
      </c>
      <c r="J75" s="120">
        <f>'Suc. Vistas'!G75</f>
        <v>0</v>
      </c>
      <c r="K75" s="120">
        <f>'Suc. Xalisco'!G75</f>
        <v>0</v>
      </c>
      <c r="L75" s="120">
        <f t="shared" si="37"/>
        <v>0</v>
      </c>
      <c r="M75" s="131">
        <f>'Suc. Acaponeta'!G75</f>
        <v>0</v>
      </c>
      <c r="N75" s="131">
        <f>'Suc. Compostela'!G75</f>
        <v>0</v>
      </c>
      <c r="O75" s="131">
        <f>'Suc. Ruiz'!G75</f>
        <v>0</v>
      </c>
      <c r="P75" s="131">
        <f>'Suc. Sanblas'!G75</f>
        <v>0</v>
      </c>
      <c r="Q75" s="131">
        <f>'LALO VARAS'!G75</f>
        <v>0</v>
      </c>
      <c r="R75" s="131">
        <f>'Suc. Santiago 2'!G75</f>
        <v>0</v>
      </c>
      <c r="S75" s="131">
        <f>'Suc. Tecuala'!G75</f>
        <v>0</v>
      </c>
      <c r="T75" s="131">
        <f>'Suc. Tuxpan'!G75</f>
        <v>0</v>
      </c>
      <c r="U75" s="131">
        <f>'Suc. Varas'!G75</f>
        <v>0</v>
      </c>
      <c r="V75" s="131">
        <f>'Suc. Santa María del Oro'!G75</f>
        <v>0</v>
      </c>
      <c r="W75" s="131">
        <f>'Suc. Villa Hidalgo'!G75</f>
        <v>0</v>
      </c>
      <c r="X75" s="131">
        <f>'Suc. Peñita'!G75</f>
        <v>0</v>
      </c>
      <c r="Y75" s="120">
        <f t="shared" si="38"/>
        <v>0</v>
      </c>
      <c r="Z75" s="120">
        <f t="shared" si="39"/>
        <v>0</v>
      </c>
      <c r="AB75" s="131">
        <f>'GRAL. SUC. LOCALES'!N75</f>
        <v>0</v>
      </c>
    </row>
    <row r="76" spans="1:28" ht="17.399999999999999" x14ac:dyDescent="0.35">
      <c r="A76" s="93"/>
      <c r="B76" s="131">
        <f>'Suc. Amado Nervo'!G76</f>
        <v>0</v>
      </c>
      <c r="C76" s="131">
        <f>'Suc. León'!G76</f>
        <v>0</v>
      </c>
      <c r="D76" s="120">
        <f>'San Cayetano'!G76</f>
        <v>0</v>
      </c>
      <c r="E76" s="120">
        <f>'Suc. Boulevard'!G76</f>
        <v>0</v>
      </c>
      <c r="F76" s="120">
        <f>'Suc. Dos de Agosto'!G76</f>
        <v>0</v>
      </c>
      <c r="G76" s="120">
        <f>'Suc. La Nueva Canasta'!G76</f>
        <v>0</v>
      </c>
      <c r="H76" s="120">
        <f>'Suc. Mololoa'!G76</f>
        <v>0</v>
      </c>
      <c r="I76" s="120">
        <f>'Suc. Plaza'!G76</f>
        <v>0</v>
      </c>
      <c r="J76" s="120">
        <f>'Suc. Vistas'!G76</f>
        <v>0</v>
      </c>
      <c r="K76" s="120">
        <f>'Suc. Xalisco'!G76</f>
        <v>0</v>
      </c>
      <c r="L76" s="120">
        <f t="shared" si="37"/>
        <v>0</v>
      </c>
      <c r="M76" s="131">
        <f>'Suc. Acaponeta'!G76</f>
        <v>0</v>
      </c>
      <c r="N76" s="131">
        <f>'Suc. Compostela'!G76</f>
        <v>0</v>
      </c>
      <c r="O76" s="131">
        <f>'Suc. Ruiz'!G76</f>
        <v>0</v>
      </c>
      <c r="P76" s="131">
        <f>'Suc. Sanblas'!G76</f>
        <v>0</v>
      </c>
      <c r="Q76" s="131">
        <f>'LALO VARAS'!G76</f>
        <v>0</v>
      </c>
      <c r="R76" s="131">
        <f>'Suc. Santiago 2'!G76</f>
        <v>0</v>
      </c>
      <c r="S76" s="131">
        <f>'Suc. Tecuala'!G76</f>
        <v>0</v>
      </c>
      <c r="T76" s="131">
        <f>'Suc. Tuxpan'!G76</f>
        <v>0</v>
      </c>
      <c r="U76" s="131">
        <f>'Suc. Varas'!G76</f>
        <v>0</v>
      </c>
      <c r="V76" s="131">
        <f>'Suc. Santa María del Oro'!G76</f>
        <v>0</v>
      </c>
      <c r="W76" s="131">
        <f>'Suc. Villa Hidalgo'!G76</f>
        <v>0</v>
      </c>
      <c r="X76" s="131">
        <f>'Suc. Peñita'!G76</f>
        <v>0</v>
      </c>
      <c r="Y76" s="120">
        <f t="shared" si="38"/>
        <v>0</v>
      </c>
      <c r="Z76" s="120">
        <f t="shared" si="39"/>
        <v>0</v>
      </c>
      <c r="AB76" s="131">
        <f>'GRAL. SUC. LOCALES'!N76</f>
        <v>0</v>
      </c>
    </row>
    <row r="77" spans="1:28" ht="18" thickBot="1" x14ac:dyDescent="0.4">
      <c r="A77" s="93"/>
      <c r="B77" s="131">
        <f>'Suc. Amado Nervo'!G77</f>
        <v>0</v>
      </c>
      <c r="C77" s="131">
        <f>'Suc. León'!G77</f>
        <v>0</v>
      </c>
      <c r="D77" s="120">
        <f>'San Cayetano'!G77</f>
        <v>0</v>
      </c>
      <c r="E77" s="120">
        <f>'Suc. Boulevard'!G77</f>
        <v>0</v>
      </c>
      <c r="F77" s="120">
        <f>'Suc. Dos de Agosto'!G77</f>
        <v>0</v>
      </c>
      <c r="G77" s="120">
        <f>'Suc. La Nueva Canasta'!G77</f>
        <v>0</v>
      </c>
      <c r="H77" s="120">
        <f>'Suc. Mololoa'!G77</f>
        <v>0</v>
      </c>
      <c r="I77" s="120">
        <f>'Suc. Plaza'!G77</f>
        <v>0</v>
      </c>
      <c r="J77" s="120">
        <f>'Suc. Vistas'!G77</f>
        <v>0</v>
      </c>
      <c r="K77" s="120">
        <f>'Suc. Xalisco'!G77</f>
        <v>0</v>
      </c>
      <c r="L77" s="120">
        <f t="shared" si="37"/>
        <v>0</v>
      </c>
      <c r="M77" s="131">
        <f>'Suc. Acaponeta'!G77</f>
        <v>0</v>
      </c>
      <c r="N77" s="131">
        <f>'Suc. Compostela'!G77</f>
        <v>0</v>
      </c>
      <c r="O77" s="131">
        <f>'Suc. Ruiz'!G77</f>
        <v>0</v>
      </c>
      <c r="P77" s="131">
        <f>'Suc. Sanblas'!G77</f>
        <v>0</v>
      </c>
      <c r="Q77" s="131">
        <f>'LALO VARAS'!G77</f>
        <v>0</v>
      </c>
      <c r="R77" s="131">
        <f>'Suc. Santiago 2'!G77</f>
        <v>0</v>
      </c>
      <c r="S77" s="131">
        <f>'Suc. Tecuala'!G77</f>
        <v>0</v>
      </c>
      <c r="T77" s="131">
        <f>'Suc. Tuxpan'!G77</f>
        <v>0</v>
      </c>
      <c r="U77" s="131">
        <f>'Suc. Varas'!G77</f>
        <v>0</v>
      </c>
      <c r="V77" s="131">
        <f>'Suc. Santa María del Oro'!G77</f>
        <v>0</v>
      </c>
      <c r="W77" s="131">
        <f>'Suc. Villa Hidalgo'!G77</f>
        <v>0</v>
      </c>
      <c r="X77" s="131">
        <f>'Suc. Peñita'!G77</f>
        <v>0</v>
      </c>
      <c r="Y77" s="120">
        <f t="shared" si="38"/>
        <v>0</v>
      </c>
      <c r="Z77" s="120">
        <f t="shared" si="39"/>
        <v>0</v>
      </c>
      <c r="AB77" s="131">
        <f>'GRAL. SUC. LOCALES'!N77</f>
        <v>0</v>
      </c>
    </row>
    <row r="78" spans="1:28" ht="18" thickBot="1" x14ac:dyDescent="0.4">
      <c r="A78" s="99" t="s">
        <v>54</v>
      </c>
      <c r="B78" s="123">
        <f>SUM(B56:B77)</f>
        <v>0</v>
      </c>
      <c r="C78" s="123">
        <f t="shared" ref="C78:Z78" si="40">SUM(C56:C77)</f>
        <v>1</v>
      </c>
      <c r="D78" s="123">
        <f t="shared" si="40"/>
        <v>5</v>
      </c>
      <c r="E78" s="123">
        <f t="shared" si="40"/>
        <v>3</v>
      </c>
      <c r="F78" s="123">
        <f t="shared" si="40"/>
        <v>2</v>
      </c>
      <c r="G78" s="123">
        <f t="shared" si="40"/>
        <v>0</v>
      </c>
      <c r="H78" s="123">
        <f t="shared" si="40"/>
        <v>5</v>
      </c>
      <c r="I78" s="123">
        <f t="shared" si="40"/>
        <v>3</v>
      </c>
      <c r="J78" s="123">
        <f t="shared" si="40"/>
        <v>6</v>
      </c>
      <c r="K78" s="123">
        <f t="shared" si="40"/>
        <v>4</v>
      </c>
      <c r="L78" s="123">
        <f t="shared" si="40"/>
        <v>29</v>
      </c>
      <c r="M78" s="123">
        <f t="shared" si="40"/>
        <v>0</v>
      </c>
      <c r="N78" s="123">
        <f t="shared" si="40"/>
        <v>4</v>
      </c>
      <c r="O78" s="123">
        <f t="shared" si="40"/>
        <v>0</v>
      </c>
      <c r="P78" s="123">
        <f t="shared" si="40"/>
        <v>0</v>
      </c>
      <c r="Q78" s="123">
        <f t="shared" si="40"/>
        <v>5</v>
      </c>
      <c r="R78" s="123">
        <f t="shared" si="40"/>
        <v>0</v>
      </c>
      <c r="S78" s="123">
        <f t="shared" si="40"/>
        <v>0</v>
      </c>
      <c r="T78" s="123">
        <f t="shared" si="40"/>
        <v>9</v>
      </c>
      <c r="U78" s="123">
        <f t="shared" ref="U78:V78" si="41">SUM(U56:U77)</f>
        <v>0</v>
      </c>
      <c r="V78" s="123">
        <f t="shared" si="41"/>
        <v>2</v>
      </c>
      <c r="W78" s="123">
        <f t="shared" si="40"/>
        <v>0</v>
      </c>
      <c r="X78" s="123">
        <f t="shared" ref="X78" si="42">SUM(X56:X77)</f>
        <v>0</v>
      </c>
      <c r="Y78" s="123">
        <f t="shared" si="40"/>
        <v>20</v>
      </c>
      <c r="Z78" s="123">
        <f t="shared" si="40"/>
        <v>49</v>
      </c>
      <c r="AB78" s="123">
        <f t="shared" ref="AB78" si="43">SUM(AB56:AB77)</f>
        <v>86</v>
      </c>
    </row>
    <row r="79" spans="1:28" ht="18.600000000000001" thickBot="1" x14ac:dyDescent="0.4">
      <c r="A79" s="103" t="s">
        <v>55</v>
      </c>
      <c r="B79" s="125">
        <f>B18+B32+B49+B52+B55+B78</f>
        <v>13</v>
      </c>
      <c r="C79" s="125">
        <f t="shared" ref="C79:Z79" si="44">C18+C32+C49+C52+C55+C78</f>
        <v>12</v>
      </c>
      <c r="D79" s="125">
        <f t="shared" si="44"/>
        <v>26</v>
      </c>
      <c r="E79" s="125">
        <f t="shared" si="44"/>
        <v>18</v>
      </c>
      <c r="F79" s="125">
        <f t="shared" si="44"/>
        <v>24</v>
      </c>
      <c r="G79" s="125">
        <f t="shared" si="44"/>
        <v>0</v>
      </c>
      <c r="H79" s="125">
        <f t="shared" si="44"/>
        <v>27</v>
      </c>
      <c r="I79" s="125">
        <f t="shared" si="44"/>
        <v>20</v>
      </c>
      <c r="J79" s="125">
        <f t="shared" si="44"/>
        <v>49</v>
      </c>
      <c r="K79" s="125">
        <f t="shared" si="44"/>
        <v>23</v>
      </c>
      <c r="L79" s="125">
        <f t="shared" si="44"/>
        <v>212</v>
      </c>
      <c r="M79" s="125">
        <f t="shared" si="44"/>
        <v>0</v>
      </c>
      <c r="N79" s="125">
        <f t="shared" si="44"/>
        <v>28</v>
      </c>
      <c r="O79" s="125">
        <f t="shared" si="44"/>
        <v>0</v>
      </c>
      <c r="P79" s="125">
        <f t="shared" si="44"/>
        <v>0</v>
      </c>
      <c r="Q79" s="125">
        <f t="shared" si="44"/>
        <v>37</v>
      </c>
      <c r="R79" s="125">
        <f t="shared" si="44"/>
        <v>0</v>
      </c>
      <c r="S79" s="125">
        <f t="shared" si="44"/>
        <v>0</v>
      </c>
      <c r="T79" s="125">
        <f t="shared" si="44"/>
        <v>67</v>
      </c>
      <c r="U79" s="125">
        <f t="shared" ref="U79:V79" si="45">U18+U32+U49+U52+U55+U78</f>
        <v>0</v>
      </c>
      <c r="V79" s="125">
        <f t="shared" si="45"/>
        <v>29</v>
      </c>
      <c r="W79" s="125">
        <f t="shared" si="44"/>
        <v>0</v>
      </c>
      <c r="X79" s="125">
        <f t="shared" ref="X79" si="46">X18+X32+X49+X52+X55+X78</f>
        <v>0</v>
      </c>
      <c r="Y79" s="125">
        <f t="shared" si="44"/>
        <v>161</v>
      </c>
      <c r="Z79" s="125">
        <f t="shared" si="44"/>
        <v>373</v>
      </c>
      <c r="AB79" s="125">
        <f t="shared" ref="AB79" si="47">AB18+AB32+AB49+AB52+AB55+AB78</f>
        <v>418</v>
      </c>
    </row>
    <row r="80" spans="1:28" ht="17.399999999999999" x14ac:dyDescent="0.35">
      <c r="A80" s="104" t="s">
        <v>56</v>
      </c>
      <c r="B80" s="132"/>
      <c r="C80" s="132"/>
      <c r="D80" s="126"/>
      <c r="E80" s="126"/>
      <c r="F80" s="126"/>
      <c r="G80" s="126"/>
      <c r="H80" s="126"/>
      <c r="I80" s="126"/>
      <c r="J80" s="126"/>
      <c r="K80" s="126"/>
      <c r="L80" s="126"/>
      <c r="M80" s="132"/>
      <c r="N80" s="132"/>
      <c r="O80" s="132"/>
      <c r="P80" s="132"/>
      <c r="Q80" s="132"/>
      <c r="R80" s="132"/>
      <c r="S80" s="132"/>
      <c r="T80" s="132"/>
      <c r="U80" s="132"/>
      <c r="V80" s="132"/>
      <c r="W80" s="132"/>
      <c r="X80" s="132"/>
      <c r="Y80" s="126"/>
      <c r="Z80" s="126"/>
      <c r="AB80" s="132"/>
    </row>
    <row r="81" spans="1:28" ht="17.399999999999999" x14ac:dyDescent="0.35">
      <c r="A81" s="94" t="s">
        <v>57</v>
      </c>
      <c r="B81" s="131">
        <f>'Suc. Amado Nervo'!G81</f>
        <v>0</v>
      </c>
      <c r="C81" s="131">
        <f>'Suc. León'!G81</f>
        <v>0</v>
      </c>
      <c r="D81" s="120">
        <f>'San Cayetano'!G81</f>
        <v>0</v>
      </c>
      <c r="E81" s="120">
        <f>'Suc. Boulevard'!G81</f>
        <v>0</v>
      </c>
      <c r="F81" s="120">
        <f>'Suc. Dos de Agosto'!G81</f>
        <v>0</v>
      </c>
      <c r="G81" s="120">
        <f>'Suc. La Nueva Canasta'!G81</f>
        <v>0</v>
      </c>
      <c r="H81" s="120">
        <f>'Suc. Mololoa'!G81</f>
        <v>1</v>
      </c>
      <c r="I81" s="120">
        <f>'Suc. Plaza'!G81</f>
        <v>0</v>
      </c>
      <c r="J81" s="120">
        <f>'Suc. Vistas'!G81</f>
        <v>1</v>
      </c>
      <c r="K81" s="120">
        <f>'Suc. Xalisco'!G81</f>
        <v>0</v>
      </c>
      <c r="L81" s="120">
        <f t="shared" ref="L81:L90" si="48">SUM(B81:K81)</f>
        <v>2</v>
      </c>
      <c r="M81" s="131">
        <f>'Suc. Acaponeta'!G81</f>
        <v>0</v>
      </c>
      <c r="N81" s="131">
        <f>'Suc. Compostela'!G81</f>
        <v>0</v>
      </c>
      <c r="O81" s="131">
        <f>'Suc. Ruiz'!G81</f>
        <v>0</v>
      </c>
      <c r="P81" s="131">
        <f>'Suc. Sanblas'!G81</f>
        <v>0</v>
      </c>
      <c r="Q81" s="131">
        <f>'LALO VARAS'!G81</f>
        <v>0</v>
      </c>
      <c r="R81" s="131">
        <f>'Suc. Santiago 2'!G81</f>
        <v>0</v>
      </c>
      <c r="S81" s="131">
        <f>'Suc. Tecuala'!G81</f>
        <v>0</v>
      </c>
      <c r="T81" s="131">
        <f>'Suc. Tuxpan'!G81</f>
        <v>1</v>
      </c>
      <c r="U81" s="131">
        <f>'Suc. Varas'!G81</f>
        <v>0</v>
      </c>
      <c r="V81" s="131">
        <f>'Suc. Santa María del Oro'!G81</f>
        <v>0</v>
      </c>
      <c r="W81" s="131">
        <f>'Suc. Villa Hidalgo'!G81</f>
        <v>0</v>
      </c>
      <c r="X81" s="131">
        <f>'Suc. Peñita'!G81</f>
        <v>0</v>
      </c>
      <c r="Y81" s="120">
        <f t="shared" ref="Y81:Y90" si="49">SUM(M81:X81)</f>
        <v>1</v>
      </c>
      <c r="Z81" s="120">
        <f t="shared" ref="Z81:Z90" si="50">L81+Y81</f>
        <v>3</v>
      </c>
      <c r="AB81" s="131">
        <f>'GRAL. SUC. LOCALES'!N81</f>
        <v>4</v>
      </c>
    </row>
    <row r="82" spans="1:28" ht="17.399999999999999" x14ac:dyDescent="0.35">
      <c r="A82" s="94" t="s">
        <v>58</v>
      </c>
      <c r="B82" s="131">
        <f>'Suc. Amado Nervo'!G82</f>
        <v>1</v>
      </c>
      <c r="C82" s="131">
        <f>'Suc. León'!G82</f>
        <v>1</v>
      </c>
      <c r="D82" s="120">
        <f>'San Cayetano'!G82</f>
        <v>1</v>
      </c>
      <c r="E82" s="120">
        <f>'Suc. Boulevard'!G82</f>
        <v>0</v>
      </c>
      <c r="F82" s="120">
        <f>'Suc. Dos de Agosto'!G82</f>
        <v>0</v>
      </c>
      <c r="G82" s="120">
        <f>'Suc. La Nueva Canasta'!G82</f>
        <v>0</v>
      </c>
      <c r="H82" s="120">
        <f>'Suc. Mololoa'!G82</f>
        <v>1</v>
      </c>
      <c r="I82" s="120">
        <f>'Suc. Plaza'!G82</f>
        <v>0</v>
      </c>
      <c r="J82" s="120">
        <f>'Suc. Vistas'!G82</f>
        <v>1</v>
      </c>
      <c r="K82" s="120">
        <f>'Suc. Xalisco'!G82</f>
        <v>0</v>
      </c>
      <c r="L82" s="120">
        <f t="shared" si="48"/>
        <v>5</v>
      </c>
      <c r="M82" s="131">
        <f>'Suc. Acaponeta'!G82</f>
        <v>0</v>
      </c>
      <c r="N82" s="131">
        <f>'Suc. Compostela'!G82</f>
        <v>0</v>
      </c>
      <c r="O82" s="131">
        <f>'Suc. Ruiz'!G82</f>
        <v>0</v>
      </c>
      <c r="P82" s="131">
        <f>'Suc. Sanblas'!G82</f>
        <v>0</v>
      </c>
      <c r="Q82" s="131">
        <f>'LALO VARAS'!G82</f>
        <v>0</v>
      </c>
      <c r="R82" s="131">
        <f>'Suc. Santiago 2'!G82</f>
        <v>0</v>
      </c>
      <c r="S82" s="131">
        <f>'Suc. Tecuala'!G82</f>
        <v>0</v>
      </c>
      <c r="T82" s="131">
        <f>'Suc. Tuxpan'!G82</f>
        <v>0</v>
      </c>
      <c r="U82" s="131">
        <f>'Suc. Varas'!G82</f>
        <v>0</v>
      </c>
      <c r="V82" s="131">
        <f>'Suc. Santa María del Oro'!G82</f>
        <v>0</v>
      </c>
      <c r="W82" s="131">
        <f>'Suc. Villa Hidalgo'!G82</f>
        <v>0</v>
      </c>
      <c r="X82" s="131">
        <f>'Suc. Peñita'!G82</f>
        <v>0</v>
      </c>
      <c r="Y82" s="120">
        <f t="shared" si="49"/>
        <v>0</v>
      </c>
      <c r="Z82" s="120">
        <f t="shared" si="50"/>
        <v>5</v>
      </c>
      <c r="AB82" s="131">
        <f>'GRAL. SUC. LOCALES'!N82</f>
        <v>0</v>
      </c>
    </row>
    <row r="83" spans="1:28" ht="17.399999999999999" x14ac:dyDescent="0.35">
      <c r="A83" s="94" t="s">
        <v>59</v>
      </c>
      <c r="B83" s="131">
        <f>'Suc. Amado Nervo'!G83</f>
        <v>0</v>
      </c>
      <c r="C83" s="131">
        <f>'Suc. León'!G83</f>
        <v>0</v>
      </c>
      <c r="D83" s="120">
        <f>'San Cayetano'!G83</f>
        <v>0</v>
      </c>
      <c r="E83" s="120">
        <f>'Suc. Boulevard'!G83</f>
        <v>0</v>
      </c>
      <c r="F83" s="120">
        <f>'Suc. Dos de Agosto'!G83</f>
        <v>0</v>
      </c>
      <c r="G83" s="120">
        <f>'Suc. La Nueva Canasta'!G83</f>
        <v>0</v>
      </c>
      <c r="H83" s="120">
        <f>'Suc. Mololoa'!G83</f>
        <v>0</v>
      </c>
      <c r="I83" s="120">
        <f>'Suc. Plaza'!G83</f>
        <v>1</v>
      </c>
      <c r="J83" s="120">
        <f>'Suc. Vistas'!G83</f>
        <v>0</v>
      </c>
      <c r="K83" s="120">
        <f>'Suc. Xalisco'!G83</f>
        <v>0</v>
      </c>
      <c r="L83" s="120">
        <f t="shared" si="48"/>
        <v>1</v>
      </c>
      <c r="M83" s="131">
        <f>'Suc. Acaponeta'!G83</f>
        <v>0</v>
      </c>
      <c r="N83" s="131">
        <f>'Suc. Compostela'!G83</f>
        <v>0</v>
      </c>
      <c r="O83" s="131">
        <f>'Suc. Ruiz'!G83</f>
        <v>0</v>
      </c>
      <c r="P83" s="131">
        <f>'Suc. Sanblas'!G83</f>
        <v>0</v>
      </c>
      <c r="Q83" s="131">
        <f>'LALO VARAS'!G83</f>
        <v>0</v>
      </c>
      <c r="R83" s="131">
        <f>'Suc. Santiago 2'!G83</f>
        <v>0</v>
      </c>
      <c r="S83" s="131">
        <f>'Suc. Tecuala'!G83</f>
        <v>0</v>
      </c>
      <c r="T83" s="131">
        <f>'Suc. Tuxpan'!G83</f>
        <v>0</v>
      </c>
      <c r="U83" s="131">
        <f>'Suc. Varas'!G83</f>
        <v>0</v>
      </c>
      <c r="V83" s="131">
        <f>'Suc. Santa María del Oro'!G83</f>
        <v>0</v>
      </c>
      <c r="W83" s="131">
        <f>'Suc. Villa Hidalgo'!G83</f>
        <v>0</v>
      </c>
      <c r="X83" s="131">
        <f>'Suc. Peñita'!G83</f>
        <v>0</v>
      </c>
      <c r="Y83" s="120">
        <f t="shared" si="49"/>
        <v>0</v>
      </c>
      <c r="Z83" s="120">
        <f t="shared" si="50"/>
        <v>1</v>
      </c>
      <c r="AB83" s="131">
        <f>'GRAL. SUC. LOCALES'!N83</f>
        <v>5</v>
      </c>
    </row>
    <row r="84" spans="1:28" ht="17.399999999999999" x14ac:dyDescent="0.35">
      <c r="A84" s="94" t="s">
        <v>60</v>
      </c>
      <c r="B84" s="131">
        <f>'Suc. Amado Nervo'!G84</f>
        <v>1</v>
      </c>
      <c r="C84" s="131">
        <f>'Suc. León'!G84</f>
        <v>0</v>
      </c>
      <c r="D84" s="120">
        <f>'San Cayetano'!G84</f>
        <v>0</v>
      </c>
      <c r="E84" s="120">
        <f>'Suc. Boulevard'!G84</f>
        <v>0</v>
      </c>
      <c r="F84" s="120">
        <f>'Suc. Dos de Agosto'!G84</f>
        <v>1</v>
      </c>
      <c r="G84" s="120">
        <f>'Suc. La Nueva Canasta'!G84</f>
        <v>0</v>
      </c>
      <c r="H84" s="120">
        <f>'Suc. Mololoa'!G84</f>
        <v>0</v>
      </c>
      <c r="I84" s="120">
        <f>'Suc. Plaza'!G84</f>
        <v>0</v>
      </c>
      <c r="J84" s="120">
        <f>'Suc. Vistas'!G84</f>
        <v>0</v>
      </c>
      <c r="K84" s="120">
        <f>'Suc. Xalisco'!G84</f>
        <v>0</v>
      </c>
      <c r="L84" s="120">
        <f t="shared" si="48"/>
        <v>2</v>
      </c>
      <c r="M84" s="131">
        <f>'Suc. Acaponeta'!G84</f>
        <v>0</v>
      </c>
      <c r="N84" s="131">
        <f>'Suc. Compostela'!G84</f>
        <v>0</v>
      </c>
      <c r="O84" s="131">
        <f>'Suc. Ruiz'!G84</f>
        <v>0</v>
      </c>
      <c r="P84" s="131">
        <f>'Suc. Sanblas'!G84</f>
        <v>0</v>
      </c>
      <c r="Q84" s="131">
        <f>'LALO VARAS'!G84</f>
        <v>0</v>
      </c>
      <c r="R84" s="131">
        <f>'Suc. Santiago 2'!G84</f>
        <v>0</v>
      </c>
      <c r="S84" s="131">
        <f>'Suc. Tecuala'!G84</f>
        <v>0</v>
      </c>
      <c r="T84" s="131">
        <f>'Suc. Tuxpan'!G84</f>
        <v>0</v>
      </c>
      <c r="U84" s="131">
        <f>'Suc. Varas'!G84</f>
        <v>0</v>
      </c>
      <c r="V84" s="131">
        <f>'Suc. Santa María del Oro'!G84</f>
        <v>0</v>
      </c>
      <c r="W84" s="131">
        <f>'Suc. Villa Hidalgo'!G84</f>
        <v>0</v>
      </c>
      <c r="X84" s="131">
        <f>'Suc. Peñita'!G84</f>
        <v>0</v>
      </c>
      <c r="Y84" s="120">
        <f t="shared" si="49"/>
        <v>0</v>
      </c>
      <c r="Z84" s="120">
        <f t="shared" si="50"/>
        <v>2</v>
      </c>
      <c r="AB84" s="131">
        <f>'GRAL. SUC. LOCALES'!N84</f>
        <v>5</v>
      </c>
    </row>
    <row r="85" spans="1:28" ht="17.399999999999999" x14ac:dyDescent="0.35">
      <c r="A85" s="94" t="s">
        <v>61</v>
      </c>
      <c r="B85" s="131">
        <f>'Suc. Amado Nervo'!G85</f>
        <v>0</v>
      </c>
      <c r="C85" s="131">
        <f>'Suc. León'!G85</f>
        <v>0</v>
      </c>
      <c r="D85" s="120">
        <f>'San Cayetano'!G85</f>
        <v>0</v>
      </c>
      <c r="E85" s="120">
        <f>'Suc. Boulevard'!G85</f>
        <v>0</v>
      </c>
      <c r="F85" s="120">
        <f>'Suc. Dos de Agosto'!G85</f>
        <v>0</v>
      </c>
      <c r="G85" s="120">
        <f>'Suc. La Nueva Canasta'!G85</f>
        <v>0</v>
      </c>
      <c r="H85" s="120">
        <f>'Suc. Mololoa'!G85</f>
        <v>1</v>
      </c>
      <c r="I85" s="120">
        <f>'Suc. Plaza'!G85</f>
        <v>1</v>
      </c>
      <c r="J85" s="120">
        <f>'Suc. Vistas'!G85</f>
        <v>1</v>
      </c>
      <c r="K85" s="120">
        <f>'Suc. Xalisco'!G85</f>
        <v>0</v>
      </c>
      <c r="L85" s="120">
        <f t="shared" si="48"/>
        <v>3</v>
      </c>
      <c r="M85" s="131">
        <f>'Suc. Acaponeta'!G85</f>
        <v>0</v>
      </c>
      <c r="N85" s="131">
        <f>'Suc. Compostela'!G85</f>
        <v>1</v>
      </c>
      <c r="O85" s="131">
        <f>'Suc. Ruiz'!G85</f>
        <v>0</v>
      </c>
      <c r="P85" s="131">
        <f>'Suc. Sanblas'!G85</f>
        <v>0</v>
      </c>
      <c r="Q85" s="131">
        <f>'LALO VARAS'!G85</f>
        <v>0</v>
      </c>
      <c r="R85" s="131">
        <f>'Suc. Santiago 2'!G85</f>
        <v>0</v>
      </c>
      <c r="S85" s="131">
        <f>'Suc. Tecuala'!G85</f>
        <v>0</v>
      </c>
      <c r="T85" s="131">
        <f>'Suc. Tuxpan'!G85</f>
        <v>0</v>
      </c>
      <c r="U85" s="131">
        <f>'Suc. Varas'!G85</f>
        <v>0</v>
      </c>
      <c r="V85" s="131">
        <f>'Suc. Santa María del Oro'!G85</f>
        <v>0</v>
      </c>
      <c r="W85" s="131">
        <f>'Suc. Villa Hidalgo'!G85</f>
        <v>0</v>
      </c>
      <c r="X85" s="131">
        <f>'Suc. Peñita'!G85</f>
        <v>0</v>
      </c>
      <c r="Y85" s="120">
        <f t="shared" si="49"/>
        <v>1</v>
      </c>
      <c r="Z85" s="120">
        <f t="shared" si="50"/>
        <v>4</v>
      </c>
      <c r="AB85" s="131">
        <f>'GRAL. SUC. LOCALES'!N85</f>
        <v>7</v>
      </c>
    </row>
    <row r="86" spans="1:28" ht="17.399999999999999" x14ac:dyDescent="0.35">
      <c r="A86" s="94" t="s">
        <v>63</v>
      </c>
      <c r="B86" s="131">
        <f>'Suc. Amado Nervo'!G86</f>
        <v>1</v>
      </c>
      <c r="C86" s="131">
        <f>'Suc. León'!G86</f>
        <v>0</v>
      </c>
      <c r="D86" s="120">
        <f>'San Cayetano'!G86</f>
        <v>0</v>
      </c>
      <c r="E86" s="120">
        <f>'Suc. Boulevard'!G86</f>
        <v>2</v>
      </c>
      <c r="F86" s="120">
        <f>'Suc. Dos de Agosto'!G86</f>
        <v>0</v>
      </c>
      <c r="G86" s="120">
        <f>'Suc. La Nueva Canasta'!G86</f>
        <v>0</v>
      </c>
      <c r="H86" s="120">
        <f>'Suc. Mololoa'!G86</f>
        <v>1</v>
      </c>
      <c r="I86" s="120">
        <f>'Suc. Plaza'!G86</f>
        <v>2</v>
      </c>
      <c r="J86" s="120">
        <f>'Suc. Vistas'!G86</f>
        <v>2</v>
      </c>
      <c r="K86" s="120">
        <f>'Suc. Xalisco'!G86</f>
        <v>0</v>
      </c>
      <c r="L86" s="120">
        <f t="shared" si="48"/>
        <v>8</v>
      </c>
      <c r="M86" s="131">
        <f>'Suc. Acaponeta'!G86</f>
        <v>0</v>
      </c>
      <c r="N86" s="131">
        <f>'Suc. Compostela'!G86</f>
        <v>3</v>
      </c>
      <c r="O86" s="131">
        <f>'Suc. Ruiz'!G86</f>
        <v>0</v>
      </c>
      <c r="P86" s="131">
        <f>'Suc. Sanblas'!G86</f>
        <v>0</v>
      </c>
      <c r="Q86" s="131">
        <f>'LALO VARAS'!G86</f>
        <v>0</v>
      </c>
      <c r="R86" s="131">
        <f>'Suc. Santiago 2'!G86</f>
        <v>0</v>
      </c>
      <c r="S86" s="131">
        <f>'Suc. Tecuala'!G86</f>
        <v>0</v>
      </c>
      <c r="T86" s="131">
        <f>'Suc. Tuxpan'!G86</f>
        <v>0</v>
      </c>
      <c r="U86" s="131">
        <f>'Suc. Varas'!G86</f>
        <v>0</v>
      </c>
      <c r="V86" s="131">
        <f>'Suc. Santa María del Oro'!G86</f>
        <v>0</v>
      </c>
      <c r="W86" s="131">
        <f>'Suc. Villa Hidalgo'!G86</f>
        <v>0</v>
      </c>
      <c r="X86" s="131">
        <f>'Suc. Peñita'!G86</f>
        <v>0</v>
      </c>
      <c r="Y86" s="120">
        <f t="shared" si="49"/>
        <v>3</v>
      </c>
      <c r="Z86" s="120">
        <f t="shared" si="50"/>
        <v>11</v>
      </c>
      <c r="AB86" s="131">
        <f>'GRAL. SUC. LOCALES'!N86</f>
        <v>4</v>
      </c>
    </row>
    <row r="87" spans="1:28" ht="17.399999999999999" x14ac:dyDescent="0.35">
      <c r="A87" s="94"/>
      <c r="B87" s="131">
        <f>'Suc. Amado Nervo'!G87</f>
        <v>0</v>
      </c>
      <c r="C87" s="131">
        <f>'Suc. León'!G87</f>
        <v>0</v>
      </c>
      <c r="D87" s="120">
        <f>'San Cayetano'!G87</f>
        <v>0</v>
      </c>
      <c r="E87" s="120">
        <f>'Suc. Boulevard'!G87</f>
        <v>0</v>
      </c>
      <c r="F87" s="120">
        <f>'Suc. Dos de Agosto'!G87</f>
        <v>0</v>
      </c>
      <c r="G87" s="120">
        <f>'Suc. La Nueva Canasta'!G87</f>
        <v>0</v>
      </c>
      <c r="H87" s="120">
        <f>'Suc. Mololoa'!G87</f>
        <v>0</v>
      </c>
      <c r="I87" s="120">
        <f>'Suc. Plaza'!G87</f>
        <v>0</v>
      </c>
      <c r="J87" s="120">
        <f>'Suc. Vistas'!G87</f>
        <v>0</v>
      </c>
      <c r="K87" s="120">
        <f>'Suc. Xalisco'!G87</f>
        <v>0</v>
      </c>
      <c r="L87" s="120">
        <f t="shared" si="48"/>
        <v>0</v>
      </c>
      <c r="M87" s="131">
        <f>'Suc. Acaponeta'!G87</f>
        <v>0</v>
      </c>
      <c r="N87" s="131">
        <f>'Suc. Compostela'!G87</f>
        <v>0</v>
      </c>
      <c r="O87" s="131">
        <f>'Suc. Ruiz'!G87</f>
        <v>0</v>
      </c>
      <c r="P87" s="131">
        <f>'Suc. Sanblas'!G87</f>
        <v>0</v>
      </c>
      <c r="Q87" s="131">
        <f>'LALO VARAS'!G87</f>
        <v>0</v>
      </c>
      <c r="R87" s="131">
        <f>'Suc. Santiago 2'!G87</f>
        <v>0</v>
      </c>
      <c r="S87" s="131">
        <f>'Suc. Tecuala'!G87</f>
        <v>0</v>
      </c>
      <c r="T87" s="131">
        <f>'Suc. Tuxpan'!G87</f>
        <v>0</v>
      </c>
      <c r="U87" s="131">
        <f>'Suc. Varas'!G87</f>
        <v>0</v>
      </c>
      <c r="V87" s="131">
        <f>'Suc. Santa María del Oro'!G87</f>
        <v>0</v>
      </c>
      <c r="W87" s="131">
        <f>'Suc. Villa Hidalgo'!G87</f>
        <v>0</v>
      </c>
      <c r="X87" s="131">
        <f>'Suc. Peñita'!G87</f>
        <v>0</v>
      </c>
      <c r="Y87" s="120">
        <f t="shared" si="49"/>
        <v>0</v>
      </c>
      <c r="Z87" s="120">
        <f t="shared" si="50"/>
        <v>0</v>
      </c>
      <c r="AB87" s="131">
        <f>'GRAL. SUC. LOCALES'!N87</f>
        <v>0</v>
      </c>
    </row>
    <row r="88" spans="1:28" ht="17.399999999999999" x14ac:dyDescent="0.35">
      <c r="A88" s="94"/>
      <c r="B88" s="131">
        <f>'Suc. Amado Nervo'!G88</f>
        <v>0</v>
      </c>
      <c r="C88" s="131">
        <f>'Suc. León'!G88</f>
        <v>0</v>
      </c>
      <c r="D88" s="120">
        <f>'San Cayetano'!G88</f>
        <v>0</v>
      </c>
      <c r="E88" s="120">
        <f>'Suc. Boulevard'!G88</f>
        <v>0</v>
      </c>
      <c r="F88" s="120">
        <f>'Suc. Dos de Agosto'!G88</f>
        <v>0</v>
      </c>
      <c r="G88" s="120">
        <f>'Suc. La Nueva Canasta'!G88</f>
        <v>0</v>
      </c>
      <c r="H88" s="120">
        <f>'Suc. Mololoa'!G88</f>
        <v>0</v>
      </c>
      <c r="I88" s="120">
        <f>'Suc. Plaza'!G88</f>
        <v>0</v>
      </c>
      <c r="J88" s="120">
        <f>'Suc. Vistas'!G88</f>
        <v>0</v>
      </c>
      <c r="K88" s="120">
        <f>'Suc. Xalisco'!G88</f>
        <v>0</v>
      </c>
      <c r="L88" s="120">
        <f t="shared" si="48"/>
        <v>0</v>
      </c>
      <c r="M88" s="131">
        <f>'Suc. Acaponeta'!G88</f>
        <v>0</v>
      </c>
      <c r="N88" s="131">
        <f>'Suc. Compostela'!G88</f>
        <v>0</v>
      </c>
      <c r="O88" s="131">
        <f>'Suc. Ruiz'!G88</f>
        <v>0</v>
      </c>
      <c r="P88" s="131">
        <f>'Suc. Sanblas'!G88</f>
        <v>0</v>
      </c>
      <c r="Q88" s="131">
        <f>'LALO VARAS'!G88</f>
        <v>0</v>
      </c>
      <c r="R88" s="131">
        <f>'Suc. Santiago 2'!G88</f>
        <v>0</v>
      </c>
      <c r="S88" s="131">
        <f>'Suc. Tecuala'!G88</f>
        <v>0</v>
      </c>
      <c r="T88" s="131">
        <f>'Suc. Tuxpan'!G88</f>
        <v>0</v>
      </c>
      <c r="U88" s="131">
        <f>'Suc. Varas'!G88</f>
        <v>0</v>
      </c>
      <c r="V88" s="131">
        <f>'Suc. Santa María del Oro'!G88</f>
        <v>0</v>
      </c>
      <c r="W88" s="131">
        <f>'Suc. Villa Hidalgo'!G88</f>
        <v>0</v>
      </c>
      <c r="X88" s="131">
        <f>'Suc. Peñita'!G88</f>
        <v>0</v>
      </c>
      <c r="Y88" s="120">
        <f t="shared" si="49"/>
        <v>0</v>
      </c>
      <c r="Z88" s="120">
        <f t="shared" si="50"/>
        <v>0</v>
      </c>
      <c r="AB88" s="131">
        <f>'GRAL. SUC. LOCALES'!N88</f>
        <v>0</v>
      </c>
    </row>
    <row r="89" spans="1:28" ht="17.399999999999999" x14ac:dyDescent="0.35">
      <c r="A89" s="94"/>
      <c r="B89" s="131">
        <f>'Suc. Amado Nervo'!G89</f>
        <v>0</v>
      </c>
      <c r="C89" s="131">
        <f>'Suc. León'!G89</f>
        <v>0</v>
      </c>
      <c r="D89" s="120">
        <f>'San Cayetano'!G89</f>
        <v>0</v>
      </c>
      <c r="E89" s="120">
        <f>'Suc. Boulevard'!G89</f>
        <v>0</v>
      </c>
      <c r="F89" s="120">
        <f>'Suc. Dos de Agosto'!G89</f>
        <v>0</v>
      </c>
      <c r="G89" s="120">
        <f>'Suc. La Nueva Canasta'!G89</f>
        <v>0</v>
      </c>
      <c r="H89" s="120">
        <f>'Suc. Mololoa'!G89</f>
        <v>0</v>
      </c>
      <c r="I89" s="120">
        <f>'Suc. Plaza'!G89</f>
        <v>0</v>
      </c>
      <c r="J89" s="120">
        <f>'Suc. Vistas'!G89</f>
        <v>0</v>
      </c>
      <c r="K89" s="120">
        <f>'Suc. Xalisco'!G89</f>
        <v>0</v>
      </c>
      <c r="L89" s="120">
        <f t="shared" si="48"/>
        <v>0</v>
      </c>
      <c r="M89" s="131">
        <f>'Suc. Acaponeta'!G89</f>
        <v>0</v>
      </c>
      <c r="N89" s="131">
        <f>'Suc. Compostela'!G89</f>
        <v>0</v>
      </c>
      <c r="O89" s="131">
        <f>'Suc. Ruiz'!G89</f>
        <v>0</v>
      </c>
      <c r="P89" s="131">
        <f>'Suc. Sanblas'!G89</f>
        <v>0</v>
      </c>
      <c r="Q89" s="131">
        <f>'LALO VARAS'!G89</f>
        <v>0</v>
      </c>
      <c r="R89" s="131">
        <f>'Suc. Santiago 2'!G89</f>
        <v>0</v>
      </c>
      <c r="S89" s="131">
        <f>'Suc. Tecuala'!G89</f>
        <v>0</v>
      </c>
      <c r="T89" s="131">
        <f>'Suc. Tuxpan'!G89</f>
        <v>0</v>
      </c>
      <c r="U89" s="131">
        <f>'Suc. Varas'!G89</f>
        <v>0</v>
      </c>
      <c r="V89" s="131">
        <f>'Suc. Santa María del Oro'!G89</f>
        <v>0</v>
      </c>
      <c r="W89" s="131">
        <f>'Suc. Villa Hidalgo'!G89</f>
        <v>0</v>
      </c>
      <c r="X89" s="131">
        <f>'Suc. Peñita'!G89</f>
        <v>0</v>
      </c>
      <c r="Y89" s="120">
        <f t="shared" si="49"/>
        <v>0</v>
      </c>
      <c r="Z89" s="120">
        <f t="shared" si="50"/>
        <v>0</v>
      </c>
      <c r="AB89" s="131">
        <f>'GRAL. SUC. LOCALES'!N89</f>
        <v>0</v>
      </c>
    </row>
    <row r="90" spans="1:28" ht="18" thickBot="1" x14ac:dyDescent="0.4">
      <c r="A90" s="94"/>
      <c r="B90" s="131">
        <f>'Suc. Amado Nervo'!G90</f>
        <v>0</v>
      </c>
      <c r="C90" s="131">
        <f>'Suc. León'!G90</f>
        <v>0</v>
      </c>
      <c r="D90" s="120">
        <f>'San Cayetano'!G90</f>
        <v>0</v>
      </c>
      <c r="E90" s="120">
        <f>'Suc. Boulevard'!G90</f>
        <v>0</v>
      </c>
      <c r="F90" s="120">
        <f>'Suc. Dos de Agosto'!G90</f>
        <v>0</v>
      </c>
      <c r="G90" s="120">
        <f>'Suc. La Nueva Canasta'!G90</f>
        <v>0</v>
      </c>
      <c r="H90" s="120">
        <f>'Suc. Mololoa'!G90</f>
        <v>0</v>
      </c>
      <c r="I90" s="120">
        <f>'Suc. Plaza'!G90</f>
        <v>0</v>
      </c>
      <c r="J90" s="120">
        <f>'Suc. Vistas'!G90</f>
        <v>0</v>
      </c>
      <c r="K90" s="120">
        <f>'Suc. Xalisco'!G90</f>
        <v>0</v>
      </c>
      <c r="L90" s="120">
        <f t="shared" si="48"/>
        <v>0</v>
      </c>
      <c r="M90" s="131">
        <f>'Suc. Acaponeta'!G90</f>
        <v>0</v>
      </c>
      <c r="N90" s="131">
        <f>'Suc. Compostela'!G90</f>
        <v>0</v>
      </c>
      <c r="O90" s="131">
        <f>'Suc. Ruiz'!G90</f>
        <v>0</v>
      </c>
      <c r="P90" s="131">
        <f>'Suc. Sanblas'!G90</f>
        <v>0</v>
      </c>
      <c r="Q90" s="131">
        <f>'LALO VARAS'!G90</f>
        <v>0</v>
      </c>
      <c r="R90" s="131">
        <f>'Suc. Santiago 2'!G90</f>
        <v>0</v>
      </c>
      <c r="S90" s="131">
        <f>'Suc. Tecuala'!G90</f>
        <v>0</v>
      </c>
      <c r="T90" s="131">
        <f>'Suc. Tuxpan'!G90</f>
        <v>0</v>
      </c>
      <c r="U90" s="131">
        <f>'Suc. Varas'!G90</f>
        <v>0</v>
      </c>
      <c r="V90" s="131">
        <f>'Suc. Santa María del Oro'!G90</f>
        <v>0</v>
      </c>
      <c r="W90" s="131">
        <f>'Suc. Villa Hidalgo'!G90</f>
        <v>0</v>
      </c>
      <c r="X90" s="131">
        <f>'Suc. Peñita'!G90</f>
        <v>0</v>
      </c>
      <c r="Y90" s="120">
        <f t="shared" si="49"/>
        <v>0</v>
      </c>
      <c r="Z90" s="120">
        <f t="shared" si="50"/>
        <v>0</v>
      </c>
      <c r="AB90" s="131">
        <f>'GRAL. SUC. LOCALES'!N90</f>
        <v>0</v>
      </c>
    </row>
    <row r="91" spans="1:28" ht="18.600000000000001" thickBot="1" x14ac:dyDescent="0.4">
      <c r="A91" s="105" t="s">
        <v>55</v>
      </c>
      <c r="B91" s="127">
        <f>SUM(B81:B90)</f>
        <v>3</v>
      </c>
      <c r="C91" s="127">
        <f t="shared" ref="C91:Z91" si="51">SUM(C81:C90)</f>
        <v>1</v>
      </c>
      <c r="D91" s="127">
        <f t="shared" si="51"/>
        <v>1</v>
      </c>
      <c r="E91" s="127">
        <f t="shared" si="51"/>
        <v>2</v>
      </c>
      <c r="F91" s="127">
        <f t="shared" si="51"/>
        <v>1</v>
      </c>
      <c r="G91" s="127">
        <f t="shared" si="51"/>
        <v>0</v>
      </c>
      <c r="H91" s="127">
        <f t="shared" si="51"/>
        <v>4</v>
      </c>
      <c r="I91" s="127">
        <f t="shared" si="51"/>
        <v>4</v>
      </c>
      <c r="J91" s="127">
        <f t="shared" si="51"/>
        <v>5</v>
      </c>
      <c r="K91" s="127">
        <f t="shared" si="51"/>
        <v>0</v>
      </c>
      <c r="L91" s="127">
        <f t="shared" si="51"/>
        <v>21</v>
      </c>
      <c r="M91" s="127">
        <f t="shared" si="51"/>
        <v>0</v>
      </c>
      <c r="N91" s="127">
        <f t="shared" si="51"/>
        <v>4</v>
      </c>
      <c r="O91" s="127">
        <f t="shared" si="51"/>
        <v>0</v>
      </c>
      <c r="P91" s="127">
        <f t="shared" si="51"/>
        <v>0</v>
      </c>
      <c r="Q91" s="127">
        <f t="shared" si="51"/>
        <v>0</v>
      </c>
      <c r="R91" s="127">
        <f t="shared" si="51"/>
        <v>0</v>
      </c>
      <c r="S91" s="127">
        <f t="shared" si="51"/>
        <v>0</v>
      </c>
      <c r="T91" s="127">
        <f t="shared" si="51"/>
        <v>1</v>
      </c>
      <c r="U91" s="127">
        <f t="shared" ref="U91:V91" si="52">SUM(U81:U90)</f>
        <v>0</v>
      </c>
      <c r="V91" s="127">
        <f t="shared" si="52"/>
        <v>0</v>
      </c>
      <c r="W91" s="127">
        <f t="shared" si="51"/>
        <v>0</v>
      </c>
      <c r="X91" s="127">
        <f t="shared" ref="X91" si="53">SUM(X81:X90)</f>
        <v>0</v>
      </c>
      <c r="Y91" s="127">
        <f t="shared" si="51"/>
        <v>5</v>
      </c>
      <c r="Z91" s="127">
        <f t="shared" si="51"/>
        <v>26</v>
      </c>
      <c r="AB91" s="127">
        <f t="shared" ref="AB91" si="54">SUM(AB81:AB90)</f>
        <v>25</v>
      </c>
    </row>
    <row r="92" spans="1:28" ht="17.399999999999999" x14ac:dyDescent="0.35">
      <c r="A92" s="106" t="s">
        <v>64</v>
      </c>
      <c r="B92" s="133"/>
      <c r="C92" s="133"/>
      <c r="D92" s="128"/>
      <c r="E92" s="128"/>
      <c r="F92" s="128"/>
      <c r="G92" s="128"/>
      <c r="H92" s="128"/>
      <c r="I92" s="128"/>
      <c r="J92" s="128"/>
      <c r="K92" s="128"/>
      <c r="L92" s="128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28"/>
      <c r="Z92" s="128"/>
      <c r="AB92" s="133"/>
    </row>
    <row r="93" spans="1:28" ht="17.399999999999999" x14ac:dyDescent="0.35">
      <c r="A93" s="94" t="s">
        <v>65</v>
      </c>
      <c r="B93" s="131">
        <f>'Suc. Amado Nervo'!G93</f>
        <v>0</v>
      </c>
      <c r="C93" s="131">
        <f>'Suc. León'!G93</f>
        <v>0</v>
      </c>
      <c r="D93" s="120">
        <f>'San Cayetano'!G93</f>
        <v>0</v>
      </c>
      <c r="E93" s="120">
        <f>'Suc. Boulevard'!G93</f>
        <v>1</v>
      </c>
      <c r="F93" s="120">
        <f>'Suc. Dos de Agosto'!G93</f>
        <v>0</v>
      </c>
      <c r="G93" s="120">
        <f>'Suc. La Nueva Canasta'!G93</f>
        <v>0</v>
      </c>
      <c r="H93" s="120">
        <f>'Suc. Mololoa'!G93</f>
        <v>0</v>
      </c>
      <c r="I93" s="120">
        <f>'Suc. Plaza'!G93</f>
        <v>1</v>
      </c>
      <c r="J93" s="120">
        <f>'Suc. Vistas'!G93</f>
        <v>0</v>
      </c>
      <c r="K93" s="120">
        <f>'Suc. Xalisco'!G93</f>
        <v>0</v>
      </c>
      <c r="L93" s="120">
        <f t="shared" ref="L93:L104" si="55">SUM(B93:K93)</f>
        <v>2</v>
      </c>
      <c r="M93" s="131">
        <f>'Suc. Acaponeta'!G93</f>
        <v>0</v>
      </c>
      <c r="N93" s="131">
        <f>'Suc. Compostela'!G93</f>
        <v>0</v>
      </c>
      <c r="O93" s="131">
        <f>'Suc. Ruiz'!G93</f>
        <v>0</v>
      </c>
      <c r="P93" s="131">
        <f>'Suc. Sanblas'!G93</f>
        <v>0</v>
      </c>
      <c r="Q93" s="131">
        <f>'LALO VARAS'!G93</f>
        <v>0</v>
      </c>
      <c r="R93" s="131">
        <f>'Suc. Santiago 2'!G93</f>
        <v>0</v>
      </c>
      <c r="S93" s="131">
        <f>'Suc. Tecuala'!G93</f>
        <v>0</v>
      </c>
      <c r="T93" s="131">
        <f>'Suc. Tuxpan'!G93</f>
        <v>0</v>
      </c>
      <c r="U93" s="131">
        <f>'Suc. Varas'!G93</f>
        <v>0</v>
      </c>
      <c r="V93" s="131">
        <f>'Suc. Santa María del Oro'!G93</f>
        <v>0</v>
      </c>
      <c r="W93" s="131">
        <f>'Suc. Villa Hidalgo'!G93</f>
        <v>0</v>
      </c>
      <c r="X93" s="131">
        <f>'Suc. Peñita'!G93</f>
        <v>0</v>
      </c>
      <c r="Y93" s="120">
        <f t="shared" ref="Y93:Y104" si="56">SUM(M93:X93)</f>
        <v>0</v>
      </c>
      <c r="Z93" s="120">
        <f t="shared" ref="Z93:Z104" si="57">L93+Y93</f>
        <v>2</v>
      </c>
      <c r="AB93" s="131">
        <f>'GRAL. SUC. LOCALES'!N93</f>
        <v>11</v>
      </c>
    </row>
    <row r="94" spans="1:28" ht="17.399999999999999" x14ac:dyDescent="0.35">
      <c r="A94" s="94" t="s">
        <v>66</v>
      </c>
      <c r="B94" s="131">
        <f>'Suc. Amado Nervo'!G94</f>
        <v>0</v>
      </c>
      <c r="C94" s="131">
        <f>'Suc. León'!G94</f>
        <v>0</v>
      </c>
      <c r="D94" s="120">
        <f>'San Cayetano'!G94</f>
        <v>0</v>
      </c>
      <c r="E94" s="120">
        <f>'Suc. Boulevard'!G94</f>
        <v>0</v>
      </c>
      <c r="F94" s="120">
        <f>'Suc. Dos de Agosto'!G94</f>
        <v>0</v>
      </c>
      <c r="G94" s="120">
        <f>'Suc. La Nueva Canasta'!G94</f>
        <v>0</v>
      </c>
      <c r="H94" s="120">
        <f>'Suc. Mololoa'!G94</f>
        <v>0</v>
      </c>
      <c r="I94" s="120">
        <f>'Suc. Plaza'!G94</f>
        <v>0</v>
      </c>
      <c r="J94" s="120">
        <f>'Suc. Vistas'!G94</f>
        <v>0</v>
      </c>
      <c r="K94" s="120">
        <f>'Suc. Xalisco'!G94</f>
        <v>1</v>
      </c>
      <c r="L94" s="120">
        <f t="shared" si="55"/>
        <v>1</v>
      </c>
      <c r="M94" s="131">
        <f>'Suc. Acaponeta'!G94</f>
        <v>0</v>
      </c>
      <c r="N94" s="131">
        <f>'Suc. Compostela'!G94</f>
        <v>0</v>
      </c>
      <c r="O94" s="131">
        <f>'Suc. Ruiz'!G94</f>
        <v>0</v>
      </c>
      <c r="P94" s="131">
        <f>'Suc. Sanblas'!G94</f>
        <v>0</v>
      </c>
      <c r="Q94" s="131">
        <f>'LALO VARAS'!G94</f>
        <v>0</v>
      </c>
      <c r="R94" s="131">
        <f>'Suc. Santiago 2'!G94</f>
        <v>0</v>
      </c>
      <c r="S94" s="131">
        <f>'Suc. Tecuala'!G94</f>
        <v>0</v>
      </c>
      <c r="T94" s="131">
        <f>'Suc. Tuxpan'!G94</f>
        <v>0</v>
      </c>
      <c r="U94" s="131">
        <f>'Suc. Varas'!G94</f>
        <v>0</v>
      </c>
      <c r="V94" s="131">
        <f>'Suc. Santa María del Oro'!G94</f>
        <v>0</v>
      </c>
      <c r="W94" s="131">
        <f>'Suc. Villa Hidalgo'!G94</f>
        <v>0</v>
      </c>
      <c r="X94" s="131">
        <f>'Suc. Peñita'!G94</f>
        <v>0</v>
      </c>
      <c r="Y94" s="120">
        <f t="shared" si="56"/>
        <v>0</v>
      </c>
      <c r="Z94" s="120">
        <f t="shared" si="57"/>
        <v>1</v>
      </c>
      <c r="AB94" s="131">
        <f>'GRAL. SUC. LOCALES'!N94</f>
        <v>13</v>
      </c>
    </row>
    <row r="95" spans="1:28" ht="17.399999999999999" x14ac:dyDescent="0.35">
      <c r="A95" s="94" t="s">
        <v>68</v>
      </c>
      <c r="B95" s="131">
        <f>'Suc. Amado Nervo'!G95</f>
        <v>1</v>
      </c>
      <c r="C95" s="131">
        <f>'Suc. León'!G95</f>
        <v>0</v>
      </c>
      <c r="D95" s="120">
        <f>'San Cayetano'!G95</f>
        <v>0</v>
      </c>
      <c r="E95" s="120">
        <f>'Suc. Boulevard'!G95</f>
        <v>1</v>
      </c>
      <c r="F95" s="120">
        <f>'Suc. Dos de Agosto'!G95</f>
        <v>0</v>
      </c>
      <c r="G95" s="120">
        <f>'Suc. La Nueva Canasta'!G95</f>
        <v>0</v>
      </c>
      <c r="H95" s="120">
        <f>'Suc. Mololoa'!G95</f>
        <v>1</v>
      </c>
      <c r="I95" s="120">
        <f>'Suc. Plaza'!G95</f>
        <v>0</v>
      </c>
      <c r="J95" s="120">
        <f>'Suc. Vistas'!G95</f>
        <v>0</v>
      </c>
      <c r="K95" s="120">
        <f>'Suc. Xalisco'!G95</f>
        <v>2</v>
      </c>
      <c r="L95" s="120">
        <f t="shared" si="55"/>
        <v>5</v>
      </c>
      <c r="M95" s="131">
        <f>'Suc. Acaponeta'!G95</f>
        <v>0</v>
      </c>
      <c r="N95" s="131">
        <f>'Suc. Compostela'!G95</f>
        <v>1</v>
      </c>
      <c r="O95" s="131">
        <f>'Suc. Ruiz'!G95</f>
        <v>0</v>
      </c>
      <c r="P95" s="131">
        <f>'Suc. Sanblas'!G95</f>
        <v>0</v>
      </c>
      <c r="Q95" s="131">
        <f>'LALO VARAS'!G95</f>
        <v>0</v>
      </c>
      <c r="R95" s="131">
        <f>'Suc. Santiago 2'!G95</f>
        <v>0</v>
      </c>
      <c r="S95" s="131">
        <f>'Suc. Tecuala'!G95</f>
        <v>0</v>
      </c>
      <c r="T95" s="131">
        <f>'Suc. Tuxpan'!G95</f>
        <v>0</v>
      </c>
      <c r="U95" s="131">
        <f>'Suc. Varas'!G95</f>
        <v>0</v>
      </c>
      <c r="V95" s="131">
        <f>'Suc. Santa María del Oro'!G95</f>
        <v>0</v>
      </c>
      <c r="W95" s="131">
        <f>'Suc. Villa Hidalgo'!G95</f>
        <v>0</v>
      </c>
      <c r="X95" s="131">
        <f>'Suc. Peñita'!G95</f>
        <v>0</v>
      </c>
      <c r="Y95" s="120">
        <f t="shared" si="56"/>
        <v>1</v>
      </c>
      <c r="Z95" s="120">
        <f t="shared" si="57"/>
        <v>6</v>
      </c>
      <c r="AB95" s="131">
        <f>'GRAL. SUC. LOCALES'!N95</f>
        <v>10</v>
      </c>
    </row>
    <row r="96" spans="1:28" ht="17.399999999999999" x14ac:dyDescent="0.35">
      <c r="A96" s="94" t="s">
        <v>69</v>
      </c>
      <c r="B96" s="131">
        <f>'Suc. Amado Nervo'!G96</f>
        <v>0</v>
      </c>
      <c r="C96" s="131">
        <f>'Suc. León'!G96</f>
        <v>0</v>
      </c>
      <c r="D96" s="120">
        <f>'San Cayetano'!G96</f>
        <v>0</v>
      </c>
      <c r="E96" s="120">
        <f>'Suc. Boulevard'!G96</f>
        <v>0</v>
      </c>
      <c r="F96" s="120">
        <f>'Suc. Dos de Agosto'!G96</f>
        <v>4</v>
      </c>
      <c r="G96" s="120">
        <f>'Suc. La Nueva Canasta'!G96</f>
        <v>0</v>
      </c>
      <c r="H96" s="120">
        <f>'Suc. Mololoa'!G96</f>
        <v>0</v>
      </c>
      <c r="I96" s="120">
        <f>'Suc. Plaza'!G96</f>
        <v>3</v>
      </c>
      <c r="J96" s="120">
        <f>'Suc. Vistas'!G96</f>
        <v>0</v>
      </c>
      <c r="K96" s="120">
        <f>'Suc. Xalisco'!G96</f>
        <v>1</v>
      </c>
      <c r="L96" s="120">
        <f t="shared" si="55"/>
        <v>8</v>
      </c>
      <c r="M96" s="131">
        <f>'Suc. Acaponeta'!G96</f>
        <v>0</v>
      </c>
      <c r="N96" s="131">
        <f>'Suc. Compostela'!G96</f>
        <v>0</v>
      </c>
      <c r="O96" s="131">
        <f>'Suc. Ruiz'!G96</f>
        <v>0</v>
      </c>
      <c r="P96" s="131">
        <f>'Suc. Sanblas'!G96</f>
        <v>0</v>
      </c>
      <c r="Q96" s="131">
        <f>'LALO VARAS'!G96</f>
        <v>0</v>
      </c>
      <c r="R96" s="131">
        <f>'Suc. Santiago 2'!G96</f>
        <v>0</v>
      </c>
      <c r="S96" s="131">
        <f>'Suc. Tecuala'!G96</f>
        <v>0</v>
      </c>
      <c r="T96" s="131">
        <f>'Suc. Tuxpan'!G96</f>
        <v>0</v>
      </c>
      <c r="U96" s="131">
        <f>'Suc. Varas'!G96</f>
        <v>0</v>
      </c>
      <c r="V96" s="131">
        <f>'Suc. Santa María del Oro'!G96</f>
        <v>0</v>
      </c>
      <c r="W96" s="131">
        <f>'Suc. Villa Hidalgo'!G96</f>
        <v>0</v>
      </c>
      <c r="X96" s="131">
        <f>'Suc. Peñita'!G96</f>
        <v>0</v>
      </c>
      <c r="Y96" s="120">
        <f t="shared" si="56"/>
        <v>0</v>
      </c>
      <c r="Z96" s="120">
        <f t="shared" si="57"/>
        <v>8</v>
      </c>
      <c r="AB96" s="131">
        <f>'GRAL. SUC. LOCALES'!N96</f>
        <v>40</v>
      </c>
    </row>
    <row r="97" spans="1:28" ht="17.399999999999999" x14ac:dyDescent="0.35">
      <c r="A97" s="94" t="s">
        <v>70</v>
      </c>
      <c r="B97" s="131">
        <f>'Suc. Amado Nervo'!G97</f>
        <v>0</v>
      </c>
      <c r="C97" s="131">
        <f>'Suc. León'!G97</f>
        <v>1</v>
      </c>
      <c r="D97" s="120">
        <f>'San Cayetano'!G97</f>
        <v>2</v>
      </c>
      <c r="E97" s="120">
        <f>'Suc. Boulevard'!G97</f>
        <v>0</v>
      </c>
      <c r="F97" s="120">
        <f>'Suc. Dos de Agosto'!G97</f>
        <v>0</v>
      </c>
      <c r="G97" s="120">
        <f>'Suc. La Nueva Canasta'!G97</f>
        <v>0</v>
      </c>
      <c r="H97" s="120">
        <f>'Suc. Mololoa'!G97</f>
        <v>3</v>
      </c>
      <c r="I97" s="120">
        <f>'Suc. Plaza'!G97</f>
        <v>0</v>
      </c>
      <c r="J97" s="120">
        <f>'Suc. Vistas'!G97</f>
        <v>0</v>
      </c>
      <c r="K97" s="120">
        <f>'Suc. Xalisco'!G97</f>
        <v>1</v>
      </c>
      <c r="L97" s="120">
        <f t="shared" si="55"/>
        <v>7</v>
      </c>
      <c r="M97" s="131">
        <f>'Suc. Acaponeta'!G97</f>
        <v>0</v>
      </c>
      <c r="N97" s="131">
        <f>'Suc. Compostela'!G97</f>
        <v>0</v>
      </c>
      <c r="O97" s="131">
        <f>'Suc. Ruiz'!G97</f>
        <v>0</v>
      </c>
      <c r="P97" s="131">
        <f>'Suc. Sanblas'!G97</f>
        <v>0</v>
      </c>
      <c r="Q97" s="131">
        <f>'LALO VARAS'!G97</f>
        <v>0</v>
      </c>
      <c r="R97" s="131">
        <f>'Suc. Santiago 2'!G97</f>
        <v>0</v>
      </c>
      <c r="S97" s="131">
        <f>'Suc. Tecuala'!G97</f>
        <v>0</v>
      </c>
      <c r="T97" s="131">
        <f>'Suc. Tuxpan'!G97</f>
        <v>0</v>
      </c>
      <c r="U97" s="131">
        <f>'Suc. Varas'!G97</f>
        <v>0</v>
      </c>
      <c r="V97" s="131">
        <f>'Suc. Santa María del Oro'!G97</f>
        <v>0</v>
      </c>
      <c r="W97" s="131">
        <f>'Suc. Villa Hidalgo'!G97</f>
        <v>0</v>
      </c>
      <c r="X97" s="131">
        <f>'Suc. Peñita'!G97</f>
        <v>0</v>
      </c>
      <c r="Y97" s="120">
        <f t="shared" si="56"/>
        <v>0</v>
      </c>
      <c r="Z97" s="120">
        <f t="shared" si="57"/>
        <v>7</v>
      </c>
      <c r="AB97" s="131">
        <f>'GRAL. SUC. LOCALES'!N97</f>
        <v>19</v>
      </c>
    </row>
    <row r="98" spans="1:28" ht="17.399999999999999" x14ac:dyDescent="0.35">
      <c r="A98" s="94" t="s">
        <v>857</v>
      </c>
      <c r="B98" s="131">
        <f>'Suc. Amado Nervo'!G98</f>
        <v>0</v>
      </c>
      <c r="C98" s="131">
        <f>'Suc. León'!G98</f>
        <v>0</v>
      </c>
      <c r="D98" s="120">
        <f>'San Cayetano'!G98</f>
        <v>2</v>
      </c>
      <c r="E98" s="120">
        <f>'Suc. Boulevard'!G98</f>
        <v>3</v>
      </c>
      <c r="F98" s="120">
        <f>'Suc. Dos de Agosto'!G98</f>
        <v>0</v>
      </c>
      <c r="G98" s="120">
        <f>'Suc. La Nueva Canasta'!G98</f>
        <v>0</v>
      </c>
      <c r="H98" s="120">
        <f>'Suc. Mololoa'!G98</f>
        <v>0</v>
      </c>
      <c r="I98" s="120">
        <f>'Suc. Plaza'!G98</f>
        <v>0</v>
      </c>
      <c r="J98" s="120">
        <f>'Suc. Vistas'!G98</f>
        <v>1</v>
      </c>
      <c r="K98" s="120">
        <f>'Suc. Xalisco'!G98</f>
        <v>0</v>
      </c>
      <c r="L98" s="120">
        <f t="shared" si="55"/>
        <v>6</v>
      </c>
      <c r="M98" s="131">
        <f>'Suc. Acaponeta'!G98</f>
        <v>0</v>
      </c>
      <c r="N98" s="131">
        <f>'Suc. Compostela'!G98</f>
        <v>5</v>
      </c>
      <c r="O98" s="131">
        <f>'Suc. Ruiz'!G98</f>
        <v>0</v>
      </c>
      <c r="P98" s="131">
        <f>'Suc. Sanblas'!G98</f>
        <v>0</v>
      </c>
      <c r="Q98" s="131">
        <f>'LALO VARAS'!G98</f>
        <v>0</v>
      </c>
      <c r="R98" s="131">
        <f>'Suc. Santiago 2'!G98</f>
        <v>0</v>
      </c>
      <c r="S98" s="131">
        <f>'Suc. Tecuala'!G98</f>
        <v>0</v>
      </c>
      <c r="T98" s="131">
        <f>'Suc. Tuxpan'!G98</f>
        <v>5</v>
      </c>
      <c r="U98" s="131">
        <f>'Suc. Varas'!G98</f>
        <v>0</v>
      </c>
      <c r="V98" s="131">
        <f>'Suc. Santa María del Oro'!G98</f>
        <v>0</v>
      </c>
      <c r="W98" s="131">
        <f>'Suc. Villa Hidalgo'!G98</f>
        <v>0</v>
      </c>
      <c r="X98" s="131">
        <f>'Suc. Peñita'!G98</f>
        <v>0</v>
      </c>
      <c r="Y98" s="120">
        <f t="shared" si="56"/>
        <v>10</v>
      </c>
      <c r="Z98" s="120">
        <f t="shared" si="57"/>
        <v>16</v>
      </c>
      <c r="AB98" s="131">
        <f>'GRAL. SUC. LOCALES'!N98</f>
        <v>14</v>
      </c>
    </row>
    <row r="99" spans="1:28" ht="17.399999999999999" x14ac:dyDescent="0.35">
      <c r="A99" s="94" t="s">
        <v>835</v>
      </c>
      <c r="B99" s="131">
        <f>'Suc. Amado Nervo'!G99</f>
        <v>0</v>
      </c>
      <c r="C99" s="131">
        <f>'Suc. León'!G99</f>
        <v>0</v>
      </c>
      <c r="D99" s="120">
        <f>'San Cayetano'!G99</f>
        <v>0</v>
      </c>
      <c r="E99" s="120">
        <f>'Suc. Boulevard'!G99</f>
        <v>0</v>
      </c>
      <c r="F99" s="120">
        <f>'Suc. Dos de Agosto'!G99</f>
        <v>1</v>
      </c>
      <c r="G99" s="120">
        <f>'Suc. La Nueva Canasta'!G99</f>
        <v>0</v>
      </c>
      <c r="H99" s="120">
        <f>'Suc. Mololoa'!G99</f>
        <v>1</v>
      </c>
      <c r="I99" s="120">
        <f>'Suc. Plaza'!G99</f>
        <v>1</v>
      </c>
      <c r="J99" s="120">
        <f>'Suc. Vistas'!G99</f>
        <v>0</v>
      </c>
      <c r="K99" s="120">
        <f>'Suc. Xalisco'!G99</f>
        <v>0</v>
      </c>
      <c r="L99" s="120">
        <f t="shared" si="55"/>
        <v>3</v>
      </c>
      <c r="M99" s="131">
        <f>'Suc. Acaponeta'!G99</f>
        <v>0</v>
      </c>
      <c r="N99" s="131">
        <f>'Suc. Compostela'!G99</f>
        <v>1</v>
      </c>
      <c r="O99" s="131">
        <f>'Suc. Ruiz'!G99</f>
        <v>0</v>
      </c>
      <c r="P99" s="131">
        <f>'Suc. Sanblas'!G99</f>
        <v>0</v>
      </c>
      <c r="Q99" s="131">
        <f>'LALO VARAS'!G99</f>
        <v>0</v>
      </c>
      <c r="R99" s="131">
        <f>'Suc. Santiago 2'!G99</f>
        <v>0</v>
      </c>
      <c r="S99" s="131">
        <f>'Suc. Tecuala'!G99</f>
        <v>0</v>
      </c>
      <c r="T99" s="131">
        <f>'Suc. Tuxpan'!G99</f>
        <v>0</v>
      </c>
      <c r="U99" s="131">
        <f>'Suc. Varas'!G99</f>
        <v>0</v>
      </c>
      <c r="V99" s="131">
        <f>'Suc. Santa María del Oro'!G99</f>
        <v>0</v>
      </c>
      <c r="W99" s="131">
        <f>'Suc. Villa Hidalgo'!G99</f>
        <v>0</v>
      </c>
      <c r="X99" s="131">
        <f>'Suc. Peñita'!G99</f>
        <v>0</v>
      </c>
      <c r="Y99" s="120">
        <f t="shared" si="56"/>
        <v>1</v>
      </c>
      <c r="Z99" s="120">
        <f t="shared" si="57"/>
        <v>4</v>
      </c>
      <c r="AB99" s="131">
        <f>'GRAL. SUC. LOCALES'!N99</f>
        <v>15</v>
      </c>
    </row>
    <row r="100" spans="1:28" ht="17.399999999999999" x14ac:dyDescent="0.35">
      <c r="A100" s="94" t="s">
        <v>72</v>
      </c>
      <c r="B100" s="131">
        <f>'Suc. Amado Nervo'!G100</f>
        <v>0</v>
      </c>
      <c r="C100" s="131">
        <f>'Suc. León'!G100</f>
        <v>2</v>
      </c>
      <c r="D100" s="120">
        <f>'San Cayetano'!G100</f>
        <v>7</v>
      </c>
      <c r="E100" s="120">
        <f>'Suc. Boulevard'!G100</f>
        <v>9</v>
      </c>
      <c r="F100" s="120">
        <f>'Suc. Dos de Agosto'!G100</f>
        <v>11</v>
      </c>
      <c r="G100" s="120">
        <f>'Suc. La Nueva Canasta'!G100</f>
        <v>0</v>
      </c>
      <c r="H100" s="120">
        <f>'Suc. Mololoa'!G100</f>
        <v>22</v>
      </c>
      <c r="I100" s="120">
        <f>'Suc. Plaza'!G100</f>
        <v>18</v>
      </c>
      <c r="J100" s="120">
        <f>'Suc. Vistas'!G100</f>
        <v>23</v>
      </c>
      <c r="K100" s="120">
        <f>'Suc. Xalisco'!G100</f>
        <v>14</v>
      </c>
      <c r="L100" s="120">
        <f t="shared" si="55"/>
        <v>106</v>
      </c>
      <c r="M100" s="131">
        <f>'Suc. Acaponeta'!G100</f>
        <v>0</v>
      </c>
      <c r="N100" s="131">
        <f>'Suc. Compostela'!G100</f>
        <v>6</v>
      </c>
      <c r="O100" s="131">
        <f>'Suc. Ruiz'!G100</f>
        <v>0</v>
      </c>
      <c r="P100" s="131">
        <f>'Suc. Sanblas'!G100</f>
        <v>0</v>
      </c>
      <c r="Q100" s="131">
        <f>'LALO VARAS'!G100</f>
        <v>0</v>
      </c>
      <c r="R100" s="131">
        <f>'Suc. Santiago 2'!G100</f>
        <v>0</v>
      </c>
      <c r="S100" s="131">
        <f>'Suc. Tecuala'!G100</f>
        <v>0</v>
      </c>
      <c r="T100" s="131">
        <f>'Suc. Tuxpan'!G100</f>
        <v>30</v>
      </c>
      <c r="U100" s="131">
        <f>'Suc. Varas'!G100</f>
        <v>0</v>
      </c>
      <c r="V100" s="131">
        <f>'Suc. Santa María del Oro'!G100</f>
        <v>5</v>
      </c>
      <c r="W100" s="131">
        <f>'Suc. Villa Hidalgo'!G100</f>
        <v>0</v>
      </c>
      <c r="X100" s="131">
        <f>'Suc. Peñita'!G100</f>
        <v>0</v>
      </c>
      <c r="Y100" s="120">
        <f t="shared" si="56"/>
        <v>41</v>
      </c>
      <c r="Z100" s="120">
        <f t="shared" si="57"/>
        <v>147</v>
      </c>
      <c r="AB100" s="131">
        <f>'GRAL. SUC. LOCALES'!N100</f>
        <v>162</v>
      </c>
    </row>
    <row r="101" spans="1:28" ht="17.399999999999999" x14ac:dyDescent="0.35">
      <c r="A101" s="94" t="s">
        <v>73</v>
      </c>
      <c r="B101" s="131">
        <f>'Suc. Amado Nervo'!G101</f>
        <v>0</v>
      </c>
      <c r="C101" s="131">
        <f>'Suc. León'!G101</f>
        <v>0</v>
      </c>
      <c r="D101" s="120">
        <f>'San Cayetano'!G101</f>
        <v>0</v>
      </c>
      <c r="E101" s="120">
        <f>'Suc. Boulevard'!G101</f>
        <v>0</v>
      </c>
      <c r="F101" s="120">
        <f>'Suc. Dos de Agosto'!G101</f>
        <v>1</v>
      </c>
      <c r="G101" s="120">
        <f>'Suc. La Nueva Canasta'!G101</f>
        <v>0</v>
      </c>
      <c r="H101" s="120">
        <f>'Suc. Mololoa'!G101</f>
        <v>1</v>
      </c>
      <c r="I101" s="120">
        <f>'Suc. Plaza'!G101</f>
        <v>0</v>
      </c>
      <c r="J101" s="120">
        <f>'Suc. Vistas'!G101</f>
        <v>1</v>
      </c>
      <c r="K101" s="120">
        <f>'Suc. Xalisco'!G101</f>
        <v>1</v>
      </c>
      <c r="L101" s="120">
        <f t="shared" si="55"/>
        <v>4</v>
      </c>
      <c r="M101" s="131">
        <f>'Suc. Acaponeta'!G101</f>
        <v>0</v>
      </c>
      <c r="N101" s="131">
        <f>'Suc. Compostela'!G101</f>
        <v>0</v>
      </c>
      <c r="O101" s="131">
        <f>'Suc. Ruiz'!G101</f>
        <v>0</v>
      </c>
      <c r="P101" s="131">
        <f>'Suc. Sanblas'!G101</f>
        <v>0</v>
      </c>
      <c r="Q101" s="131">
        <f>'LALO VARAS'!G101</f>
        <v>0</v>
      </c>
      <c r="R101" s="131">
        <f>'Suc. Santiago 2'!G101</f>
        <v>0</v>
      </c>
      <c r="S101" s="131">
        <f>'Suc. Tecuala'!G101</f>
        <v>0</v>
      </c>
      <c r="T101" s="131">
        <f>'Suc. Tuxpan'!G101</f>
        <v>0</v>
      </c>
      <c r="U101" s="131">
        <f>'Suc. Varas'!G101</f>
        <v>0</v>
      </c>
      <c r="V101" s="131">
        <f>'Suc. Santa María del Oro'!G101</f>
        <v>0</v>
      </c>
      <c r="W101" s="131">
        <f>'Suc. Villa Hidalgo'!G101</f>
        <v>0</v>
      </c>
      <c r="X101" s="131">
        <f>'Suc. Peñita'!G101</f>
        <v>0</v>
      </c>
      <c r="Y101" s="120">
        <f t="shared" si="56"/>
        <v>0</v>
      </c>
      <c r="Z101" s="120">
        <f t="shared" si="57"/>
        <v>4</v>
      </c>
      <c r="AB101" s="131">
        <f>'GRAL. SUC. LOCALES'!N101</f>
        <v>13</v>
      </c>
    </row>
    <row r="102" spans="1:28" ht="17.399999999999999" x14ac:dyDescent="0.35">
      <c r="A102" s="94" t="s">
        <v>74</v>
      </c>
      <c r="B102" s="131">
        <f>'Suc. Amado Nervo'!G102</f>
        <v>1</v>
      </c>
      <c r="C102" s="131">
        <f>'Suc. León'!G102</f>
        <v>0</v>
      </c>
      <c r="D102" s="120">
        <f>'San Cayetano'!G102</f>
        <v>1</v>
      </c>
      <c r="E102" s="120">
        <f>'Suc. Boulevard'!G102</f>
        <v>0</v>
      </c>
      <c r="F102" s="120">
        <f>'Suc. Dos de Agosto'!G102</f>
        <v>2</v>
      </c>
      <c r="G102" s="120">
        <f>'Suc. La Nueva Canasta'!G102</f>
        <v>0</v>
      </c>
      <c r="H102" s="120">
        <f>'Suc. Mololoa'!G102</f>
        <v>0</v>
      </c>
      <c r="I102" s="120">
        <f>'Suc. Plaza'!G102</f>
        <v>1</v>
      </c>
      <c r="J102" s="120">
        <f>'Suc. Vistas'!G102</f>
        <v>1</v>
      </c>
      <c r="K102" s="120">
        <f>'Suc. Xalisco'!G102</f>
        <v>0</v>
      </c>
      <c r="L102" s="120">
        <f t="shared" si="55"/>
        <v>6</v>
      </c>
      <c r="M102" s="131">
        <f>'Suc. Acaponeta'!G102</f>
        <v>0</v>
      </c>
      <c r="N102" s="131">
        <f>'Suc. Compostela'!G102</f>
        <v>0</v>
      </c>
      <c r="O102" s="131">
        <f>'Suc. Ruiz'!G102</f>
        <v>0</v>
      </c>
      <c r="P102" s="131">
        <f>'Suc. Sanblas'!G102</f>
        <v>0</v>
      </c>
      <c r="Q102" s="131">
        <f>'LALO VARAS'!G102</f>
        <v>0</v>
      </c>
      <c r="R102" s="131">
        <f>'Suc. Santiago 2'!G102</f>
        <v>0</v>
      </c>
      <c r="S102" s="131">
        <f>'Suc. Tecuala'!G102</f>
        <v>0</v>
      </c>
      <c r="T102" s="131">
        <f>'Suc. Tuxpan'!G102</f>
        <v>0</v>
      </c>
      <c r="U102" s="131">
        <f>'Suc. Varas'!G102</f>
        <v>0</v>
      </c>
      <c r="V102" s="131">
        <f>'Suc. Santa María del Oro'!G102</f>
        <v>2</v>
      </c>
      <c r="W102" s="131">
        <f>'Suc. Villa Hidalgo'!G102</f>
        <v>0</v>
      </c>
      <c r="X102" s="131">
        <f>'Suc. Peñita'!G102</f>
        <v>0</v>
      </c>
      <c r="Y102" s="120">
        <f t="shared" si="56"/>
        <v>2</v>
      </c>
      <c r="Z102" s="120">
        <f t="shared" si="57"/>
        <v>8</v>
      </c>
      <c r="AB102" s="131">
        <f>'GRAL. SUC. LOCALES'!N102</f>
        <v>10</v>
      </c>
    </row>
    <row r="103" spans="1:28" ht="17.399999999999999" x14ac:dyDescent="0.35">
      <c r="A103" s="94" t="s">
        <v>75</v>
      </c>
      <c r="B103" s="131">
        <f>'Suc. Amado Nervo'!G103</f>
        <v>0</v>
      </c>
      <c r="C103" s="131">
        <f>'Suc. León'!G103</f>
        <v>1</v>
      </c>
      <c r="D103" s="120">
        <f>'San Cayetano'!G103</f>
        <v>1</v>
      </c>
      <c r="E103" s="120">
        <f>'Suc. Boulevard'!G103</f>
        <v>0</v>
      </c>
      <c r="F103" s="120">
        <f>'Suc. Dos de Agosto'!G103</f>
        <v>0</v>
      </c>
      <c r="G103" s="120">
        <f>'Suc. La Nueva Canasta'!G103</f>
        <v>0</v>
      </c>
      <c r="H103" s="120">
        <f>'Suc. Mololoa'!G103</f>
        <v>0</v>
      </c>
      <c r="I103" s="120">
        <f>'Suc. Plaza'!G103</f>
        <v>2</v>
      </c>
      <c r="J103" s="120">
        <f>'Suc. Vistas'!G103</f>
        <v>1</v>
      </c>
      <c r="K103" s="120">
        <f>'Suc. Xalisco'!G103</f>
        <v>1</v>
      </c>
      <c r="L103" s="120">
        <f t="shared" si="55"/>
        <v>6</v>
      </c>
      <c r="M103" s="131">
        <f>'Suc. Acaponeta'!G103</f>
        <v>0</v>
      </c>
      <c r="N103" s="131">
        <f>'Suc. Compostela'!G103</f>
        <v>0</v>
      </c>
      <c r="O103" s="131">
        <f>'Suc. Ruiz'!G103</f>
        <v>0</v>
      </c>
      <c r="P103" s="131">
        <f>'Suc. Sanblas'!G103</f>
        <v>0</v>
      </c>
      <c r="Q103" s="131">
        <f>'LALO VARAS'!G103</f>
        <v>0</v>
      </c>
      <c r="R103" s="131">
        <f>'Suc. Santiago 2'!G103</f>
        <v>0</v>
      </c>
      <c r="S103" s="131">
        <f>'Suc. Tecuala'!G103</f>
        <v>0</v>
      </c>
      <c r="T103" s="131">
        <f>'Suc. Tuxpan'!G103</f>
        <v>0</v>
      </c>
      <c r="U103" s="131">
        <f>'Suc. Varas'!G103</f>
        <v>0</v>
      </c>
      <c r="V103" s="131">
        <f>'Suc. Santa María del Oro'!G103</f>
        <v>4</v>
      </c>
      <c r="W103" s="131">
        <f>'Suc. Villa Hidalgo'!G103</f>
        <v>0</v>
      </c>
      <c r="X103" s="131">
        <f>'Suc. Peñita'!G103</f>
        <v>0</v>
      </c>
      <c r="Y103" s="120">
        <f t="shared" si="56"/>
        <v>4</v>
      </c>
      <c r="Z103" s="120">
        <f t="shared" si="57"/>
        <v>10</v>
      </c>
      <c r="AB103" s="131">
        <f>'GRAL. SUC. LOCALES'!N103</f>
        <v>8</v>
      </c>
    </row>
    <row r="104" spans="1:28" ht="18" thickBot="1" x14ac:dyDescent="0.4">
      <c r="A104" s="94"/>
      <c r="B104" s="131">
        <f>'Suc. Amado Nervo'!G104</f>
        <v>0</v>
      </c>
      <c r="C104" s="131">
        <f>'Suc. León'!G104</f>
        <v>0</v>
      </c>
      <c r="D104" s="120">
        <f>'San Cayetano'!G104</f>
        <v>0</v>
      </c>
      <c r="E104" s="120">
        <f>'Suc. Boulevard'!G104</f>
        <v>0</v>
      </c>
      <c r="F104" s="120">
        <f>'Suc. Dos de Agosto'!G104</f>
        <v>0</v>
      </c>
      <c r="G104" s="120">
        <f>'Suc. La Nueva Canasta'!G104</f>
        <v>0</v>
      </c>
      <c r="H104" s="120">
        <f>'Suc. Mololoa'!G104</f>
        <v>0</v>
      </c>
      <c r="I104" s="120">
        <f>'Suc. Plaza'!G104</f>
        <v>0</v>
      </c>
      <c r="J104" s="120">
        <f>'Suc. Vistas'!G104</f>
        <v>0</v>
      </c>
      <c r="K104" s="120">
        <f>'Suc. Xalisco'!G104</f>
        <v>0</v>
      </c>
      <c r="L104" s="120">
        <f t="shared" si="55"/>
        <v>0</v>
      </c>
      <c r="M104" s="131">
        <f>'Suc. Acaponeta'!G104</f>
        <v>0</v>
      </c>
      <c r="N104" s="131">
        <f>'Suc. Compostela'!G104</f>
        <v>0</v>
      </c>
      <c r="O104" s="131">
        <f>'Suc. Ruiz'!G104</f>
        <v>0</v>
      </c>
      <c r="P104" s="131">
        <f>'Suc. Sanblas'!G104</f>
        <v>0</v>
      </c>
      <c r="Q104" s="131">
        <f>'LALO VARAS'!G104</f>
        <v>0</v>
      </c>
      <c r="R104" s="131">
        <f>'Suc. Santiago 2'!G104</f>
        <v>0</v>
      </c>
      <c r="S104" s="131">
        <f>'Suc. Tecuala'!G104</f>
        <v>0</v>
      </c>
      <c r="T104" s="131">
        <f>'Suc. Tuxpan'!G104</f>
        <v>0</v>
      </c>
      <c r="U104" s="131">
        <f>'Suc. Varas'!G104</f>
        <v>0</v>
      </c>
      <c r="V104" s="131">
        <f>'Suc. Santa María del Oro'!G104</f>
        <v>0</v>
      </c>
      <c r="W104" s="131">
        <f>'Suc. Villa Hidalgo'!G104</f>
        <v>0</v>
      </c>
      <c r="X104" s="131">
        <f>'Suc. Peñita'!G104</f>
        <v>0</v>
      </c>
      <c r="Y104" s="120">
        <f t="shared" si="56"/>
        <v>0</v>
      </c>
      <c r="Z104" s="120">
        <f t="shared" si="57"/>
        <v>0</v>
      </c>
      <c r="AB104" s="131">
        <f>'GRAL. SUC. LOCALES'!N104</f>
        <v>0</v>
      </c>
    </row>
    <row r="105" spans="1:28" ht="18.600000000000001" thickBot="1" x14ac:dyDescent="0.4">
      <c r="A105" s="107" t="s">
        <v>55</v>
      </c>
      <c r="B105" s="129">
        <f t="shared" ref="B105:Z105" si="58">SUM(B93:B104)</f>
        <v>2</v>
      </c>
      <c r="C105" s="129">
        <f t="shared" si="58"/>
        <v>4</v>
      </c>
      <c r="D105" s="129">
        <f t="shared" si="58"/>
        <v>13</v>
      </c>
      <c r="E105" s="129">
        <f t="shared" si="58"/>
        <v>14</v>
      </c>
      <c r="F105" s="129">
        <f t="shared" si="58"/>
        <v>19</v>
      </c>
      <c r="G105" s="129">
        <f t="shared" si="58"/>
        <v>0</v>
      </c>
      <c r="H105" s="129">
        <f t="shared" si="58"/>
        <v>28</v>
      </c>
      <c r="I105" s="129">
        <f t="shared" si="58"/>
        <v>26</v>
      </c>
      <c r="J105" s="129">
        <f t="shared" si="58"/>
        <v>27</v>
      </c>
      <c r="K105" s="129">
        <f t="shared" si="58"/>
        <v>21</v>
      </c>
      <c r="L105" s="129">
        <f t="shared" si="58"/>
        <v>154</v>
      </c>
      <c r="M105" s="129">
        <f t="shared" si="58"/>
        <v>0</v>
      </c>
      <c r="N105" s="129">
        <f t="shared" si="58"/>
        <v>13</v>
      </c>
      <c r="O105" s="129">
        <f t="shared" si="58"/>
        <v>0</v>
      </c>
      <c r="P105" s="129">
        <f t="shared" si="58"/>
        <v>0</v>
      </c>
      <c r="Q105" s="129">
        <f t="shared" si="58"/>
        <v>0</v>
      </c>
      <c r="R105" s="129">
        <f t="shared" si="58"/>
        <v>0</v>
      </c>
      <c r="S105" s="129">
        <f t="shared" si="58"/>
        <v>0</v>
      </c>
      <c r="T105" s="129">
        <f t="shared" si="58"/>
        <v>35</v>
      </c>
      <c r="U105" s="129">
        <f t="shared" si="58"/>
        <v>0</v>
      </c>
      <c r="V105" s="129">
        <f t="shared" si="58"/>
        <v>11</v>
      </c>
      <c r="W105" s="129">
        <f t="shared" si="58"/>
        <v>0</v>
      </c>
      <c r="X105" s="129">
        <f t="shared" si="58"/>
        <v>0</v>
      </c>
      <c r="Y105" s="129">
        <f t="shared" si="58"/>
        <v>59</v>
      </c>
      <c r="Z105" s="129">
        <f t="shared" si="58"/>
        <v>213</v>
      </c>
      <c r="AB105" s="129">
        <f>SUM(AB93:AB104)</f>
        <v>315</v>
      </c>
    </row>
    <row r="106" spans="1:28" ht="17.399999999999999" x14ac:dyDescent="0.35">
      <c r="A106" s="108" t="s">
        <v>76</v>
      </c>
      <c r="B106" s="134"/>
      <c r="C106" s="134"/>
      <c r="D106" s="130"/>
      <c r="E106" s="130"/>
      <c r="F106" s="130"/>
      <c r="G106" s="130"/>
      <c r="H106" s="130"/>
      <c r="I106" s="130"/>
      <c r="J106" s="130"/>
      <c r="K106" s="130"/>
      <c r="L106" s="130"/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134"/>
      <c r="Y106" s="130"/>
      <c r="Z106" s="130"/>
      <c r="AB106" s="134"/>
    </row>
    <row r="107" spans="1:28" ht="17.399999999999999" x14ac:dyDescent="0.35">
      <c r="A107" s="94" t="s">
        <v>77</v>
      </c>
      <c r="B107" s="131">
        <f>'Suc. Amado Nervo'!G107</f>
        <v>0</v>
      </c>
      <c r="C107" s="131">
        <f>'Suc. León'!G107</f>
        <v>0</v>
      </c>
      <c r="D107" s="120">
        <f>'San Cayetano'!G107</f>
        <v>1</v>
      </c>
      <c r="E107" s="120">
        <f>'Suc. Boulevard'!G107</f>
        <v>0</v>
      </c>
      <c r="F107" s="120">
        <f>'Suc. Dos de Agosto'!G107</f>
        <v>0</v>
      </c>
      <c r="G107" s="120">
        <f>'Suc. La Nueva Canasta'!G107</f>
        <v>0</v>
      </c>
      <c r="H107" s="120">
        <f>'Suc. Mololoa'!G107</f>
        <v>1</v>
      </c>
      <c r="I107" s="120">
        <f>'Suc. Plaza'!G107</f>
        <v>0</v>
      </c>
      <c r="J107" s="120">
        <f>'Suc. Vistas'!G107</f>
        <v>0</v>
      </c>
      <c r="K107" s="120">
        <f>'Suc. Xalisco'!G107</f>
        <v>0</v>
      </c>
      <c r="L107" s="120">
        <f t="shared" ref="L107:L112" si="59">SUM(B107:K107)</f>
        <v>2</v>
      </c>
      <c r="M107" s="131">
        <f>'Suc. Acaponeta'!G107</f>
        <v>0</v>
      </c>
      <c r="N107" s="131">
        <f>'Suc. Compostela'!G107</f>
        <v>0</v>
      </c>
      <c r="O107" s="131">
        <f>'Suc. Ruiz'!G107</f>
        <v>0</v>
      </c>
      <c r="P107" s="131">
        <f>'Suc. Sanblas'!G107</f>
        <v>0</v>
      </c>
      <c r="Q107" s="131">
        <f>'LALO VARAS'!G107</f>
        <v>0</v>
      </c>
      <c r="R107" s="131">
        <f>'Suc. Santiago 2'!G107</f>
        <v>0</v>
      </c>
      <c r="S107" s="131">
        <f>'Suc. Tecuala'!G107</f>
        <v>0</v>
      </c>
      <c r="T107" s="131">
        <f>'Suc. Tuxpan'!G107</f>
        <v>0</v>
      </c>
      <c r="U107" s="131">
        <f>'Suc. Varas'!G107</f>
        <v>0</v>
      </c>
      <c r="V107" s="131">
        <f>'Suc. Santa María del Oro'!G107</f>
        <v>0</v>
      </c>
      <c r="W107" s="131">
        <f>'Suc. Villa Hidalgo'!G107</f>
        <v>0</v>
      </c>
      <c r="X107" s="131">
        <f>'Suc. Peñita'!G107</f>
        <v>0</v>
      </c>
      <c r="Y107" s="120">
        <f t="shared" ref="Y107:Y112" si="60">SUM(M107:X107)</f>
        <v>0</v>
      </c>
      <c r="Z107" s="120">
        <f t="shared" ref="Z107:Z112" si="61">L107+Y107</f>
        <v>2</v>
      </c>
      <c r="AB107" s="131">
        <f>'GRAL. SUC. LOCALES'!N107</f>
        <v>17</v>
      </c>
    </row>
    <row r="108" spans="1:28" ht="17.399999999999999" x14ac:dyDescent="0.35">
      <c r="A108" s="94" t="s">
        <v>621</v>
      </c>
      <c r="B108" s="131">
        <f>'Suc. Amado Nervo'!G108</f>
        <v>0</v>
      </c>
      <c r="C108" s="131">
        <f>'Suc. León'!G108</f>
        <v>0</v>
      </c>
      <c r="D108" s="120">
        <f>'San Cayetano'!G108</f>
        <v>0</v>
      </c>
      <c r="E108" s="120">
        <f>'Suc. Boulevard'!G108</f>
        <v>0</v>
      </c>
      <c r="F108" s="120">
        <f>'Suc. Dos de Agosto'!G108</f>
        <v>0</v>
      </c>
      <c r="G108" s="120">
        <f>'Suc. La Nueva Canasta'!G108</f>
        <v>0</v>
      </c>
      <c r="H108" s="120">
        <f>'Suc. Mololoa'!G108</f>
        <v>0</v>
      </c>
      <c r="I108" s="120">
        <f>'Suc. Plaza'!G108</f>
        <v>0</v>
      </c>
      <c r="J108" s="120">
        <f>'Suc. Vistas'!G108</f>
        <v>0</v>
      </c>
      <c r="K108" s="120">
        <f>'Suc. Xalisco'!G108</f>
        <v>0</v>
      </c>
      <c r="L108" s="120">
        <f t="shared" si="59"/>
        <v>0</v>
      </c>
      <c r="M108" s="131">
        <f>'Suc. Acaponeta'!G108</f>
        <v>0</v>
      </c>
      <c r="N108" s="131">
        <f>'Suc. Compostela'!G108</f>
        <v>0</v>
      </c>
      <c r="O108" s="131">
        <f>'Suc. Ruiz'!G108</f>
        <v>0</v>
      </c>
      <c r="P108" s="131">
        <f>'Suc. Sanblas'!G108</f>
        <v>0</v>
      </c>
      <c r="Q108" s="131">
        <f>'LALO VARAS'!G108</f>
        <v>0</v>
      </c>
      <c r="R108" s="131">
        <f>'Suc. Santiago 2'!G108</f>
        <v>0</v>
      </c>
      <c r="S108" s="131">
        <f>'Suc. Tecuala'!G108</f>
        <v>0</v>
      </c>
      <c r="T108" s="131">
        <f>'Suc. Tuxpan'!G108</f>
        <v>0</v>
      </c>
      <c r="U108" s="131">
        <f>'Suc. Varas'!G108</f>
        <v>0</v>
      </c>
      <c r="V108" s="131">
        <f>'Suc. Santa María del Oro'!G108</f>
        <v>0</v>
      </c>
      <c r="W108" s="131">
        <f>'Suc. Villa Hidalgo'!G108</f>
        <v>0</v>
      </c>
      <c r="X108" s="131">
        <f>'Suc. Peñita'!G108</f>
        <v>0</v>
      </c>
      <c r="Y108" s="120">
        <f t="shared" si="60"/>
        <v>0</v>
      </c>
      <c r="Z108" s="120">
        <f t="shared" si="61"/>
        <v>0</v>
      </c>
      <c r="AB108" s="131">
        <f>'GRAL. SUC. LOCALES'!N108</f>
        <v>0</v>
      </c>
    </row>
    <row r="109" spans="1:28" ht="17.399999999999999" x14ac:dyDescent="0.35">
      <c r="A109" s="94" t="s">
        <v>80</v>
      </c>
      <c r="B109" s="131">
        <f>'Suc. Amado Nervo'!G109</f>
        <v>0</v>
      </c>
      <c r="C109" s="131">
        <f>'Suc. León'!G109</f>
        <v>2</v>
      </c>
      <c r="D109" s="120">
        <f>'San Cayetano'!G109</f>
        <v>0</v>
      </c>
      <c r="E109" s="120">
        <f>'Suc. Boulevard'!G109</f>
        <v>1</v>
      </c>
      <c r="F109" s="120">
        <f>'Suc. Dos de Agosto'!G109</f>
        <v>0</v>
      </c>
      <c r="G109" s="120">
        <f>'Suc. La Nueva Canasta'!G109</f>
        <v>0</v>
      </c>
      <c r="H109" s="120">
        <f>'Suc. Mololoa'!G109</f>
        <v>0</v>
      </c>
      <c r="I109" s="120">
        <f>'Suc. Plaza'!G109</f>
        <v>2</v>
      </c>
      <c r="J109" s="120">
        <f>'Suc. Vistas'!G109</f>
        <v>0</v>
      </c>
      <c r="K109" s="120">
        <f>'Suc. Xalisco'!G109</f>
        <v>0</v>
      </c>
      <c r="L109" s="120">
        <f t="shared" si="59"/>
        <v>5</v>
      </c>
      <c r="M109" s="131">
        <f>'Suc. Acaponeta'!G109</f>
        <v>0</v>
      </c>
      <c r="N109" s="131">
        <f>'Suc. Compostela'!G109</f>
        <v>0</v>
      </c>
      <c r="O109" s="131">
        <f>'Suc. Ruiz'!G109</f>
        <v>0</v>
      </c>
      <c r="P109" s="131">
        <f>'Suc. Sanblas'!G109</f>
        <v>0</v>
      </c>
      <c r="Q109" s="131">
        <f>'LALO VARAS'!G109</f>
        <v>0</v>
      </c>
      <c r="R109" s="131">
        <f>'Suc. Santiago 2'!G109</f>
        <v>0</v>
      </c>
      <c r="S109" s="131">
        <f>'Suc. Tecuala'!G109</f>
        <v>0</v>
      </c>
      <c r="T109" s="131">
        <f>'Suc. Tuxpan'!G109</f>
        <v>0</v>
      </c>
      <c r="U109" s="131">
        <f>'Suc. Varas'!G109</f>
        <v>0</v>
      </c>
      <c r="V109" s="131">
        <f>'Suc. Santa María del Oro'!G109</f>
        <v>0</v>
      </c>
      <c r="W109" s="131">
        <f>'Suc. Villa Hidalgo'!G109</f>
        <v>0</v>
      </c>
      <c r="X109" s="131">
        <f>'Suc. Peñita'!G109</f>
        <v>0</v>
      </c>
      <c r="Y109" s="120">
        <f t="shared" si="60"/>
        <v>0</v>
      </c>
      <c r="Z109" s="120">
        <f t="shared" si="61"/>
        <v>5</v>
      </c>
      <c r="AB109" s="131">
        <f>'GRAL. SUC. LOCALES'!N109</f>
        <v>10</v>
      </c>
    </row>
    <row r="110" spans="1:28" ht="17.399999999999999" x14ac:dyDescent="0.35">
      <c r="A110" s="94" t="s">
        <v>81</v>
      </c>
      <c r="B110" s="131">
        <f>'Suc. Amado Nervo'!G110</f>
        <v>0</v>
      </c>
      <c r="C110" s="131">
        <f>'Suc. León'!G110</f>
        <v>0</v>
      </c>
      <c r="D110" s="120">
        <f>'San Cayetano'!G110</f>
        <v>0</v>
      </c>
      <c r="E110" s="120">
        <f>'Suc. Boulevard'!G110</f>
        <v>1</v>
      </c>
      <c r="F110" s="120">
        <f>'Suc. Dos de Agosto'!G110</f>
        <v>0</v>
      </c>
      <c r="G110" s="120">
        <f>'Suc. La Nueva Canasta'!G110</f>
        <v>0</v>
      </c>
      <c r="H110" s="120">
        <f>'Suc. Mololoa'!G110</f>
        <v>0</v>
      </c>
      <c r="I110" s="120">
        <f>'Suc. Plaza'!G110</f>
        <v>0</v>
      </c>
      <c r="J110" s="120">
        <f>'Suc. Vistas'!G110</f>
        <v>0</v>
      </c>
      <c r="K110" s="120">
        <f>'Suc. Xalisco'!G110</f>
        <v>0</v>
      </c>
      <c r="L110" s="120">
        <f t="shared" si="59"/>
        <v>1</v>
      </c>
      <c r="M110" s="131">
        <f>'Suc. Acaponeta'!G110</f>
        <v>0</v>
      </c>
      <c r="N110" s="131">
        <f>'Suc. Compostela'!G110</f>
        <v>0</v>
      </c>
      <c r="O110" s="131">
        <f>'Suc. Ruiz'!G110</f>
        <v>0</v>
      </c>
      <c r="P110" s="131">
        <f>'Suc. Sanblas'!G110</f>
        <v>0</v>
      </c>
      <c r="Q110" s="131">
        <f>'LALO VARAS'!G110</f>
        <v>0</v>
      </c>
      <c r="R110" s="131">
        <f>'Suc. Santiago 2'!G110</f>
        <v>0</v>
      </c>
      <c r="S110" s="131">
        <f>'Suc. Tecuala'!G110</f>
        <v>0</v>
      </c>
      <c r="T110" s="131">
        <f>'Suc. Tuxpan'!G110</f>
        <v>0</v>
      </c>
      <c r="U110" s="131">
        <f>'Suc. Varas'!G110</f>
        <v>0</v>
      </c>
      <c r="V110" s="131">
        <f>'Suc. Santa María del Oro'!G110</f>
        <v>0</v>
      </c>
      <c r="W110" s="131">
        <f>'Suc. Villa Hidalgo'!G110</f>
        <v>0</v>
      </c>
      <c r="X110" s="131">
        <f>'Suc. Peñita'!G110</f>
        <v>0</v>
      </c>
      <c r="Y110" s="120">
        <f t="shared" si="60"/>
        <v>0</v>
      </c>
      <c r="Z110" s="120">
        <f t="shared" si="61"/>
        <v>1</v>
      </c>
      <c r="AB110" s="131">
        <f>'GRAL. SUC. LOCALES'!N110</f>
        <v>10</v>
      </c>
    </row>
    <row r="111" spans="1:28" ht="17.399999999999999" x14ac:dyDescent="0.35">
      <c r="A111" s="95" t="s">
        <v>83</v>
      </c>
      <c r="B111" s="131">
        <f>'Suc. Amado Nervo'!G111</f>
        <v>0</v>
      </c>
      <c r="C111" s="131">
        <f>'Suc. León'!G111</f>
        <v>0</v>
      </c>
      <c r="D111" s="120">
        <f>'San Cayetano'!G111</f>
        <v>2</v>
      </c>
      <c r="E111" s="120">
        <f>'Suc. Boulevard'!G111</f>
        <v>0</v>
      </c>
      <c r="F111" s="120">
        <f>'Suc. Dos de Agosto'!G111</f>
        <v>0</v>
      </c>
      <c r="G111" s="120">
        <f>'Suc. La Nueva Canasta'!G111</f>
        <v>0</v>
      </c>
      <c r="H111" s="120">
        <f>'Suc. Mololoa'!G111</f>
        <v>0</v>
      </c>
      <c r="I111" s="120">
        <f>'Suc. Plaza'!G111</f>
        <v>0</v>
      </c>
      <c r="J111" s="120">
        <f>'Suc. Vistas'!G111</f>
        <v>1</v>
      </c>
      <c r="K111" s="120">
        <f>'Suc. Xalisco'!G111</f>
        <v>0</v>
      </c>
      <c r="L111" s="120">
        <f t="shared" si="59"/>
        <v>3</v>
      </c>
      <c r="M111" s="131">
        <f>'Suc. Acaponeta'!G111</f>
        <v>0</v>
      </c>
      <c r="N111" s="131">
        <f>'Suc. Compostela'!G111</f>
        <v>0</v>
      </c>
      <c r="O111" s="131">
        <f>'Suc. Ruiz'!G111</f>
        <v>0</v>
      </c>
      <c r="P111" s="131">
        <f>'Suc. Sanblas'!G111</f>
        <v>0</v>
      </c>
      <c r="Q111" s="131">
        <f>'LALO VARAS'!G111</f>
        <v>0</v>
      </c>
      <c r="R111" s="131">
        <f>'Suc. Santiago 2'!G111</f>
        <v>0</v>
      </c>
      <c r="S111" s="131">
        <f>'Suc. Tecuala'!G111</f>
        <v>0</v>
      </c>
      <c r="T111" s="131">
        <f>'Suc. Tuxpan'!G111</f>
        <v>0</v>
      </c>
      <c r="U111" s="131">
        <f>'Suc. Varas'!G111</f>
        <v>0</v>
      </c>
      <c r="V111" s="131">
        <f>'Suc. Santa María del Oro'!G111</f>
        <v>0</v>
      </c>
      <c r="W111" s="131">
        <f>'Suc. Villa Hidalgo'!G111</f>
        <v>0</v>
      </c>
      <c r="X111" s="131">
        <f>'Suc. Peñita'!G111</f>
        <v>0</v>
      </c>
      <c r="Y111" s="120">
        <f t="shared" si="60"/>
        <v>0</v>
      </c>
      <c r="Z111" s="120">
        <f t="shared" si="61"/>
        <v>3</v>
      </c>
      <c r="AB111" s="131">
        <f>'GRAL. SUC. LOCALES'!N111</f>
        <v>11</v>
      </c>
    </row>
    <row r="112" spans="1:28" ht="18" thickBot="1" x14ac:dyDescent="0.4">
      <c r="A112" s="95"/>
      <c r="B112" s="131">
        <f>'Suc. Amado Nervo'!G112</f>
        <v>0</v>
      </c>
      <c r="C112" s="131">
        <f>'Suc. León'!G112</f>
        <v>0</v>
      </c>
      <c r="D112" s="120">
        <f>'San Cayetano'!G112</f>
        <v>0</v>
      </c>
      <c r="E112" s="120">
        <f>'Suc. Boulevard'!G112</f>
        <v>0</v>
      </c>
      <c r="F112" s="120">
        <f>'Suc. Dos de Agosto'!G112</f>
        <v>0</v>
      </c>
      <c r="G112" s="120">
        <f>'Suc. La Nueva Canasta'!G112</f>
        <v>0</v>
      </c>
      <c r="H112" s="120">
        <f>'Suc. Mololoa'!G112</f>
        <v>0</v>
      </c>
      <c r="I112" s="120">
        <f>'Suc. Plaza'!G112</f>
        <v>0</v>
      </c>
      <c r="J112" s="120">
        <f>'Suc. Vistas'!G112</f>
        <v>0</v>
      </c>
      <c r="K112" s="120">
        <f>'Suc. Xalisco'!G112</f>
        <v>0</v>
      </c>
      <c r="L112" s="120">
        <f t="shared" si="59"/>
        <v>0</v>
      </c>
      <c r="M112" s="131">
        <f>'Suc. Acaponeta'!G112</f>
        <v>0</v>
      </c>
      <c r="N112" s="131">
        <f>'Suc. Compostela'!G112</f>
        <v>0</v>
      </c>
      <c r="O112" s="131">
        <f>'Suc. Ruiz'!G112</f>
        <v>0</v>
      </c>
      <c r="P112" s="131">
        <f>'Suc. Sanblas'!G112</f>
        <v>0</v>
      </c>
      <c r="Q112" s="131">
        <f>'LALO VARAS'!G112</f>
        <v>0</v>
      </c>
      <c r="R112" s="131">
        <f>'Suc. Santiago 2'!G112</f>
        <v>0</v>
      </c>
      <c r="S112" s="131">
        <f>'Suc. Tecuala'!G112</f>
        <v>0</v>
      </c>
      <c r="T112" s="131">
        <f>'Suc. Tuxpan'!G112</f>
        <v>0</v>
      </c>
      <c r="U112" s="131">
        <f>'Suc. Varas'!G112</f>
        <v>0</v>
      </c>
      <c r="V112" s="131">
        <f>'Suc. Santa María del Oro'!G112</f>
        <v>0</v>
      </c>
      <c r="W112" s="131">
        <f>'Suc. Villa Hidalgo'!G112</f>
        <v>0</v>
      </c>
      <c r="X112" s="131">
        <f>'Suc. Peñita'!G112</f>
        <v>0</v>
      </c>
      <c r="Y112" s="120">
        <f t="shared" si="60"/>
        <v>0</v>
      </c>
      <c r="Z112" s="120">
        <f t="shared" si="61"/>
        <v>0</v>
      </c>
      <c r="AB112" s="131">
        <f>'GRAL. SUC. LOCALES'!N112</f>
        <v>0</v>
      </c>
    </row>
    <row r="113" spans="1:28" ht="18" thickBot="1" x14ac:dyDescent="0.4">
      <c r="A113" s="109" t="s">
        <v>55</v>
      </c>
      <c r="B113" s="114">
        <f t="shared" ref="B113:Z113" si="62">SUM(B107:B112,B114:B116)</f>
        <v>0</v>
      </c>
      <c r="C113" s="114">
        <f t="shared" si="62"/>
        <v>2</v>
      </c>
      <c r="D113" s="114">
        <f t="shared" si="62"/>
        <v>8</v>
      </c>
      <c r="E113" s="114">
        <f t="shared" si="62"/>
        <v>4</v>
      </c>
      <c r="F113" s="114">
        <f t="shared" si="62"/>
        <v>4</v>
      </c>
      <c r="G113" s="114">
        <f t="shared" si="62"/>
        <v>0</v>
      </c>
      <c r="H113" s="114">
        <f t="shared" si="62"/>
        <v>2</v>
      </c>
      <c r="I113" s="114">
        <f t="shared" si="62"/>
        <v>6</v>
      </c>
      <c r="J113" s="114">
        <f t="shared" si="62"/>
        <v>2</v>
      </c>
      <c r="K113" s="114">
        <f t="shared" si="62"/>
        <v>1</v>
      </c>
      <c r="L113" s="114">
        <f t="shared" si="62"/>
        <v>29</v>
      </c>
      <c r="M113" s="114">
        <f t="shared" si="62"/>
        <v>0</v>
      </c>
      <c r="N113" s="114">
        <f t="shared" si="62"/>
        <v>2</v>
      </c>
      <c r="O113" s="114">
        <f t="shared" si="62"/>
        <v>0</v>
      </c>
      <c r="P113" s="114">
        <f t="shared" si="62"/>
        <v>0</v>
      </c>
      <c r="Q113" s="114">
        <f t="shared" si="62"/>
        <v>0</v>
      </c>
      <c r="R113" s="114">
        <f t="shared" si="62"/>
        <v>0</v>
      </c>
      <c r="S113" s="114">
        <f t="shared" si="62"/>
        <v>0</v>
      </c>
      <c r="T113" s="114">
        <f t="shared" si="62"/>
        <v>0</v>
      </c>
      <c r="U113" s="114">
        <f t="shared" si="62"/>
        <v>0</v>
      </c>
      <c r="V113" s="114">
        <f t="shared" si="62"/>
        <v>0</v>
      </c>
      <c r="W113" s="114">
        <f t="shared" si="62"/>
        <v>0</v>
      </c>
      <c r="X113" s="114">
        <f t="shared" si="62"/>
        <v>0</v>
      </c>
      <c r="Y113" s="114">
        <f t="shared" si="62"/>
        <v>2</v>
      </c>
      <c r="Z113" s="114">
        <f t="shared" si="62"/>
        <v>31</v>
      </c>
      <c r="AB113" s="114">
        <f>SUM(AB107:AB112,AB114:AB116)</f>
        <v>60</v>
      </c>
    </row>
    <row r="114" spans="1:28" ht="17.399999999999999" x14ac:dyDescent="0.35">
      <c r="A114" s="93" t="s">
        <v>84</v>
      </c>
      <c r="B114" s="131">
        <f>'Suc. Amado Nervo'!G114</f>
        <v>0</v>
      </c>
      <c r="C114" s="131">
        <f>'Suc. León'!G114</f>
        <v>0</v>
      </c>
      <c r="D114" s="120">
        <f>'San Cayetano'!G114</f>
        <v>2</v>
      </c>
      <c r="E114" s="120">
        <f>'Suc. Boulevard'!G114</f>
        <v>0</v>
      </c>
      <c r="F114" s="120">
        <f>'Suc. Dos de Agosto'!G114</f>
        <v>1</v>
      </c>
      <c r="G114" s="120">
        <f>'Suc. La Nueva Canasta'!G114</f>
        <v>0</v>
      </c>
      <c r="H114" s="120">
        <f>'Suc. Mololoa'!G114</f>
        <v>0</v>
      </c>
      <c r="I114" s="120">
        <f>'Suc. Plaza'!G114</f>
        <v>0</v>
      </c>
      <c r="J114" s="120">
        <f>'Suc. Vistas'!G114</f>
        <v>1</v>
      </c>
      <c r="K114" s="120">
        <f>'Suc. Xalisco'!G114</f>
        <v>1</v>
      </c>
      <c r="L114" s="120">
        <f t="shared" ref="L114:L116" si="63">SUM(B114:K114)</f>
        <v>5</v>
      </c>
      <c r="M114" s="131">
        <f>'Suc. Acaponeta'!G114</f>
        <v>0</v>
      </c>
      <c r="N114" s="131">
        <f>'Suc. Compostela'!G114</f>
        <v>0</v>
      </c>
      <c r="O114" s="131">
        <f>'Suc. Ruiz'!G114</f>
        <v>0</v>
      </c>
      <c r="P114" s="131">
        <f>'Suc. Sanblas'!G114</f>
        <v>0</v>
      </c>
      <c r="Q114" s="131">
        <f>'LALO VARAS'!G114</f>
        <v>0</v>
      </c>
      <c r="R114" s="131">
        <f>'Suc. Santiago 2'!G114</f>
        <v>0</v>
      </c>
      <c r="S114" s="131">
        <f>'Suc. Tecuala'!G114</f>
        <v>0</v>
      </c>
      <c r="T114" s="131">
        <f>'Suc. Tuxpan'!G114</f>
        <v>0</v>
      </c>
      <c r="U114" s="131">
        <f>'Suc. Varas'!G114</f>
        <v>0</v>
      </c>
      <c r="V114" s="131">
        <f>'Suc. Santa María del Oro'!G114</f>
        <v>0</v>
      </c>
      <c r="W114" s="131">
        <f>'Suc. Villa Hidalgo'!G114</f>
        <v>0</v>
      </c>
      <c r="X114" s="131">
        <f>'Suc. Peñita'!G114</f>
        <v>0</v>
      </c>
      <c r="Y114" s="120">
        <f t="shared" ref="Y114:Y116" si="64">SUM(M114:X114)</f>
        <v>0</v>
      </c>
      <c r="Z114" s="120">
        <f t="shared" ref="Z114:Z116" si="65">L114+Y114</f>
        <v>5</v>
      </c>
      <c r="AB114" s="131">
        <f>'GRAL. SUC. LOCALES'!N114</f>
        <v>2</v>
      </c>
    </row>
    <row r="115" spans="1:28" ht="17.399999999999999" x14ac:dyDescent="0.35">
      <c r="A115" s="95" t="s">
        <v>85</v>
      </c>
      <c r="B115" s="131">
        <f>'Suc. Amado Nervo'!G115</f>
        <v>0</v>
      </c>
      <c r="C115" s="131">
        <f>'Suc. León'!G115</f>
        <v>0</v>
      </c>
      <c r="D115" s="120">
        <f>'San Cayetano'!G115</f>
        <v>1</v>
      </c>
      <c r="E115" s="120">
        <f>'Suc. Boulevard'!G115</f>
        <v>1</v>
      </c>
      <c r="F115" s="120">
        <f>'Suc. Dos de Agosto'!G115</f>
        <v>1</v>
      </c>
      <c r="G115" s="120">
        <f>'Suc. La Nueva Canasta'!G115</f>
        <v>0</v>
      </c>
      <c r="H115" s="120">
        <f>'Suc. Mololoa'!G115</f>
        <v>1</v>
      </c>
      <c r="I115" s="120">
        <f>'Suc. Plaza'!G115</f>
        <v>1</v>
      </c>
      <c r="J115" s="120">
        <f>'Suc. Vistas'!G115</f>
        <v>0</v>
      </c>
      <c r="K115" s="120">
        <f>'Suc. Xalisco'!G115</f>
        <v>0</v>
      </c>
      <c r="L115" s="120">
        <f t="shared" si="63"/>
        <v>5</v>
      </c>
      <c r="M115" s="131">
        <f>'Suc. Acaponeta'!G115</f>
        <v>0</v>
      </c>
      <c r="N115" s="131">
        <f>'Suc. Compostela'!G115</f>
        <v>2</v>
      </c>
      <c r="O115" s="131">
        <f>'Suc. Ruiz'!G115</f>
        <v>0</v>
      </c>
      <c r="P115" s="131">
        <f>'Suc. Sanblas'!G115</f>
        <v>0</v>
      </c>
      <c r="Q115" s="131">
        <f>'LALO VARAS'!G115</f>
        <v>0</v>
      </c>
      <c r="R115" s="131">
        <f>'Suc. Santiago 2'!G115</f>
        <v>0</v>
      </c>
      <c r="S115" s="131">
        <f>'Suc. Tecuala'!G115</f>
        <v>0</v>
      </c>
      <c r="T115" s="131">
        <f>'Suc. Tuxpan'!G115</f>
        <v>0</v>
      </c>
      <c r="U115" s="131">
        <f>'Suc. Varas'!G115</f>
        <v>0</v>
      </c>
      <c r="V115" s="131">
        <f>'Suc. Santa María del Oro'!G115</f>
        <v>0</v>
      </c>
      <c r="W115" s="131">
        <f>'Suc. Villa Hidalgo'!G115</f>
        <v>0</v>
      </c>
      <c r="X115" s="131">
        <f>'Suc. Peñita'!G115</f>
        <v>0</v>
      </c>
      <c r="Y115" s="120">
        <f t="shared" si="64"/>
        <v>2</v>
      </c>
      <c r="Z115" s="120">
        <f t="shared" si="65"/>
        <v>7</v>
      </c>
      <c r="AB115" s="131">
        <f>'GRAL. SUC. LOCALES'!N115</f>
        <v>10</v>
      </c>
    </row>
    <row r="116" spans="1:28" ht="18" thickBot="1" x14ac:dyDescent="0.4">
      <c r="A116" s="95" t="s">
        <v>881</v>
      </c>
      <c r="B116" s="131">
        <f>'Suc. Amado Nervo'!G116</f>
        <v>0</v>
      </c>
      <c r="C116" s="131">
        <f>'Suc. León'!G116</f>
        <v>0</v>
      </c>
      <c r="D116" s="120">
        <f>'San Cayetano'!G116</f>
        <v>2</v>
      </c>
      <c r="E116" s="120">
        <f>'Suc. Boulevard'!G116</f>
        <v>1</v>
      </c>
      <c r="F116" s="120">
        <f>'Suc. Dos de Agosto'!G116</f>
        <v>2</v>
      </c>
      <c r="G116" s="120">
        <f>'Suc. La Nueva Canasta'!G116</f>
        <v>0</v>
      </c>
      <c r="H116" s="120">
        <f>'Suc. Mololoa'!G116</f>
        <v>0</v>
      </c>
      <c r="I116" s="120">
        <f>'Suc. Plaza'!G116</f>
        <v>3</v>
      </c>
      <c r="J116" s="120">
        <f>'Suc. Vistas'!G116</f>
        <v>0</v>
      </c>
      <c r="K116" s="120">
        <f>'Suc. Xalisco'!G116</f>
        <v>0</v>
      </c>
      <c r="L116" s="120">
        <f t="shared" si="63"/>
        <v>8</v>
      </c>
      <c r="M116" s="131">
        <f>'Suc. Acaponeta'!G116</f>
        <v>0</v>
      </c>
      <c r="N116" s="131">
        <f>'Suc. Compostela'!G116</f>
        <v>0</v>
      </c>
      <c r="O116" s="131">
        <f>'Suc. Ruiz'!G116</f>
        <v>0</v>
      </c>
      <c r="P116" s="131">
        <f>'Suc. Sanblas'!G116</f>
        <v>0</v>
      </c>
      <c r="Q116" s="131">
        <f>'LALO VARAS'!G116</f>
        <v>0</v>
      </c>
      <c r="R116" s="131">
        <f>'Suc. Santiago 2'!G116</f>
        <v>0</v>
      </c>
      <c r="S116" s="131">
        <f>'Suc. Tecuala'!G116</f>
        <v>0</v>
      </c>
      <c r="T116" s="131">
        <f>'Suc. Tuxpan'!G116</f>
        <v>0</v>
      </c>
      <c r="U116" s="131">
        <f>'Suc. Varas'!G116</f>
        <v>0</v>
      </c>
      <c r="V116" s="131">
        <f>'Suc. Santa María del Oro'!G116</f>
        <v>0</v>
      </c>
      <c r="W116" s="131">
        <f>'Suc. Villa Hidalgo'!G116</f>
        <v>0</v>
      </c>
      <c r="X116" s="131">
        <f>'Suc. Peñita'!G116</f>
        <v>0</v>
      </c>
      <c r="Y116" s="120">
        <f t="shared" si="64"/>
        <v>0</v>
      </c>
      <c r="Z116" s="120">
        <f t="shared" si="65"/>
        <v>8</v>
      </c>
      <c r="AB116" s="131">
        <f>'GRAL. SUC. LOCALES'!N116</f>
        <v>0</v>
      </c>
    </row>
    <row r="117" spans="1:28" ht="18" thickBot="1" x14ac:dyDescent="0.4">
      <c r="A117" s="110" t="s">
        <v>86</v>
      </c>
      <c r="B117" s="59">
        <f t="shared" ref="B117:Z117" si="66">B79+B91+B105+B113</f>
        <v>18</v>
      </c>
      <c r="C117" s="59">
        <f t="shared" si="66"/>
        <v>19</v>
      </c>
      <c r="D117" s="59">
        <f t="shared" si="66"/>
        <v>48</v>
      </c>
      <c r="E117" s="59">
        <f t="shared" si="66"/>
        <v>38</v>
      </c>
      <c r="F117" s="59">
        <f t="shared" si="66"/>
        <v>48</v>
      </c>
      <c r="G117" s="59">
        <f t="shared" si="66"/>
        <v>0</v>
      </c>
      <c r="H117" s="59">
        <f t="shared" si="66"/>
        <v>61</v>
      </c>
      <c r="I117" s="59">
        <f t="shared" si="66"/>
        <v>56</v>
      </c>
      <c r="J117" s="59">
        <f t="shared" si="66"/>
        <v>83</v>
      </c>
      <c r="K117" s="59">
        <f t="shared" si="66"/>
        <v>45</v>
      </c>
      <c r="L117" s="59">
        <f t="shared" si="66"/>
        <v>416</v>
      </c>
      <c r="M117" s="59">
        <f t="shared" si="66"/>
        <v>0</v>
      </c>
      <c r="N117" s="59">
        <f t="shared" si="66"/>
        <v>47</v>
      </c>
      <c r="O117" s="59">
        <f t="shared" si="66"/>
        <v>0</v>
      </c>
      <c r="P117" s="59">
        <f t="shared" si="66"/>
        <v>0</v>
      </c>
      <c r="Q117" s="59">
        <f t="shared" si="66"/>
        <v>37</v>
      </c>
      <c r="R117" s="59">
        <f t="shared" si="66"/>
        <v>0</v>
      </c>
      <c r="S117" s="59">
        <f t="shared" si="66"/>
        <v>0</v>
      </c>
      <c r="T117" s="59">
        <f t="shared" si="66"/>
        <v>103</v>
      </c>
      <c r="U117" s="59">
        <f t="shared" si="66"/>
        <v>0</v>
      </c>
      <c r="V117" s="59">
        <f t="shared" si="66"/>
        <v>40</v>
      </c>
      <c r="W117" s="59">
        <f t="shared" si="66"/>
        <v>0</v>
      </c>
      <c r="X117" s="59">
        <f t="shared" si="66"/>
        <v>0</v>
      </c>
      <c r="Y117" s="59">
        <f t="shared" si="66"/>
        <v>227</v>
      </c>
      <c r="Z117" s="59">
        <f t="shared" si="66"/>
        <v>643</v>
      </c>
      <c r="AB117" s="59">
        <f>AB79+AB91+AB105+AB113</f>
        <v>818</v>
      </c>
    </row>
    <row r="118" spans="1:28" ht="17.399999999999999" x14ac:dyDescent="0.35">
      <c r="A118" s="95" t="s">
        <v>975</v>
      </c>
      <c r="B118" s="131">
        <f>'Suc. Amado Nervo'!G118</f>
        <v>2</v>
      </c>
      <c r="C118" s="131">
        <f>'Suc. León'!G118</f>
        <v>1</v>
      </c>
      <c r="D118" s="120">
        <f>'San Cayetano'!G118</f>
        <v>4</v>
      </c>
      <c r="E118" s="120">
        <f>'Suc. Boulevard'!G118</f>
        <v>0</v>
      </c>
      <c r="F118" s="120">
        <f>'Suc. Dos de Agosto'!G118</f>
        <v>3</v>
      </c>
      <c r="G118" s="120">
        <f>'Suc. La Nueva Canasta'!G118</f>
        <v>0</v>
      </c>
      <c r="H118" s="120">
        <f>'Suc. Mololoa'!G118</f>
        <v>3</v>
      </c>
      <c r="I118" s="120">
        <f>'Suc. Plaza'!G118</f>
        <v>1</v>
      </c>
      <c r="J118" s="120">
        <f>'Suc. Vistas'!G118</f>
        <v>3</v>
      </c>
      <c r="K118" s="120">
        <f>'Suc. Xalisco'!G118</f>
        <v>0</v>
      </c>
      <c r="L118" s="120">
        <f t="shared" ref="L118:L148" si="67">SUM(B118:K118)</f>
        <v>17</v>
      </c>
      <c r="M118" s="131">
        <f>'Suc. Acaponeta'!G118</f>
        <v>0</v>
      </c>
      <c r="N118" s="131">
        <f>'Suc. Compostela'!G118</f>
        <v>3</v>
      </c>
      <c r="O118" s="131">
        <f>'Suc. Ruiz'!G118</f>
        <v>0</v>
      </c>
      <c r="P118" s="131">
        <f>'Suc. Sanblas'!G118</f>
        <v>0</v>
      </c>
      <c r="Q118" s="131">
        <f>'LALO VARAS'!G118</f>
        <v>0</v>
      </c>
      <c r="R118" s="131">
        <f>'Suc. Santiago 2'!G118</f>
        <v>0</v>
      </c>
      <c r="S118" s="131">
        <f>'Suc. Tecuala'!G118</f>
        <v>0</v>
      </c>
      <c r="T118" s="131">
        <f>'Suc. Tuxpan'!G118</f>
        <v>0</v>
      </c>
      <c r="U118" s="131">
        <f>'Suc. Varas'!G118</f>
        <v>0</v>
      </c>
      <c r="V118" s="131">
        <f>'Suc. Santa María del Oro'!G118</f>
        <v>0</v>
      </c>
      <c r="W118" s="131">
        <f>'Suc. Villa Hidalgo'!G118</f>
        <v>0</v>
      </c>
      <c r="X118" s="131">
        <f>'Suc. Peñita'!G118</f>
        <v>0</v>
      </c>
      <c r="Y118" s="120">
        <f t="shared" ref="Y118:Y148" si="68">SUM(M118:X118)</f>
        <v>3</v>
      </c>
      <c r="Z118" s="120">
        <f t="shared" ref="Z118:Z148" si="69">L118+Y118</f>
        <v>20</v>
      </c>
      <c r="AB118" s="131">
        <f>'GRAL. SUC. LOCALES'!N118</f>
        <v>0</v>
      </c>
    </row>
    <row r="119" spans="1:28" ht="17.399999999999999" x14ac:dyDescent="0.35">
      <c r="A119" s="95" t="s">
        <v>974</v>
      </c>
      <c r="B119" s="131">
        <f>'Suc. Amado Nervo'!G119</f>
        <v>0</v>
      </c>
      <c r="C119" s="131">
        <f>'Suc. León'!G119</f>
        <v>0</v>
      </c>
      <c r="D119" s="120">
        <f>'San Cayetano'!G119</f>
        <v>0</v>
      </c>
      <c r="E119" s="120">
        <f>'Suc. Boulevard'!G119</f>
        <v>0</v>
      </c>
      <c r="F119" s="120">
        <f>'Suc. Dos de Agosto'!G119</f>
        <v>0</v>
      </c>
      <c r="G119" s="120">
        <f>'Suc. La Nueva Canasta'!G119</f>
        <v>0</v>
      </c>
      <c r="H119" s="120">
        <f>'Suc. Mololoa'!G119</f>
        <v>0</v>
      </c>
      <c r="I119" s="120">
        <f>'Suc. Plaza'!G119</f>
        <v>0</v>
      </c>
      <c r="J119" s="120">
        <f>'Suc. Vistas'!G119</f>
        <v>0</v>
      </c>
      <c r="K119" s="120">
        <f>'Suc. Xalisco'!G119</f>
        <v>0</v>
      </c>
      <c r="L119" s="120">
        <f t="shared" si="67"/>
        <v>0</v>
      </c>
      <c r="M119" s="131">
        <f>'Suc. Acaponeta'!G119</f>
        <v>0</v>
      </c>
      <c r="N119" s="131">
        <f>'Suc. Compostela'!G119</f>
        <v>3</v>
      </c>
      <c r="O119" s="131">
        <f>'Suc. Ruiz'!G119</f>
        <v>0</v>
      </c>
      <c r="P119" s="131">
        <f>'Suc. Sanblas'!G119</f>
        <v>0</v>
      </c>
      <c r="Q119" s="131">
        <f>'LALO VARAS'!G119</f>
        <v>0</v>
      </c>
      <c r="R119" s="131">
        <f>'Suc. Santiago 2'!G119</f>
        <v>0</v>
      </c>
      <c r="S119" s="131">
        <f>'Suc. Tecuala'!G119</f>
        <v>0</v>
      </c>
      <c r="T119" s="131">
        <f>'Suc. Tuxpan'!G119</f>
        <v>0</v>
      </c>
      <c r="U119" s="131">
        <f>'Suc. Varas'!G119</f>
        <v>0</v>
      </c>
      <c r="V119" s="131">
        <f>'Suc. Santa María del Oro'!G119</f>
        <v>0</v>
      </c>
      <c r="W119" s="131">
        <f>'Suc. Villa Hidalgo'!G119</f>
        <v>0</v>
      </c>
      <c r="X119" s="131">
        <f>'Suc. Peñita'!G119</f>
        <v>0</v>
      </c>
      <c r="Y119" s="120">
        <f t="shared" si="68"/>
        <v>3</v>
      </c>
      <c r="Z119" s="120">
        <f t="shared" si="69"/>
        <v>3</v>
      </c>
      <c r="AB119" s="131">
        <f>'GRAL. SUC. LOCALES'!N119</f>
        <v>0</v>
      </c>
    </row>
    <row r="120" spans="1:28" ht="17.399999999999999" x14ac:dyDescent="0.35">
      <c r="A120" s="95" t="s">
        <v>1077</v>
      </c>
      <c r="B120" s="131">
        <f>'Suc. Amado Nervo'!G120</f>
        <v>0</v>
      </c>
      <c r="C120" s="131">
        <f>'Suc. León'!G120</f>
        <v>0</v>
      </c>
      <c r="D120" s="120">
        <f>'San Cayetano'!G120</f>
        <v>0</v>
      </c>
      <c r="E120" s="120">
        <f>'Suc. Boulevard'!G120</f>
        <v>0</v>
      </c>
      <c r="F120" s="120">
        <f>'Suc. Dos de Agosto'!G120</f>
        <v>0</v>
      </c>
      <c r="G120" s="120">
        <f>'Suc. La Nueva Canasta'!G120</f>
        <v>0</v>
      </c>
      <c r="H120" s="120">
        <f>'Suc. Mololoa'!G120</f>
        <v>0</v>
      </c>
      <c r="I120" s="120">
        <f>'Suc. Plaza'!G120</f>
        <v>0</v>
      </c>
      <c r="J120" s="120">
        <f>'Suc. Vistas'!G120</f>
        <v>0</v>
      </c>
      <c r="K120" s="120">
        <f>'Suc. Xalisco'!G120</f>
        <v>0</v>
      </c>
      <c r="L120" s="120">
        <f t="shared" si="67"/>
        <v>0</v>
      </c>
      <c r="M120" s="131">
        <f>'Suc. Acaponeta'!G120</f>
        <v>0</v>
      </c>
      <c r="N120" s="131">
        <f>'Suc. Compostela'!G120</f>
        <v>0</v>
      </c>
      <c r="O120" s="131">
        <f>'Suc. Ruiz'!G120</f>
        <v>0</v>
      </c>
      <c r="P120" s="131">
        <f>'Suc. Sanblas'!G120</f>
        <v>0</v>
      </c>
      <c r="Q120" s="131">
        <f>'LALO VARAS'!G120</f>
        <v>0</v>
      </c>
      <c r="R120" s="131">
        <f>'Suc. Santiago 2'!G120</f>
        <v>0</v>
      </c>
      <c r="S120" s="131">
        <f>'Suc. Tecuala'!G120</f>
        <v>0</v>
      </c>
      <c r="T120" s="131">
        <f>'Suc. Tuxpan'!G120</f>
        <v>0</v>
      </c>
      <c r="U120" s="131">
        <f>'Suc. Varas'!G120</f>
        <v>0</v>
      </c>
      <c r="V120" s="131">
        <f>'Suc. Santa María del Oro'!G120</f>
        <v>0</v>
      </c>
      <c r="W120" s="131">
        <f>'Suc. Villa Hidalgo'!G120</f>
        <v>0</v>
      </c>
      <c r="X120" s="131">
        <f>'Suc. Peñita'!G120</f>
        <v>0</v>
      </c>
      <c r="Y120" s="120">
        <f t="shared" si="68"/>
        <v>0</v>
      </c>
      <c r="Z120" s="120">
        <f t="shared" si="69"/>
        <v>0</v>
      </c>
      <c r="AB120" s="131">
        <f>'GRAL. SUC. LOCALES'!N120</f>
        <v>0</v>
      </c>
    </row>
    <row r="121" spans="1:28" ht="17.399999999999999" x14ac:dyDescent="0.35">
      <c r="A121" s="95" t="s">
        <v>1076</v>
      </c>
      <c r="B121" s="131">
        <f>'Suc. Amado Nervo'!G121</f>
        <v>0</v>
      </c>
      <c r="C121" s="131">
        <f>'Suc. León'!G121</f>
        <v>0</v>
      </c>
      <c r="D121" s="120">
        <f>'San Cayetano'!G121</f>
        <v>0</v>
      </c>
      <c r="E121" s="120">
        <f>'Suc. Boulevard'!G121</f>
        <v>0</v>
      </c>
      <c r="F121" s="120">
        <f>'Suc. Dos de Agosto'!G121</f>
        <v>0</v>
      </c>
      <c r="G121" s="120">
        <f>'Suc. La Nueva Canasta'!G121</f>
        <v>0</v>
      </c>
      <c r="H121" s="120">
        <f>'Suc. Mololoa'!G121</f>
        <v>0</v>
      </c>
      <c r="I121" s="120">
        <f>'Suc. Plaza'!G121</f>
        <v>0</v>
      </c>
      <c r="J121" s="120">
        <f>'Suc. Vistas'!G121</f>
        <v>0</v>
      </c>
      <c r="K121" s="120">
        <f>'Suc. Xalisco'!G121</f>
        <v>0</v>
      </c>
      <c r="L121" s="120">
        <f t="shared" si="67"/>
        <v>0</v>
      </c>
      <c r="M121" s="131">
        <f>'Suc. Acaponeta'!G121</f>
        <v>0</v>
      </c>
      <c r="N121" s="131">
        <f>'Suc. Compostela'!G121</f>
        <v>0</v>
      </c>
      <c r="O121" s="131">
        <f>'Suc. Ruiz'!G121</f>
        <v>0</v>
      </c>
      <c r="P121" s="131">
        <f>'Suc. Sanblas'!G121</f>
        <v>0</v>
      </c>
      <c r="Q121" s="131">
        <f>'LALO VARAS'!G121</f>
        <v>0</v>
      </c>
      <c r="R121" s="131">
        <f>'Suc. Santiago 2'!G121</f>
        <v>0</v>
      </c>
      <c r="S121" s="131">
        <f>'Suc. Tecuala'!G121</f>
        <v>0</v>
      </c>
      <c r="T121" s="131">
        <f>'Suc. Tuxpan'!G121</f>
        <v>0</v>
      </c>
      <c r="U121" s="131">
        <f>'Suc. Varas'!G121</f>
        <v>0</v>
      </c>
      <c r="V121" s="131">
        <f>'Suc. Santa María del Oro'!G121</f>
        <v>0</v>
      </c>
      <c r="W121" s="131">
        <f>'Suc. Villa Hidalgo'!G121</f>
        <v>0</v>
      </c>
      <c r="X121" s="131">
        <f>'Suc. Peñita'!G121</f>
        <v>0</v>
      </c>
      <c r="Y121" s="120">
        <f t="shared" si="68"/>
        <v>0</v>
      </c>
      <c r="Z121" s="120">
        <f t="shared" si="69"/>
        <v>0</v>
      </c>
      <c r="AB121" s="131">
        <f>'GRAL. SUC. LOCALES'!N121</f>
        <v>0</v>
      </c>
    </row>
    <row r="122" spans="1:28" ht="17.399999999999999" x14ac:dyDescent="0.35">
      <c r="A122" s="95" t="s">
        <v>1014</v>
      </c>
      <c r="B122" s="131">
        <f>'Suc. Amado Nervo'!G122</f>
        <v>0</v>
      </c>
      <c r="C122" s="131">
        <f>'Suc. León'!G122</f>
        <v>0</v>
      </c>
      <c r="D122" s="120">
        <f>'San Cayetano'!G122</f>
        <v>0</v>
      </c>
      <c r="E122" s="120">
        <f>'Suc. Boulevard'!G122</f>
        <v>0</v>
      </c>
      <c r="F122" s="120">
        <f>'Suc. Dos de Agosto'!G122</f>
        <v>0</v>
      </c>
      <c r="G122" s="120">
        <f>'Suc. La Nueva Canasta'!G122</f>
        <v>0</v>
      </c>
      <c r="H122" s="120">
        <f>'Suc. Mololoa'!G122</f>
        <v>0</v>
      </c>
      <c r="I122" s="120">
        <f>'Suc. Plaza'!G122</f>
        <v>1</v>
      </c>
      <c r="J122" s="120">
        <f>'Suc. Vistas'!G122</f>
        <v>6</v>
      </c>
      <c r="K122" s="120">
        <f>'Suc. Xalisco'!G122</f>
        <v>1</v>
      </c>
      <c r="L122" s="120">
        <f t="shared" si="67"/>
        <v>8</v>
      </c>
      <c r="M122" s="131">
        <f>'Suc. Acaponeta'!G122</f>
        <v>0</v>
      </c>
      <c r="N122" s="131">
        <f>'Suc. Compostela'!G122</f>
        <v>0</v>
      </c>
      <c r="O122" s="131">
        <f>'Suc. Ruiz'!G122</f>
        <v>0</v>
      </c>
      <c r="P122" s="131">
        <f>'Suc. Sanblas'!G122</f>
        <v>0</v>
      </c>
      <c r="Q122" s="131">
        <f>'LALO VARAS'!G122</f>
        <v>0</v>
      </c>
      <c r="R122" s="131">
        <f>'Suc. Santiago 2'!G122</f>
        <v>0</v>
      </c>
      <c r="S122" s="131">
        <f>'Suc. Tecuala'!G122</f>
        <v>0</v>
      </c>
      <c r="T122" s="131">
        <f>'Suc. Tuxpan'!G122</f>
        <v>0</v>
      </c>
      <c r="U122" s="131">
        <f>'Suc. Varas'!G122</f>
        <v>0</v>
      </c>
      <c r="V122" s="131">
        <f>'Suc. Santa María del Oro'!G122</f>
        <v>0</v>
      </c>
      <c r="W122" s="131">
        <f>'Suc. Villa Hidalgo'!G122</f>
        <v>0</v>
      </c>
      <c r="X122" s="131">
        <f>'Suc. Peñita'!G122</f>
        <v>0</v>
      </c>
      <c r="Y122" s="120">
        <f t="shared" si="68"/>
        <v>0</v>
      </c>
      <c r="Z122" s="120">
        <f t="shared" si="69"/>
        <v>8</v>
      </c>
      <c r="AB122" s="131">
        <f>'GRAL. SUC. LOCALES'!N122</f>
        <v>27</v>
      </c>
    </row>
    <row r="123" spans="1:28" ht="17.399999999999999" x14ac:dyDescent="0.35">
      <c r="A123" s="95" t="s">
        <v>1015</v>
      </c>
      <c r="B123" s="131">
        <f>'Suc. Amado Nervo'!G123</f>
        <v>0</v>
      </c>
      <c r="C123" s="131">
        <f>'Suc. León'!G123</f>
        <v>0</v>
      </c>
      <c r="D123" s="120">
        <f>'San Cayetano'!G123</f>
        <v>0</v>
      </c>
      <c r="E123" s="120">
        <f>'Suc. Boulevard'!G123</f>
        <v>0</v>
      </c>
      <c r="F123" s="120">
        <f>'Suc. Dos de Agosto'!G123</f>
        <v>0</v>
      </c>
      <c r="G123" s="120">
        <f>'Suc. La Nueva Canasta'!G123</f>
        <v>0</v>
      </c>
      <c r="H123" s="120">
        <f>'Suc. Mololoa'!G123</f>
        <v>0</v>
      </c>
      <c r="I123" s="120">
        <f>'Suc. Plaza'!G123</f>
        <v>0</v>
      </c>
      <c r="J123" s="120">
        <f>'Suc. Vistas'!G123</f>
        <v>0</v>
      </c>
      <c r="K123" s="120">
        <f>'Suc. Xalisco'!G123</f>
        <v>0</v>
      </c>
      <c r="L123" s="120">
        <f t="shared" si="67"/>
        <v>0</v>
      </c>
      <c r="M123" s="131">
        <f>'Suc. Acaponeta'!G123</f>
        <v>0</v>
      </c>
      <c r="N123" s="131">
        <f>'Suc. Compostela'!G123</f>
        <v>0</v>
      </c>
      <c r="O123" s="131">
        <f>'Suc. Ruiz'!G123</f>
        <v>0</v>
      </c>
      <c r="P123" s="131">
        <f>'Suc. Sanblas'!G123</f>
        <v>0</v>
      </c>
      <c r="Q123" s="131">
        <f>'LALO VARAS'!G123</f>
        <v>0</v>
      </c>
      <c r="R123" s="131">
        <f>'Suc. Santiago 2'!G123</f>
        <v>0</v>
      </c>
      <c r="S123" s="131">
        <f>'Suc. Tecuala'!G123</f>
        <v>0</v>
      </c>
      <c r="T123" s="131">
        <f>'Suc. Tuxpan'!G123</f>
        <v>0</v>
      </c>
      <c r="U123" s="131">
        <f>'Suc. Varas'!G123</f>
        <v>0</v>
      </c>
      <c r="V123" s="131">
        <f>'Suc. Santa María del Oro'!G123</f>
        <v>0</v>
      </c>
      <c r="W123" s="131">
        <f>'Suc. Villa Hidalgo'!G123</f>
        <v>0</v>
      </c>
      <c r="X123" s="131">
        <f>'Suc. Peñita'!G123</f>
        <v>0</v>
      </c>
      <c r="Y123" s="120">
        <f t="shared" si="68"/>
        <v>0</v>
      </c>
      <c r="Z123" s="120">
        <f t="shared" si="69"/>
        <v>0</v>
      </c>
      <c r="AB123" s="131">
        <f>'GRAL. SUC. LOCALES'!N123</f>
        <v>12</v>
      </c>
    </row>
    <row r="124" spans="1:28" ht="17.399999999999999" x14ac:dyDescent="0.35">
      <c r="A124" s="95" t="s">
        <v>1016</v>
      </c>
      <c r="B124" s="131">
        <f>'Suc. Amado Nervo'!G124</f>
        <v>0</v>
      </c>
      <c r="C124" s="131">
        <f>'Suc. León'!G124</f>
        <v>0</v>
      </c>
      <c r="D124" s="120">
        <f>'San Cayetano'!G124</f>
        <v>0</v>
      </c>
      <c r="E124" s="120">
        <f>'Suc. Boulevard'!G124</f>
        <v>0</v>
      </c>
      <c r="F124" s="120">
        <f>'Suc. Dos de Agosto'!G124</f>
        <v>0</v>
      </c>
      <c r="G124" s="120">
        <f>'Suc. La Nueva Canasta'!G124</f>
        <v>0</v>
      </c>
      <c r="H124" s="120">
        <f>'Suc. Mololoa'!G124</f>
        <v>2</v>
      </c>
      <c r="I124" s="120">
        <f>'Suc. Plaza'!G124</f>
        <v>0</v>
      </c>
      <c r="J124" s="120">
        <f>'Suc. Vistas'!G124</f>
        <v>0</v>
      </c>
      <c r="K124" s="120">
        <f>'Suc. Xalisco'!G124</f>
        <v>0</v>
      </c>
      <c r="L124" s="120">
        <f t="shared" si="67"/>
        <v>2</v>
      </c>
      <c r="M124" s="131">
        <f>'Suc. Acaponeta'!G124</f>
        <v>0</v>
      </c>
      <c r="N124" s="131">
        <f>'Suc. Compostela'!G124</f>
        <v>0</v>
      </c>
      <c r="O124" s="131">
        <f>'Suc. Ruiz'!G124</f>
        <v>0</v>
      </c>
      <c r="P124" s="131">
        <f>'Suc. Sanblas'!G124</f>
        <v>0</v>
      </c>
      <c r="Q124" s="131">
        <f>'LALO VARAS'!G124</f>
        <v>0</v>
      </c>
      <c r="R124" s="131">
        <f>'Suc. Santiago 2'!G124</f>
        <v>0</v>
      </c>
      <c r="S124" s="131">
        <f>'Suc. Tecuala'!G124</f>
        <v>0</v>
      </c>
      <c r="T124" s="131">
        <f>'Suc. Tuxpan'!G124</f>
        <v>0</v>
      </c>
      <c r="U124" s="131">
        <f>'Suc. Varas'!G124</f>
        <v>0</v>
      </c>
      <c r="V124" s="131">
        <f>'Suc. Santa María del Oro'!G124</f>
        <v>0</v>
      </c>
      <c r="W124" s="131">
        <f>'Suc. Villa Hidalgo'!G124</f>
        <v>0</v>
      </c>
      <c r="X124" s="131">
        <f>'Suc. Peñita'!G124</f>
        <v>0</v>
      </c>
      <c r="Y124" s="120">
        <f t="shared" si="68"/>
        <v>0</v>
      </c>
      <c r="Z124" s="120">
        <f t="shared" si="69"/>
        <v>2</v>
      </c>
      <c r="AB124" s="131">
        <f>'GRAL. SUC. LOCALES'!N124</f>
        <v>8</v>
      </c>
    </row>
    <row r="125" spans="1:28" ht="17.399999999999999" x14ac:dyDescent="0.35">
      <c r="A125" s="95" t="s">
        <v>1017</v>
      </c>
      <c r="B125" s="131">
        <f>'Suc. Amado Nervo'!G125</f>
        <v>0</v>
      </c>
      <c r="C125" s="131">
        <f>'Suc. León'!G125</f>
        <v>0</v>
      </c>
      <c r="D125" s="120">
        <f>'San Cayetano'!G125</f>
        <v>0</v>
      </c>
      <c r="E125" s="120">
        <f>'Suc. Boulevard'!G125</f>
        <v>0</v>
      </c>
      <c r="F125" s="120">
        <f>'Suc. Dos de Agosto'!G125</f>
        <v>1</v>
      </c>
      <c r="G125" s="120">
        <f>'Suc. La Nueva Canasta'!G125</f>
        <v>0</v>
      </c>
      <c r="H125" s="120">
        <f>'Suc. Mololoa'!G125</f>
        <v>0</v>
      </c>
      <c r="I125" s="120">
        <f>'Suc. Plaza'!G125</f>
        <v>0</v>
      </c>
      <c r="J125" s="120">
        <f>'Suc. Vistas'!G125</f>
        <v>0</v>
      </c>
      <c r="K125" s="120">
        <f>'Suc. Xalisco'!G125</f>
        <v>0</v>
      </c>
      <c r="L125" s="120">
        <f t="shared" si="67"/>
        <v>1</v>
      </c>
      <c r="M125" s="131">
        <f>'Suc. Acaponeta'!G125</f>
        <v>0</v>
      </c>
      <c r="N125" s="131">
        <f>'Suc. Compostela'!G125</f>
        <v>0</v>
      </c>
      <c r="O125" s="131">
        <f>'Suc. Ruiz'!G125</f>
        <v>0</v>
      </c>
      <c r="P125" s="131">
        <f>'Suc. Sanblas'!G125</f>
        <v>0</v>
      </c>
      <c r="Q125" s="131">
        <f>'LALO VARAS'!G125</f>
        <v>0</v>
      </c>
      <c r="R125" s="131">
        <f>'Suc. Santiago 2'!G125</f>
        <v>0</v>
      </c>
      <c r="S125" s="131">
        <f>'Suc. Tecuala'!G125</f>
        <v>0</v>
      </c>
      <c r="T125" s="131">
        <f>'Suc. Tuxpan'!G125</f>
        <v>0</v>
      </c>
      <c r="U125" s="131">
        <f>'Suc. Varas'!G125</f>
        <v>0</v>
      </c>
      <c r="V125" s="131">
        <f>'Suc. Santa María del Oro'!G125</f>
        <v>0</v>
      </c>
      <c r="W125" s="131">
        <f>'Suc. Villa Hidalgo'!G125</f>
        <v>0</v>
      </c>
      <c r="X125" s="131">
        <f>'Suc. Peñita'!G125</f>
        <v>0</v>
      </c>
      <c r="Y125" s="120">
        <f t="shared" si="68"/>
        <v>0</v>
      </c>
      <c r="Z125" s="120">
        <f t="shared" si="69"/>
        <v>1</v>
      </c>
      <c r="AB125" s="131">
        <f>'GRAL. SUC. LOCALES'!N125</f>
        <v>0</v>
      </c>
    </row>
    <row r="126" spans="1:28" ht="17.399999999999999" x14ac:dyDescent="0.35">
      <c r="A126" s="95" t="s">
        <v>1125</v>
      </c>
      <c r="B126" s="131">
        <f>'Suc. Amado Nervo'!G126</f>
        <v>0</v>
      </c>
      <c r="C126" s="131">
        <f>'Suc. León'!G126</f>
        <v>0</v>
      </c>
      <c r="D126" s="120">
        <f>'San Cayetano'!G126</f>
        <v>0</v>
      </c>
      <c r="E126" s="120">
        <f>'Suc. Boulevard'!G126</f>
        <v>0</v>
      </c>
      <c r="F126" s="120">
        <f>'Suc. Dos de Agosto'!G126</f>
        <v>0</v>
      </c>
      <c r="G126" s="120">
        <f>'Suc. La Nueva Canasta'!G126</f>
        <v>0</v>
      </c>
      <c r="H126" s="120">
        <f>'Suc. Mololoa'!G126</f>
        <v>0</v>
      </c>
      <c r="I126" s="120">
        <f>'Suc. Plaza'!G126</f>
        <v>0</v>
      </c>
      <c r="J126" s="120">
        <f>'Suc. Vistas'!G126</f>
        <v>0</v>
      </c>
      <c r="K126" s="120">
        <f>'Suc. Xalisco'!G126</f>
        <v>0</v>
      </c>
      <c r="L126" s="120">
        <f t="shared" si="67"/>
        <v>0</v>
      </c>
      <c r="M126" s="131">
        <f>'Suc. Acaponeta'!G126</f>
        <v>0</v>
      </c>
      <c r="N126" s="131">
        <f>'Suc. Compostela'!G126</f>
        <v>0</v>
      </c>
      <c r="O126" s="131">
        <f>'Suc. Ruiz'!G126</f>
        <v>0</v>
      </c>
      <c r="P126" s="131">
        <f>'Suc. Sanblas'!G126</f>
        <v>0</v>
      </c>
      <c r="Q126" s="131">
        <f>'LALO VARAS'!G126</f>
        <v>0</v>
      </c>
      <c r="R126" s="131">
        <f>'Suc. Santiago 2'!G126</f>
        <v>0</v>
      </c>
      <c r="S126" s="131">
        <f>'Suc. Tecuala'!G126</f>
        <v>0</v>
      </c>
      <c r="T126" s="131">
        <f>'Suc. Tuxpan'!G126</f>
        <v>0</v>
      </c>
      <c r="U126" s="131">
        <f>'Suc. Varas'!G126</f>
        <v>0</v>
      </c>
      <c r="V126" s="131">
        <f>'Suc. Santa María del Oro'!G126</f>
        <v>0</v>
      </c>
      <c r="W126" s="131">
        <f>'Suc. Villa Hidalgo'!G126</f>
        <v>0</v>
      </c>
      <c r="X126" s="131">
        <f>'Suc. Peñita'!G126</f>
        <v>0</v>
      </c>
      <c r="Y126" s="120">
        <f t="shared" si="68"/>
        <v>0</v>
      </c>
      <c r="Z126" s="120">
        <f t="shared" si="69"/>
        <v>0</v>
      </c>
      <c r="AB126" s="131">
        <f>'GRAL. SUC. LOCALES'!N126</f>
        <v>0</v>
      </c>
    </row>
    <row r="127" spans="1:28" ht="17.399999999999999" x14ac:dyDescent="0.35">
      <c r="A127" s="95" t="s">
        <v>1126</v>
      </c>
      <c r="B127" s="131">
        <f>'Suc. Amado Nervo'!G127</f>
        <v>0</v>
      </c>
      <c r="C127" s="131">
        <f>'Suc. León'!G127</f>
        <v>0</v>
      </c>
      <c r="D127" s="120">
        <f>'San Cayetano'!G127</f>
        <v>0</v>
      </c>
      <c r="E127" s="120">
        <f>'Suc. Boulevard'!G127</f>
        <v>0</v>
      </c>
      <c r="F127" s="120">
        <f>'Suc. Dos de Agosto'!G127</f>
        <v>0</v>
      </c>
      <c r="G127" s="120">
        <f>'Suc. La Nueva Canasta'!G127</f>
        <v>0</v>
      </c>
      <c r="H127" s="120">
        <f>'Suc. Mololoa'!G127</f>
        <v>0</v>
      </c>
      <c r="I127" s="120">
        <f>'Suc. Plaza'!G127</f>
        <v>0</v>
      </c>
      <c r="J127" s="120">
        <f>'Suc. Vistas'!G127</f>
        <v>0</v>
      </c>
      <c r="K127" s="120">
        <f>'Suc. Xalisco'!G127</f>
        <v>0</v>
      </c>
      <c r="L127" s="120">
        <f t="shared" si="67"/>
        <v>0</v>
      </c>
      <c r="M127" s="131">
        <f>'Suc. Acaponeta'!G127</f>
        <v>0</v>
      </c>
      <c r="N127" s="131">
        <f>'Suc. Compostela'!G127</f>
        <v>0</v>
      </c>
      <c r="O127" s="131">
        <f>'Suc. Ruiz'!G127</f>
        <v>0</v>
      </c>
      <c r="P127" s="131">
        <f>'Suc. Sanblas'!G127</f>
        <v>0</v>
      </c>
      <c r="Q127" s="131">
        <f>'LALO VARAS'!G127</f>
        <v>0</v>
      </c>
      <c r="R127" s="131">
        <f>'Suc. Santiago 2'!G127</f>
        <v>0</v>
      </c>
      <c r="S127" s="131">
        <f>'Suc. Tecuala'!G127</f>
        <v>0</v>
      </c>
      <c r="T127" s="131">
        <f>'Suc. Tuxpan'!G127</f>
        <v>0</v>
      </c>
      <c r="U127" s="131">
        <f>'Suc. Varas'!G127</f>
        <v>0</v>
      </c>
      <c r="V127" s="131">
        <f>'Suc. Santa María del Oro'!G127</f>
        <v>0</v>
      </c>
      <c r="W127" s="131">
        <f>'Suc. Villa Hidalgo'!G127</f>
        <v>0</v>
      </c>
      <c r="X127" s="131">
        <f>'Suc. Peñita'!G127</f>
        <v>0</v>
      </c>
      <c r="Y127" s="120">
        <f t="shared" si="68"/>
        <v>0</v>
      </c>
      <c r="Z127" s="120">
        <f t="shared" si="69"/>
        <v>0</v>
      </c>
      <c r="AB127" s="131">
        <f>'GRAL. SUC. LOCALES'!N127</f>
        <v>0</v>
      </c>
    </row>
    <row r="128" spans="1:28" ht="17.399999999999999" x14ac:dyDescent="0.35">
      <c r="A128" s="95" t="s">
        <v>568</v>
      </c>
      <c r="B128" s="131">
        <f>'Suc. Amado Nervo'!G128</f>
        <v>0</v>
      </c>
      <c r="C128" s="131">
        <f>'Suc. León'!G128</f>
        <v>0</v>
      </c>
      <c r="D128" s="120">
        <f>'San Cayetano'!G128</f>
        <v>0</v>
      </c>
      <c r="E128" s="120">
        <f>'Suc. Boulevard'!G128</f>
        <v>3</v>
      </c>
      <c r="F128" s="120">
        <f>'Suc. Dos de Agosto'!G128</f>
        <v>0</v>
      </c>
      <c r="G128" s="120">
        <f>'Suc. La Nueva Canasta'!G128</f>
        <v>0</v>
      </c>
      <c r="H128" s="120">
        <f>'Suc. Mololoa'!G128</f>
        <v>0</v>
      </c>
      <c r="I128" s="120">
        <f>'Suc. Plaza'!G128</f>
        <v>1</v>
      </c>
      <c r="J128" s="120">
        <f>'Suc. Vistas'!G128</f>
        <v>2</v>
      </c>
      <c r="K128" s="120">
        <f>'Suc. Xalisco'!G128</f>
        <v>3</v>
      </c>
      <c r="L128" s="120">
        <f t="shared" si="67"/>
        <v>9</v>
      </c>
      <c r="M128" s="131">
        <f>'Suc. Acaponeta'!G128</f>
        <v>0</v>
      </c>
      <c r="N128" s="131">
        <f>'Suc. Compostela'!G128</f>
        <v>3</v>
      </c>
      <c r="O128" s="131">
        <f>'Suc. Ruiz'!G128</f>
        <v>0</v>
      </c>
      <c r="P128" s="131">
        <f>'Suc. Sanblas'!G128</f>
        <v>0</v>
      </c>
      <c r="Q128" s="131">
        <f>'LALO VARAS'!G128</f>
        <v>0</v>
      </c>
      <c r="R128" s="131">
        <f>'Suc. Santiago 2'!G128</f>
        <v>0</v>
      </c>
      <c r="S128" s="131">
        <f>'Suc. Tecuala'!G128</f>
        <v>0</v>
      </c>
      <c r="T128" s="131">
        <f>'Suc. Tuxpan'!G128</f>
        <v>0</v>
      </c>
      <c r="U128" s="131">
        <f>'Suc. Varas'!G128</f>
        <v>0</v>
      </c>
      <c r="V128" s="131">
        <f>'Suc. Santa María del Oro'!G128</f>
        <v>3</v>
      </c>
      <c r="W128" s="131">
        <f>'Suc. Villa Hidalgo'!G128</f>
        <v>0</v>
      </c>
      <c r="X128" s="131">
        <f>'Suc. Peñita'!G128</f>
        <v>0</v>
      </c>
      <c r="Y128" s="120">
        <f t="shared" si="68"/>
        <v>6</v>
      </c>
      <c r="Z128" s="120">
        <f t="shared" si="69"/>
        <v>15</v>
      </c>
      <c r="AB128" s="131">
        <f>'GRAL. SUC. LOCALES'!N128</f>
        <v>0</v>
      </c>
    </row>
    <row r="129" spans="1:28" ht="17.399999999999999" x14ac:dyDescent="0.35">
      <c r="A129" s="95" t="s">
        <v>565</v>
      </c>
      <c r="B129" s="131">
        <f>'Suc. Amado Nervo'!G129</f>
        <v>0</v>
      </c>
      <c r="C129" s="131">
        <f>'Suc. León'!G129</f>
        <v>0</v>
      </c>
      <c r="D129" s="120">
        <f>'San Cayetano'!G129</f>
        <v>0</v>
      </c>
      <c r="E129" s="120">
        <f>'Suc. Boulevard'!G129</f>
        <v>0</v>
      </c>
      <c r="F129" s="120">
        <f>'Suc. Dos de Agosto'!G129</f>
        <v>0</v>
      </c>
      <c r="G129" s="120">
        <f>'Suc. La Nueva Canasta'!G129</f>
        <v>0</v>
      </c>
      <c r="H129" s="120">
        <f>'Suc. Mololoa'!G129</f>
        <v>0</v>
      </c>
      <c r="I129" s="120">
        <f>'Suc. Plaza'!G129</f>
        <v>0</v>
      </c>
      <c r="J129" s="120">
        <f>'Suc. Vistas'!G129</f>
        <v>0</v>
      </c>
      <c r="K129" s="120">
        <f>'Suc. Xalisco'!G129</f>
        <v>0</v>
      </c>
      <c r="L129" s="120">
        <f t="shared" si="67"/>
        <v>0</v>
      </c>
      <c r="M129" s="131">
        <f>'Suc. Acaponeta'!G129</f>
        <v>0</v>
      </c>
      <c r="N129" s="131">
        <f>'Suc. Compostela'!G129</f>
        <v>0</v>
      </c>
      <c r="O129" s="131">
        <f>'Suc. Ruiz'!G129</f>
        <v>0</v>
      </c>
      <c r="P129" s="131">
        <f>'Suc. Sanblas'!G129</f>
        <v>0</v>
      </c>
      <c r="Q129" s="131">
        <f>'LALO VARAS'!G129</f>
        <v>0</v>
      </c>
      <c r="R129" s="131">
        <f>'Suc. Santiago 2'!G129</f>
        <v>0</v>
      </c>
      <c r="S129" s="131">
        <f>'Suc. Tecuala'!G129</f>
        <v>0</v>
      </c>
      <c r="T129" s="131">
        <f>'Suc. Tuxpan'!G129</f>
        <v>0</v>
      </c>
      <c r="U129" s="131">
        <f>'Suc. Varas'!G129</f>
        <v>0</v>
      </c>
      <c r="V129" s="131">
        <f>'Suc. Santa María del Oro'!G129</f>
        <v>1</v>
      </c>
      <c r="W129" s="131">
        <f>'Suc. Villa Hidalgo'!G129</f>
        <v>0</v>
      </c>
      <c r="X129" s="131">
        <f>'Suc. Peñita'!G129</f>
        <v>0</v>
      </c>
      <c r="Y129" s="120">
        <f t="shared" si="68"/>
        <v>1</v>
      </c>
      <c r="Z129" s="120">
        <f t="shared" si="69"/>
        <v>1</v>
      </c>
      <c r="AB129" s="131">
        <f>'GRAL. SUC. LOCALES'!N129</f>
        <v>0</v>
      </c>
    </row>
    <row r="130" spans="1:28" ht="17.399999999999999" x14ac:dyDescent="0.35">
      <c r="A130" s="95" t="s">
        <v>912</v>
      </c>
      <c r="B130" s="131">
        <f>'Suc. Amado Nervo'!G130</f>
        <v>2</v>
      </c>
      <c r="C130" s="131">
        <f>'Suc. León'!G130</f>
        <v>2</v>
      </c>
      <c r="D130" s="120">
        <f>'San Cayetano'!G130</f>
        <v>2</v>
      </c>
      <c r="E130" s="120">
        <f>'Suc. Boulevard'!G130</f>
        <v>2</v>
      </c>
      <c r="F130" s="120">
        <f>'Suc. Dos de Agosto'!G130</f>
        <v>0</v>
      </c>
      <c r="G130" s="120">
        <f>'Suc. La Nueva Canasta'!G130</f>
        <v>0</v>
      </c>
      <c r="H130" s="120">
        <f>'Suc. Mololoa'!G130</f>
        <v>2</v>
      </c>
      <c r="I130" s="120">
        <f>'Suc. Plaza'!G130</f>
        <v>2</v>
      </c>
      <c r="J130" s="120">
        <f>'Suc. Vistas'!G130</f>
        <v>2</v>
      </c>
      <c r="K130" s="120">
        <f>'Suc. Xalisco'!G130</f>
        <v>1</v>
      </c>
      <c r="L130" s="120">
        <f t="shared" si="67"/>
        <v>15</v>
      </c>
      <c r="M130" s="131">
        <f>'Suc. Acaponeta'!G130</f>
        <v>0</v>
      </c>
      <c r="N130" s="131">
        <f>'Suc. Compostela'!G130</f>
        <v>1</v>
      </c>
      <c r="O130" s="131">
        <f>'Suc. Ruiz'!G130</f>
        <v>0</v>
      </c>
      <c r="P130" s="131">
        <f>'Suc. Sanblas'!G130</f>
        <v>0</v>
      </c>
      <c r="Q130" s="131">
        <f>'LALO VARAS'!G130</f>
        <v>0</v>
      </c>
      <c r="R130" s="131">
        <f>'Suc. Santiago 2'!G130</f>
        <v>0</v>
      </c>
      <c r="S130" s="131">
        <f>'Suc. Tecuala'!G130</f>
        <v>0</v>
      </c>
      <c r="T130" s="131">
        <f>'Suc. Tuxpan'!G130</f>
        <v>2</v>
      </c>
      <c r="U130" s="131">
        <f>'Suc. Varas'!G130</f>
        <v>0</v>
      </c>
      <c r="V130" s="131">
        <f>'Suc. Santa María del Oro'!G130</f>
        <v>2</v>
      </c>
      <c r="W130" s="131">
        <f>'Suc. Villa Hidalgo'!G130</f>
        <v>0</v>
      </c>
      <c r="X130" s="131">
        <f>'Suc. Peñita'!G130</f>
        <v>0</v>
      </c>
      <c r="Y130" s="120">
        <f t="shared" si="68"/>
        <v>5</v>
      </c>
      <c r="Z130" s="120">
        <f t="shared" si="69"/>
        <v>20</v>
      </c>
      <c r="AB130" s="131">
        <f>'GRAL. SUC. LOCALES'!N130</f>
        <v>0</v>
      </c>
    </row>
    <row r="131" spans="1:28" ht="17.399999999999999" x14ac:dyDescent="0.35">
      <c r="A131" s="95" t="s">
        <v>557</v>
      </c>
      <c r="B131" s="131">
        <f>'Suc. Amado Nervo'!G131</f>
        <v>1</v>
      </c>
      <c r="C131" s="131">
        <f>'Suc. León'!G131</f>
        <v>2</v>
      </c>
      <c r="D131" s="120">
        <f>'San Cayetano'!G131</f>
        <v>1</v>
      </c>
      <c r="E131" s="120">
        <f>'Suc. Boulevard'!G131</f>
        <v>0</v>
      </c>
      <c r="F131" s="120">
        <f>'Suc. Dos de Agosto'!G131</f>
        <v>1</v>
      </c>
      <c r="G131" s="120">
        <f>'Suc. La Nueva Canasta'!G131</f>
        <v>0</v>
      </c>
      <c r="H131" s="120">
        <f>'Suc. Mololoa'!G131</f>
        <v>0</v>
      </c>
      <c r="I131" s="120">
        <f>'Suc. Plaza'!G131</f>
        <v>1</v>
      </c>
      <c r="J131" s="120">
        <f>'Suc. Vistas'!G131</f>
        <v>1</v>
      </c>
      <c r="K131" s="120">
        <f>'Suc. Xalisco'!G131</f>
        <v>0</v>
      </c>
      <c r="L131" s="120">
        <f t="shared" si="67"/>
        <v>7</v>
      </c>
      <c r="M131" s="131">
        <f>'Suc. Acaponeta'!G131</f>
        <v>0</v>
      </c>
      <c r="N131" s="131">
        <f>'Suc. Compostela'!G131</f>
        <v>2</v>
      </c>
      <c r="O131" s="131">
        <f>'Suc. Ruiz'!G131</f>
        <v>0</v>
      </c>
      <c r="P131" s="131">
        <f>'Suc. Sanblas'!G131</f>
        <v>0</v>
      </c>
      <c r="Q131" s="131">
        <f>'LALO VARAS'!G131</f>
        <v>0</v>
      </c>
      <c r="R131" s="131">
        <f>'Suc. Santiago 2'!G131</f>
        <v>0</v>
      </c>
      <c r="S131" s="131">
        <f>'Suc. Tecuala'!G131</f>
        <v>0</v>
      </c>
      <c r="T131" s="131">
        <f>'Suc. Tuxpan'!G131</f>
        <v>2</v>
      </c>
      <c r="U131" s="131">
        <f>'Suc. Varas'!G131</f>
        <v>0</v>
      </c>
      <c r="V131" s="131">
        <f>'Suc. Santa María del Oro'!G131</f>
        <v>2</v>
      </c>
      <c r="W131" s="131">
        <f>'Suc. Villa Hidalgo'!G131</f>
        <v>0</v>
      </c>
      <c r="X131" s="131">
        <f>'Suc. Peñita'!G131</f>
        <v>0</v>
      </c>
      <c r="Y131" s="120">
        <f t="shared" si="68"/>
        <v>6</v>
      </c>
      <c r="Z131" s="120">
        <f t="shared" si="69"/>
        <v>13</v>
      </c>
      <c r="AB131" s="131">
        <f>'GRAL. SUC. LOCALES'!N131</f>
        <v>2</v>
      </c>
    </row>
    <row r="132" spans="1:28" ht="17.399999999999999" x14ac:dyDescent="0.35">
      <c r="A132" s="95" t="s">
        <v>573</v>
      </c>
      <c r="B132" s="131">
        <f>'Suc. Amado Nervo'!G132</f>
        <v>0</v>
      </c>
      <c r="C132" s="131">
        <f>'Suc. León'!G132</f>
        <v>0</v>
      </c>
      <c r="D132" s="120">
        <f>'San Cayetano'!G132</f>
        <v>0</v>
      </c>
      <c r="E132" s="120">
        <f>'Suc. Boulevard'!G132</f>
        <v>0</v>
      </c>
      <c r="F132" s="120">
        <f>'Suc. Dos de Agosto'!G132</f>
        <v>0</v>
      </c>
      <c r="G132" s="120">
        <f>'Suc. La Nueva Canasta'!G132</f>
        <v>0</v>
      </c>
      <c r="H132" s="120">
        <f>'Suc. Mololoa'!G132</f>
        <v>0</v>
      </c>
      <c r="I132" s="120">
        <f>'Suc. Plaza'!G132</f>
        <v>0</v>
      </c>
      <c r="J132" s="120">
        <f>'Suc. Vistas'!G132</f>
        <v>0</v>
      </c>
      <c r="K132" s="120">
        <f>'Suc. Xalisco'!G132</f>
        <v>0</v>
      </c>
      <c r="L132" s="120">
        <f t="shared" si="67"/>
        <v>0</v>
      </c>
      <c r="M132" s="131">
        <f>'Suc. Acaponeta'!G132</f>
        <v>0</v>
      </c>
      <c r="N132" s="131">
        <f>'Suc. Compostela'!G132</f>
        <v>0</v>
      </c>
      <c r="O132" s="131">
        <f>'Suc. Ruiz'!G132</f>
        <v>0</v>
      </c>
      <c r="P132" s="131">
        <f>'Suc. Sanblas'!G132</f>
        <v>0</v>
      </c>
      <c r="Q132" s="131">
        <f>'LALO VARAS'!G132</f>
        <v>0</v>
      </c>
      <c r="R132" s="131">
        <f>'Suc. Santiago 2'!G132</f>
        <v>0</v>
      </c>
      <c r="S132" s="131">
        <f>'Suc. Tecuala'!G132</f>
        <v>0</v>
      </c>
      <c r="T132" s="131">
        <f>'Suc. Tuxpan'!G132</f>
        <v>0</v>
      </c>
      <c r="U132" s="131">
        <f>'Suc. Varas'!G132</f>
        <v>0</v>
      </c>
      <c r="V132" s="131">
        <f>'Suc. Santa María del Oro'!G132</f>
        <v>0</v>
      </c>
      <c r="W132" s="131">
        <f>'Suc. Villa Hidalgo'!G132</f>
        <v>0</v>
      </c>
      <c r="X132" s="131">
        <f>'Suc. Peñita'!G132</f>
        <v>0</v>
      </c>
      <c r="Y132" s="120">
        <f t="shared" si="68"/>
        <v>0</v>
      </c>
      <c r="Z132" s="120">
        <f t="shared" si="69"/>
        <v>0</v>
      </c>
      <c r="AB132" s="131">
        <f>'GRAL. SUC. LOCALES'!N132</f>
        <v>0</v>
      </c>
    </row>
    <row r="133" spans="1:28" ht="17.399999999999999" x14ac:dyDescent="0.35">
      <c r="A133" s="95" t="s">
        <v>421</v>
      </c>
      <c r="B133" s="131">
        <f>'Suc. Amado Nervo'!G133</f>
        <v>0</v>
      </c>
      <c r="C133" s="131">
        <f>'Suc. León'!G133</f>
        <v>1</v>
      </c>
      <c r="D133" s="120">
        <f>'San Cayetano'!G133</f>
        <v>0</v>
      </c>
      <c r="E133" s="120">
        <f>'Suc. Boulevard'!G133</f>
        <v>0</v>
      </c>
      <c r="F133" s="120">
        <f>'Suc. Dos de Agosto'!G133</f>
        <v>0</v>
      </c>
      <c r="G133" s="120">
        <f>'Suc. La Nueva Canasta'!G133</f>
        <v>0</v>
      </c>
      <c r="H133" s="120">
        <f>'Suc. Mololoa'!G133</f>
        <v>0</v>
      </c>
      <c r="I133" s="120">
        <f>'Suc. Plaza'!G133</f>
        <v>0</v>
      </c>
      <c r="J133" s="120">
        <f>'Suc. Vistas'!G133</f>
        <v>1</v>
      </c>
      <c r="K133" s="120">
        <f>'Suc. Xalisco'!G133</f>
        <v>0</v>
      </c>
      <c r="L133" s="120">
        <f t="shared" si="67"/>
        <v>2</v>
      </c>
      <c r="M133" s="131">
        <f>'Suc. Acaponeta'!G133</f>
        <v>0</v>
      </c>
      <c r="N133" s="131">
        <f>'Suc. Compostela'!G133</f>
        <v>1</v>
      </c>
      <c r="O133" s="131">
        <f>'Suc. Ruiz'!G133</f>
        <v>0</v>
      </c>
      <c r="P133" s="131">
        <f>'Suc. Sanblas'!G133</f>
        <v>0</v>
      </c>
      <c r="Q133" s="131">
        <f>'LALO VARAS'!G133</f>
        <v>0</v>
      </c>
      <c r="R133" s="131">
        <f>'Suc. Santiago 2'!G133</f>
        <v>0</v>
      </c>
      <c r="S133" s="131">
        <f>'Suc. Tecuala'!G133</f>
        <v>0</v>
      </c>
      <c r="T133" s="131">
        <f>'Suc. Tuxpan'!G133</f>
        <v>0</v>
      </c>
      <c r="U133" s="131">
        <f>'Suc. Varas'!G133</f>
        <v>0</v>
      </c>
      <c r="V133" s="131">
        <f>'Suc. Santa María del Oro'!G133</f>
        <v>0</v>
      </c>
      <c r="W133" s="131">
        <f>'Suc. Villa Hidalgo'!G133</f>
        <v>0</v>
      </c>
      <c r="X133" s="131">
        <f>'Suc. Peñita'!G133</f>
        <v>0</v>
      </c>
      <c r="Y133" s="120">
        <f t="shared" si="68"/>
        <v>1</v>
      </c>
      <c r="Z133" s="120">
        <f t="shared" si="69"/>
        <v>3</v>
      </c>
      <c r="AB133" s="131">
        <f>'GRAL. SUC. LOCALES'!N133</f>
        <v>1</v>
      </c>
    </row>
    <row r="134" spans="1:28" ht="17.399999999999999" x14ac:dyDescent="0.35">
      <c r="A134" s="95" t="s">
        <v>249</v>
      </c>
      <c r="B134" s="131">
        <f>'Suc. Amado Nervo'!G134</f>
        <v>1</v>
      </c>
      <c r="C134" s="131">
        <f>'Suc. León'!G134</f>
        <v>0</v>
      </c>
      <c r="D134" s="120">
        <f>'San Cayetano'!G134</f>
        <v>2</v>
      </c>
      <c r="E134" s="120">
        <f>'Suc. Boulevard'!G134</f>
        <v>1</v>
      </c>
      <c r="F134" s="120">
        <f>'Suc. Dos de Agosto'!G134</f>
        <v>2</v>
      </c>
      <c r="G134" s="120">
        <f>'Suc. La Nueva Canasta'!G134</f>
        <v>0</v>
      </c>
      <c r="H134" s="120">
        <f>'Suc. Mololoa'!G134</f>
        <v>2</v>
      </c>
      <c r="I134" s="120">
        <f>'Suc. Plaza'!G134</f>
        <v>0</v>
      </c>
      <c r="J134" s="120">
        <f>'Suc. Vistas'!G134</f>
        <v>0</v>
      </c>
      <c r="K134" s="120">
        <f>'Suc. Xalisco'!G134</f>
        <v>0</v>
      </c>
      <c r="L134" s="120">
        <f t="shared" si="67"/>
        <v>8</v>
      </c>
      <c r="M134" s="131">
        <f>'Suc. Acaponeta'!G134</f>
        <v>0</v>
      </c>
      <c r="N134" s="131">
        <f>'Suc. Compostela'!G134</f>
        <v>0</v>
      </c>
      <c r="O134" s="131">
        <f>'Suc. Ruiz'!G134</f>
        <v>0</v>
      </c>
      <c r="P134" s="131">
        <f>'Suc. Sanblas'!G134</f>
        <v>0</v>
      </c>
      <c r="Q134" s="131">
        <f>'LALO VARAS'!G134</f>
        <v>0</v>
      </c>
      <c r="R134" s="131">
        <f>'Suc. Santiago 2'!G134</f>
        <v>0</v>
      </c>
      <c r="S134" s="131">
        <f>'Suc. Tecuala'!G134</f>
        <v>0</v>
      </c>
      <c r="T134" s="131">
        <f>'Suc. Tuxpan'!G134</f>
        <v>0</v>
      </c>
      <c r="U134" s="131">
        <f>'Suc. Varas'!G134</f>
        <v>0</v>
      </c>
      <c r="V134" s="131">
        <f>'Suc. Santa María del Oro'!G134</f>
        <v>2</v>
      </c>
      <c r="W134" s="131">
        <f>'Suc. Villa Hidalgo'!G134</f>
        <v>0</v>
      </c>
      <c r="X134" s="131">
        <f>'Suc. Peñita'!G134</f>
        <v>0</v>
      </c>
      <c r="Y134" s="120">
        <f t="shared" si="68"/>
        <v>2</v>
      </c>
      <c r="Z134" s="120">
        <f t="shared" si="69"/>
        <v>10</v>
      </c>
      <c r="AB134" s="131">
        <f>'GRAL. SUC. LOCALES'!N134</f>
        <v>0</v>
      </c>
    </row>
    <row r="135" spans="1:28" ht="17.399999999999999" x14ac:dyDescent="0.35">
      <c r="A135" s="95" t="s">
        <v>1030</v>
      </c>
      <c r="B135" s="131">
        <f>'Suc. Amado Nervo'!G135</f>
        <v>0</v>
      </c>
      <c r="C135" s="131">
        <f>'Suc. León'!G135</f>
        <v>0</v>
      </c>
      <c r="D135" s="120">
        <f>'San Cayetano'!G135</f>
        <v>0</v>
      </c>
      <c r="E135" s="120">
        <f>'Suc. Boulevard'!G135</f>
        <v>0</v>
      </c>
      <c r="F135" s="120">
        <f>'Suc. Dos de Agosto'!G135</f>
        <v>0</v>
      </c>
      <c r="G135" s="120">
        <f>'Suc. La Nueva Canasta'!G135</f>
        <v>0</v>
      </c>
      <c r="H135" s="120">
        <f>'Suc. Mololoa'!G135</f>
        <v>0</v>
      </c>
      <c r="I135" s="120">
        <f>'Suc. Plaza'!G135</f>
        <v>0</v>
      </c>
      <c r="J135" s="120">
        <f>'Suc. Vistas'!G135</f>
        <v>0</v>
      </c>
      <c r="K135" s="120">
        <f>'Suc. Xalisco'!G135</f>
        <v>0</v>
      </c>
      <c r="L135" s="120">
        <f t="shared" si="67"/>
        <v>0</v>
      </c>
      <c r="M135" s="131">
        <f>'Suc. Acaponeta'!G135</f>
        <v>0</v>
      </c>
      <c r="N135" s="131">
        <f>'Suc. Compostela'!G135</f>
        <v>0</v>
      </c>
      <c r="O135" s="131">
        <f>'Suc. Ruiz'!G135</f>
        <v>0</v>
      </c>
      <c r="P135" s="131">
        <f>'Suc. Sanblas'!G135</f>
        <v>0</v>
      </c>
      <c r="Q135" s="131">
        <f>'LALO VARAS'!G135</f>
        <v>0</v>
      </c>
      <c r="R135" s="131">
        <f>'Suc. Santiago 2'!G135</f>
        <v>0</v>
      </c>
      <c r="S135" s="131">
        <f>'Suc. Tecuala'!G135</f>
        <v>0</v>
      </c>
      <c r="T135" s="131">
        <f>'Suc. Tuxpan'!G135</f>
        <v>0</v>
      </c>
      <c r="U135" s="131">
        <f>'Suc. Varas'!G135</f>
        <v>0</v>
      </c>
      <c r="V135" s="131">
        <f>'Suc. Santa María del Oro'!G135</f>
        <v>0</v>
      </c>
      <c r="W135" s="131">
        <f>'Suc. Villa Hidalgo'!G135</f>
        <v>0</v>
      </c>
      <c r="X135" s="131">
        <f>'Suc. Peñita'!G135</f>
        <v>0</v>
      </c>
      <c r="Y135" s="120">
        <f t="shared" si="68"/>
        <v>0</v>
      </c>
      <c r="Z135" s="120">
        <f t="shared" si="69"/>
        <v>0</v>
      </c>
      <c r="AB135" s="131">
        <f>'GRAL. SUC. LOCALES'!N135</f>
        <v>0</v>
      </c>
    </row>
    <row r="136" spans="1:28" ht="17.399999999999999" x14ac:dyDescent="0.35">
      <c r="A136" s="95" t="s">
        <v>253</v>
      </c>
      <c r="B136" s="131">
        <f>'Suc. Amado Nervo'!G136</f>
        <v>0</v>
      </c>
      <c r="C136" s="131">
        <f>'Suc. León'!G136</f>
        <v>0</v>
      </c>
      <c r="D136" s="120">
        <f>'San Cayetano'!G136</f>
        <v>0</v>
      </c>
      <c r="E136" s="120">
        <f>'Suc. Boulevard'!G136</f>
        <v>0</v>
      </c>
      <c r="F136" s="120">
        <f>'Suc. Dos de Agosto'!G136</f>
        <v>0</v>
      </c>
      <c r="G136" s="120">
        <f>'Suc. La Nueva Canasta'!G136</f>
        <v>0</v>
      </c>
      <c r="H136" s="120">
        <f>'Suc. Mololoa'!G136</f>
        <v>0</v>
      </c>
      <c r="I136" s="120">
        <f>'Suc. Plaza'!G136</f>
        <v>0</v>
      </c>
      <c r="J136" s="120">
        <f>'Suc. Vistas'!G136</f>
        <v>0</v>
      </c>
      <c r="K136" s="120">
        <f>'Suc. Xalisco'!G136</f>
        <v>0</v>
      </c>
      <c r="L136" s="120">
        <f t="shared" si="67"/>
        <v>0</v>
      </c>
      <c r="M136" s="131">
        <f>'Suc. Acaponeta'!G136</f>
        <v>0</v>
      </c>
      <c r="N136" s="131">
        <f>'Suc. Compostela'!G136</f>
        <v>2</v>
      </c>
      <c r="O136" s="131">
        <f>'Suc. Ruiz'!G136</f>
        <v>0</v>
      </c>
      <c r="P136" s="131">
        <f>'Suc. Sanblas'!G136</f>
        <v>0</v>
      </c>
      <c r="Q136" s="131">
        <f>'LALO VARAS'!G136</f>
        <v>0</v>
      </c>
      <c r="R136" s="131">
        <f>'Suc. Santiago 2'!G136</f>
        <v>0</v>
      </c>
      <c r="S136" s="131">
        <f>'Suc. Tecuala'!G136</f>
        <v>0</v>
      </c>
      <c r="T136" s="131">
        <f>'Suc. Tuxpan'!G136</f>
        <v>2</v>
      </c>
      <c r="U136" s="131">
        <f>'Suc. Varas'!G136</f>
        <v>0</v>
      </c>
      <c r="V136" s="131">
        <f>'Suc. Santa María del Oro'!G136</f>
        <v>0</v>
      </c>
      <c r="W136" s="131">
        <f>'Suc. Villa Hidalgo'!G136</f>
        <v>0</v>
      </c>
      <c r="X136" s="131">
        <f>'Suc. Peñita'!G136</f>
        <v>0</v>
      </c>
      <c r="Y136" s="120">
        <f t="shared" si="68"/>
        <v>4</v>
      </c>
      <c r="Z136" s="120">
        <f t="shared" si="69"/>
        <v>4</v>
      </c>
      <c r="AB136" s="131">
        <f>'GRAL. SUC. LOCALES'!N136</f>
        <v>16</v>
      </c>
    </row>
    <row r="137" spans="1:28" ht="17.399999999999999" x14ac:dyDescent="0.35">
      <c r="A137" s="95" t="s">
        <v>240</v>
      </c>
      <c r="B137" s="131">
        <f>'Suc. Amado Nervo'!G137</f>
        <v>0</v>
      </c>
      <c r="C137" s="131">
        <f>'Suc. León'!G137</f>
        <v>0</v>
      </c>
      <c r="D137" s="120">
        <f>'San Cayetano'!G137</f>
        <v>0</v>
      </c>
      <c r="E137" s="120">
        <f>'Suc. Boulevard'!G137</f>
        <v>0</v>
      </c>
      <c r="F137" s="120">
        <f>'Suc. Dos de Agosto'!G137</f>
        <v>0</v>
      </c>
      <c r="G137" s="120">
        <f>'Suc. La Nueva Canasta'!G137</f>
        <v>0</v>
      </c>
      <c r="H137" s="120">
        <f>'Suc. Mololoa'!G137</f>
        <v>0</v>
      </c>
      <c r="I137" s="120">
        <f>'Suc. Plaza'!G137</f>
        <v>0</v>
      </c>
      <c r="J137" s="120">
        <f>'Suc. Vistas'!G137</f>
        <v>0</v>
      </c>
      <c r="K137" s="120">
        <f>'Suc. Xalisco'!G137</f>
        <v>0</v>
      </c>
      <c r="L137" s="120">
        <f t="shared" si="67"/>
        <v>0</v>
      </c>
      <c r="M137" s="131">
        <f>'Suc. Acaponeta'!G137</f>
        <v>0</v>
      </c>
      <c r="N137" s="131">
        <f>'Suc. Compostela'!G137</f>
        <v>0</v>
      </c>
      <c r="O137" s="131">
        <f>'Suc. Ruiz'!G137</f>
        <v>0</v>
      </c>
      <c r="P137" s="131">
        <f>'Suc. Sanblas'!G137</f>
        <v>0</v>
      </c>
      <c r="Q137" s="131">
        <f>'LALO VARAS'!G137</f>
        <v>0</v>
      </c>
      <c r="R137" s="131">
        <f>'Suc. Santiago 2'!G137</f>
        <v>0</v>
      </c>
      <c r="S137" s="131">
        <f>'Suc. Tecuala'!G137</f>
        <v>0</v>
      </c>
      <c r="T137" s="131">
        <f>'Suc. Tuxpan'!G137</f>
        <v>0</v>
      </c>
      <c r="U137" s="131">
        <f>'Suc. Varas'!G137</f>
        <v>0</v>
      </c>
      <c r="V137" s="131">
        <f>'Suc. Santa María del Oro'!G137</f>
        <v>0</v>
      </c>
      <c r="W137" s="131">
        <f>'Suc. Villa Hidalgo'!G137</f>
        <v>0</v>
      </c>
      <c r="X137" s="131">
        <f>'Suc. Peñita'!G137</f>
        <v>0</v>
      </c>
      <c r="Y137" s="120">
        <f t="shared" si="68"/>
        <v>0</v>
      </c>
      <c r="Z137" s="120">
        <f t="shared" si="69"/>
        <v>0</v>
      </c>
      <c r="AB137" s="131">
        <f>'GRAL. SUC. LOCALES'!N137</f>
        <v>0</v>
      </c>
    </row>
    <row r="138" spans="1:28" ht="17.399999999999999" x14ac:dyDescent="0.35">
      <c r="A138" s="95" t="s">
        <v>204</v>
      </c>
      <c r="B138" s="131">
        <f>'Suc. Amado Nervo'!G138</f>
        <v>0</v>
      </c>
      <c r="C138" s="131">
        <f>'Suc. León'!G138</f>
        <v>0</v>
      </c>
      <c r="D138" s="120">
        <f>'San Cayetano'!G138</f>
        <v>0</v>
      </c>
      <c r="E138" s="120">
        <f>'Suc. Boulevard'!G138</f>
        <v>0</v>
      </c>
      <c r="F138" s="120">
        <f>'Suc. Dos de Agosto'!G138</f>
        <v>0</v>
      </c>
      <c r="G138" s="120">
        <f>'Suc. La Nueva Canasta'!G138</f>
        <v>0</v>
      </c>
      <c r="H138" s="120">
        <f>'Suc. Mololoa'!G138</f>
        <v>0</v>
      </c>
      <c r="I138" s="120">
        <f>'Suc. Plaza'!G138</f>
        <v>0</v>
      </c>
      <c r="J138" s="120">
        <f>'Suc. Vistas'!G138</f>
        <v>0</v>
      </c>
      <c r="K138" s="120">
        <f>'Suc. Xalisco'!G138</f>
        <v>0</v>
      </c>
      <c r="L138" s="120">
        <f t="shared" si="67"/>
        <v>0</v>
      </c>
      <c r="M138" s="131">
        <f>'Suc. Acaponeta'!G138</f>
        <v>0</v>
      </c>
      <c r="N138" s="131">
        <f>'Suc. Compostela'!G138</f>
        <v>0</v>
      </c>
      <c r="O138" s="131">
        <f>'Suc. Ruiz'!G138</f>
        <v>0</v>
      </c>
      <c r="P138" s="131">
        <f>'Suc. Sanblas'!G138</f>
        <v>0</v>
      </c>
      <c r="Q138" s="131">
        <f>'LALO VARAS'!G138</f>
        <v>0</v>
      </c>
      <c r="R138" s="131">
        <f>'Suc. Santiago 2'!G138</f>
        <v>0</v>
      </c>
      <c r="S138" s="131">
        <f>'Suc. Tecuala'!G138</f>
        <v>0</v>
      </c>
      <c r="T138" s="131">
        <f>'Suc. Tuxpan'!G138</f>
        <v>0</v>
      </c>
      <c r="U138" s="131">
        <f>'Suc. Varas'!G138</f>
        <v>0</v>
      </c>
      <c r="V138" s="131">
        <f>'Suc. Santa María del Oro'!G138</f>
        <v>0</v>
      </c>
      <c r="W138" s="131">
        <f>'Suc. Villa Hidalgo'!G138</f>
        <v>0</v>
      </c>
      <c r="X138" s="131">
        <f>'Suc. Peñita'!G138</f>
        <v>0</v>
      </c>
      <c r="Y138" s="120">
        <f t="shared" si="68"/>
        <v>0</v>
      </c>
      <c r="Z138" s="120">
        <f t="shared" si="69"/>
        <v>0</v>
      </c>
      <c r="AB138" s="131">
        <f>'GRAL. SUC. LOCALES'!N138</f>
        <v>0</v>
      </c>
    </row>
    <row r="139" spans="1:28" ht="17.399999999999999" x14ac:dyDescent="0.35">
      <c r="A139" s="95" t="s">
        <v>1132</v>
      </c>
      <c r="B139" s="131">
        <f>'Suc. Amado Nervo'!G139</f>
        <v>0</v>
      </c>
      <c r="C139" s="131">
        <f>'Suc. León'!G139</f>
        <v>0</v>
      </c>
      <c r="D139" s="120">
        <f>'San Cayetano'!G139</f>
        <v>0</v>
      </c>
      <c r="E139" s="120">
        <f>'Suc. Boulevard'!G139</f>
        <v>0</v>
      </c>
      <c r="F139" s="120">
        <f>'Suc. Dos de Agosto'!G139</f>
        <v>0</v>
      </c>
      <c r="G139" s="120">
        <f>'Suc. La Nueva Canasta'!G139</f>
        <v>0</v>
      </c>
      <c r="H139" s="120">
        <f>'Suc. Mololoa'!G139</f>
        <v>1</v>
      </c>
      <c r="I139" s="120">
        <f>'Suc. Plaza'!G139</f>
        <v>1</v>
      </c>
      <c r="J139" s="120">
        <f>'Suc. Vistas'!G139</f>
        <v>0</v>
      </c>
      <c r="K139" s="120">
        <f>'Suc. Xalisco'!G139</f>
        <v>1</v>
      </c>
      <c r="L139" s="120">
        <f t="shared" si="67"/>
        <v>3</v>
      </c>
      <c r="M139" s="131">
        <f>'Suc. Acaponeta'!G139</f>
        <v>0</v>
      </c>
      <c r="N139" s="131">
        <f>'Suc. Compostela'!G139</f>
        <v>1</v>
      </c>
      <c r="O139" s="131">
        <f>'Suc. Ruiz'!G139</f>
        <v>0</v>
      </c>
      <c r="P139" s="131">
        <f>'Suc. Sanblas'!G139</f>
        <v>0</v>
      </c>
      <c r="Q139" s="131">
        <f>'LALO VARAS'!G139</f>
        <v>0</v>
      </c>
      <c r="R139" s="131">
        <f>'Suc. Santiago 2'!G139</f>
        <v>0</v>
      </c>
      <c r="S139" s="131">
        <f>'Suc. Tecuala'!G139</f>
        <v>0</v>
      </c>
      <c r="T139" s="131">
        <f>'Suc. Tuxpan'!G139</f>
        <v>1</v>
      </c>
      <c r="U139" s="131">
        <f>'Suc. Varas'!G139</f>
        <v>0</v>
      </c>
      <c r="V139" s="131">
        <f>'Suc. Santa María del Oro'!G139</f>
        <v>1</v>
      </c>
      <c r="W139" s="131">
        <f>'Suc. Villa Hidalgo'!G139</f>
        <v>0</v>
      </c>
      <c r="X139" s="131">
        <f>'Suc. Peñita'!G139</f>
        <v>0</v>
      </c>
      <c r="Y139" s="120">
        <f t="shared" si="68"/>
        <v>3</v>
      </c>
      <c r="Z139" s="120">
        <f t="shared" si="69"/>
        <v>6</v>
      </c>
      <c r="AB139" s="131">
        <f>'GRAL. SUC. LOCALES'!N139</f>
        <v>10</v>
      </c>
    </row>
    <row r="140" spans="1:28" ht="17.399999999999999" x14ac:dyDescent="0.35">
      <c r="A140" s="95" t="s">
        <v>914</v>
      </c>
      <c r="B140" s="131">
        <f>'Suc. Amado Nervo'!G140</f>
        <v>0</v>
      </c>
      <c r="C140" s="131">
        <f>'Suc. León'!G140</f>
        <v>0</v>
      </c>
      <c r="D140" s="120">
        <f>'San Cayetano'!G140</f>
        <v>0</v>
      </c>
      <c r="E140" s="120">
        <f>'Suc. Boulevard'!G140</f>
        <v>0</v>
      </c>
      <c r="F140" s="120">
        <f>'Suc. Dos de Agosto'!G140</f>
        <v>0</v>
      </c>
      <c r="G140" s="120">
        <f>'Suc. La Nueva Canasta'!G140</f>
        <v>0</v>
      </c>
      <c r="H140" s="120">
        <f>'Suc. Mololoa'!G140</f>
        <v>0</v>
      </c>
      <c r="I140" s="120">
        <f>'Suc. Plaza'!G140</f>
        <v>0</v>
      </c>
      <c r="J140" s="120">
        <f>'Suc. Vistas'!G140</f>
        <v>0</v>
      </c>
      <c r="K140" s="120">
        <f>'Suc. Xalisco'!G140</f>
        <v>0</v>
      </c>
      <c r="L140" s="120">
        <f t="shared" si="67"/>
        <v>0</v>
      </c>
      <c r="M140" s="131">
        <f>'Suc. Acaponeta'!G140</f>
        <v>0</v>
      </c>
      <c r="N140" s="131">
        <f>'Suc. Compostela'!G140</f>
        <v>0</v>
      </c>
      <c r="O140" s="131">
        <f>'Suc. Ruiz'!G140</f>
        <v>0</v>
      </c>
      <c r="P140" s="131">
        <f>'Suc. Sanblas'!G140</f>
        <v>0</v>
      </c>
      <c r="Q140" s="131">
        <f>'LALO VARAS'!G140</f>
        <v>0</v>
      </c>
      <c r="R140" s="131">
        <f>'Suc. Santiago 2'!G140</f>
        <v>0</v>
      </c>
      <c r="S140" s="131">
        <f>'Suc. Tecuala'!G140</f>
        <v>0</v>
      </c>
      <c r="T140" s="131">
        <f>'Suc. Tuxpan'!G140</f>
        <v>0</v>
      </c>
      <c r="U140" s="131">
        <f>'Suc. Varas'!G140</f>
        <v>0</v>
      </c>
      <c r="V140" s="131">
        <f>'Suc. Santa María del Oro'!G140</f>
        <v>0</v>
      </c>
      <c r="W140" s="131">
        <f>'Suc. Villa Hidalgo'!G140</f>
        <v>0</v>
      </c>
      <c r="X140" s="131">
        <f>'Suc. Peñita'!G140</f>
        <v>0</v>
      </c>
      <c r="Y140" s="120">
        <f t="shared" si="68"/>
        <v>0</v>
      </c>
      <c r="Z140" s="120">
        <f t="shared" si="69"/>
        <v>0</v>
      </c>
      <c r="AB140" s="131">
        <f>'GRAL. SUC. LOCALES'!N140</f>
        <v>0</v>
      </c>
    </row>
    <row r="141" spans="1:28" ht="17.399999999999999" x14ac:dyDescent="0.35">
      <c r="A141" s="243" t="s">
        <v>1120</v>
      </c>
      <c r="B141" s="131">
        <f>'Suc. Amado Nervo'!G141</f>
        <v>0</v>
      </c>
      <c r="C141" s="131">
        <f>'Suc. León'!G141</f>
        <v>0</v>
      </c>
      <c r="D141" s="120">
        <f>'San Cayetano'!G141</f>
        <v>0</v>
      </c>
      <c r="E141" s="120">
        <f>'Suc. Boulevard'!G141</f>
        <v>0</v>
      </c>
      <c r="F141" s="120">
        <f>'Suc. Dos de Agosto'!G141</f>
        <v>0</v>
      </c>
      <c r="G141" s="120">
        <f>'Suc. La Nueva Canasta'!G141</f>
        <v>0</v>
      </c>
      <c r="H141" s="120">
        <f>'Suc. Mololoa'!G141</f>
        <v>0</v>
      </c>
      <c r="I141" s="120">
        <f>'Suc. Plaza'!G141</f>
        <v>0</v>
      </c>
      <c r="J141" s="120">
        <f>'Suc. Vistas'!G141</f>
        <v>0</v>
      </c>
      <c r="K141" s="120">
        <f>'Suc. Xalisco'!G141</f>
        <v>0</v>
      </c>
      <c r="L141" s="120">
        <f t="shared" si="67"/>
        <v>0</v>
      </c>
      <c r="M141" s="131">
        <f>'Suc. Acaponeta'!G141</f>
        <v>0</v>
      </c>
      <c r="N141" s="131">
        <f>'Suc. Compostela'!G141</f>
        <v>0</v>
      </c>
      <c r="O141" s="131">
        <f>'Suc. Ruiz'!G141</f>
        <v>0</v>
      </c>
      <c r="P141" s="131">
        <f>'Suc. Sanblas'!G141</f>
        <v>0</v>
      </c>
      <c r="Q141" s="131">
        <f>'LALO VARAS'!G141</f>
        <v>0</v>
      </c>
      <c r="R141" s="131">
        <f>'Suc. Santiago 2'!G141</f>
        <v>0</v>
      </c>
      <c r="S141" s="131">
        <f>'Suc. Tecuala'!G141</f>
        <v>0</v>
      </c>
      <c r="T141" s="131">
        <f>'Suc. Tuxpan'!G141</f>
        <v>0</v>
      </c>
      <c r="U141" s="131">
        <f>'Suc. Varas'!G141</f>
        <v>0</v>
      </c>
      <c r="V141" s="131">
        <f>'Suc. Santa María del Oro'!G141</f>
        <v>0</v>
      </c>
      <c r="W141" s="131">
        <f>'Suc. Villa Hidalgo'!G141</f>
        <v>0</v>
      </c>
      <c r="X141" s="131">
        <f>'Suc. Peñita'!G141</f>
        <v>0</v>
      </c>
      <c r="Y141" s="120">
        <f t="shared" si="68"/>
        <v>0</v>
      </c>
      <c r="Z141" s="120">
        <f t="shared" si="69"/>
        <v>0</v>
      </c>
      <c r="AB141" s="131">
        <f>'GRAL. SUC. LOCALES'!N141</f>
        <v>0</v>
      </c>
    </row>
    <row r="142" spans="1:28" ht="17.399999999999999" x14ac:dyDescent="0.35">
      <c r="A142" s="95"/>
      <c r="B142" s="131">
        <f>'Suc. Amado Nervo'!G142</f>
        <v>0</v>
      </c>
      <c r="C142" s="131">
        <f>'Suc. León'!G142</f>
        <v>0</v>
      </c>
      <c r="D142" s="120">
        <f>'San Cayetano'!G142</f>
        <v>0</v>
      </c>
      <c r="E142" s="120">
        <f>'Suc. Boulevard'!G142</f>
        <v>0</v>
      </c>
      <c r="F142" s="120">
        <f>'Suc. Dos de Agosto'!G142</f>
        <v>0</v>
      </c>
      <c r="G142" s="120">
        <f>'Suc. La Nueva Canasta'!G142</f>
        <v>0</v>
      </c>
      <c r="H142" s="120">
        <f>'Suc. Mololoa'!G142</f>
        <v>0</v>
      </c>
      <c r="I142" s="120">
        <f>'Suc. Plaza'!G142</f>
        <v>0</v>
      </c>
      <c r="J142" s="120">
        <f>'Suc. Vistas'!G142</f>
        <v>0</v>
      </c>
      <c r="K142" s="120">
        <f>'Suc. Xalisco'!G142</f>
        <v>0</v>
      </c>
      <c r="L142" s="120">
        <f t="shared" si="67"/>
        <v>0</v>
      </c>
      <c r="M142" s="131">
        <f>'Suc. Acaponeta'!G142</f>
        <v>0</v>
      </c>
      <c r="N142" s="131">
        <f>'Suc. Compostela'!G142</f>
        <v>0</v>
      </c>
      <c r="O142" s="131">
        <f>'Suc. Ruiz'!G142</f>
        <v>0</v>
      </c>
      <c r="P142" s="131">
        <f>'Suc. Sanblas'!G142</f>
        <v>0</v>
      </c>
      <c r="Q142" s="131">
        <f>'LALO VARAS'!G142</f>
        <v>0</v>
      </c>
      <c r="R142" s="131">
        <f>'Suc. Santiago 2'!G142</f>
        <v>0</v>
      </c>
      <c r="S142" s="131">
        <f>'Suc. Tecuala'!G142</f>
        <v>0</v>
      </c>
      <c r="T142" s="131">
        <f>'Suc. Tuxpan'!G142</f>
        <v>0</v>
      </c>
      <c r="U142" s="131">
        <f>'Suc. Varas'!G142</f>
        <v>0</v>
      </c>
      <c r="V142" s="131">
        <f>'Suc. Santa María del Oro'!G142</f>
        <v>0</v>
      </c>
      <c r="W142" s="131">
        <f>'Suc. Villa Hidalgo'!G142</f>
        <v>0</v>
      </c>
      <c r="X142" s="131">
        <f>'Suc. Peñita'!G142</f>
        <v>0</v>
      </c>
      <c r="Y142" s="120">
        <f t="shared" si="68"/>
        <v>0</v>
      </c>
      <c r="Z142" s="120">
        <f t="shared" si="69"/>
        <v>0</v>
      </c>
      <c r="AB142" s="131">
        <f>'GRAL. SUC. LOCALES'!N142</f>
        <v>0</v>
      </c>
    </row>
    <row r="143" spans="1:28" ht="17.399999999999999" x14ac:dyDescent="0.35">
      <c r="A143" s="95"/>
      <c r="B143" s="131">
        <f>'Suc. Amado Nervo'!G143</f>
        <v>0</v>
      </c>
      <c r="C143" s="131">
        <f>'Suc. León'!G143</f>
        <v>0</v>
      </c>
      <c r="D143" s="120">
        <f>'San Cayetano'!G143</f>
        <v>0</v>
      </c>
      <c r="E143" s="120">
        <f>'Suc. Boulevard'!G143</f>
        <v>0</v>
      </c>
      <c r="F143" s="120">
        <f>'Suc. Dos de Agosto'!G143</f>
        <v>0</v>
      </c>
      <c r="G143" s="120">
        <f>'Suc. La Nueva Canasta'!G143</f>
        <v>0</v>
      </c>
      <c r="H143" s="120">
        <f>'Suc. Mololoa'!G143</f>
        <v>0</v>
      </c>
      <c r="I143" s="120">
        <f>'Suc. Plaza'!G143</f>
        <v>0</v>
      </c>
      <c r="J143" s="120">
        <f>'Suc. Vistas'!G143</f>
        <v>0</v>
      </c>
      <c r="K143" s="120">
        <f>'Suc. Xalisco'!G143</f>
        <v>0</v>
      </c>
      <c r="L143" s="120">
        <f t="shared" si="67"/>
        <v>0</v>
      </c>
      <c r="M143" s="131">
        <f>'Suc. Acaponeta'!G143</f>
        <v>0</v>
      </c>
      <c r="N143" s="131">
        <f>'Suc. Compostela'!G143</f>
        <v>0</v>
      </c>
      <c r="O143" s="131">
        <f>'Suc. Ruiz'!G143</f>
        <v>0</v>
      </c>
      <c r="P143" s="131">
        <f>'Suc. Sanblas'!G143</f>
        <v>0</v>
      </c>
      <c r="Q143" s="131">
        <f>'LALO VARAS'!G143</f>
        <v>0</v>
      </c>
      <c r="R143" s="131">
        <f>'Suc. Santiago 2'!G143</f>
        <v>0</v>
      </c>
      <c r="S143" s="131">
        <f>'Suc. Tecuala'!G143</f>
        <v>0</v>
      </c>
      <c r="T143" s="131">
        <f>'Suc. Tuxpan'!G143</f>
        <v>0</v>
      </c>
      <c r="U143" s="131">
        <f>'Suc. Varas'!G143</f>
        <v>0</v>
      </c>
      <c r="V143" s="131">
        <f>'Suc. Santa María del Oro'!G143</f>
        <v>0</v>
      </c>
      <c r="W143" s="131">
        <f>'Suc. Villa Hidalgo'!G143</f>
        <v>0</v>
      </c>
      <c r="X143" s="131">
        <f>'Suc. Peñita'!G143</f>
        <v>0</v>
      </c>
      <c r="Y143" s="120">
        <f t="shared" si="68"/>
        <v>0</v>
      </c>
      <c r="Z143" s="120">
        <f t="shared" si="69"/>
        <v>0</v>
      </c>
      <c r="AB143" s="131">
        <f>'GRAL. SUC. LOCALES'!N143</f>
        <v>0</v>
      </c>
    </row>
    <row r="144" spans="1:28" ht="17.399999999999999" x14ac:dyDescent="0.35">
      <c r="A144" s="95"/>
      <c r="B144" s="131">
        <f>'Suc. Amado Nervo'!G144</f>
        <v>0</v>
      </c>
      <c r="C144" s="131">
        <f>'Suc. León'!G144</f>
        <v>0</v>
      </c>
      <c r="D144" s="120">
        <f>'San Cayetano'!G144</f>
        <v>0</v>
      </c>
      <c r="E144" s="120">
        <f>'Suc. Boulevard'!G144</f>
        <v>0</v>
      </c>
      <c r="F144" s="120">
        <f>'Suc. Dos de Agosto'!G144</f>
        <v>0</v>
      </c>
      <c r="G144" s="120">
        <f>'Suc. La Nueva Canasta'!G144</f>
        <v>0</v>
      </c>
      <c r="H144" s="120">
        <f>'Suc. Mololoa'!G144</f>
        <v>0</v>
      </c>
      <c r="I144" s="120">
        <f>'Suc. Plaza'!G144</f>
        <v>0</v>
      </c>
      <c r="J144" s="120">
        <f>'Suc. Vistas'!G144</f>
        <v>0</v>
      </c>
      <c r="K144" s="120">
        <f>'Suc. Xalisco'!G144</f>
        <v>0</v>
      </c>
      <c r="L144" s="120">
        <f t="shared" si="67"/>
        <v>0</v>
      </c>
      <c r="M144" s="131">
        <f>'Suc. Acaponeta'!G144</f>
        <v>0</v>
      </c>
      <c r="N144" s="131">
        <f>'Suc. Compostela'!G144</f>
        <v>0</v>
      </c>
      <c r="O144" s="131">
        <f>'Suc. Ruiz'!G144</f>
        <v>0</v>
      </c>
      <c r="P144" s="131">
        <f>'Suc. Sanblas'!G144</f>
        <v>0</v>
      </c>
      <c r="Q144" s="131">
        <f>'LALO VARAS'!G144</f>
        <v>0</v>
      </c>
      <c r="R144" s="131">
        <f>'Suc. Santiago 2'!G144</f>
        <v>0</v>
      </c>
      <c r="S144" s="131">
        <f>'Suc. Tecuala'!G144</f>
        <v>0</v>
      </c>
      <c r="T144" s="131">
        <f>'Suc. Tuxpan'!G144</f>
        <v>0</v>
      </c>
      <c r="U144" s="131">
        <f>'Suc. Varas'!G144</f>
        <v>0</v>
      </c>
      <c r="V144" s="131">
        <f>'Suc. Santa María del Oro'!G144</f>
        <v>0</v>
      </c>
      <c r="W144" s="131">
        <f>'Suc. Villa Hidalgo'!G144</f>
        <v>0</v>
      </c>
      <c r="X144" s="131">
        <f>'Suc. Peñita'!G144</f>
        <v>0</v>
      </c>
      <c r="Y144" s="120">
        <f t="shared" si="68"/>
        <v>0</v>
      </c>
      <c r="Z144" s="120">
        <f t="shared" si="69"/>
        <v>0</v>
      </c>
      <c r="AB144" s="131">
        <f>'GRAL. SUC. LOCALES'!N144</f>
        <v>0</v>
      </c>
    </row>
    <row r="145" spans="1:28" ht="17.399999999999999" x14ac:dyDescent="0.35">
      <c r="A145" s="95"/>
      <c r="B145" s="131">
        <f>'Suc. Amado Nervo'!G145</f>
        <v>0</v>
      </c>
      <c r="C145" s="131">
        <f>'Suc. León'!G145</f>
        <v>0</v>
      </c>
      <c r="D145" s="120">
        <f>'San Cayetano'!G145</f>
        <v>0</v>
      </c>
      <c r="E145" s="120">
        <f>'Suc. Boulevard'!G145</f>
        <v>0</v>
      </c>
      <c r="F145" s="120">
        <f>'Suc. Dos de Agosto'!G145</f>
        <v>0</v>
      </c>
      <c r="G145" s="120">
        <f>'Suc. La Nueva Canasta'!G145</f>
        <v>0</v>
      </c>
      <c r="H145" s="120">
        <f>'Suc. Mololoa'!G145</f>
        <v>0</v>
      </c>
      <c r="I145" s="120">
        <f>'Suc. Plaza'!G145</f>
        <v>0</v>
      </c>
      <c r="J145" s="120">
        <f>'Suc. Vistas'!G145</f>
        <v>0</v>
      </c>
      <c r="K145" s="120">
        <f>'Suc. Xalisco'!G145</f>
        <v>0</v>
      </c>
      <c r="L145" s="120">
        <f t="shared" si="67"/>
        <v>0</v>
      </c>
      <c r="M145" s="131">
        <f>'Suc. Acaponeta'!G145</f>
        <v>0</v>
      </c>
      <c r="N145" s="131">
        <f>'Suc. Compostela'!G145</f>
        <v>0</v>
      </c>
      <c r="O145" s="131">
        <f>'Suc. Ruiz'!G145</f>
        <v>0</v>
      </c>
      <c r="P145" s="131">
        <f>'Suc. Sanblas'!G145</f>
        <v>0</v>
      </c>
      <c r="Q145" s="131">
        <f>'LALO VARAS'!G145</f>
        <v>0</v>
      </c>
      <c r="R145" s="131">
        <f>'Suc. Santiago 2'!G145</f>
        <v>0</v>
      </c>
      <c r="S145" s="131">
        <f>'Suc. Tecuala'!G145</f>
        <v>0</v>
      </c>
      <c r="T145" s="131">
        <f>'Suc. Tuxpan'!G145</f>
        <v>0</v>
      </c>
      <c r="U145" s="131">
        <f>'Suc. Varas'!G145</f>
        <v>0</v>
      </c>
      <c r="V145" s="131">
        <f>'Suc. Santa María del Oro'!G145</f>
        <v>0</v>
      </c>
      <c r="W145" s="131">
        <f>'Suc. Villa Hidalgo'!G145</f>
        <v>0</v>
      </c>
      <c r="X145" s="131">
        <f>'Suc. Peñita'!G145</f>
        <v>0</v>
      </c>
      <c r="Y145" s="120">
        <f t="shared" si="68"/>
        <v>0</v>
      </c>
      <c r="Z145" s="120">
        <f t="shared" si="69"/>
        <v>0</v>
      </c>
      <c r="AB145" s="131">
        <f>'GRAL. SUC. LOCALES'!N145</f>
        <v>0</v>
      </c>
    </row>
    <row r="146" spans="1:28" ht="17.399999999999999" x14ac:dyDescent="0.35">
      <c r="A146" s="95"/>
      <c r="B146" s="131">
        <f>'Suc. Amado Nervo'!G146</f>
        <v>0</v>
      </c>
      <c r="C146" s="131">
        <f>'Suc. León'!G146</f>
        <v>0</v>
      </c>
      <c r="D146" s="120">
        <f>'San Cayetano'!G146</f>
        <v>0</v>
      </c>
      <c r="E146" s="120">
        <f>'Suc. Boulevard'!G146</f>
        <v>0</v>
      </c>
      <c r="F146" s="120">
        <f>'Suc. Dos de Agosto'!G146</f>
        <v>0</v>
      </c>
      <c r="G146" s="120">
        <f>'Suc. La Nueva Canasta'!G146</f>
        <v>0</v>
      </c>
      <c r="H146" s="120">
        <f>'Suc. Mololoa'!G146</f>
        <v>0</v>
      </c>
      <c r="I146" s="120">
        <f>'Suc. Plaza'!G146</f>
        <v>0</v>
      </c>
      <c r="J146" s="120">
        <f>'Suc. Vistas'!G146</f>
        <v>0</v>
      </c>
      <c r="K146" s="120">
        <f>'Suc. Xalisco'!G146</f>
        <v>0</v>
      </c>
      <c r="L146" s="120">
        <f t="shared" si="67"/>
        <v>0</v>
      </c>
      <c r="M146" s="131">
        <f>'Suc. Acaponeta'!G146</f>
        <v>0</v>
      </c>
      <c r="N146" s="131">
        <f>'Suc. Compostela'!G146</f>
        <v>0</v>
      </c>
      <c r="O146" s="131">
        <f>'Suc. Ruiz'!G146</f>
        <v>0</v>
      </c>
      <c r="P146" s="131">
        <f>'Suc. Sanblas'!G146</f>
        <v>0</v>
      </c>
      <c r="Q146" s="131">
        <f>'LALO VARAS'!G146</f>
        <v>0</v>
      </c>
      <c r="R146" s="131">
        <f>'Suc. Santiago 2'!G146</f>
        <v>0</v>
      </c>
      <c r="S146" s="131">
        <f>'Suc. Tecuala'!G146</f>
        <v>0</v>
      </c>
      <c r="T146" s="131">
        <f>'Suc. Tuxpan'!G146</f>
        <v>0</v>
      </c>
      <c r="U146" s="131">
        <f>'Suc. Varas'!G146</f>
        <v>0</v>
      </c>
      <c r="V146" s="131">
        <f>'Suc. Santa María del Oro'!G146</f>
        <v>0</v>
      </c>
      <c r="W146" s="131">
        <f>'Suc. Villa Hidalgo'!G146</f>
        <v>0</v>
      </c>
      <c r="X146" s="131">
        <f>'Suc. Peñita'!G146</f>
        <v>0</v>
      </c>
      <c r="Y146" s="120">
        <f t="shared" si="68"/>
        <v>0</v>
      </c>
      <c r="Z146" s="120">
        <f t="shared" si="69"/>
        <v>0</v>
      </c>
      <c r="AB146" s="131">
        <f>'GRAL. SUC. LOCALES'!N146</f>
        <v>0</v>
      </c>
    </row>
    <row r="147" spans="1:28" ht="17.399999999999999" x14ac:dyDescent="0.35">
      <c r="A147" s="95"/>
      <c r="B147" s="131">
        <f>'Suc. Amado Nervo'!G147</f>
        <v>0</v>
      </c>
      <c r="C147" s="131">
        <f>'Suc. León'!G147</f>
        <v>0</v>
      </c>
      <c r="D147" s="120">
        <f>'San Cayetano'!G147</f>
        <v>0</v>
      </c>
      <c r="E147" s="120">
        <f>'Suc. Boulevard'!G147</f>
        <v>0</v>
      </c>
      <c r="F147" s="120">
        <f>'Suc. Dos de Agosto'!G147</f>
        <v>0</v>
      </c>
      <c r="G147" s="120">
        <f>'Suc. La Nueva Canasta'!G147</f>
        <v>0</v>
      </c>
      <c r="H147" s="120">
        <f>'Suc. Mololoa'!G147</f>
        <v>0</v>
      </c>
      <c r="I147" s="120">
        <f>'Suc. Plaza'!G147</f>
        <v>0</v>
      </c>
      <c r="J147" s="120">
        <f>'Suc. Vistas'!G147</f>
        <v>0</v>
      </c>
      <c r="K147" s="120">
        <f>'Suc. Xalisco'!G147</f>
        <v>0</v>
      </c>
      <c r="L147" s="120">
        <f t="shared" si="67"/>
        <v>0</v>
      </c>
      <c r="M147" s="131">
        <f>'Suc. Acaponeta'!G147</f>
        <v>0</v>
      </c>
      <c r="N147" s="131">
        <f>'Suc. Compostela'!G147</f>
        <v>0</v>
      </c>
      <c r="O147" s="131">
        <f>'Suc. Ruiz'!G147</f>
        <v>0</v>
      </c>
      <c r="P147" s="131">
        <f>'Suc. Sanblas'!G147</f>
        <v>0</v>
      </c>
      <c r="Q147" s="131">
        <f>'LALO VARAS'!G147</f>
        <v>0</v>
      </c>
      <c r="R147" s="131">
        <f>'Suc. Santiago 2'!G147</f>
        <v>0</v>
      </c>
      <c r="S147" s="131">
        <f>'Suc. Tecuala'!G147</f>
        <v>0</v>
      </c>
      <c r="T147" s="131">
        <f>'Suc. Tuxpan'!G147</f>
        <v>0</v>
      </c>
      <c r="U147" s="131">
        <f>'Suc. Varas'!G147</f>
        <v>0</v>
      </c>
      <c r="V147" s="131">
        <f>'Suc. Santa María del Oro'!G147</f>
        <v>0</v>
      </c>
      <c r="W147" s="131">
        <f>'Suc. Villa Hidalgo'!G147</f>
        <v>0</v>
      </c>
      <c r="X147" s="131">
        <f>'Suc. Peñita'!G147</f>
        <v>0</v>
      </c>
      <c r="Y147" s="120">
        <f t="shared" si="68"/>
        <v>0</v>
      </c>
      <c r="Z147" s="120">
        <f t="shared" si="69"/>
        <v>0</v>
      </c>
      <c r="AB147" s="131">
        <f>'GRAL. SUC. LOCALES'!N147</f>
        <v>0</v>
      </c>
    </row>
    <row r="148" spans="1:28" ht="18" thickBot="1" x14ac:dyDescent="0.4">
      <c r="A148" s="95"/>
      <c r="B148" s="131">
        <f>'Suc. Amado Nervo'!G148</f>
        <v>0</v>
      </c>
      <c r="C148" s="131">
        <f>'Suc. León'!G148</f>
        <v>0</v>
      </c>
      <c r="D148" s="120">
        <f>'San Cayetano'!G148</f>
        <v>0</v>
      </c>
      <c r="E148" s="120">
        <f>'Suc. Boulevard'!G148</f>
        <v>0</v>
      </c>
      <c r="F148" s="120">
        <f>'Suc. Dos de Agosto'!G148</f>
        <v>0</v>
      </c>
      <c r="G148" s="120">
        <f>'Suc. La Nueva Canasta'!G148</f>
        <v>0</v>
      </c>
      <c r="H148" s="120">
        <f>'Suc. Mololoa'!G148</f>
        <v>0</v>
      </c>
      <c r="I148" s="120">
        <f>'Suc. Plaza'!G148</f>
        <v>0</v>
      </c>
      <c r="J148" s="120">
        <f>'Suc. Vistas'!G148</f>
        <v>0</v>
      </c>
      <c r="K148" s="120">
        <f>'Suc. Xalisco'!G148</f>
        <v>0</v>
      </c>
      <c r="L148" s="120">
        <f t="shared" si="67"/>
        <v>0</v>
      </c>
      <c r="M148" s="131">
        <f>'Suc. Acaponeta'!G148</f>
        <v>0</v>
      </c>
      <c r="N148" s="131">
        <f>'Suc. Compostela'!G148</f>
        <v>0</v>
      </c>
      <c r="O148" s="131">
        <f>'Suc. Ruiz'!G148</f>
        <v>0</v>
      </c>
      <c r="P148" s="131">
        <f>'Suc. Sanblas'!G148</f>
        <v>0</v>
      </c>
      <c r="Q148" s="131">
        <f>'LALO VARAS'!G148</f>
        <v>0</v>
      </c>
      <c r="R148" s="131">
        <f>'Suc. Santiago 2'!G148</f>
        <v>0</v>
      </c>
      <c r="S148" s="131">
        <f>'Suc. Tecuala'!G148</f>
        <v>0</v>
      </c>
      <c r="T148" s="131">
        <f>'Suc. Tuxpan'!G148</f>
        <v>0</v>
      </c>
      <c r="U148" s="131">
        <f>'Suc. Varas'!G148</f>
        <v>0</v>
      </c>
      <c r="V148" s="131">
        <f>'Suc. Santa María del Oro'!G148</f>
        <v>0</v>
      </c>
      <c r="W148" s="131">
        <f>'Suc. Villa Hidalgo'!G148</f>
        <v>0</v>
      </c>
      <c r="X148" s="131">
        <f>'Suc. Peñita'!G148</f>
        <v>0</v>
      </c>
      <c r="Y148" s="120">
        <f t="shared" si="68"/>
        <v>0</v>
      </c>
      <c r="Z148" s="120">
        <f t="shared" si="69"/>
        <v>0</v>
      </c>
      <c r="AB148" s="131">
        <f>'GRAL. SUC. LOCALES'!N148</f>
        <v>0</v>
      </c>
    </row>
    <row r="149" spans="1:28" ht="18" thickBot="1" x14ac:dyDescent="0.4">
      <c r="A149" s="173"/>
      <c r="B149" s="114">
        <f t="shared" ref="B149:Z149" si="70">SUM(B118:B127)</f>
        <v>2</v>
      </c>
      <c r="C149" s="114">
        <f t="shared" si="70"/>
        <v>1</v>
      </c>
      <c r="D149" s="114">
        <f t="shared" si="70"/>
        <v>4</v>
      </c>
      <c r="E149" s="114">
        <f t="shared" si="70"/>
        <v>0</v>
      </c>
      <c r="F149" s="114">
        <f t="shared" si="70"/>
        <v>4</v>
      </c>
      <c r="G149" s="114">
        <f>SUM(G118:G148,)</f>
        <v>0</v>
      </c>
      <c r="H149" s="114">
        <f t="shared" si="70"/>
        <v>5</v>
      </c>
      <c r="I149" s="114">
        <f t="shared" si="70"/>
        <v>2</v>
      </c>
      <c r="J149" s="114">
        <f t="shared" si="70"/>
        <v>9</v>
      </c>
      <c r="K149" s="114">
        <f t="shared" si="70"/>
        <v>1</v>
      </c>
      <c r="L149" s="114">
        <f t="shared" si="70"/>
        <v>28</v>
      </c>
      <c r="M149" s="114">
        <f t="shared" si="70"/>
        <v>0</v>
      </c>
      <c r="N149" s="114">
        <f t="shared" si="70"/>
        <v>6</v>
      </c>
      <c r="O149" s="114">
        <f t="shared" si="70"/>
        <v>0</v>
      </c>
      <c r="P149" s="114">
        <f t="shared" si="70"/>
        <v>0</v>
      </c>
      <c r="Q149" s="114">
        <f t="shared" si="70"/>
        <v>0</v>
      </c>
      <c r="R149" s="114">
        <f t="shared" si="70"/>
        <v>0</v>
      </c>
      <c r="S149" s="114">
        <f t="shared" si="70"/>
        <v>0</v>
      </c>
      <c r="T149" s="114">
        <f t="shared" si="70"/>
        <v>0</v>
      </c>
      <c r="U149" s="114">
        <f t="shared" si="70"/>
        <v>0</v>
      </c>
      <c r="V149" s="114">
        <f t="shared" si="70"/>
        <v>0</v>
      </c>
      <c r="W149" s="114">
        <f t="shared" si="70"/>
        <v>0</v>
      </c>
      <c r="X149" s="114">
        <f t="shared" si="70"/>
        <v>0</v>
      </c>
      <c r="Y149" s="114">
        <f t="shared" si="70"/>
        <v>6</v>
      </c>
      <c r="Z149" s="114">
        <f t="shared" si="70"/>
        <v>34</v>
      </c>
      <c r="AB149" s="114">
        <f>SUM(AB118:AB127)</f>
        <v>47</v>
      </c>
    </row>
    <row r="150" spans="1:28" ht="18" thickBot="1" x14ac:dyDescent="0.4">
      <c r="A150" s="110" t="s">
        <v>86</v>
      </c>
      <c r="B150" s="59">
        <f t="shared" ref="B150:Z150" si="71">B117+B149</f>
        <v>20</v>
      </c>
      <c r="C150" s="59">
        <f t="shared" si="71"/>
        <v>20</v>
      </c>
      <c r="D150" s="59">
        <f t="shared" si="71"/>
        <v>52</v>
      </c>
      <c r="E150" s="59">
        <f t="shared" si="71"/>
        <v>38</v>
      </c>
      <c r="F150" s="59">
        <f t="shared" si="71"/>
        <v>52</v>
      </c>
      <c r="G150" s="59">
        <f t="shared" si="71"/>
        <v>0</v>
      </c>
      <c r="H150" s="59">
        <f t="shared" si="71"/>
        <v>66</v>
      </c>
      <c r="I150" s="59">
        <f t="shared" si="71"/>
        <v>58</v>
      </c>
      <c r="J150" s="59">
        <f t="shared" si="71"/>
        <v>92</v>
      </c>
      <c r="K150" s="59">
        <f t="shared" si="71"/>
        <v>46</v>
      </c>
      <c r="L150" s="59">
        <f t="shared" si="71"/>
        <v>444</v>
      </c>
      <c r="M150" s="59">
        <f t="shared" si="71"/>
        <v>0</v>
      </c>
      <c r="N150" s="59">
        <f t="shared" si="71"/>
        <v>53</v>
      </c>
      <c r="O150" s="59">
        <f t="shared" si="71"/>
        <v>0</v>
      </c>
      <c r="P150" s="59">
        <f t="shared" si="71"/>
        <v>0</v>
      </c>
      <c r="Q150" s="59">
        <f t="shared" si="71"/>
        <v>37</v>
      </c>
      <c r="R150" s="59">
        <f t="shared" si="71"/>
        <v>0</v>
      </c>
      <c r="S150" s="59">
        <f t="shared" si="71"/>
        <v>0</v>
      </c>
      <c r="T150" s="59">
        <f t="shared" si="71"/>
        <v>103</v>
      </c>
      <c r="U150" s="59">
        <f t="shared" si="71"/>
        <v>0</v>
      </c>
      <c r="V150" s="59">
        <f t="shared" si="71"/>
        <v>40</v>
      </c>
      <c r="W150" s="59">
        <f t="shared" si="71"/>
        <v>0</v>
      </c>
      <c r="X150" s="59">
        <f t="shared" si="71"/>
        <v>0</v>
      </c>
      <c r="Y150" s="59">
        <f t="shared" si="71"/>
        <v>233</v>
      </c>
      <c r="Z150" s="59">
        <f t="shared" si="71"/>
        <v>677</v>
      </c>
      <c r="AB150" s="59">
        <f>AB117+AB149</f>
        <v>865</v>
      </c>
    </row>
  </sheetData>
  <mergeCells count="2">
    <mergeCell ref="B1:K1"/>
    <mergeCell ref="M1:W1"/>
  </mergeCells>
  <conditionalFormatting sqref="B3:K17">
    <cfRule type="cellIs" dxfId="164" priority="214" operator="equal">
      <formula>0</formula>
    </cfRule>
  </conditionalFormatting>
  <conditionalFormatting sqref="B19:K31">
    <cfRule type="cellIs" dxfId="163" priority="50" operator="equal">
      <formula>0</formula>
    </cfRule>
  </conditionalFormatting>
  <conditionalFormatting sqref="B33:K48">
    <cfRule type="cellIs" dxfId="162" priority="45" operator="equal">
      <formula>0</formula>
    </cfRule>
  </conditionalFormatting>
  <conditionalFormatting sqref="B50:K51">
    <cfRule type="cellIs" dxfId="161" priority="40" operator="equal">
      <formula>0</formula>
    </cfRule>
  </conditionalFormatting>
  <conditionalFormatting sqref="B53:K54">
    <cfRule type="cellIs" dxfId="160" priority="35" operator="equal">
      <formula>0</formula>
    </cfRule>
  </conditionalFormatting>
  <conditionalFormatting sqref="B56:K77">
    <cfRule type="cellIs" dxfId="159" priority="30" operator="equal">
      <formula>0</formula>
    </cfRule>
  </conditionalFormatting>
  <conditionalFormatting sqref="B81:K90">
    <cfRule type="cellIs" dxfId="158" priority="25" operator="equal">
      <formula>0</formula>
    </cfRule>
  </conditionalFormatting>
  <conditionalFormatting sqref="B93:K104">
    <cfRule type="cellIs" dxfId="157" priority="20" operator="equal">
      <formula>0</formula>
    </cfRule>
  </conditionalFormatting>
  <conditionalFormatting sqref="B107:K112">
    <cfRule type="cellIs" dxfId="156" priority="15" operator="equal">
      <formula>0</formula>
    </cfRule>
  </conditionalFormatting>
  <conditionalFormatting sqref="B114:K116">
    <cfRule type="cellIs" dxfId="155" priority="10" operator="equal">
      <formula>0</formula>
    </cfRule>
  </conditionalFormatting>
  <conditionalFormatting sqref="B118:K148">
    <cfRule type="cellIs" dxfId="154" priority="5" operator="equal">
      <formula>0</formula>
    </cfRule>
  </conditionalFormatting>
  <conditionalFormatting sqref="L3:L17">
    <cfRule type="cellIs" dxfId="153" priority="213" operator="equal">
      <formula>0</formula>
    </cfRule>
  </conditionalFormatting>
  <conditionalFormatting sqref="L19:L31">
    <cfRule type="cellIs" dxfId="152" priority="49" operator="equal">
      <formula>0</formula>
    </cfRule>
  </conditionalFormatting>
  <conditionalFormatting sqref="L33:L48">
    <cfRule type="cellIs" dxfId="151" priority="44" operator="equal">
      <formula>0</formula>
    </cfRule>
  </conditionalFormatting>
  <conditionalFormatting sqref="L50:L51">
    <cfRule type="cellIs" dxfId="150" priority="39" operator="equal">
      <formula>0</formula>
    </cfRule>
  </conditionalFormatting>
  <conditionalFormatting sqref="L53:L54">
    <cfRule type="cellIs" dxfId="149" priority="34" operator="equal">
      <formula>0</formula>
    </cfRule>
  </conditionalFormatting>
  <conditionalFormatting sqref="L56:L77">
    <cfRule type="cellIs" dxfId="148" priority="29" operator="equal">
      <formula>0</formula>
    </cfRule>
  </conditionalFormatting>
  <conditionalFormatting sqref="L81:L90">
    <cfRule type="cellIs" dxfId="147" priority="24" operator="equal">
      <formula>0</formula>
    </cfRule>
  </conditionalFormatting>
  <conditionalFormatting sqref="L93:L104">
    <cfRule type="cellIs" dxfId="146" priority="19" operator="equal">
      <formula>0</formula>
    </cfRule>
  </conditionalFormatting>
  <conditionalFormatting sqref="L107:L112">
    <cfRule type="cellIs" dxfId="145" priority="14" operator="equal">
      <formula>0</formula>
    </cfRule>
  </conditionalFormatting>
  <conditionalFormatting sqref="L114:L116">
    <cfRule type="cellIs" dxfId="144" priority="9" operator="equal">
      <formula>0</formula>
    </cfRule>
  </conditionalFormatting>
  <conditionalFormatting sqref="L118:L148">
    <cfRule type="cellIs" dxfId="143" priority="4" operator="equal">
      <formula>0</formula>
    </cfRule>
  </conditionalFormatting>
  <conditionalFormatting sqref="M3:X17">
    <cfRule type="cellIs" dxfId="142" priority="146" operator="equal">
      <formula>0</formula>
    </cfRule>
  </conditionalFormatting>
  <conditionalFormatting sqref="M19:X31">
    <cfRule type="cellIs" dxfId="141" priority="46" operator="equal">
      <formula>0</formula>
    </cfRule>
  </conditionalFormatting>
  <conditionalFormatting sqref="M33:X48">
    <cfRule type="cellIs" dxfId="140" priority="41" operator="equal">
      <formula>0</formula>
    </cfRule>
  </conditionalFormatting>
  <conditionalFormatting sqref="M50:X51">
    <cfRule type="cellIs" dxfId="139" priority="36" operator="equal">
      <formula>0</formula>
    </cfRule>
  </conditionalFormatting>
  <conditionalFormatting sqref="M53:X54">
    <cfRule type="cellIs" dxfId="138" priority="31" operator="equal">
      <formula>0</formula>
    </cfRule>
  </conditionalFormatting>
  <conditionalFormatting sqref="M56:X77">
    <cfRule type="cellIs" dxfId="137" priority="26" operator="equal">
      <formula>0</formula>
    </cfRule>
  </conditionalFormatting>
  <conditionalFormatting sqref="M81:X90">
    <cfRule type="cellIs" dxfId="136" priority="21" operator="equal">
      <formula>0</formula>
    </cfRule>
  </conditionalFormatting>
  <conditionalFormatting sqref="M93:X104">
    <cfRule type="cellIs" dxfId="135" priority="16" operator="equal">
      <formula>0</formula>
    </cfRule>
  </conditionalFormatting>
  <conditionalFormatting sqref="M107:X112">
    <cfRule type="cellIs" dxfId="134" priority="11" operator="equal">
      <formula>0</formula>
    </cfRule>
  </conditionalFormatting>
  <conditionalFormatting sqref="M114:X116">
    <cfRule type="cellIs" dxfId="133" priority="6" operator="equal">
      <formula>0</formula>
    </cfRule>
  </conditionalFormatting>
  <conditionalFormatting sqref="M118:X148">
    <cfRule type="cellIs" dxfId="132" priority="1" operator="equal">
      <formula>0</formula>
    </cfRule>
  </conditionalFormatting>
  <conditionalFormatting sqref="Y3:Z17">
    <cfRule type="cellIs" dxfId="131" priority="149" operator="equal">
      <formula>0</formula>
    </cfRule>
  </conditionalFormatting>
  <conditionalFormatting sqref="Y19:Z31">
    <cfRule type="cellIs" dxfId="130" priority="47" operator="equal">
      <formula>0</formula>
    </cfRule>
  </conditionalFormatting>
  <conditionalFormatting sqref="Y33:Z48">
    <cfRule type="cellIs" dxfId="129" priority="42" operator="equal">
      <formula>0</formula>
    </cfRule>
  </conditionalFormatting>
  <conditionalFormatting sqref="Y50:Z51">
    <cfRule type="cellIs" dxfId="128" priority="37" operator="equal">
      <formula>0</formula>
    </cfRule>
  </conditionalFormatting>
  <conditionalFormatting sqref="Y53:Z54">
    <cfRule type="cellIs" dxfId="127" priority="32" operator="equal">
      <formula>0</formula>
    </cfRule>
  </conditionalFormatting>
  <conditionalFormatting sqref="Y56:Z77">
    <cfRule type="cellIs" dxfId="126" priority="27" operator="equal">
      <formula>0</formula>
    </cfRule>
  </conditionalFormatting>
  <conditionalFormatting sqref="Y81:Z90">
    <cfRule type="cellIs" dxfId="125" priority="22" operator="equal">
      <formula>0</formula>
    </cfRule>
  </conditionalFormatting>
  <conditionalFormatting sqref="Y93:Z104">
    <cfRule type="cellIs" dxfId="124" priority="17" operator="equal">
      <formula>0</formula>
    </cfRule>
  </conditionalFormatting>
  <conditionalFormatting sqref="Y107:Z112">
    <cfRule type="cellIs" dxfId="123" priority="12" operator="equal">
      <formula>0</formula>
    </cfRule>
  </conditionalFormatting>
  <conditionalFormatting sqref="Y114:Z116">
    <cfRule type="cellIs" dxfId="122" priority="7" operator="equal">
      <formula>0</formula>
    </cfRule>
  </conditionalFormatting>
  <conditionalFormatting sqref="Y118:Z148">
    <cfRule type="cellIs" dxfId="121" priority="2" operator="equal">
      <formula>0</formula>
    </cfRule>
  </conditionalFormatting>
  <conditionalFormatting sqref="AB3:AB17">
    <cfRule type="cellIs" dxfId="120" priority="170" operator="equal">
      <formula>0</formula>
    </cfRule>
  </conditionalFormatting>
  <conditionalFormatting sqref="AB19:AB31">
    <cfRule type="cellIs" dxfId="119" priority="48" operator="equal">
      <formula>0</formula>
    </cfRule>
  </conditionalFormatting>
  <conditionalFormatting sqref="AB33:AB48">
    <cfRule type="cellIs" dxfId="118" priority="43" operator="equal">
      <formula>0</formula>
    </cfRule>
  </conditionalFormatting>
  <conditionalFormatting sqref="AB50:AB51">
    <cfRule type="cellIs" dxfId="117" priority="38" operator="equal">
      <formula>0</formula>
    </cfRule>
  </conditionalFormatting>
  <conditionalFormatting sqref="AB53:AB54">
    <cfRule type="cellIs" dxfId="116" priority="33" operator="equal">
      <formula>0</formula>
    </cfRule>
  </conditionalFormatting>
  <conditionalFormatting sqref="AB56:AB77">
    <cfRule type="cellIs" dxfId="115" priority="28" operator="equal">
      <formula>0</formula>
    </cfRule>
  </conditionalFormatting>
  <conditionalFormatting sqref="AB81:AB90">
    <cfRule type="cellIs" dxfId="114" priority="23" operator="equal">
      <formula>0</formula>
    </cfRule>
  </conditionalFormatting>
  <conditionalFormatting sqref="AB93:AB104">
    <cfRule type="cellIs" dxfId="113" priority="18" operator="equal">
      <formula>0</formula>
    </cfRule>
  </conditionalFormatting>
  <conditionalFormatting sqref="AB107:AB112">
    <cfRule type="cellIs" dxfId="112" priority="13" operator="equal">
      <formula>0</formula>
    </cfRule>
  </conditionalFormatting>
  <conditionalFormatting sqref="AB114:AB116">
    <cfRule type="cellIs" dxfId="111" priority="8" operator="equal">
      <formula>0</formula>
    </cfRule>
  </conditionalFormatting>
  <conditionalFormatting sqref="AB118:AB148">
    <cfRule type="cellIs" dxfId="110" priority="3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3123B-2520-4BBD-A19A-DA91AEA3BF6A}">
  <sheetPr>
    <tabColor rgb="FFFF0000"/>
  </sheetPr>
  <dimension ref="A1:AE150"/>
  <sheetViews>
    <sheetView zoomScale="70" zoomScaleNormal="70" workbookViewId="0">
      <pane xSplit="1" ySplit="2" topLeftCell="B136" activePane="bottomRight" state="frozen"/>
      <selection activeCell="P131" sqref="P131"/>
      <selection pane="topRight" activeCell="P131" sqref="P131"/>
      <selection pane="bottomLeft" activeCell="P131" sqref="P131"/>
      <selection pane="bottomRight" activeCell="A141" sqref="A141"/>
    </sheetView>
  </sheetViews>
  <sheetFormatPr baseColWidth="10" defaultRowHeight="14.4" outlineLevelCol="1" x14ac:dyDescent="0.3"/>
  <cols>
    <col min="1" max="1" width="55.6640625" customWidth="1"/>
    <col min="2" max="6" width="12.6640625" customWidth="1" outlineLevel="1"/>
    <col min="7" max="7" width="12.6640625" hidden="1" customWidth="1" outlineLevel="1"/>
    <col min="8" max="11" width="12.6640625" customWidth="1" outlineLevel="1"/>
    <col min="12" max="12" width="12.6640625" customWidth="1"/>
    <col min="13" max="13" width="12.6640625" customWidth="1" outlineLevel="1"/>
    <col min="14" max="14" width="13.88671875" customWidth="1" outlineLevel="1"/>
    <col min="15" max="24" width="12.6640625" customWidth="1" outlineLevel="1"/>
    <col min="25" max="26" width="12.6640625" customWidth="1"/>
    <col min="27" max="27" width="3.109375" customWidth="1"/>
    <col min="28" max="28" width="0" style="84" hidden="1" customWidth="1"/>
    <col min="29" max="29" width="2.109375" hidden="1" customWidth="1"/>
    <col min="30" max="31" width="0" style="84" hidden="1" customWidth="1"/>
  </cols>
  <sheetData>
    <row r="1" spans="1:30" ht="18" thickBot="1" x14ac:dyDescent="0.4">
      <c r="A1" s="1">
        <f>RAIZ!B1</f>
        <v>46301</v>
      </c>
      <c r="B1" s="257" t="s">
        <v>889</v>
      </c>
      <c r="C1" s="257"/>
      <c r="D1" s="257"/>
      <c r="E1" s="257"/>
      <c r="F1" s="257"/>
      <c r="G1" s="257"/>
      <c r="H1" s="257"/>
      <c r="I1" s="257"/>
      <c r="J1" s="257"/>
      <c r="K1" s="257"/>
      <c r="L1" s="164"/>
      <c r="M1" s="257" t="s">
        <v>890</v>
      </c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195"/>
      <c r="Y1" s="164"/>
    </row>
    <row r="2" spans="1:30" ht="31.8" thickBot="1" x14ac:dyDescent="0.35">
      <c r="A2" s="90" t="s">
        <v>0</v>
      </c>
      <c r="B2" s="62" t="s">
        <v>701</v>
      </c>
      <c r="C2" s="62" t="s">
        <v>706</v>
      </c>
      <c r="D2" s="62" t="s">
        <v>707</v>
      </c>
      <c r="E2" s="62" t="s">
        <v>708</v>
      </c>
      <c r="F2" s="62" t="s">
        <v>709</v>
      </c>
      <c r="G2" s="62" t="s">
        <v>710</v>
      </c>
      <c r="H2" s="62" t="s">
        <v>711</v>
      </c>
      <c r="I2" s="62" t="s">
        <v>712</v>
      </c>
      <c r="J2" s="62" t="s">
        <v>713</v>
      </c>
      <c r="K2" s="62" t="s">
        <v>714</v>
      </c>
      <c r="L2" s="61" t="s">
        <v>838</v>
      </c>
      <c r="M2" s="62" t="s">
        <v>717</v>
      </c>
      <c r="N2" s="62" t="s">
        <v>718</v>
      </c>
      <c r="O2" s="62" t="s">
        <v>719</v>
      </c>
      <c r="P2" s="62" t="s">
        <v>720</v>
      </c>
      <c r="Q2" s="62" t="s">
        <v>721</v>
      </c>
      <c r="R2" s="62" t="s">
        <v>722</v>
      </c>
      <c r="S2" s="62" t="s">
        <v>723</v>
      </c>
      <c r="T2" s="62" t="s">
        <v>724</v>
      </c>
      <c r="U2" s="62" t="s">
        <v>860</v>
      </c>
      <c r="V2" s="62" t="s">
        <v>942</v>
      </c>
      <c r="W2" s="62" t="s">
        <v>1000</v>
      </c>
      <c r="X2" s="62" t="s">
        <v>1033</v>
      </c>
      <c r="Y2" s="61" t="s">
        <v>840</v>
      </c>
      <c r="Z2" s="115" t="s">
        <v>841</v>
      </c>
      <c r="AB2" s="89" t="s">
        <v>872</v>
      </c>
      <c r="AD2" s="89"/>
    </row>
    <row r="3" spans="1:30" ht="17.399999999999999" x14ac:dyDescent="0.35">
      <c r="A3" s="93" t="s">
        <v>1</v>
      </c>
      <c r="B3" s="131">
        <f>'Suc. Amado Nervo'!D3</f>
        <v>3</v>
      </c>
      <c r="C3" s="131">
        <f>'Suc. León'!D3</f>
        <v>3</v>
      </c>
      <c r="D3" s="120">
        <f>'San Cayetano'!D3</f>
        <v>2</v>
      </c>
      <c r="E3" s="120">
        <f>'Suc. Boulevard'!D3</f>
        <v>2</v>
      </c>
      <c r="F3" s="120">
        <f>'Suc. Dos de Agosto'!D3</f>
        <v>1</v>
      </c>
      <c r="G3" s="120">
        <f>'Suc. La Nueva Canasta'!D3</f>
        <v>0</v>
      </c>
      <c r="H3" s="120">
        <f>'Suc. Mololoa'!D3</f>
        <v>1</v>
      </c>
      <c r="I3" s="120">
        <f>'Suc. Plaza'!D3</f>
        <v>1</v>
      </c>
      <c r="J3" s="120">
        <f>'Suc. Vistas'!D3</f>
        <v>2</v>
      </c>
      <c r="K3" s="120">
        <f>'Suc. Xalisco'!D3</f>
        <v>2</v>
      </c>
      <c r="L3" s="120">
        <f t="shared" ref="L3" si="0">SUM(B3:K3)</f>
        <v>17</v>
      </c>
      <c r="M3" s="131">
        <f>'Suc. Acaponeta'!D3</f>
        <v>2</v>
      </c>
      <c r="N3" s="131">
        <f>'Suc. Compostela'!D3</f>
        <v>1</v>
      </c>
      <c r="O3" s="131">
        <f>'Suc. Ruiz'!D3</f>
        <v>2</v>
      </c>
      <c r="P3" s="131">
        <f>'Suc. Sanblas'!D3</f>
        <v>1</v>
      </c>
      <c r="Q3" s="131">
        <f>'LALO VARAS'!D3</f>
        <v>1</v>
      </c>
      <c r="R3" s="131">
        <f>'Suc. Santiago 2'!D3</f>
        <v>1</v>
      </c>
      <c r="S3" s="131">
        <f>'Suc. Tecuala'!D3</f>
        <v>2</v>
      </c>
      <c r="T3" s="131">
        <f>'Suc. Tuxpan'!D3</f>
        <v>1</v>
      </c>
      <c r="U3" s="131">
        <f>'Suc. Varas'!D3</f>
        <v>1</v>
      </c>
      <c r="V3" s="131">
        <f>'Suc. Santa María del Oro'!D3</f>
        <v>0</v>
      </c>
      <c r="W3" s="131">
        <f>'Suc. Villa Hidalgo'!D3</f>
        <v>1</v>
      </c>
      <c r="X3" s="131">
        <f>'Suc. Peñita'!D3</f>
        <v>0</v>
      </c>
      <c r="Y3" s="120">
        <f>SUM(M3:X3)</f>
        <v>13</v>
      </c>
      <c r="Z3" s="120">
        <f t="shared" ref="Z3" si="1">L3+Y3</f>
        <v>30</v>
      </c>
      <c r="AB3" s="84">
        <f>IFERROR(VLOOKUP(A3,'GRAL. SUC. FORANEAS'!$R:$S,2,0),0)</f>
        <v>15</v>
      </c>
      <c r="AD3" s="135">
        <f t="shared" ref="AD3:AD10" si="2">AB3+Z3</f>
        <v>45</v>
      </c>
    </row>
    <row r="4" spans="1:30" ht="17.399999999999999" x14ac:dyDescent="0.35">
      <c r="A4" s="93" t="s">
        <v>2</v>
      </c>
      <c r="B4" s="131">
        <f>'Suc. Amado Nervo'!D4</f>
        <v>2</v>
      </c>
      <c r="C4" s="131">
        <f>'Suc. León'!D4</f>
        <v>2</v>
      </c>
      <c r="D4" s="120">
        <f>'San Cayetano'!D4</f>
        <v>2</v>
      </c>
      <c r="E4" s="120">
        <f>'Suc. Boulevard'!D4</f>
        <v>2</v>
      </c>
      <c r="F4" s="120">
        <f>'Suc. Dos de Agosto'!D4</f>
        <v>2</v>
      </c>
      <c r="G4" s="120">
        <f>'Suc. La Nueva Canasta'!D4</f>
        <v>0</v>
      </c>
      <c r="H4" s="120">
        <f>'Suc. Mololoa'!D4</f>
        <v>2</v>
      </c>
      <c r="I4" s="120">
        <f>'Suc. Plaza'!D4</f>
        <v>1</v>
      </c>
      <c r="J4" s="120">
        <f>'Suc. Vistas'!D4</f>
        <v>2</v>
      </c>
      <c r="K4" s="120">
        <f>'Suc. Xalisco'!D4</f>
        <v>2</v>
      </c>
      <c r="L4" s="120">
        <f t="shared" ref="L4:L17" si="3">SUM(B4:K4)</f>
        <v>17</v>
      </c>
      <c r="M4" s="131">
        <f>'Suc. Acaponeta'!D4</f>
        <v>2</v>
      </c>
      <c r="N4" s="131">
        <f>'Suc. Compostela'!D4</f>
        <v>2</v>
      </c>
      <c r="O4" s="131">
        <f>'Suc. Ruiz'!D4</f>
        <v>3</v>
      </c>
      <c r="P4" s="131">
        <f>'Suc. Sanblas'!D4</f>
        <v>3</v>
      </c>
      <c r="Q4" s="131">
        <f>'LALO VARAS'!D4</f>
        <v>4</v>
      </c>
      <c r="R4" s="131">
        <f>'Suc. Santiago 2'!D4</f>
        <v>3</v>
      </c>
      <c r="S4" s="131">
        <f>'Suc. Tecuala'!D4</f>
        <v>2</v>
      </c>
      <c r="T4" s="131">
        <f>'Suc. Tuxpan'!D4</f>
        <v>4</v>
      </c>
      <c r="U4" s="131">
        <f>'Suc. Varas'!D4</f>
        <v>2</v>
      </c>
      <c r="V4" s="131">
        <f>'Suc. Santa María del Oro'!D4</f>
        <v>2</v>
      </c>
      <c r="W4" s="131">
        <f>'Suc. Villa Hidalgo'!D4</f>
        <v>1</v>
      </c>
      <c r="X4" s="131">
        <f>'Suc. Peñita'!D4</f>
        <v>1</v>
      </c>
      <c r="Y4" s="120">
        <f t="shared" ref="Y4:Y17" si="4">SUM(M4:X4)</f>
        <v>29</v>
      </c>
      <c r="Z4" s="120">
        <f t="shared" ref="Z4:Z17" si="5">L4+Y4</f>
        <v>46</v>
      </c>
      <c r="AB4" s="84">
        <f>IFERROR(VLOOKUP(A4,'GRAL. SUC. FORANEAS'!$R:$S,2,0),0)</f>
        <v>16</v>
      </c>
      <c r="AD4" s="84">
        <f t="shared" si="2"/>
        <v>62</v>
      </c>
    </row>
    <row r="5" spans="1:30" ht="17.399999999999999" x14ac:dyDescent="0.35">
      <c r="A5" s="93" t="s">
        <v>3</v>
      </c>
      <c r="B5" s="131">
        <f>'Suc. Amado Nervo'!D5</f>
        <v>2</v>
      </c>
      <c r="C5" s="131">
        <f>'Suc. León'!D5</f>
        <v>2</v>
      </c>
      <c r="D5" s="120">
        <f>'San Cayetano'!D5</f>
        <v>2</v>
      </c>
      <c r="E5" s="120">
        <f>'Suc. Boulevard'!D5</f>
        <v>2</v>
      </c>
      <c r="F5" s="120">
        <f>'Suc. Dos de Agosto'!D5</f>
        <v>1</v>
      </c>
      <c r="G5" s="120">
        <f>'Suc. La Nueva Canasta'!D5</f>
        <v>0</v>
      </c>
      <c r="H5" s="120">
        <f>'Suc. Mololoa'!D5</f>
        <v>1</v>
      </c>
      <c r="I5" s="120">
        <f>'Suc. Plaza'!D5</f>
        <v>1</v>
      </c>
      <c r="J5" s="120">
        <f>'Suc. Vistas'!D5</f>
        <v>2</v>
      </c>
      <c r="K5" s="120">
        <f>'Suc. Xalisco'!D5</f>
        <v>2</v>
      </c>
      <c r="L5" s="120">
        <f t="shared" si="3"/>
        <v>15</v>
      </c>
      <c r="M5" s="131">
        <f>'Suc. Acaponeta'!D5</f>
        <v>3</v>
      </c>
      <c r="N5" s="131">
        <f>'Suc. Compostela'!D5</f>
        <v>2</v>
      </c>
      <c r="O5" s="131">
        <f>'Suc. Ruiz'!D5</f>
        <v>3</v>
      </c>
      <c r="P5" s="131">
        <f>'Suc. Sanblas'!D5</f>
        <v>1</v>
      </c>
      <c r="Q5" s="131">
        <f>'LALO VARAS'!D5</f>
        <v>4</v>
      </c>
      <c r="R5" s="131">
        <f>'Suc. Santiago 2'!D5</f>
        <v>4</v>
      </c>
      <c r="S5" s="131">
        <f>'Suc. Tecuala'!D5</f>
        <v>1</v>
      </c>
      <c r="T5" s="131">
        <f>'Suc. Tuxpan'!D5</f>
        <v>3</v>
      </c>
      <c r="U5" s="131">
        <f>'Suc. Varas'!D5</f>
        <v>2</v>
      </c>
      <c r="V5" s="131">
        <f>'Suc. Santa María del Oro'!D5</f>
        <v>2</v>
      </c>
      <c r="W5" s="131">
        <f>'Suc. Villa Hidalgo'!D5</f>
        <v>1</v>
      </c>
      <c r="X5" s="131">
        <f>'Suc. Peñita'!D5</f>
        <v>2</v>
      </c>
      <c r="Y5" s="120">
        <f t="shared" si="4"/>
        <v>28</v>
      </c>
      <c r="Z5" s="120">
        <f t="shared" si="5"/>
        <v>43</v>
      </c>
      <c r="AB5" s="84">
        <f>IFERROR(VLOOKUP(A5,'GRAL. SUC. FORANEAS'!$R:$S,2,0),0)</f>
        <v>11</v>
      </c>
      <c r="AD5" s="84">
        <f t="shared" si="2"/>
        <v>54</v>
      </c>
    </row>
    <row r="6" spans="1:30" ht="17.399999999999999" x14ac:dyDescent="0.35">
      <c r="A6" s="93" t="s">
        <v>4</v>
      </c>
      <c r="B6" s="131">
        <f>'Suc. Amado Nervo'!D6</f>
        <v>3</v>
      </c>
      <c r="C6" s="131">
        <f>'Suc. León'!D6</f>
        <v>3</v>
      </c>
      <c r="D6" s="120">
        <f>'San Cayetano'!D6</f>
        <v>4</v>
      </c>
      <c r="E6" s="120">
        <f>'Suc. Boulevard'!D6</f>
        <v>3</v>
      </c>
      <c r="F6" s="120">
        <f>'Suc. Dos de Agosto'!D6</f>
        <v>2</v>
      </c>
      <c r="G6" s="120">
        <f>'Suc. La Nueva Canasta'!D6</f>
        <v>0</v>
      </c>
      <c r="H6" s="120">
        <f>'Suc. Mololoa'!D6</f>
        <v>2</v>
      </c>
      <c r="I6" s="120">
        <f>'Suc. Plaza'!D6</f>
        <v>2</v>
      </c>
      <c r="J6" s="120">
        <f>'Suc. Vistas'!D6</f>
        <v>4</v>
      </c>
      <c r="K6" s="120">
        <f>'Suc. Xalisco'!D6</f>
        <v>3</v>
      </c>
      <c r="L6" s="120">
        <f t="shared" si="3"/>
        <v>26</v>
      </c>
      <c r="M6" s="131">
        <f>'Suc. Acaponeta'!D6</f>
        <v>3</v>
      </c>
      <c r="N6" s="131">
        <f>'Suc. Compostela'!D6</f>
        <v>2</v>
      </c>
      <c r="O6" s="131">
        <f>'Suc. Ruiz'!D6</f>
        <v>4</v>
      </c>
      <c r="P6" s="131">
        <f>'Suc. Sanblas'!D6</f>
        <v>3</v>
      </c>
      <c r="Q6" s="131">
        <f>'LALO VARAS'!D6</f>
        <v>4</v>
      </c>
      <c r="R6" s="131">
        <f>'Suc. Santiago 2'!D6</f>
        <v>4</v>
      </c>
      <c r="S6" s="131">
        <f>'Suc. Tecuala'!D6</f>
        <v>3</v>
      </c>
      <c r="T6" s="131">
        <f>'Suc. Tuxpan'!D6</f>
        <v>4</v>
      </c>
      <c r="U6" s="131">
        <f>'Suc. Varas'!D6</f>
        <v>4</v>
      </c>
      <c r="V6" s="131">
        <f>'Suc. Santa María del Oro'!D6</f>
        <v>3</v>
      </c>
      <c r="W6" s="131">
        <f>'Suc. Villa Hidalgo'!D6</f>
        <v>2</v>
      </c>
      <c r="X6" s="131">
        <f>'Suc. Peñita'!D6</f>
        <v>3</v>
      </c>
      <c r="Y6" s="120">
        <f t="shared" si="4"/>
        <v>39</v>
      </c>
      <c r="Z6" s="120">
        <f t="shared" si="5"/>
        <v>65</v>
      </c>
      <c r="AB6" s="84">
        <f>IFERROR(VLOOKUP(A6,'GRAL. SUC. FORANEAS'!$R:$S,2,0),0)</f>
        <v>29</v>
      </c>
      <c r="AD6" s="84">
        <f t="shared" si="2"/>
        <v>94</v>
      </c>
    </row>
    <row r="7" spans="1:30" ht="17.399999999999999" x14ac:dyDescent="0.35">
      <c r="A7" s="93" t="s">
        <v>5</v>
      </c>
      <c r="B7" s="131">
        <f>'Suc. Amado Nervo'!D7</f>
        <v>2</v>
      </c>
      <c r="C7" s="131">
        <f>'Suc. León'!D7</f>
        <v>2</v>
      </c>
      <c r="D7" s="120">
        <f>'San Cayetano'!D7</f>
        <v>2</v>
      </c>
      <c r="E7" s="120">
        <f>'Suc. Boulevard'!D7</f>
        <v>1</v>
      </c>
      <c r="F7" s="120">
        <f>'Suc. Dos de Agosto'!D7</f>
        <v>1</v>
      </c>
      <c r="G7" s="120">
        <f>'Suc. La Nueva Canasta'!D7</f>
        <v>0</v>
      </c>
      <c r="H7" s="120">
        <f>'Suc. Mololoa'!D7</f>
        <v>1</v>
      </c>
      <c r="I7" s="120">
        <f>'Suc. Plaza'!D7</f>
        <v>1</v>
      </c>
      <c r="J7" s="120">
        <f>'Suc. Vistas'!D7</f>
        <v>2</v>
      </c>
      <c r="K7" s="120">
        <f>'Suc. Xalisco'!D7</f>
        <v>2</v>
      </c>
      <c r="L7" s="120">
        <f t="shared" si="3"/>
        <v>14</v>
      </c>
      <c r="M7" s="131">
        <f>'Suc. Acaponeta'!D7</f>
        <v>2</v>
      </c>
      <c r="N7" s="131">
        <f>'Suc. Compostela'!D7</f>
        <v>2</v>
      </c>
      <c r="O7" s="131">
        <f>'Suc. Ruiz'!D7</f>
        <v>4</v>
      </c>
      <c r="P7" s="131">
        <f>'Suc. Sanblas'!D7</f>
        <v>3</v>
      </c>
      <c r="Q7" s="131">
        <f>'LALO VARAS'!D7</f>
        <v>4</v>
      </c>
      <c r="R7" s="131">
        <f>'Suc. Santiago 2'!D7</f>
        <v>3</v>
      </c>
      <c r="S7" s="131">
        <f>'Suc. Tecuala'!D7</f>
        <v>2</v>
      </c>
      <c r="T7" s="131">
        <f>'Suc. Tuxpan'!D7</f>
        <v>3</v>
      </c>
      <c r="U7" s="131">
        <f>'Suc. Varas'!D7</f>
        <v>2</v>
      </c>
      <c r="V7" s="131">
        <f>'Suc. Santa María del Oro'!D7</f>
        <v>2</v>
      </c>
      <c r="W7" s="131">
        <f>'Suc. Villa Hidalgo'!D7</f>
        <v>1</v>
      </c>
      <c r="X7" s="131">
        <f>'Suc. Peñita'!D7</f>
        <v>2</v>
      </c>
      <c r="Y7" s="120">
        <f t="shared" si="4"/>
        <v>30</v>
      </c>
      <c r="Z7" s="120">
        <f t="shared" si="5"/>
        <v>44</v>
      </c>
      <c r="AB7" s="84">
        <f>IFERROR(VLOOKUP(A7,'GRAL. SUC. FORANEAS'!$R:$S,2,0),0)</f>
        <v>19</v>
      </c>
      <c r="AD7" s="84">
        <f t="shared" si="2"/>
        <v>63</v>
      </c>
    </row>
    <row r="8" spans="1:30" ht="17.399999999999999" x14ac:dyDescent="0.35">
      <c r="A8" s="93" t="s">
        <v>6</v>
      </c>
      <c r="B8" s="131">
        <f>'Suc. Amado Nervo'!D8</f>
        <v>5</v>
      </c>
      <c r="C8" s="131">
        <f>'Suc. León'!D8</f>
        <v>4</v>
      </c>
      <c r="D8" s="120">
        <f>'San Cayetano'!D8</f>
        <v>3</v>
      </c>
      <c r="E8" s="120">
        <f>'Suc. Boulevard'!D8</f>
        <v>2</v>
      </c>
      <c r="F8" s="120">
        <f>'Suc. Dos de Agosto'!D8</f>
        <v>2</v>
      </c>
      <c r="G8" s="120">
        <f>'Suc. La Nueva Canasta'!D8</f>
        <v>0</v>
      </c>
      <c r="H8" s="120">
        <f>'Suc. Mololoa'!D8</f>
        <v>2</v>
      </c>
      <c r="I8" s="120">
        <f>'Suc. Plaza'!D8</f>
        <v>1</v>
      </c>
      <c r="J8" s="120">
        <f>'Suc. Vistas'!D8</f>
        <v>4</v>
      </c>
      <c r="K8" s="120">
        <f>'Suc. Xalisco'!D8</f>
        <v>3</v>
      </c>
      <c r="L8" s="120">
        <f t="shared" si="3"/>
        <v>26</v>
      </c>
      <c r="M8" s="131">
        <f>'Suc. Acaponeta'!D8</f>
        <v>3</v>
      </c>
      <c r="N8" s="131">
        <f>'Suc. Compostela'!D8</f>
        <v>3</v>
      </c>
      <c r="O8" s="131">
        <f>'Suc. Ruiz'!D8</f>
        <v>4</v>
      </c>
      <c r="P8" s="131">
        <f>'Suc. Sanblas'!D8</f>
        <v>3</v>
      </c>
      <c r="Q8" s="131">
        <f>'LALO VARAS'!D8</f>
        <v>5</v>
      </c>
      <c r="R8" s="131">
        <f>'Suc. Santiago 2'!D8</f>
        <v>4</v>
      </c>
      <c r="S8" s="131">
        <f>'Suc. Tecuala'!D8</f>
        <v>3</v>
      </c>
      <c r="T8" s="131">
        <f>'Suc. Tuxpan'!D8</f>
        <v>4</v>
      </c>
      <c r="U8" s="131">
        <f>'Suc. Varas'!D8</f>
        <v>4</v>
      </c>
      <c r="V8" s="131">
        <f>'Suc. Santa María del Oro'!D8</f>
        <v>3</v>
      </c>
      <c r="W8" s="131">
        <f>'Suc. Villa Hidalgo'!D8</f>
        <v>2</v>
      </c>
      <c r="X8" s="131">
        <f>'Suc. Peñita'!D8</f>
        <v>3</v>
      </c>
      <c r="Y8" s="120">
        <f t="shared" si="4"/>
        <v>41</v>
      </c>
      <c r="Z8" s="120">
        <f t="shared" si="5"/>
        <v>67</v>
      </c>
      <c r="AB8" s="84">
        <f>IFERROR(VLOOKUP(A8,'GRAL. SUC. FORANEAS'!$R:$S,2,0),0)</f>
        <v>25</v>
      </c>
      <c r="AD8" s="84">
        <f t="shared" si="2"/>
        <v>92</v>
      </c>
    </row>
    <row r="9" spans="1:30" ht="17.399999999999999" x14ac:dyDescent="0.35">
      <c r="A9" s="93" t="s">
        <v>7</v>
      </c>
      <c r="B9" s="131">
        <f>'Suc. Amado Nervo'!D9</f>
        <v>2</v>
      </c>
      <c r="C9" s="131">
        <f>'Suc. León'!D9</f>
        <v>2</v>
      </c>
      <c r="D9" s="120">
        <f>'San Cayetano'!D9</f>
        <v>2</v>
      </c>
      <c r="E9" s="120">
        <f>'Suc. Boulevard'!D9</f>
        <v>2</v>
      </c>
      <c r="F9" s="120">
        <f>'Suc. Dos de Agosto'!D9</f>
        <v>2</v>
      </c>
      <c r="G9" s="120">
        <f>'Suc. La Nueva Canasta'!D9</f>
        <v>0</v>
      </c>
      <c r="H9" s="120">
        <f>'Suc. Mololoa'!D9</f>
        <v>1</v>
      </c>
      <c r="I9" s="120">
        <f>'Suc. Plaza'!D9</f>
        <v>1</v>
      </c>
      <c r="J9" s="120">
        <f>'Suc. Vistas'!D9</f>
        <v>2</v>
      </c>
      <c r="K9" s="120">
        <f>'Suc. Xalisco'!D9</f>
        <v>2</v>
      </c>
      <c r="L9" s="120">
        <f t="shared" si="3"/>
        <v>16</v>
      </c>
      <c r="M9" s="131">
        <f>'Suc. Acaponeta'!D9</f>
        <v>2</v>
      </c>
      <c r="N9" s="131">
        <f>'Suc. Compostela'!D9</f>
        <v>2</v>
      </c>
      <c r="O9" s="131">
        <f>'Suc. Ruiz'!D9</f>
        <v>3</v>
      </c>
      <c r="P9" s="131">
        <f>'Suc. Sanblas'!D9</f>
        <v>3</v>
      </c>
      <c r="Q9" s="131">
        <f>'LALO VARAS'!D9</f>
        <v>4</v>
      </c>
      <c r="R9" s="131">
        <f>'Suc. Santiago 2'!D9</f>
        <v>3</v>
      </c>
      <c r="S9" s="131">
        <f>'Suc. Tecuala'!D9</f>
        <v>2</v>
      </c>
      <c r="T9" s="131">
        <f>'Suc. Tuxpan'!D9</f>
        <v>3</v>
      </c>
      <c r="U9" s="131">
        <f>'Suc. Varas'!D9</f>
        <v>2</v>
      </c>
      <c r="V9" s="131">
        <f>'Suc. Santa María del Oro'!D9</f>
        <v>2</v>
      </c>
      <c r="W9" s="131">
        <f>'Suc. Villa Hidalgo'!D9</f>
        <v>1</v>
      </c>
      <c r="X9" s="131">
        <f>'Suc. Peñita'!D9</f>
        <v>1</v>
      </c>
      <c r="Y9" s="120">
        <f t="shared" si="4"/>
        <v>28</v>
      </c>
      <c r="Z9" s="120">
        <f t="shared" si="5"/>
        <v>44</v>
      </c>
      <c r="AB9" s="84">
        <f>IFERROR(VLOOKUP(A9,'GRAL. SUC. FORANEAS'!$R:$S,2,0),0)</f>
        <v>10</v>
      </c>
      <c r="AD9" s="84">
        <f t="shared" si="2"/>
        <v>54</v>
      </c>
    </row>
    <row r="10" spans="1:30" ht="17.399999999999999" x14ac:dyDescent="0.35">
      <c r="A10" s="93" t="s">
        <v>8</v>
      </c>
      <c r="B10" s="131">
        <f>'Suc. Amado Nervo'!D10</f>
        <v>3</v>
      </c>
      <c r="C10" s="131">
        <f>'Suc. León'!D10</f>
        <v>3</v>
      </c>
      <c r="D10" s="120">
        <f>'San Cayetano'!D10</f>
        <v>2</v>
      </c>
      <c r="E10" s="120">
        <f>'Suc. Boulevard'!D10</f>
        <v>2</v>
      </c>
      <c r="F10" s="120">
        <f>'Suc. Dos de Agosto'!D10</f>
        <v>1</v>
      </c>
      <c r="G10" s="120">
        <f>'Suc. La Nueva Canasta'!D10</f>
        <v>0</v>
      </c>
      <c r="H10" s="120">
        <f>'Suc. Mololoa'!D10</f>
        <v>2</v>
      </c>
      <c r="I10" s="120">
        <f>'Suc. Plaza'!D10</f>
        <v>1</v>
      </c>
      <c r="J10" s="120">
        <f>'Suc. Vistas'!D10</f>
        <v>4</v>
      </c>
      <c r="K10" s="120">
        <f>'Suc. Xalisco'!D10</f>
        <v>2</v>
      </c>
      <c r="L10" s="120">
        <f t="shared" si="3"/>
        <v>20</v>
      </c>
      <c r="M10" s="131">
        <f>'Suc. Acaponeta'!D10</f>
        <v>3</v>
      </c>
      <c r="N10" s="131">
        <f>'Suc. Compostela'!D10</f>
        <v>2</v>
      </c>
      <c r="O10" s="131">
        <f>'Suc. Ruiz'!D10</f>
        <v>3</v>
      </c>
      <c r="P10" s="131">
        <f>'Suc. Sanblas'!D10</f>
        <v>3</v>
      </c>
      <c r="Q10" s="131">
        <f>'LALO VARAS'!D10</f>
        <v>4</v>
      </c>
      <c r="R10" s="131">
        <f>'Suc. Santiago 2'!D10</f>
        <v>4</v>
      </c>
      <c r="S10" s="131">
        <f>'Suc. Tecuala'!D10</f>
        <v>2</v>
      </c>
      <c r="T10" s="131">
        <f>'Suc. Tuxpan'!D10</f>
        <v>3</v>
      </c>
      <c r="U10" s="131">
        <f>'Suc. Varas'!D10</f>
        <v>3</v>
      </c>
      <c r="V10" s="131">
        <f>'Suc. Santa María del Oro'!D10</f>
        <v>3</v>
      </c>
      <c r="W10" s="131">
        <f>'Suc. Villa Hidalgo'!D10</f>
        <v>2</v>
      </c>
      <c r="X10" s="131">
        <f>'Suc. Peñita'!D10</f>
        <v>2</v>
      </c>
      <c r="Y10" s="120">
        <f t="shared" si="4"/>
        <v>34</v>
      </c>
      <c r="Z10" s="120">
        <f t="shared" si="5"/>
        <v>54</v>
      </c>
      <c r="AB10" s="84">
        <f>IFERROR(VLOOKUP(A10,'GRAL. SUC. FORANEAS'!$R:$S,2,0),0)</f>
        <v>22</v>
      </c>
      <c r="AD10" s="84">
        <f t="shared" si="2"/>
        <v>76</v>
      </c>
    </row>
    <row r="11" spans="1:30" ht="17.399999999999999" x14ac:dyDescent="0.35">
      <c r="A11" s="93" t="s">
        <v>9</v>
      </c>
      <c r="B11" s="131">
        <f>'Suc. Amado Nervo'!D11</f>
        <v>2</v>
      </c>
      <c r="C11" s="131">
        <f>'Suc. León'!D11</f>
        <v>2</v>
      </c>
      <c r="D11" s="120">
        <f>'San Cayetano'!D11</f>
        <v>2</v>
      </c>
      <c r="E11" s="120">
        <f>'Suc. Boulevard'!D11</f>
        <v>1</v>
      </c>
      <c r="F11" s="120">
        <f>'Suc. Dos de Agosto'!D11</f>
        <v>2</v>
      </c>
      <c r="G11" s="120">
        <f>'Suc. La Nueva Canasta'!D11</f>
        <v>0</v>
      </c>
      <c r="H11" s="120">
        <f>'Suc. Mololoa'!D11</f>
        <v>2</v>
      </c>
      <c r="I11" s="120">
        <f>'Suc. Plaza'!D11</f>
        <v>1</v>
      </c>
      <c r="J11" s="120">
        <f>'Suc. Vistas'!D11</f>
        <v>2</v>
      </c>
      <c r="K11" s="120">
        <f>'Suc. Xalisco'!D11</f>
        <v>2</v>
      </c>
      <c r="L11" s="120">
        <f t="shared" si="3"/>
        <v>16</v>
      </c>
      <c r="M11" s="131">
        <f>'Suc. Acaponeta'!D11</f>
        <v>2</v>
      </c>
      <c r="N11" s="131">
        <f>'Suc. Compostela'!D11</f>
        <v>2</v>
      </c>
      <c r="O11" s="131">
        <f>'Suc. Ruiz'!D11</f>
        <v>2</v>
      </c>
      <c r="P11" s="131">
        <f>'Suc. Sanblas'!D11</f>
        <v>3</v>
      </c>
      <c r="Q11" s="131">
        <f>'LALO VARAS'!D11</f>
        <v>4</v>
      </c>
      <c r="R11" s="131">
        <f>'Suc. Santiago 2'!D11</f>
        <v>4</v>
      </c>
      <c r="S11" s="131">
        <f>'Suc. Tecuala'!D11</f>
        <v>2</v>
      </c>
      <c r="T11" s="131">
        <f>'Suc. Tuxpan'!D11</f>
        <v>2</v>
      </c>
      <c r="U11" s="131">
        <f>'Suc. Varas'!D11</f>
        <v>1</v>
      </c>
      <c r="V11" s="131">
        <f>'Suc. Santa María del Oro'!D11</f>
        <v>0</v>
      </c>
      <c r="W11" s="131">
        <f>'Suc. Villa Hidalgo'!D11</f>
        <v>1</v>
      </c>
      <c r="X11" s="131">
        <f>'Suc. Peñita'!D11</f>
        <v>2</v>
      </c>
      <c r="Y11" s="120">
        <f t="shared" si="4"/>
        <v>25</v>
      </c>
      <c r="Z11" s="120">
        <f t="shared" si="5"/>
        <v>41</v>
      </c>
    </row>
    <row r="12" spans="1:30" ht="17.399999999999999" x14ac:dyDescent="0.35">
      <c r="A12" s="93"/>
      <c r="B12" s="131">
        <f>'Suc. Amado Nervo'!D12</f>
        <v>0</v>
      </c>
      <c r="C12" s="131">
        <f>'Suc. León'!D12</f>
        <v>0</v>
      </c>
      <c r="D12" s="120">
        <f>'San Cayetano'!D12</f>
        <v>0</v>
      </c>
      <c r="E12" s="120">
        <f>'Suc. Boulevard'!D12</f>
        <v>0</v>
      </c>
      <c r="F12" s="120">
        <f>'Suc. Dos de Agosto'!D12</f>
        <v>0</v>
      </c>
      <c r="G12" s="120">
        <f>'Suc. La Nueva Canasta'!D12</f>
        <v>0</v>
      </c>
      <c r="H12" s="120">
        <f>'Suc. Mololoa'!D12</f>
        <v>0</v>
      </c>
      <c r="I12" s="120">
        <f>'Suc. Plaza'!D12</f>
        <v>0</v>
      </c>
      <c r="J12" s="120">
        <f>'Suc. Vistas'!D12</f>
        <v>0</v>
      </c>
      <c r="K12" s="120">
        <f>'Suc. Xalisco'!D12</f>
        <v>0</v>
      </c>
      <c r="L12" s="120">
        <f t="shared" si="3"/>
        <v>0</v>
      </c>
      <c r="M12" s="131">
        <f>'Suc. Acaponeta'!D12</f>
        <v>0</v>
      </c>
      <c r="N12" s="131">
        <f>'Suc. Compostela'!D12</f>
        <v>0</v>
      </c>
      <c r="O12" s="131">
        <f>'Suc. Ruiz'!D12</f>
        <v>0</v>
      </c>
      <c r="P12" s="131">
        <f>'Suc. Sanblas'!D12</f>
        <v>0</v>
      </c>
      <c r="Q12" s="131">
        <f>'LALO VARAS'!D12</f>
        <v>0</v>
      </c>
      <c r="R12" s="131">
        <f>'Suc. Santiago 2'!D12</f>
        <v>0</v>
      </c>
      <c r="S12" s="131">
        <f>'Suc. Tecuala'!D12</f>
        <v>0</v>
      </c>
      <c r="T12" s="131">
        <f>'Suc. Tuxpan'!D12</f>
        <v>0</v>
      </c>
      <c r="U12" s="131">
        <f>'Suc. Varas'!D12</f>
        <v>0</v>
      </c>
      <c r="V12" s="131">
        <f>'Suc. Santa María del Oro'!D12</f>
        <v>0</v>
      </c>
      <c r="W12" s="131">
        <f>'Suc. Villa Hidalgo'!D12</f>
        <v>0</v>
      </c>
      <c r="X12" s="131">
        <f>'Suc. Peñita'!D12</f>
        <v>0</v>
      </c>
      <c r="Y12" s="120">
        <f t="shared" si="4"/>
        <v>0</v>
      </c>
      <c r="Z12" s="120">
        <f t="shared" si="5"/>
        <v>0</v>
      </c>
    </row>
    <row r="13" spans="1:30" ht="17.399999999999999" x14ac:dyDescent="0.35">
      <c r="A13" s="93"/>
      <c r="B13" s="131">
        <f>'Suc. Amado Nervo'!D13</f>
        <v>0</v>
      </c>
      <c r="C13" s="131">
        <f>'Suc. León'!D13</f>
        <v>0</v>
      </c>
      <c r="D13" s="120">
        <f>'San Cayetano'!D13</f>
        <v>0</v>
      </c>
      <c r="E13" s="120">
        <f>'Suc. Boulevard'!D13</f>
        <v>0</v>
      </c>
      <c r="F13" s="120">
        <f>'Suc. Dos de Agosto'!D13</f>
        <v>0</v>
      </c>
      <c r="G13" s="120">
        <f>'Suc. La Nueva Canasta'!D13</f>
        <v>0</v>
      </c>
      <c r="H13" s="120">
        <f>'Suc. Mololoa'!D13</f>
        <v>0</v>
      </c>
      <c r="I13" s="120">
        <f>'Suc. Plaza'!D13</f>
        <v>0</v>
      </c>
      <c r="J13" s="120">
        <f>'Suc. Vistas'!D13</f>
        <v>0</v>
      </c>
      <c r="K13" s="120">
        <f>'Suc. Xalisco'!D13</f>
        <v>0</v>
      </c>
      <c r="L13" s="120">
        <f t="shared" si="3"/>
        <v>0</v>
      </c>
      <c r="M13" s="131">
        <f>'Suc. Acaponeta'!D13</f>
        <v>0</v>
      </c>
      <c r="N13" s="131">
        <f>'Suc. Compostela'!D13</f>
        <v>0</v>
      </c>
      <c r="O13" s="131">
        <f>'Suc. Ruiz'!D13</f>
        <v>0</v>
      </c>
      <c r="P13" s="131">
        <f>'Suc. Sanblas'!D13</f>
        <v>0</v>
      </c>
      <c r="Q13" s="131">
        <f>'LALO VARAS'!D13</f>
        <v>0</v>
      </c>
      <c r="R13" s="131">
        <f>'Suc. Santiago 2'!D13</f>
        <v>0</v>
      </c>
      <c r="S13" s="131">
        <f>'Suc. Tecuala'!D13</f>
        <v>0</v>
      </c>
      <c r="T13" s="131">
        <f>'Suc. Tuxpan'!D13</f>
        <v>0</v>
      </c>
      <c r="U13" s="131">
        <f>'Suc. Varas'!D13</f>
        <v>0</v>
      </c>
      <c r="V13" s="131">
        <f>'Suc. Santa María del Oro'!D13</f>
        <v>0</v>
      </c>
      <c r="W13" s="131">
        <f>'Suc. Villa Hidalgo'!D13</f>
        <v>0</v>
      </c>
      <c r="X13" s="131">
        <f>'Suc. Peñita'!D13</f>
        <v>0</v>
      </c>
      <c r="Y13" s="120">
        <f t="shared" si="4"/>
        <v>0</v>
      </c>
      <c r="Z13" s="120">
        <f t="shared" si="5"/>
        <v>0</v>
      </c>
    </row>
    <row r="14" spans="1:30" ht="17.399999999999999" x14ac:dyDescent="0.35">
      <c r="A14" s="93"/>
      <c r="B14" s="131">
        <f>'Suc. Amado Nervo'!D14</f>
        <v>0</v>
      </c>
      <c r="C14" s="131">
        <f>'Suc. León'!D14</f>
        <v>0</v>
      </c>
      <c r="D14" s="120">
        <f>'San Cayetano'!D14</f>
        <v>0</v>
      </c>
      <c r="E14" s="120">
        <f>'Suc. Boulevard'!D14</f>
        <v>0</v>
      </c>
      <c r="F14" s="120">
        <f>'Suc. Dos de Agosto'!D14</f>
        <v>0</v>
      </c>
      <c r="G14" s="120">
        <f>'Suc. La Nueva Canasta'!D14</f>
        <v>0</v>
      </c>
      <c r="H14" s="120">
        <f>'Suc. Mololoa'!D14</f>
        <v>0</v>
      </c>
      <c r="I14" s="120">
        <f>'Suc. Plaza'!D14</f>
        <v>0</v>
      </c>
      <c r="J14" s="120">
        <f>'Suc. Vistas'!D14</f>
        <v>0</v>
      </c>
      <c r="K14" s="120">
        <f>'Suc. Xalisco'!D14</f>
        <v>0</v>
      </c>
      <c r="L14" s="120">
        <f t="shared" si="3"/>
        <v>0</v>
      </c>
      <c r="M14" s="131">
        <f>'Suc. Acaponeta'!D14</f>
        <v>0</v>
      </c>
      <c r="N14" s="131">
        <f>'Suc. Compostela'!D14</f>
        <v>0</v>
      </c>
      <c r="O14" s="131">
        <f>'Suc. Ruiz'!D14</f>
        <v>0</v>
      </c>
      <c r="P14" s="131">
        <f>'Suc. Sanblas'!D14</f>
        <v>0</v>
      </c>
      <c r="Q14" s="131">
        <f>'LALO VARAS'!D14</f>
        <v>0</v>
      </c>
      <c r="R14" s="131">
        <f>'Suc. Santiago 2'!D14</f>
        <v>0</v>
      </c>
      <c r="S14" s="131">
        <f>'Suc. Tecuala'!D14</f>
        <v>0</v>
      </c>
      <c r="T14" s="131">
        <f>'Suc. Tuxpan'!D14</f>
        <v>0</v>
      </c>
      <c r="U14" s="131">
        <f>'Suc. Varas'!D14</f>
        <v>0</v>
      </c>
      <c r="V14" s="131">
        <f>'Suc. Santa María del Oro'!D14</f>
        <v>0</v>
      </c>
      <c r="W14" s="131">
        <f>'Suc. Villa Hidalgo'!D14</f>
        <v>0</v>
      </c>
      <c r="X14" s="131">
        <f>'Suc. Peñita'!D14</f>
        <v>0</v>
      </c>
      <c r="Y14" s="120">
        <f t="shared" si="4"/>
        <v>0</v>
      </c>
      <c r="Z14" s="120">
        <f t="shared" si="5"/>
        <v>0</v>
      </c>
    </row>
    <row r="15" spans="1:30" ht="17.399999999999999" x14ac:dyDescent="0.35">
      <c r="A15" s="93"/>
      <c r="B15" s="131">
        <f>'Suc. Amado Nervo'!D15</f>
        <v>0</v>
      </c>
      <c r="C15" s="131">
        <f>'Suc. León'!D15</f>
        <v>0</v>
      </c>
      <c r="D15" s="120">
        <f>'San Cayetano'!D15</f>
        <v>0</v>
      </c>
      <c r="E15" s="120">
        <f>'Suc. Boulevard'!D15</f>
        <v>0</v>
      </c>
      <c r="F15" s="120">
        <f>'Suc. Dos de Agosto'!D15</f>
        <v>0</v>
      </c>
      <c r="G15" s="120">
        <f>'Suc. La Nueva Canasta'!D15</f>
        <v>0</v>
      </c>
      <c r="H15" s="120">
        <f>'Suc. Mololoa'!D15</f>
        <v>0</v>
      </c>
      <c r="I15" s="120">
        <f>'Suc. Plaza'!D15</f>
        <v>0</v>
      </c>
      <c r="J15" s="120">
        <f>'Suc. Vistas'!D15</f>
        <v>0</v>
      </c>
      <c r="K15" s="120">
        <f>'Suc. Xalisco'!D15</f>
        <v>0</v>
      </c>
      <c r="L15" s="120">
        <f t="shared" si="3"/>
        <v>0</v>
      </c>
      <c r="M15" s="131">
        <f>'Suc. Acaponeta'!D15</f>
        <v>0</v>
      </c>
      <c r="N15" s="131">
        <f>'Suc. Compostela'!D15</f>
        <v>0</v>
      </c>
      <c r="O15" s="131">
        <f>'Suc. Ruiz'!D15</f>
        <v>0</v>
      </c>
      <c r="P15" s="131">
        <f>'Suc. Sanblas'!D15</f>
        <v>0</v>
      </c>
      <c r="Q15" s="131">
        <f>'LALO VARAS'!D15</f>
        <v>0</v>
      </c>
      <c r="R15" s="131">
        <f>'Suc. Santiago 2'!D15</f>
        <v>0</v>
      </c>
      <c r="S15" s="131">
        <f>'Suc. Tecuala'!D15</f>
        <v>0</v>
      </c>
      <c r="T15" s="131">
        <f>'Suc. Tuxpan'!D15</f>
        <v>0</v>
      </c>
      <c r="U15" s="131">
        <f>'Suc. Varas'!D15</f>
        <v>0</v>
      </c>
      <c r="V15" s="131">
        <f>'Suc. Santa María del Oro'!D15</f>
        <v>0</v>
      </c>
      <c r="W15" s="131">
        <f>'Suc. Villa Hidalgo'!D15</f>
        <v>0</v>
      </c>
      <c r="X15" s="131">
        <f>'Suc. Peñita'!D15</f>
        <v>0</v>
      </c>
      <c r="Y15" s="120">
        <f t="shared" si="4"/>
        <v>0</v>
      </c>
      <c r="Z15" s="120">
        <f t="shared" si="5"/>
        <v>0</v>
      </c>
    </row>
    <row r="16" spans="1:30" ht="17.399999999999999" x14ac:dyDescent="0.35">
      <c r="A16" s="93"/>
      <c r="B16" s="131">
        <f>'Suc. Amado Nervo'!D16</f>
        <v>0</v>
      </c>
      <c r="C16" s="131">
        <f>'Suc. León'!D16</f>
        <v>0</v>
      </c>
      <c r="D16" s="120">
        <f>'San Cayetano'!D16</f>
        <v>0</v>
      </c>
      <c r="E16" s="120">
        <f>'Suc. Boulevard'!D16</f>
        <v>0</v>
      </c>
      <c r="F16" s="120">
        <f>'Suc. Dos de Agosto'!D16</f>
        <v>0</v>
      </c>
      <c r="G16" s="120">
        <f>'Suc. La Nueva Canasta'!D16</f>
        <v>0</v>
      </c>
      <c r="H16" s="120">
        <f>'Suc. Mololoa'!D16</f>
        <v>0</v>
      </c>
      <c r="I16" s="120">
        <f>'Suc. Plaza'!D16</f>
        <v>0</v>
      </c>
      <c r="J16" s="120">
        <f>'Suc. Vistas'!D16</f>
        <v>0</v>
      </c>
      <c r="K16" s="120">
        <f>'Suc. Xalisco'!D16</f>
        <v>0</v>
      </c>
      <c r="L16" s="120">
        <f t="shared" si="3"/>
        <v>0</v>
      </c>
      <c r="M16" s="131">
        <f>'Suc. Acaponeta'!D16</f>
        <v>0</v>
      </c>
      <c r="N16" s="131">
        <f>'Suc. Compostela'!D16</f>
        <v>0</v>
      </c>
      <c r="O16" s="131">
        <f>'Suc. Ruiz'!D16</f>
        <v>0</v>
      </c>
      <c r="P16" s="131">
        <f>'Suc. Sanblas'!D16</f>
        <v>0</v>
      </c>
      <c r="Q16" s="131">
        <f>'LALO VARAS'!D16</f>
        <v>0</v>
      </c>
      <c r="R16" s="131">
        <f>'Suc. Santiago 2'!D16</f>
        <v>0</v>
      </c>
      <c r="S16" s="131">
        <f>'Suc. Tecuala'!D16</f>
        <v>0</v>
      </c>
      <c r="T16" s="131">
        <f>'Suc. Tuxpan'!D16</f>
        <v>0</v>
      </c>
      <c r="U16" s="131">
        <f>'Suc. Varas'!D16</f>
        <v>0</v>
      </c>
      <c r="V16" s="131">
        <f>'Suc. Santa María del Oro'!D16</f>
        <v>0</v>
      </c>
      <c r="W16" s="131">
        <f>'Suc. Villa Hidalgo'!D16</f>
        <v>0</v>
      </c>
      <c r="X16" s="131">
        <f>'Suc. Peñita'!D16</f>
        <v>0</v>
      </c>
      <c r="Y16" s="120">
        <f t="shared" si="4"/>
        <v>0</v>
      </c>
      <c r="Z16" s="120">
        <f t="shared" si="5"/>
        <v>0</v>
      </c>
    </row>
    <row r="17" spans="1:30" ht="18" thickBot="1" x14ac:dyDescent="0.4">
      <c r="A17" s="93"/>
      <c r="B17" s="131">
        <f>'Suc. Amado Nervo'!D17</f>
        <v>0</v>
      </c>
      <c r="C17" s="131">
        <f>'Suc. León'!D17</f>
        <v>0</v>
      </c>
      <c r="D17" s="120">
        <f>'San Cayetano'!D17</f>
        <v>0</v>
      </c>
      <c r="E17" s="120">
        <f>'Suc. Boulevard'!D17</f>
        <v>0</v>
      </c>
      <c r="F17" s="120">
        <f>'Suc. Dos de Agosto'!D17</f>
        <v>0</v>
      </c>
      <c r="G17" s="120">
        <f>'Suc. La Nueva Canasta'!D17</f>
        <v>0</v>
      </c>
      <c r="H17" s="120">
        <f>'Suc. Mololoa'!D17</f>
        <v>0</v>
      </c>
      <c r="I17" s="120">
        <f>'Suc. Plaza'!D17</f>
        <v>0</v>
      </c>
      <c r="J17" s="120">
        <f>'Suc. Vistas'!D17</f>
        <v>0</v>
      </c>
      <c r="K17" s="120">
        <f>'Suc. Xalisco'!D17</f>
        <v>0</v>
      </c>
      <c r="L17" s="120">
        <f t="shared" si="3"/>
        <v>0</v>
      </c>
      <c r="M17" s="131">
        <f>'Suc. Acaponeta'!D17</f>
        <v>0</v>
      </c>
      <c r="N17" s="131">
        <f>'Suc. Compostela'!D17</f>
        <v>0</v>
      </c>
      <c r="O17" s="131">
        <f>'Suc. Ruiz'!D17</f>
        <v>0</v>
      </c>
      <c r="P17" s="131">
        <f>'Suc. Sanblas'!D17</f>
        <v>0</v>
      </c>
      <c r="Q17" s="131">
        <f>'LALO VARAS'!D17</f>
        <v>0</v>
      </c>
      <c r="R17" s="131">
        <f>'Suc. Santiago 2'!D17</f>
        <v>0</v>
      </c>
      <c r="S17" s="131">
        <f>'Suc. Tecuala'!D17</f>
        <v>0</v>
      </c>
      <c r="T17" s="131">
        <f>'Suc. Tuxpan'!D17</f>
        <v>0</v>
      </c>
      <c r="U17" s="131">
        <f>'Suc. Varas'!D17</f>
        <v>0</v>
      </c>
      <c r="V17" s="131">
        <f>'Suc. Santa María del Oro'!D17</f>
        <v>0</v>
      </c>
      <c r="W17" s="131">
        <f>'Suc. Villa Hidalgo'!D17</f>
        <v>0</v>
      </c>
      <c r="X17" s="131">
        <f>'Suc. Peñita'!D17</f>
        <v>0</v>
      </c>
      <c r="Y17" s="120">
        <f t="shared" si="4"/>
        <v>0</v>
      </c>
      <c r="Z17" s="120">
        <f t="shared" si="5"/>
        <v>0</v>
      </c>
      <c r="AB17" s="84">
        <f>IFERROR(VLOOKUP(A17,'GRAL. SUC. FORANEAS'!$R:$S,2,0),0)</f>
        <v>0</v>
      </c>
      <c r="AD17" s="84">
        <f t="shared" ref="AD17:AD25" si="6">AB17+Z17</f>
        <v>0</v>
      </c>
    </row>
    <row r="18" spans="1:30" ht="18" thickBot="1" x14ac:dyDescent="0.4">
      <c r="A18" s="96" t="s">
        <v>10</v>
      </c>
      <c r="B18" s="121">
        <f t="shared" ref="B18:Z18" si="7">SUM(B3:B17)</f>
        <v>24</v>
      </c>
      <c r="C18" s="121">
        <f t="shared" si="7"/>
        <v>23</v>
      </c>
      <c r="D18" s="121">
        <f t="shared" si="7"/>
        <v>21</v>
      </c>
      <c r="E18" s="121">
        <f t="shared" si="7"/>
        <v>17</v>
      </c>
      <c r="F18" s="121">
        <f t="shared" si="7"/>
        <v>14</v>
      </c>
      <c r="G18" s="121">
        <f t="shared" si="7"/>
        <v>0</v>
      </c>
      <c r="H18" s="121">
        <f t="shared" si="7"/>
        <v>14</v>
      </c>
      <c r="I18" s="121">
        <f t="shared" si="7"/>
        <v>10</v>
      </c>
      <c r="J18" s="121">
        <f t="shared" si="7"/>
        <v>24</v>
      </c>
      <c r="K18" s="121">
        <f t="shared" si="7"/>
        <v>20</v>
      </c>
      <c r="L18" s="121">
        <f t="shared" si="7"/>
        <v>167</v>
      </c>
      <c r="M18" s="121">
        <f t="shared" si="7"/>
        <v>22</v>
      </c>
      <c r="N18" s="121">
        <f t="shared" si="7"/>
        <v>18</v>
      </c>
      <c r="O18" s="121">
        <f t="shared" si="7"/>
        <v>28</v>
      </c>
      <c r="P18" s="121">
        <f t="shared" si="7"/>
        <v>23</v>
      </c>
      <c r="Q18" s="121">
        <f t="shared" si="7"/>
        <v>34</v>
      </c>
      <c r="R18" s="121">
        <f t="shared" si="7"/>
        <v>30</v>
      </c>
      <c r="S18" s="121">
        <f t="shared" si="7"/>
        <v>19</v>
      </c>
      <c r="T18" s="121">
        <f t="shared" si="7"/>
        <v>27</v>
      </c>
      <c r="U18" s="121">
        <f t="shared" si="7"/>
        <v>21</v>
      </c>
      <c r="V18" s="121">
        <f t="shared" si="7"/>
        <v>17</v>
      </c>
      <c r="W18" s="121">
        <f t="shared" si="7"/>
        <v>12</v>
      </c>
      <c r="X18" s="121">
        <f t="shared" si="7"/>
        <v>16</v>
      </c>
      <c r="Y18" s="121">
        <f t="shared" si="7"/>
        <v>267</v>
      </c>
      <c r="Z18" s="121">
        <f t="shared" si="7"/>
        <v>434</v>
      </c>
      <c r="AB18" s="43">
        <f>SUM(AB3:AB17)</f>
        <v>147</v>
      </c>
      <c r="AD18" s="43">
        <f t="shared" si="6"/>
        <v>581</v>
      </c>
    </row>
    <row r="19" spans="1:30" ht="17.399999999999999" x14ac:dyDescent="0.35">
      <c r="A19" s="97" t="s">
        <v>676</v>
      </c>
      <c r="B19" s="131">
        <f>'Suc. Amado Nervo'!D19</f>
        <v>2</v>
      </c>
      <c r="C19" s="131">
        <f>'Suc. León'!D19</f>
        <v>2</v>
      </c>
      <c r="D19" s="120">
        <f>'San Cayetano'!D19</f>
        <v>2</v>
      </c>
      <c r="E19" s="120">
        <f>'Suc. Boulevard'!D19</f>
        <v>0</v>
      </c>
      <c r="F19" s="120">
        <f>'Suc. Dos de Agosto'!D19</f>
        <v>1</v>
      </c>
      <c r="G19" s="120">
        <f>'Suc. La Nueva Canasta'!D19</f>
        <v>0</v>
      </c>
      <c r="H19" s="120">
        <f>'Suc. Mololoa'!D19</f>
        <v>1</v>
      </c>
      <c r="I19" s="120">
        <f>'Suc. Plaza'!D19</f>
        <v>1</v>
      </c>
      <c r="J19" s="120">
        <f>'Suc. Vistas'!D19</f>
        <v>2</v>
      </c>
      <c r="K19" s="120">
        <f>'Suc. Xalisco'!D19</f>
        <v>1</v>
      </c>
      <c r="L19" s="120">
        <f t="shared" ref="L19:L31" si="8">SUM(B19:K19)</f>
        <v>12</v>
      </c>
      <c r="M19" s="131">
        <f>'Suc. Acaponeta'!D19</f>
        <v>3</v>
      </c>
      <c r="N19" s="131">
        <f>'Suc. Compostela'!D19</f>
        <v>2</v>
      </c>
      <c r="O19" s="131">
        <f>'Suc. Ruiz'!D19</f>
        <v>2</v>
      </c>
      <c r="P19" s="131">
        <f>'Suc. Sanblas'!D19</f>
        <v>1</v>
      </c>
      <c r="Q19" s="131">
        <f>'LALO VARAS'!D19</f>
        <v>6</v>
      </c>
      <c r="R19" s="131">
        <f>'Suc. Santiago 2'!D19</f>
        <v>4</v>
      </c>
      <c r="S19" s="131">
        <f>'Suc. Tecuala'!D19</f>
        <v>2</v>
      </c>
      <c r="T19" s="131">
        <f>'Suc. Tuxpan'!D19</f>
        <v>3</v>
      </c>
      <c r="U19" s="131">
        <f>'Suc. Varas'!D19</f>
        <v>2</v>
      </c>
      <c r="V19" s="131">
        <f>'Suc. Santa María del Oro'!D19</f>
        <v>2</v>
      </c>
      <c r="W19" s="131">
        <f>'Suc. Villa Hidalgo'!D19</f>
        <v>2</v>
      </c>
      <c r="X19" s="131">
        <f>'Suc. Peñita'!D19</f>
        <v>1</v>
      </c>
      <c r="Y19" s="120">
        <f t="shared" ref="Y19:Y31" si="9">SUM(M19:X19)</f>
        <v>30</v>
      </c>
      <c r="Z19" s="120">
        <f t="shared" ref="Z19:Z31" si="10">L19+Y19</f>
        <v>42</v>
      </c>
      <c r="AB19" s="84">
        <f>IFERROR(VLOOKUP(A19,'GRAL. SUC. FORANEAS'!$R:$S,2,0),0)</f>
        <v>12</v>
      </c>
      <c r="AD19" s="84">
        <f t="shared" si="6"/>
        <v>54</v>
      </c>
    </row>
    <row r="20" spans="1:30" ht="17.399999999999999" x14ac:dyDescent="0.35">
      <c r="A20" s="97" t="s">
        <v>11</v>
      </c>
      <c r="B20" s="131">
        <f>'Suc. Amado Nervo'!D20</f>
        <v>2</v>
      </c>
      <c r="C20" s="131">
        <f>'Suc. León'!D20</f>
        <v>3</v>
      </c>
      <c r="D20" s="120">
        <f>'San Cayetano'!D20</f>
        <v>4</v>
      </c>
      <c r="E20" s="120">
        <f>'Suc. Boulevard'!D20</f>
        <v>3</v>
      </c>
      <c r="F20" s="120">
        <f>'Suc. Dos de Agosto'!D20</f>
        <v>3</v>
      </c>
      <c r="G20" s="120">
        <f>'Suc. La Nueva Canasta'!D20</f>
        <v>0</v>
      </c>
      <c r="H20" s="120">
        <f>'Suc. Mololoa'!D20</f>
        <v>2</v>
      </c>
      <c r="I20" s="120">
        <f>'Suc. Plaza'!D20</f>
        <v>1</v>
      </c>
      <c r="J20" s="120">
        <f>'Suc. Vistas'!D20</f>
        <v>4</v>
      </c>
      <c r="K20" s="120">
        <f>'Suc. Xalisco'!D20</f>
        <v>3</v>
      </c>
      <c r="L20" s="120">
        <f t="shared" si="8"/>
        <v>25</v>
      </c>
      <c r="M20" s="131">
        <f>'Suc. Acaponeta'!D20</f>
        <v>3</v>
      </c>
      <c r="N20" s="131">
        <f>'Suc. Compostela'!D20</f>
        <v>2</v>
      </c>
      <c r="O20" s="131">
        <f>'Suc. Ruiz'!D20</f>
        <v>4</v>
      </c>
      <c r="P20" s="131">
        <f>'Suc. Sanblas'!D20</f>
        <v>3</v>
      </c>
      <c r="Q20" s="131">
        <f>'LALO VARAS'!D20</f>
        <v>6</v>
      </c>
      <c r="R20" s="131">
        <f>'Suc. Santiago 2'!D20</f>
        <v>4</v>
      </c>
      <c r="S20" s="131">
        <f>'Suc. Tecuala'!D20</f>
        <v>3</v>
      </c>
      <c r="T20" s="131">
        <f>'Suc. Tuxpan'!D20</f>
        <v>4</v>
      </c>
      <c r="U20" s="131">
        <f>'Suc. Varas'!D20</f>
        <v>4</v>
      </c>
      <c r="V20" s="131">
        <f>'Suc. Santa María del Oro'!D20</f>
        <v>2</v>
      </c>
      <c r="W20" s="131">
        <f>'Suc. Villa Hidalgo'!D20</f>
        <v>2</v>
      </c>
      <c r="X20" s="131">
        <f>'Suc. Peñita'!D20</f>
        <v>3</v>
      </c>
      <c r="Y20" s="120">
        <f t="shared" si="9"/>
        <v>40</v>
      </c>
      <c r="Z20" s="120">
        <f t="shared" si="10"/>
        <v>65</v>
      </c>
      <c r="AB20" s="84">
        <f>IFERROR(VLOOKUP(A20,'GRAL. SUC. FORANEAS'!$R:$S,2,0),0)</f>
        <v>30</v>
      </c>
      <c r="AD20" s="84">
        <f t="shared" si="6"/>
        <v>95</v>
      </c>
    </row>
    <row r="21" spans="1:30" ht="17.399999999999999" x14ac:dyDescent="0.35">
      <c r="A21" s="97" t="s">
        <v>344</v>
      </c>
      <c r="B21" s="131">
        <f>'Suc. Amado Nervo'!D21</f>
        <v>2</v>
      </c>
      <c r="C21" s="131">
        <f>'Suc. León'!D21</f>
        <v>2</v>
      </c>
      <c r="D21" s="120">
        <f>'San Cayetano'!D21</f>
        <v>2</v>
      </c>
      <c r="E21" s="120">
        <f>'Suc. Boulevard'!D21</f>
        <v>1</v>
      </c>
      <c r="F21" s="120">
        <f>'Suc. Dos de Agosto'!D21</f>
        <v>2</v>
      </c>
      <c r="G21" s="120">
        <f>'Suc. La Nueva Canasta'!D21</f>
        <v>0</v>
      </c>
      <c r="H21" s="120">
        <f>'Suc. Mololoa'!D21</f>
        <v>1</v>
      </c>
      <c r="I21" s="120">
        <f>'Suc. Plaza'!D21</f>
        <v>1</v>
      </c>
      <c r="J21" s="120">
        <f>'Suc. Vistas'!D21</f>
        <v>2</v>
      </c>
      <c r="K21" s="120">
        <f>'Suc. Xalisco'!D21</f>
        <v>1</v>
      </c>
      <c r="L21" s="120">
        <f t="shared" si="8"/>
        <v>14</v>
      </c>
      <c r="M21" s="131">
        <f>'Suc. Acaponeta'!D21</f>
        <v>3</v>
      </c>
      <c r="N21" s="131">
        <f>'Suc. Compostela'!D21</f>
        <v>2</v>
      </c>
      <c r="O21" s="131">
        <f>'Suc. Ruiz'!D21</f>
        <v>3</v>
      </c>
      <c r="P21" s="131">
        <f>'Suc. Sanblas'!D21</f>
        <v>2</v>
      </c>
      <c r="Q21" s="131">
        <f>'LALO VARAS'!D21</f>
        <v>6</v>
      </c>
      <c r="R21" s="131">
        <f>'Suc. Santiago 2'!D21</f>
        <v>4</v>
      </c>
      <c r="S21" s="131">
        <f>'Suc. Tecuala'!D21</f>
        <v>2</v>
      </c>
      <c r="T21" s="131">
        <f>'Suc. Tuxpan'!D21</f>
        <v>2</v>
      </c>
      <c r="U21" s="131">
        <f>'Suc. Varas'!D21</f>
        <v>2</v>
      </c>
      <c r="V21" s="131">
        <f>'Suc. Santa María del Oro'!D21</f>
        <v>2</v>
      </c>
      <c r="W21" s="131">
        <f>'Suc. Villa Hidalgo'!D21</f>
        <v>2</v>
      </c>
      <c r="X21" s="131">
        <f>'Suc. Peñita'!D21</f>
        <v>2</v>
      </c>
      <c r="Y21" s="120">
        <f t="shared" si="9"/>
        <v>32</v>
      </c>
      <c r="Z21" s="120">
        <f t="shared" si="10"/>
        <v>46</v>
      </c>
      <c r="AB21" s="84">
        <f>IFERROR(VLOOKUP(A21,'GRAL. SUC. FORANEAS'!$R:$S,2,0),0)</f>
        <v>10</v>
      </c>
      <c r="AD21" s="84">
        <f t="shared" si="6"/>
        <v>56</v>
      </c>
    </row>
    <row r="22" spans="1:30" ht="17.399999999999999" x14ac:dyDescent="0.35">
      <c r="A22" s="97" t="s">
        <v>832</v>
      </c>
      <c r="B22" s="131">
        <f>'Suc. Amado Nervo'!D22</f>
        <v>2</v>
      </c>
      <c r="C22" s="131">
        <f>'Suc. León'!D22</f>
        <v>2</v>
      </c>
      <c r="D22" s="120">
        <f>'San Cayetano'!D22</f>
        <v>2</v>
      </c>
      <c r="E22" s="120">
        <f>'Suc. Boulevard'!D22</f>
        <v>1</v>
      </c>
      <c r="F22" s="120">
        <f>'Suc. Dos de Agosto'!D22</f>
        <v>1</v>
      </c>
      <c r="G22" s="120">
        <f>'Suc. La Nueva Canasta'!D22</f>
        <v>0</v>
      </c>
      <c r="H22" s="120">
        <f>'Suc. Mololoa'!D22</f>
        <v>1</v>
      </c>
      <c r="I22" s="120">
        <f>'Suc. Plaza'!D22</f>
        <v>1</v>
      </c>
      <c r="J22" s="120">
        <f>'Suc. Vistas'!D22</f>
        <v>3</v>
      </c>
      <c r="K22" s="120">
        <f>'Suc. Xalisco'!D22</f>
        <v>2</v>
      </c>
      <c r="L22" s="120">
        <f t="shared" si="8"/>
        <v>15</v>
      </c>
      <c r="M22" s="131">
        <f>'Suc. Acaponeta'!D22</f>
        <v>2</v>
      </c>
      <c r="N22" s="131">
        <f>'Suc. Compostela'!D22</f>
        <v>2</v>
      </c>
      <c r="O22" s="131">
        <f>'Suc. Ruiz'!D22</f>
        <v>2</v>
      </c>
      <c r="P22" s="131">
        <f>'Suc. Sanblas'!D22</f>
        <v>3</v>
      </c>
      <c r="Q22" s="131">
        <f>'LALO VARAS'!D22</f>
        <v>4</v>
      </c>
      <c r="R22" s="131">
        <f>'Suc. Santiago 2'!D22</f>
        <v>2</v>
      </c>
      <c r="S22" s="131">
        <f>'Suc. Tecuala'!D22</f>
        <v>2</v>
      </c>
      <c r="T22" s="131">
        <f>'Suc. Tuxpan'!D22</f>
        <v>3</v>
      </c>
      <c r="U22" s="131">
        <f>'Suc. Varas'!D22</f>
        <v>1</v>
      </c>
      <c r="V22" s="131">
        <f>'Suc. Santa María del Oro'!D22</f>
        <v>0</v>
      </c>
      <c r="W22" s="131">
        <f>'Suc. Villa Hidalgo'!D22</f>
        <v>2</v>
      </c>
      <c r="X22" s="131">
        <f>'Suc. Peñita'!D22</f>
        <v>0</v>
      </c>
      <c r="Y22" s="120">
        <f t="shared" si="9"/>
        <v>23</v>
      </c>
      <c r="Z22" s="120">
        <f t="shared" si="10"/>
        <v>38</v>
      </c>
      <c r="AB22" s="84">
        <f>IFERROR(VLOOKUP(A22,'GRAL. SUC. FORANEAS'!$R:$S,2,0),0)</f>
        <v>24</v>
      </c>
      <c r="AD22" s="84">
        <f t="shared" si="6"/>
        <v>62</v>
      </c>
    </row>
    <row r="23" spans="1:30" ht="17.399999999999999" x14ac:dyDescent="0.35">
      <c r="A23" s="97" t="s">
        <v>12</v>
      </c>
      <c r="B23" s="131">
        <f>'Suc. Amado Nervo'!D23</f>
        <v>2</v>
      </c>
      <c r="C23" s="131">
        <f>'Suc. León'!D23</f>
        <v>3</v>
      </c>
      <c r="D23" s="120">
        <f>'San Cayetano'!D23</f>
        <v>2</v>
      </c>
      <c r="E23" s="120">
        <f>'Suc. Boulevard'!D23</f>
        <v>2</v>
      </c>
      <c r="F23" s="120">
        <f>'Suc. Dos de Agosto'!D23</f>
        <v>2</v>
      </c>
      <c r="G23" s="120">
        <f>'Suc. La Nueva Canasta'!D23</f>
        <v>0</v>
      </c>
      <c r="H23" s="120">
        <f>'Suc. Mololoa'!D23</f>
        <v>2</v>
      </c>
      <c r="I23" s="120">
        <f>'Suc. Plaza'!D23</f>
        <v>1</v>
      </c>
      <c r="J23" s="120">
        <f>'Suc. Vistas'!D23</f>
        <v>4</v>
      </c>
      <c r="K23" s="120">
        <f>'Suc. Xalisco'!D23</f>
        <v>3</v>
      </c>
      <c r="L23" s="120">
        <f t="shared" si="8"/>
        <v>21</v>
      </c>
      <c r="M23" s="131">
        <f>'Suc. Acaponeta'!D23</f>
        <v>3</v>
      </c>
      <c r="N23" s="131">
        <f>'Suc. Compostela'!D23</f>
        <v>2</v>
      </c>
      <c r="O23" s="131">
        <f>'Suc. Ruiz'!D23</f>
        <v>2</v>
      </c>
      <c r="P23" s="131">
        <f>'Suc. Sanblas'!D23</f>
        <v>3</v>
      </c>
      <c r="Q23" s="131">
        <f>'LALO VARAS'!D23</f>
        <v>6</v>
      </c>
      <c r="R23" s="131">
        <f>'Suc. Santiago 2'!D23</f>
        <v>4</v>
      </c>
      <c r="S23" s="131">
        <f>'Suc. Tecuala'!D23</f>
        <v>3</v>
      </c>
      <c r="T23" s="131">
        <f>'Suc. Tuxpan'!D23</f>
        <v>3</v>
      </c>
      <c r="U23" s="131">
        <f>'Suc. Varas'!D23</f>
        <v>3</v>
      </c>
      <c r="V23" s="131">
        <f>'Suc. Santa María del Oro'!D23</f>
        <v>2</v>
      </c>
      <c r="W23" s="131">
        <f>'Suc. Villa Hidalgo'!D23</f>
        <v>2</v>
      </c>
      <c r="X23" s="131">
        <f>'Suc. Peñita'!D23</f>
        <v>3</v>
      </c>
      <c r="Y23" s="120">
        <f t="shared" si="9"/>
        <v>36</v>
      </c>
      <c r="Z23" s="120">
        <f t="shared" si="10"/>
        <v>57</v>
      </c>
      <c r="AB23" s="84">
        <f>IFERROR(VLOOKUP(A23,'GRAL. SUC. FORANEAS'!$R:$S,2,0),0)</f>
        <v>15</v>
      </c>
      <c r="AD23" s="84">
        <f t="shared" si="6"/>
        <v>72</v>
      </c>
    </row>
    <row r="24" spans="1:30" ht="17.399999999999999" x14ac:dyDescent="0.35">
      <c r="A24" s="97" t="s">
        <v>432</v>
      </c>
      <c r="B24" s="131">
        <f>'Suc. Amado Nervo'!D24</f>
        <v>2</v>
      </c>
      <c r="C24" s="131">
        <f>'Suc. León'!D24</f>
        <v>2</v>
      </c>
      <c r="D24" s="120">
        <f>'San Cayetano'!D24</f>
        <v>2</v>
      </c>
      <c r="E24" s="120">
        <f>'Suc. Boulevard'!D24</f>
        <v>1</v>
      </c>
      <c r="F24" s="120">
        <f>'Suc. Dos de Agosto'!D24</f>
        <v>2</v>
      </c>
      <c r="G24" s="120">
        <f>'Suc. La Nueva Canasta'!D24</f>
        <v>0</v>
      </c>
      <c r="H24" s="120">
        <f>'Suc. Mololoa'!D24</f>
        <v>2</v>
      </c>
      <c r="I24" s="120">
        <f>'Suc. Plaza'!D24</f>
        <v>1</v>
      </c>
      <c r="J24" s="120">
        <f>'Suc. Vistas'!D24</f>
        <v>2</v>
      </c>
      <c r="K24" s="120">
        <f>'Suc. Xalisco'!D24</f>
        <v>1</v>
      </c>
      <c r="L24" s="120">
        <f t="shared" si="8"/>
        <v>15</v>
      </c>
      <c r="M24" s="131">
        <f>'Suc. Acaponeta'!D24</f>
        <v>3</v>
      </c>
      <c r="N24" s="131">
        <f>'Suc. Compostela'!D24</f>
        <v>2</v>
      </c>
      <c r="O24" s="131">
        <f>'Suc. Ruiz'!D24</f>
        <v>2</v>
      </c>
      <c r="P24" s="131">
        <f>'Suc. Sanblas'!D24</f>
        <v>3</v>
      </c>
      <c r="Q24" s="131">
        <f>'LALO VARAS'!D24</f>
        <v>6</v>
      </c>
      <c r="R24" s="131">
        <f>'Suc. Santiago 2'!D24</f>
        <v>4</v>
      </c>
      <c r="S24" s="131">
        <f>'Suc. Tecuala'!D24</f>
        <v>2</v>
      </c>
      <c r="T24" s="131">
        <f>'Suc. Tuxpan'!D24</f>
        <v>2</v>
      </c>
      <c r="U24" s="131">
        <f>'Suc. Varas'!D24</f>
        <v>2</v>
      </c>
      <c r="V24" s="131">
        <f>'Suc. Santa María del Oro'!D24</f>
        <v>1</v>
      </c>
      <c r="W24" s="131">
        <f>'Suc. Villa Hidalgo'!D24</f>
        <v>2</v>
      </c>
      <c r="X24" s="131">
        <f>'Suc. Peñita'!D24</f>
        <v>2</v>
      </c>
      <c r="Y24" s="120">
        <f t="shared" si="9"/>
        <v>31</v>
      </c>
      <c r="Z24" s="120">
        <f t="shared" si="10"/>
        <v>46</v>
      </c>
      <c r="AB24" s="84">
        <f>IFERROR(VLOOKUP(A24,'GRAL. SUC. FORANEAS'!$R:$S,2,0),0)</f>
        <v>0</v>
      </c>
      <c r="AD24" s="84">
        <f t="shared" si="6"/>
        <v>46</v>
      </c>
    </row>
    <row r="25" spans="1:30" ht="17.399999999999999" x14ac:dyDescent="0.35">
      <c r="A25" s="97" t="s">
        <v>468</v>
      </c>
      <c r="B25" s="131">
        <f>'Suc. Amado Nervo'!D25</f>
        <v>4</v>
      </c>
      <c r="C25" s="131">
        <f>'Suc. León'!D25</f>
        <v>4</v>
      </c>
      <c r="D25" s="120">
        <f>'San Cayetano'!D25</f>
        <v>4</v>
      </c>
      <c r="E25" s="120">
        <f>'Suc. Boulevard'!D25</f>
        <v>3</v>
      </c>
      <c r="F25" s="120">
        <f>'Suc. Dos de Agosto'!D25</f>
        <v>2</v>
      </c>
      <c r="G25" s="120">
        <f>'Suc. La Nueva Canasta'!D25</f>
        <v>0</v>
      </c>
      <c r="H25" s="120">
        <f>'Suc. Mololoa'!D25</f>
        <v>3</v>
      </c>
      <c r="I25" s="120">
        <f>'Suc. Plaza'!D25</f>
        <v>1</v>
      </c>
      <c r="J25" s="120">
        <f>'Suc. Vistas'!D25</f>
        <v>4</v>
      </c>
      <c r="K25" s="120">
        <f>'Suc. Xalisco'!D25</f>
        <v>3</v>
      </c>
      <c r="L25" s="120">
        <f t="shared" si="8"/>
        <v>28</v>
      </c>
      <c r="M25" s="131">
        <f>'Suc. Acaponeta'!D25</f>
        <v>3</v>
      </c>
      <c r="N25" s="131">
        <f>'Suc. Compostela'!D25</f>
        <v>2</v>
      </c>
      <c r="O25" s="131">
        <f>'Suc. Ruiz'!D25</f>
        <v>4</v>
      </c>
      <c r="P25" s="131">
        <f>'Suc. Sanblas'!D25</f>
        <v>3</v>
      </c>
      <c r="Q25" s="131">
        <f>'LALO VARAS'!D25</f>
        <v>6</v>
      </c>
      <c r="R25" s="131">
        <f>'Suc. Santiago 2'!D25</f>
        <v>4</v>
      </c>
      <c r="S25" s="131">
        <f>'Suc. Tecuala'!D25</f>
        <v>2</v>
      </c>
      <c r="T25" s="131">
        <f>'Suc. Tuxpan'!D25</f>
        <v>3</v>
      </c>
      <c r="U25" s="131">
        <f>'Suc. Varas'!D25</f>
        <v>4</v>
      </c>
      <c r="V25" s="131">
        <f>'Suc. Santa María del Oro'!D25</f>
        <v>3</v>
      </c>
      <c r="W25" s="131">
        <f>'Suc. Villa Hidalgo'!D25</f>
        <v>2</v>
      </c>
      <c r="X25" s="131">
        <f>'Suc. Peñita'!D25</f>
        <v>3</v>
      </c>
      <c r="Y25" s="120">
        <f t="shared" si="9"/>
        <v>39</v>
      </c>
      <c r="Z25" s="120">
        <f t="shared" si="10"/>
        <v>67</v>
      </c>
      <c r="AB25" s="84">
        <f>IFERROR(VLOOKUP(A25,'GRAL. SUC. FORANEAS'!$R:$S,2,0),0)</f>
        <v>58</v>
      </c>
      <c r="AD25" s="84">
        <f t="shared" si="6"/>
        <v>125</v>
      </c>
    </row>
    <row r="26" spans="1:30" ht="17.399999999999999" x14ac:dyDescent="0.35">
      <c r="A26" s="97"/>
      <c r="B26" s="131">
        <f>'Suc. Amado Nervo'!D26</f>
        <v>0</v>
      </c>
      <c r="C26" s="131">
        <f>'Suc. León'!D26</f>
        <v>0</v>
      </c>
      <c r="D26" s="120">
        <f>'San Cayetano'!D26</f>
        <v>0</v>
      </c>
      <c r="E26" s="120">
        <f>'Suc. Boulevard'!D26</f>
        <v>0</v>
      </c>
      <c r="F26" s="120">
        <f>'Suc. Dos de Agosto'!D26</f>
        <v>0</v>
      </c>
      <c r="G26" s="120">
        <f>'Suc. La Nueva Canasta'!D26</f>
        <v>0</v>
      </c>
      <c r="H26" s="120">
        <f>'Suc. Mololoa'!D26</f>
        <v>0</v>
      </c>
      <c r="I26" s="120">
        <f>'Suc. Plaza'!D26</f>
        <v>0</v>
      </c>
      <c r="J26" s="120">
        <f>'Suc. Vistas'!D26</f>
        <v>0</v>
      </c>
      <c r="K26" s="120">
        <f>'Suc. Xalisco'!D26</f>
        <v>0</v>
      </c>
      <c r="L26" s="120">
        <f t="shared" si="8"/>
        <v>0</v>
      </c>
      <c r="M26" s="131">
        <f>'Suc. Acaponeta'!D26</f>
        <v>0</v>
      </c>
      <c r="N26" s="131">
        <f>'Suc. Compostela'!D26</f>
        <v>0</v>
      </c>
      <c r="O26" s="131">
        <f>'Suc. Ruiz'!D26</f>
        <v>0</v>
      </c>
      <c r="P26" s="131">
        <f>'Suc. Sanblas'!D26</f>
        <v>0</v>
      </c>
      <c r="Q26" s="131">
        <f>'LALO VARAS'!D26</f>
        <v>0</v>
      </c>
      <c r="R26" s="131">
        <f>'Suc. Santiago 2'!D26</f>
        <v>0</v>
      </c>
      <c r="S26" s="131">
        <f>'Suc. Tecuala'!D26</f>
        <v>0</v>
      </c>
      <c r="T26" s="131">
        <f>'Suc. Tuxpan'!D26</f>
        <v>0</v>
      </c>
      <c r="U26" s="131">
        <f>'Suc. Varas'!D26</f>
        <v>0</v>
      </c>
      <c r="V26" s="131">
        <f>'Suc. Santa María del Oro'!D26</f>
        <v>0</v>
      </c>
      <c r="W26" s="131">
        <f>'Suc. Villa Hidalgo'!D26</f>
        <v>0</v>
      </c>
      <c r="X26" s="131">
        <f>'Suc. Peñita'!D26</f>
        <v>0</v>
      </c>
      <c r="Y26" s="120">
        <f t="shared" si="9"/>
        <v>0</v>
      </c>
      <c r="Z26" s="120">
        <f t="shared" si="10"/>
        <v>0</v>
      </c>
    </row>
    <row r="27" spans="1:30" ht="17.399999999999999" x14ac:dyDescent="0.35">
      <c r="A27" s="97"/>
      <c r="B27" s="131">
        <f>'Suc. Amado Nervo'!D27</f>
        <v>0</v>
      </c>
      <c r="C27" s="131">
        <f>'Suc. León'!D27</f>
        <v>0</v>
      </c>
      <c r="D27" s="120">
        <f>'San Cayetano'!D27</f>
        <v>0</v>
      </c>
      <c r="E27" s="120">
        <f>'Suc. Boulevard'!D27</f>
        <v>0</v>
      </c>
      <c r="F27" s="120">
        <f>'Suc. Dos de Agosto'!D27</f>
        <v>0</v>
      </c>
      <c r="G27" s="120">
        <f>'Suc. La Nueva Canasta'!D27</f>
        <v>0</v>
      </c>
      <c r="H27" s="120">
        <f>'Suc. Mololoa'!D27</f>
        <v>0</v>
      </c>
      <c r="I27" s="120">
        <f>'Suc. Plaza'!D27</f>
        <v>0</v>
      </c>
      <c r="J27" s="120">
        <f>'Suc. Vistas'!D27</f>
        <v>0</v>
      </c>
      <c r="K27" s="120">
        <f>'Suc. Xalisco'!D27</f>
        <v>0</v>
      </c>
      <c r="L27" s="120">
        <f t="shared" si="8"/>
        <v>0</v>
      </c>
      <c r="M27" s="131">
        <f>'Suc. Acaponeta'!D27</f>
        <v>0</v>
      </c>
      <c r="N27" s="131">
        <f>'Suc. Compostela'!D27</f>
        <v>0</v>
      </c>
      <c r="O27" s="131">
        <f>'Suc. Ruiz'!D27</f>
        <v>0</v>
      </c>
      <c r="P27" s="131">
        <f>'Suc. Sanblas'!D27</f>
        <v>0</v>
      </c>
      <c r="Q27" s="131">
        <f>'LALO VARAS'!D27</f>
        <v>0</v>
      </c>
      <c r="R27" s="131">
        <f>'Suc. Santiago 2'!D27</f>
        <v>0</v>
      </c>
      <c r="S27" s="131">
        <f>'Suc. Tecuala'!D27</f>
        <v>0</v>
      </c>
      <c r="T27" s="131">
        <f>'Suc. Tuxpan'!D27</f>
        <v>0</v>
      </c>
      <c r="U27" s="131">
        <f>'Suc. Varas'!D27</f>
        <v>0</v>
      </c>
      <c r="V27" s="131">
        <f>'Suc. Santa María del Oro'!D27</f>
        <v>0</v>
      </c>
      <c r="W27" s="131">
        <f>'Suc. Villa Hidalgo'!D27</f>
        <v>0</v>
      </c>
      <c r="X27" s="131">
        <f>'Suc. Peñita'!D27</f>
        <v>0</v>
      </c>
      <c r="Y27" s="120">
        <f t="shared" si="9"/>
        <v>0</v>
      </c>
      <c r="Z27" s="120">
        <f t="shared" si="10"/>
        <v>0</v>
      </c>
    </row>
    <row r="28" spans="1:30" ht="17.399999999999999" x14ac:dyDescent="0.35">
      <c r="A28" s="97"/>
      <c r="B28" s="131">
        <f>'Suc. Amado Nervo'!D28</f>
        <v>0</v>
      </c>
      <c r="C28" s="131">
        <f>'Suc. León'!D28</f>
        <v>0</v>
      </c>
      <c r="D28" s="120">
        <f>'San Cayetano'!D28</f>
        <v>0</v>
      </c>
      <c r="E28" s="120">
        <f>'Suc. Boulevard'!D28</f>
        <v>0</v>
      </c>
      <c r="F28" s="120">
        <f>'Suc. Dos de Agosto'!D28</f>
        <v>0</v>
      </c>
      <c r="G28" s="120">
        <f>'Suc. La Nueva Canasta'!D28</f>
        <v>0</v>
      </c>
      <c r="H28" s="120">
        <f>'Suc. Mololoa'!D28</f>
        <v>0</v>
      </c>
      <c r="I28" s="120">
        <f>'Suc. Plaza'!D28</f>
        <v>0</v>
      </c>
      <c r="J28" s="120">
        <f>'Suc. Vistas'!D28</f>
        <v>0</v>
      </c>
      <c r="K28" s="120">
        <f>'Suc. Xalisco'!D28</f>
        <v>0</v>
      </c>
      <c r="L28" s="120">
        <f t="shared" si="8"/>
        <v>0</v>
      </c>
      <c r="M28" s="131">
        <f>'Suc. Acaponeta'!D28</f>
        <v>0</v>
      </c>
      <c r="N28" s="131">
        <f>'Suc. Compostela'!D28</f>
        <v>0</v>
      </c>
      <c r="O28" s="131">
        <f>'Suc. Ruiz'!D28</f>
        <v>0</v>
      </c>
      <c r="P28" s="131">
        <f>'Suc. Sanblas'!D28</f>
        <v>0</v>
      </c>
      <c r="Q28" s="131">
        <f>'LALO VARAS'!D28</f>
        <v>0</v>
      </c>
      <c r="R28" s="131">
        <f>'Suc. Santiago 2'!D28</f>
        <v>0</v>
      </c>
      <c r="S28" s="131">
        <f>'Suc. Tecuala'!D28</f>
        <v>0</v>
      </c>
      <c r="T28" s="131">
        <f>'Suc. Tuxpan'!D28</f>
        <v>0</v>
      </c>
      <c r="U28" s="131">
        <f>'Suc. Varas'!D28</f>
        <v>0</v>
      </c>
      <c r="V28" s="131">
        <f>'Suc. Santa María del Oro'!D28</f>
        <v>0</v>
      </c>
      <c r="W28" s="131">
        <f>'Suc. Villa Hidalgo'!D28</f>
        <v>0</v>
      </c>
      <c r="X28" s="131">
        <f>'Suc. Peñita'!D28</f>
        <v>0</v>
      </c>
      <c r="Y28" s="120">
        <f t="shared" si="9"/>
        <v>0</v>
      </c>
      <c r="Z28" s="120">
        <f t="shared" si="10"/>
        <v>0</v>
      </c>
    </row>
    <row r="29" spans="1:30" ht="17.399999999999999" x14ac:dyDescent="0.35">
      <c r="A29" s="97"/>
      <c r="B29" s="131">
        <f>'Suc. Amado Nervo'!D29</f>
        <v>0</v>
      </c>
      <c r="C29" s="131">
        <f>'Suc. León'!D29</f>
        <v>0</v>
      </c>
      <c r="D29" s="120">
        <f>'San Cayetano'!D29</f>
        <v>0</v>
      </c>
      <c r="E29" s="120">
        <f>'Suc. Boulevard'!D29</f>
        <v>0</v>
      </c>
      <c r="F29" s="120">
        <f>'Suc. Dos de Agosto'!D29</f>
        <v>0</v>
      </c>
      <c r="G29" s="120">
        <f>'Suc. La Nueva Canasta'!D29</f>
        <v>0</v>
      </c>
      <c r="H29" s="120">
        <f>'Suc. Mololoa'!D29</f>
        <v>0</v>
      </c>
      <c r="I29" s="120">
        <f>'Suc. Plaza'!D29</f>
        <v>0</v>
      </c>
      <c r="J29" s="120">
        <f>'Suc. Vistas'!D29</f>
        <v>0</v>
      </c>
      <c r="K29" s="120">
        <f>'Suc. Xalisco'!D29</f>
        <v>0</v>
      </c>
      <c r="L29" s="120">
        <f t="shared" si="8"/>
        <v>0</v>
      </c>
      <c r="M29" s="131">
        <f>'Suc. Acaponeta'!D29</f>
        <v>0</v>
      </c>
      <c r="N29" s="131">
        <f>'Suc. Compostela'!D29</f>
        <v>0</v>
      </c>
      <c r="O29" s="131">
        <f>'Suc. Ruiz'!D29</f>
        <v>0</v>
      </c>
      <c r="P29" s="131">
        <f>'Suc. Sanblas'!D29</f>
        <v>0</v>
      </c>
      <c r="Q29" s="131">
        <f>'LALO VARAS'!D29</f>
        <v>0</v>
      </c>
      <c r="R29" s="131">
        <f>'Suc. Santiago 2'!D29</f>
        <v>0</v>
      </c>
      <c r="S29" s="131">
        <f>'Suc. Tecuala'!D29</f>
        <v>0</v>
      </c>
      <c r="T29" s="131">
        <f>'Suc. Tuxpan'!D29</f>
        <v>0</v>
      </c>
      <c r="U29" s="131">
        <f>'Suc. Varas'!D29</f>
        <v>0</v>
      </c>
      <c r="V29" s="131">
        <f>'Suc. Santa María del Oro'!D29</f>
        <v>0</v>
      </c>
      <c r="W29" s="131">
        <f>'Suc. Villa Hidalgo'!D29</f>
        <v>0</v>
      </c>
      <c r="X29" s="131">
        <f>'Suc. Peñita'!D29</f>
        <v>0</v>
      </c>
      <c r="Y29" s="120">
        <f t="shared" si="9"/>
        <v>0</v>
      </c>
      <c r="Z29" s="120">
        <f t="shared" si="10"/>
        <v>0</v>
      </c>
    </row>
    <row r="30" spans="1:30" ht="17.399999999999999" x14ac:dyDescent="0.35">
      <c r="A30" s="97"/>
      <c r="B30" s="131">
        <f>'Suc. Amado Nervo'!D30</f>
        <v>0</v>
      </c>
      <c r="C30" s="131">
        <f>'Suc. León'!D30</f>
        <v>0</v>
      </c>
      <c r="D30" s="120">
        <f>'San Cayetano'!D30</f>
        <v>0</v>
      </c>
      <c r="E30" s="120">
        <f>'Suc. Boulevard'!D30</f>
        <v>0</v>
      </c>
      <c r="F30" s="120">
        <f>'Suc. Dos de Agosto'!D30</f>
        <v>0</v>
      </c>
      <c r="G30" s="120">
        <f>'Suc. La Nueva Canasta'!D30</f>
        <v>0</v>
      </c>
      <c r="H30" s="120">
        <f>'Suc. Mololoa'!D30</f>
        <v>0</v>
      </c>
      <c r="I30" s="120">
        <f>'Suc. Plaza'!D30</f>
        <v>0</v>
      </c>
      <c r="J30" s="120">
        <f>'Suc. Vistas'!D30</f>
        <v>0</v>
      </c>
      <c r="K30" s="120">
        <f>'Suc. Xalisco'!D30</f>
        <v>0</v>
      </c>
      <c r="L30" s="120">
        <f t="shared" si="8"/>
        <v>0</v>
      </c>
      <c r="M30" s="131">
        <f>'Suc. Acaponeta'!D30</f>
        <v>0</v>
      </c>
      <c r="N30" s="131">
        <f>'Suc. Compostela'!D30</f>
        <v>0</v>
      </c>
      <c r="O30" s="131">
        <f>'Suc. Ruiz'!D30</f>
        <v>0</v>
      </c>
      <c r="P30" s="131">
        <f>'Suc. Sanblas'!D30</f>
        <v>0</v>
      </c>
      <c r="Q30" s="131">
        <f>'LALO VARAS'!D30</f>
        <v>0</v>
      </c>
      <c r="R30" s="131">
        <f>'Suc. Santiago 2'!D30</f>
        <v>0</v>
      </c>
      <c r="S30" s="131">
        <f>'Suc. Tecuala'!D30</f>
        <v>0</v>
      </c>
      <c r="T30" s="131">
        <f>'Suc. Tuxpan'!D30</f>
        <v>0</v>
      </c>
      <c r="U30" s="131">
        <f>'Suc. Varas'!D30</f>
        <v>0</v>
      </c>
      <c r="V30" s="131">
        <f>'Suc. Santa María del Oro'!D30</f>
        <v>0</v>
      </c>
      <c r="W30" s="131">
        <f>'Suc. Villa Hidalgo'!D30</f>
        <v>0</v>
      </c>
      <c r="X30" s="131">
        <f>'Suc. Peñita'!D30</f>
        <v>0</v>
      </c>
      <c r="Y30" s="120">
        <f t="shared" si="9"/>
        <v>0</v>
      </c>
      <c r="Z30" s="120">
        <f t="shared" si="10"/>
        <v>0</v>
      </c>
    </row>
    <row r="31" spans="1:30" ht="18" thickBot="1" x14ac:dyDescent="0.4">
      <c r="A31" s="97"/>
      <c r="B31" s="131">
        <f>'Suc. Amado Nervo'!D31</f>
        <v>0</v>
      </c>
      <c r="C31" s="131">
        <f>'Suc. León'!D31</f>
        <v>0</v>
      </c>
      <c r="D31" s="120">
        <f>'San Cayetano'!D31</f>
        <v>0</v>
      </c>
      <c r="E31" s="120">
        <f>'Suc. Boulevard'!D31</f>
        <v>0</v>
      </c>
      <c r="F31" s="120">
        <f>'Suc. Dos de Agosto'!D31</f>
        <v>0</v>
      </c>
      <c r="G31" s="120">
        <f>'Suc. La Nueva Canasta'!D31</f>
        <v>0</v>
      </c>
      <c r="H31" s="120">
        <f>'Suc. Mololoa'!D31</f>
        <v>0</v>
      </c>
      <c r="I31" s="120">
        <f>'Suc. Plaza'!D31</f>
        <v>0</v>
      </c>
      <c r="J31" s="120">
        <f>'Suc. Vistas'!D31</f>
        <v>0</v>
      </c>
      <c r="K31" s="120">
        <f>'Suc. Xalisco'!D31</f>
        <v>0</v>
      </c>
      <c r="L31" s="120">
        <f t="shared" si="8"/>
        <v>0</v>
      </c>
      <c r="M31" s="131">
        <f>'Suc. Acaponeta'!D31</f>
        <v>0</v>
      </c>
      <c r="N31" s="131">
        <f>'Suc. Compostela'!D31</f>
        <v>0</v>
      </c>
      <c r="O31" s="131">
        <f>'Suc. Ruiz'!D31</f>
        <v>0</v>
      </c>
      <c r="P31" s="131">
        <f>'Suc. Sanblas'!D31</f>
        <v>0</v>
      </c>
      <c r="Q31" s="131">
        <f>'LALO VARAS'!D31</f>
        <v>0</v>
      </c>
      <c r="R31" s="131">
        <f>'Suc. Santiago 2'!D31</f>
        <v>0</v>
      </c>
      <c r="S31" s="131">
        <f>'Suc. Tecuala'!D31</f>
        <v>0</v>
      </c>
      <c r="T31" s="131">
        <f>'Suc. Tuxpan'!D31</f>
        <v>0</v>
      </c>
      <c r="U31" s="131">
        <f>'Suc. Varas'!D31</f>
        <v>0</v>
      </c>
      <c r="V31" s="131">
        <f>'Suc. Santa María del Oro'!D31</f>
        <v>0</v>
      </c>
      <c r="W31" s="131">
        <f>'Suc. Villa Hidalgo'!D31</f>
        <v>0</v>
      </c>
      <c r="X31" s="131">
        <f>'Suc. Peñita'!D31</f>
        <v>0</v>
      </c>
      <c r="Y31" s="120">
        <f t="shared" si="9"/>
        <v>0</v>
      </c>
      <c r="Z31" s="120">
        <f t="shared" si="10"/>
        <v>0</v>
      </c>
      <c r="AB31" s="84">
        <f>IFERROR(VLOOKUP(A31,'GRAL. SUC. FORANEAS'!$R:$S,2,0),0)</f>
        <v>0</v>
      </c>
      <c r="AD31" s="84">
        <f t="shared" ref="AD31:AD41" si="11">AB31+Z31</f>
        <v>0</v>
      </c>
    </row>
    <row r="32" spans="1:30" ht="18" thickBot="1" x14ac:dyDescent="0.4">
      <c r="A32" s="98" t="s">
        <v>13</v>
      </c>
      <c r="B32" s="122">
        <f t="shared" ref="B32:Z32" si="12">SUM(B19:B31)</f>
        <v>16</v>
      </c>
      <c r="C32" s="122">
        <f t="shared" si="12"/>
        <v>18</v>
      </c>
      <c r="D32" s="122">
        <f t="shared" si="12"/>
        <v>18</v>
      </c>
      <c r="E32" s="122">
        <f t="shared" si="12"/>
        <v>11</v>
      </c>
      <c r="F32" s="122">
        <f t="shared" si="12"/>
        <v>13</v>
      </c>
      <c r="G32" s="122">
        <f t="shared" si="12"/>
        <v>0</v>
      </c>
      <c r="H32" s="122">
        <f t="shared" si="12"/>
        <v>12</v>
      </c>
      <c r="I32" s="122">
        <f t="shared" si="12"/>
        <v>7</v>
      </c>
      <c r="J32" s="122">
        <f t="shared" si="12"/>
        <v>21</v>
      </c>
      <c r="K32" s="122">
        <f t="shared" si="12"/>
        <v>14</v>
      </c>
      <c r="L32" s="122">
        <f t="shared" si="12"/>
        <v>130</v>
      </c>
      <c r="M32" s="122">
        <f t="shared" si="12"/>
        <v>20</v>
      </c>
      <c r="N32" s="122">
        <f t="shared" si="12"/>
        <v>14</v>
      </c>
      <c r="O32" s="122">
        <f t="shared" si="12"/>
        <v>19</v>
      </c>
      <c r="P32" s="122">
        <f t="shared" si="12"/>
        <v>18</v>
      </c>
      <c r="Q32" s="122">
        <f t="shared" si="12"/>
        <v>40</v>
      </c>
      <c r="R32" s="122">
        <f t="shared" si="12"/>
        <v>26</v>
      </c>
      <c r="S32" s="122">
        <f t="shared" si="12"/>
        <v>16</v>
      </c>
      <c r="T32" s="122">
        <f t="shared" si="12"/>
        <v>20</v>
      </c>
      <c r="U32" s="122">
        <f t="shared" si="12"/>
        <v>18</v>
      </c>
      <c r="V32" s="122">
        <f t="shared" si="12"/>
        <v>12</v>
      </c>
      <c r="W32" s="122">
        <f t="shared" si="12"/>
        <v>14</v>
      </c>
      <c r="X32" s="122">
        <f t="shared" si="12"/>
        <v>14</v>
      </c>
      <c r="Y32" s="122">
        <f t="shared" si="12"/>
        <v>231</v>
      </c>
      <c r="Z32" s="122">
        <f t="shared" si="12"/>
        <v>361</v>
      </c>
      <c r="AB32" s="45">
        <f>SUM(AB19:AB31)</f>
        <v>149</v>
      </c>
      <c r="AD32" s="45">
        <f t="shared" si="11"/>
        <v>510</v>
      </c>
    </row>
    <row r="33" spans="1:30" ht="17.399999999999999" x14ac:dyDescent="0.35">
      <c r="A33" s="97" t="s">
        <v>14</v>
      </c>
      <c r="B33" s="131">
        <f>'Suc. Amado Nervo'!D33</f>
        <v>3</v>
      </c>
      <c r="C33" s="131">
        <f>'Suc. León'!D33</f>
        <v>3</v>
      </c>
      <c r="D33" s="120">
        <f>'San Cayetano'!D33</f>
        <v>2</v>
      </c>
      <c r="E33" s="120">
        <f>'Suc. Boulevard'!D33</f>
        <v>2</v>
      </c>
      <c r="F33" s="120">
        <f>'Suc. Dos de Agosto'!D33</f>
        <v>2</v>
      </c>
      <c r="G33" s="120">
        <f>'Suc. La Nueva Canasta'!D33</f>
        <v>0</v>
      </c>
      <c r="H33" s="120">
        <f>'Suc. Mololoa'!D33</f>
        <v>2</v>
      </c>
      <c r="I33" s="120">
        <f>'Suc. Plaza'!D33</f>
        <v>1</v>
      </c>
      <c r="J33" s="120">
        <f>'Suc. Vistas'!D33</f>
        <v>2</v>
      </c>
      <c r="K33" s="120">
        <f>'Suc. Xalisco'!D33</f>
        <v>2</v>
      </c>
      <c r="L33" s="120">
        <f t="shared" ref="L33:L48" si="13">SUM(B33:K33)</f>
        <v>19</v>
      </c>
      <c r="M33" s="131">
        <f>'Suc. Acaponeta'!D33</f>
        <v>3</v>
      </c>
      <c r="N33" s="131">
        <f>'Suc. Compostela'!D33</f>
        <v>2</v>
      </c>
      <c r="O33" s="131">
        <f>'Suc. Ruiz'!D33</f>
        <v>2</v>
      </c>
      <c r="P33" s="131">
        <f>'Suc. Sanblas'!D33</f>
        <v>3</v>
      </c>
      <c r="Q33" s="131">
        <f>'LALO VARAS'!D33</f>
        <v>3</v>
      </c>
      <c r="R33" s="131">
        <f>'Suc. Santiago 2'!D33</f>
        <v>1</v>
      </c>
      <c r="S33" s="131">
        <f>'Suc. Tecuala'!D33</f>
        <v>2</v>
      </c>
      <c r="T33" s="131">
        <f>'Suc. Tuxpan'!D33</f>
        <v>3</v>
      </c>
      <c r="U33" s="131">
        <f>'Suc. Varas'!D33</f>
        <v>0</v>
      </c>
      <c r="V33" s="131">
        <f>'Suc. Santa María del Oro'!D33</f>
        <v>0</v>
      </c>
      <c r="W33" s="131">
        <f>'Suc. Villa Hidalgo'!D33</f>
        <v>3</v>
      </c>
      <c r="X33" s="131">
        <f>'Suc. Peñita'!D33</f>
        <v>0</v>
      </c>
      <c r="Y33" s="120">
        <f t="shared" ref="Y33:Y48" si="14">SUM(M33:X33)</f>
        <v>22</v>
      </c>
      <c r="Z33" s="120">
        <f t="shared" ref="Z33:Z48" si="15">L33+Y33</f>
        <v>41</v>
      </c>
      <c r="AB33" s="84">
        <f>IFERROR(VLOOKUP(A33,'GRAL. SUC. FORANEAS'!$R:$S,2,0),0)</f>
        <v>14</v>
      </c>
      <c r="AD33" s="84">
        <f t="shared" si="11"/>
        <v>55</v>
      </c>
    </row>
    <row r="34" spans="1:30" ht="17.399999999999999" x14ac:dyDescent="0.35">
      <c r="A34" s="97" t="s">
        <v>15</v>
      </c>
      <c r="B34" s="131">
        <f>'Suc. Amado Nervo'!D34</f>
        <v>2</v>
      </c>
      <c r="C34" s="131">
        <f>'Suc. León'!D34</f>
        <v>2</v>
      </c>
      <c r="D34" s="120">
        <f>'San Cayetano'!D34</f>
        <v>2</v>
      </c>
      <c r="E34" s="120">
        <f>'Suc. Boulevard'!D34</f>
        <v>1</v>
      </c>
      <c r="F34" s="120">
        <f>'Suc. Dos de Agosto'!D34</f>
        <v>2</v>
      </c>
      <c r="G34" s="120">
        <f>'Suc. La Nueva Canasta'!D34</f>
        <v>0</v>
      </c>
      <c r="H34" s="120">
        <f>'Suc. Mololoa'!D34</f>
        <v>2</v>
      </c>
      <c r="I34" s="120">
        <f>'Suc. Plaza'!D34</f>
        <v>1</v>
      </c>
      <c r="J34" s="120">
        <f>'Suc. Vistas'!D34</f>
        <v>2</v>
      </c>
      <c r="K34" s="120">
        <f>'Suc. Xalisco'!D34</f>
        <v>2</v>
      </c>
      <c r="L34" s="120">
        <f t="shared" si="13"/>
        <v>16</v>
      </c>
      <c r="M34" s="131">
        <f>'Suc. Acaponeta'!D34</f>
        <v>3</v>
      </c>
      <c r="N34" s="131">
        <f>'Suc. Compostela'!D34</f>
        <v>2</v>
      </c>
      <c r="O34" s="131">
        <f>'Suc. Ruiz'!D34</f>
        <v>3</v>
      </c>
      <c r="P34" s="131">
        <f>'Suc. Sanblas'!D34</f>
        <v>3</v>
      </c>
      <c r="Q34" s="131">
        <f>'LALO VARAS'!D34</f>
        <v>3</v>
      </c>
      <c r="R34" s="131">
        <f>'Suc. Santiago 2'!D34</f>
        <v>2</v>
      </c>
      <c r="S34" s="131">
        <f>'Suc. Tecuala'!D34</f>
        <v>2</v>
      </c>
      <c r="T34" s="131">
        <f>'Suc. Tuxpan'!D34</f>
        <v>4</v>
      </c>
      <c r="U34" s="131">
        <f>'Suc. Varas'!D34</f>
        <v>2</v>
      </c>
      <c r="V34" s="131">
        <f>'Suc. Santa María del Oro'!D34</f>
        <v>2</v>
      </c>
      <c r="W34" s="131">
        <f>'Suc. Villa Hidalgo'!D34</f>
        <v>3</v>
      </c>
      <c r="X34" s="131">
        <f>'Suc. Peñita'!D34</f>
        <v>2</v>
      </c>
      <c r="Y34" s="120">
        <f t="shared" si="14"/>
        <v>31</v>
      </c>
      <c r="Z34" s="120">
        <f t="shared" si="15"/>
        <v>47</v>
      </c>
      <c r="AB34" s="84">
        <f>IFERROR(VLOOKUP(A34,'GRAL. SUC. FORANEAS'!$R:$S,2,0),0)</f>
        <v>17</v>
      </c>
      <c r="AD34" s="84">
        <f t="shared" si="11"/>
        <v>64</v>
      </c>
    </row>
    <row r="35" spans="1:30" ht="17.399999999999999" x14ac:dyDescent="0.35">
      <c r="A35" s="97" t="s">
        <v>16</v>
      </c>
      <c r="B35" s="131">
        <f>'Suc. Amado Nervo'!D35</f>
        <v>2</v>
      </c>
      <c r="C35" s="131">
        <f>'Suc. León'!D35</f>
        <v>2</v>
      </c>
      <c r="D35" s="120">
        <f>'San Cayetano'!D35</f>
        <v>1</v>
      </c>
      <c r="E35" s="120">
        <f>'Suc. Boulevard'!D35</f>
        <v>1</v>
      </c>
      <c r="F35" s="120">
        <f>'Suc. Dos de Agosto'!D35</f>
        <v>1</v>
      </c>
      <c r="G35" s="120">
        <f>'Suc. La Nueva Canasta'!D35</f>
        <v>0</v>
      </c>
      <c r="H35" s="120">
        <f>'Suc. Mololoa'!D35</f>
        <v>2</v>
      </c>
      <c r="I35" s="120">
        <f>'Suc. Plaza'!D35</f>
        <v>1</v>
      </c>
      <c r="J35" s="120">
        <f>'Suc. Vistas'!D35</f>
        <v>2</v>
      </c>
      <c r="K35" s="120">
        <f>'Suc. Xalisco'!D35</f>
        <v>2</v>
      </c>
      <c r="L35" s="120">
        <f t="shared" si="13"/>
        <v>14</v>
      </c>
      <c r="M35" s="131">
        <f>'Suc. Acaponeta'!D35</f>
        <v>3</v>
      </c>
      <c r="N35" s="131">
        <f>'Suc. Compostela'!D35</f>
        <v>2</v>
      </c>
      <c r="O35" s="131">
        <f>'Suc. Ruiz'!D35</f>
        <v>3</v>
      </c>
      <c r="P35" s="131">
        <f>'Suc. Sanblas'!D35</f>
        <v>3</v>
      </c>
      <c r="Q35" s="131">
        <f>'LALO VARAS'!D35</f>
        <v>3</v>
      </c>
      <c r="R35" s="131">
        <f>'Suc. Santiago 2'!D35</f>
        <v>2</v>
      </c>
      <c r="S35" s="131">
        <f>'Suc. Tecuala'!D35</f>
        <v>2</v>
      </c>
      <c r="T35" s="131">
        <f>'Suc. Tuxpan'!D35</f>
        <v>2</v>
      </c>
      <c r="U35" s="131">
        <f>'Suc. Varas'!D35</f>
        <v>1</v>
      </c>
      <c r="V35" s="131">
        <f>'Suc. Santa María del Oro'!D35</f>
        <v>2</v>
      </c>
      <c r="W35" s="131">
        <f>'Suc. Villa Hidalgo'!D35</f>
        <v>3</v>
      </c>
      <c r="X35" s="131">
        <f>'Suc. Peñita'!D35</f>
        <v>2</v>
      </c>
      <c r="Y35" s="120">
        <f t="shared" si="14"/>
        <v>28</v>
      </c>
      <c r="Z35" s="120">
        <f t="shared" si="15"/>
        <v>42</v>
      </c>
      <c r="AB35" s="84">
        <f>IFERROR(VLOOKUP(A35,'GRAL. SUC. FORANEAS'!$R:$S,2,0),0)</f>
        <v>14</v>
      </c>
      <c r="AD35" s="84">
        <f t="shared" si="11"/>
        <v>56</v>
      </c>
    </row>
    <row r="36" spans="1:30" ht="17.399999999999999" x14ac:dyDescent="0.35">
      <c r="A36" s="97" t="s">
        <v>17</v>
      </c>
      <c r="B36" s="131">
        <f>'Suc. Amado Nervo'!D36</f>
        <v>2</v>
      </c>
      <c r="C36" s="131">
        <f>'Suc. León'!D36</f>
        <v>2</v>
      </c>
      <c r="D36" s="120">
        <f>'San Cayetano'!D36</f>
        <v>2</v>
      </c>
      <c r="E36" s="120">
        <f>'Suc. Boulevard'!D36</f>
        <v>0</v>
      </c>
      <c r="F36" s="120">
        <f>'Suc. Dos de Agosto'!D36</f>
        <v>1</v>
      </c>
      <c r="G36" s="120">
        <f>'Suc. La Nueva Canasta'!D36</f>
        <v>0</v>
      </c>
      <c r="H36" s="120">
        <f>'Suc. Mololoa'!D36</f>
        <v>1</v>
      </c>
      <c r="I36" s="120">
        <f>'Suc. Plaza'!D36</f>
        <v>1</v>
      </c>
      <c r="J36" s="120">
        <f>'Suc. Vistas'!D36</f>
        <v>2</v>
      </c>
      <c r="K36" s="120">
        <f>'Suc. Xalisco'!D36</f>
        <v>2</v>
      </c>
      <c r="L36" s="120">
        <f t="shared" si="13"/>
        <v>13</v>
      </c>
      <c r="M36" s="131">
        <f>'Suc. Acaponeta'!D36</f>
        <v>4</v>
      </c>
      <c r="N36" s="131">
        <f>'Suc. Compostela'!D36</f>
        <v>2</v>
      </c>
      <c r="O36" s="131">
        <f>'Suc. Ruiz'!D36</f>
        <v>3</v>
      </c>
      <c r="P36" s="131">
        <f>'Suc. Sanblas'!D36</f>
        <v>1</v>
      </c>
      <c r="Q36" s="131">
        <f>'LALO VARAS'!D36</f>
        <v>3</v>
      </c>
      <c r="R36" s="131">
        <f>'Suc. Santiago 2'!D36</f>
        <v>3</v>
      </c>
      <c r="S36" s="131">
        <f>'Suc. Tecuala'!D36</f>
        <v>2</v>
      </c>
      <c r="T36" s="131">
        <f>'Suc. Tuxpan'!D36</f>
        <v>3</v>
      </c>
      <c r="U36" s="131">
        <f>'Suc. Varas'!D36</f>
        <v>2</v>
      </c>
      <c r="V36" s="131">
        <f>'Suc. Santa María del Oro'!D36</f>
        <v>2</v>
      </c>
      <c r="W36" s="131">
        <f>'Suc. Villa Hidalgo'!D36</f>
        <v>3</v>
      </c>
      <c r="X36" s="131">
        <f>'Suc. Peñita'!D36</f>
        <v>2</v>
      </c>
      <c r="Y36" s="120">
        <f t="shared" si="14"/>
        <v>30</v>
      </c>
      <c r="Z36" s="120">
        <f t="shared" si="15"/>
        <v>43</v>
      </c>
      <c r="AB36" s="84">
        <f>IFERROR(VLOOKUP(A36,'GRAL. SUC. FORANEAS'!$R:$S,2,0),0)</f>
        <v>15</v>
      </c>
      <c r="AD36" s="84">
        <f t="shared" si="11"/>
        <v>58</v>
      </c>
    </row>
    <row r="37" spans="1:30" ht="17.399999999999999" x14ac:dyDescent="0.35">
      <c r="A37" s="97" t="s">
        <v>18</v>
      </c>
      <c r="B37" s="131">
        <f>'Suc. Amado Nervo'!D37</f>
        <v>3</v>
      </c>
      <c r="C37" s="131">
        <f>'Suc. León'!D37</f>
        <v>3</v>
      </c>
      <c r="D37" s="120">
        <f>'San Cayetano'!D37</f>
        <v>3</v>
      </c>
      <c r="E37" s="120">
        <f>'Suc. Boulevard'!D37</f>
        <v>3</v>
      </c>
      <c r="F37" s="120">
        <f>'Suc. Dos de Agosto'!D37</f>
        <v>2</v>
      </c>
      <c r="G37" s="120">
        <f>'Suc. La Nueva Canasta'!D37</f>
        <v>0</v>
      </c>
      <c r="H37" s="120">
        <f>'Suc. Mololoa'!D37</f>
        <v>2</v>
      </c>
      <c r="I37" s="120">
        <f>'Suc. Plaza'!D37</f>
        <v>1</v>
      </c>
      <c r="J37" s="120">
        <f>'Suc. Vistas'!D37</f>
        <v>4</v>
      </c>
      <c r="K37" s="120">
        <f>'Suc. Xalisco'!D37</f>
        <v>3</v>
      </c>
      <c r="L37" s="120">
        <f t="shared" si="13"/>
        <v>24</v>
      </c>
      <c r="M37" s="131">
        <f>'Suc. Acaponeta'!D37</f>
        <v>4</v>
      </c>
      <c r="N37" s="131">
        <f>'Suc. Compostela'!D37</f>
        <v>3</v>
      </c>
      <c r="O37" s="131">
        <f>'Suc. Ruiz'!D37</f>
        <v>4</v>
      </c>
      <c r="P37" s="131">
        <f>'Suc. Sanblas'!D37</f>
        <v>3</v>
      </c>
      <c r="Q37" s="131">
        <f>'LALO VARAS'!D37</f>
        <v>3</v>
      </c>
      <c r="R37" s="131">
        <f>'Suc. Santiago 2'!D37</f>
        <v>3</v>
      </c>
      <c r="S37" s="131">
        <f>'Suc. Tecuala'!D37</f>
        <v>3</v>
      </c>
      <c r="T37" s="131">
        <f>'Suc. Tuxpan'!D37</f>
        <v>4</v>
      </c>
      <c r="U37" s="131">
        <f>'Suc. Varas'!D37</f>
        <v>4</v>
      </c>
      <c r="V37" s="131">
        <f>'Suc. Santa María del Oro'!D37</f>
        <v>2</v>
      </c>
      <c r="W37" s="131">
        <f>'Suc. Villa Hidalgo'!D37</f>
        <v>4</v>
      </c>
      <c r="X37" s="131">
        <f>'Suc. Peñita'!D37</f>
        <v>3</v>
      </c>
      <c r="Y37" s="120">
        <f t="shared" si="14"/>
        <v>40</v>
      </c>
      <c r="Z37" s="120">
        <f t="shared" si="15"/>
        <v>64</v>
      </c>
      <c r="AB37" s="84">
        <f>IFERROR(VLOOKUP(A37,'GRAL. SUC. FORANEAS'!$R:$S,2,0),0)</f>
        <v>22</v>
      </c>
      <c r="AD37" s="84">
        <f t="shared" si="11"/>
        <v>86</v>
      </c>
    </row>
    <row r="38" spans="1:30" ht="17.399999999999999" x14ac:dyDescent="0.35">
      <c r="A38" s="97" t="s">
        <v>22</v>
      </c>
      <c r="B38" s="131">
        <f>'Suc. Amado Nervo'!D38</f>
        <v>3</v>
      </c>
      <c r="C38" s="131">
        <f>'Suc. León'!D38</f>
        <v>3</v>
      </c>
      <c r="D38" s="120">
        <f>'San Cayetano'!D38</f>
        <v>3</v>
      </c>
      <c r="E38" s="120">
        <f>'Suc. Boulevard'!D38</f>
        <v>2</v>
      </c>
      <c r="F38" s="120">
        <f>'Suc. Dos de Agosto'!D38</f>
        <v>3</v>
      </c>
      <c r="G38" s="120">
        <f>'Suc. La Nueva Canasta'!D38</f>
        <v>0</v>
      </c>
      <c r="H38" s="120">
        <f>'Suc. Mololoa'!D38</f>
        <v>3</v>
      </c>
      <c r="I38" s="120">
        <f>'Suc. Plaza'!D38</f>
        <v>1</v>
      </c>
      <c r="J38" s="120">
        <f>'Suc. Vistas'!D38</f>
        <v>4</v>
      </c>
      <c r="K38" s="120">
        <f>'Suc. Xalisco'!D38</f>
        <v>3</v>
      </c>
      <c r="L38" s="120">
        <f t="shared" si="13"/>
        <v>25</v>
      </c>
      <c r="M38" s="131">
        <f>'Suc. Acaponeta'!D38</f>
        <v>4</v>
      </c>
      <c r="N38" s="131">
        <f>'Suc. Compostela'!D38</f>
        <v>2</v>
      </c>
      <c r="O38" s="131">
        <f>'Suc. Ruiz'!D38</f>
        <v>4</v>
      </c>
      <c r="P38" s="131">
        <f>'Suc. Sanblas'!D38</f>
        <v>3</v>
      </c>
      <c r="Q38" s="131">
        <f>'LALO VARAS'!D38</f>
        <v>3</v>
      </c>
      <c r="R38" s="131">
        <f>'Suc. Santiago 2'!D38</f>
        <v>3</v>
      </c>
      <c r="S38" s="131">
        <f>'Suc. Tecuala'!D38</f>
        <v>3</v>
      </c>
      <c r="T38" s="131">
        <f>'Suc. Tuxpan'!D38</f>
        <v>4</v>
      </c>
      <c r="U38" s="131">
        <f>'Suc. Varas'!D38</f>
        <v>4</v>
      </c>
      <c r="V38" s="131">
        <f>'Suc. Santa María del Oro'!D38</f>
        <v>2</v>
      </c>
      <c r="W38" s="131">
        <f>'Suc. Villa Hidalgo'!D38</f>
        <v>4</v>
      </c>
      <c r="X38" s="131">
        <f>'Suc. Peñita'!D38</f>
        <v>3</v>
      </c>
      <c r="Y38" s="120">
        <f t="shared" si="14"/>
        <v>39</v>
      </c>
      <c r="Z38" s="120">
        <f t="shared" si="15"/>
        <v>64</v>
      </c>
      <c r="AB38" s="84">
        <f>IFERROR(VLOOKUP(A38,'GRAL. SUC. FORANEAS'!$R:$S,2,0),0)</f>
        <v>27</v>
      </c>
      <c r="AD38" s="84">
        <f t="shared" si="11"/>
        <v>91</v>
      </c>
    </row>
    <row r="39" spans="1:30" ht="17.399999999999999" x14ac:dyDescent="0.35">
      <c r="A39" s="97" t="s">
        <v>23</v>
      </c>
      <c r="B39" s="131">
        <f>'Suc. Amado Nervo'!D39</f>
        <v>2</v>
      </c>
      <c r="C39" s="131">
        <f>'Suc. León'!D39</f>
        <v>2</v>
      </c>
      <c r="D39" s="120">
        <f>'San Cayetano'!D39</f>
        <v>2</v>
      </c>
      <c r="E39" s="120">
        <f>'Suc. Boulevard'!D39</f>
        <v>1</v>
      </c>
      <c r="F39" s="120">
        <f>'Suc. Dos de Agosto'!D39</f>
        <v>2</v>
      </c>
      <c r="G39" s="120">
        <f>'Suc. La Nueva Canasta'!D39</f>
        <v>0</v>
      </c>
      <c r="H39" s="120">
        <f>'Suc. Mololoa'!D39</f>
        <v>2</v>
      </c>
      <c r="I39" s="120">
        <f>'Suc. Plaza'!D39</f>
        <v>1</v>
      </c>
      <c r="J39" s="120">
        <f>'Suc. Vistas'!D39</f>
        <v>2</v>
      </c>
      <c r="K39" s="120">
        <f>'Suc. Xalisco'!D39</f>
        <v>2</v>
      </c>
      <c r="L39" s="120">
        <f t="shared" si="13"/>
        <v>16</v>
      </c>
      <c r="M39" s="131">
        <f>'Suc. Acaponeta'!D39</f>
        <v>3</v>
      </c>
      <c r="N39" s="131">
        <f>'Suc. Compostela'!D39</f>
        <v>2</v>
      </c>
      <c r="O39" s="131">
        <f>'Suc. Ruiz'!D39</f>
        <v>3</v>
      </c>
      <c r="P39" s="131">
        <f>'Suc. Sanblas'!D39</f>
        <v>3</v>
      </c>
      <c r="Q39" s="131">
        <f>'LALO VARAS'!D39</f>
        <v>3</v>
      </c>
      <c r="R39" s="131">
        <f>'Suc. Santiago 2'!D39</f>
        <v>3</v>
      </c>
      <c r="S39" s="131">
        <f>'Suc. Tecuala'!D39</f>
        <v>2</v>
      </c>
      <c r="T39" s="131">
        <f>'Suc. Tuxpan'!D39</f>
        <v>3</v>
      </c>
      <c r="U39" s="131">
        <f>'Suc. Varas'!D39</f>
        <v>2</v>
      </c>
      <c r="V39" s="131">
        <f>'Suc. Santa María del Oro'!D39</f>
        <v>1</v>
      </c>
      <c r="W39" s="131">
        <f>'Suc. Villa Hidalgo'!D39</f>
        <v>3</v>
      </c>
      <c r="X39" s="131">
        <f>'Suc. Peñita'!D39</f>
        <v>2</v>
      </c>
      <c r="Y39" s="120">
        <f t="shared" si="14"/>
        <v>30</v>
      </c>
      <c r="Z39" s="120">
        <f t="shared" si="15"/>
        <v>46</v>
      </c>
      <c r="AB39" s="84">
        <f>IFERROR(VLOOKUP(A39,'GRAL. SUC. FORANEAS'!$R:$S,2,0),0)</f>
        <v>10</v>
      </c>
      <c r="AD39" s="84">
        <f t="shared" si="11"/>
        <v>56</v>
      </c>
    </row>
    <row r="40" spans="1:30" ht="17.399999999999999" x14ac:dyDescent="0.35">
      <c r="A40" s="97" t="s">
        <v>24</v>
      </c>
      <c r="B40" s="131">
        <f>'Suc. Amado Nervo'!D40</f>
        <v>2</v>
      </c>
      <c r="C40" s="131">
        <f>'Suc. León'!D40</f>
        <v>3</v>
      </c>
      <c r="D40" s="120">
        <f>'San Cayetano'!D40</f>
        <v>2</v>
      </c>
      <c r="E40" s="120">
        <f>'Suc. Boulevard'!D40</f>
        <v>2</v>
      </c>
      <c r="F40" s="120">
        <f>'Suc. Dos de Agosto'!D40</f>
        <v>2</v>
      </c>
      <c r="G40" s="120">
        <f>'Suc. La Nueva Canasta'!D40</f>
        <v>0</v>
      </c>
      <c r="H40" s="120">
        <f>'Suc. Mololoa'!D40</f>
        <v>2</v>
      </c>
      <c r="I40" s="120">
        <f>'Suc. Plaza'!D40</f>
        <v>1</v>
      </c>
      <c r="J40" s="120">
        <f>'Suc. Vistas'!D40</f>
        <v>4</v>
      </c>
      <c r="K40" s="120">
        <f>'Suc. Xalisco'!D40</f>
        <v>1</v>
      </c>
      <c r="L40" s="120">
        <f t="shared" si="13"/>
        <v>19</v>
      </c>
      <c r="M40" s="131">
        <f>'Suc. Acaponeta'!D40</f>
        <v>3</v>
      </c>
      <c r="N40" s="131">
        <f>'Suc. Compostela'!D40</f>
        <v>2</v>
      </c>
      <c r="O40" s="131">
        <f>'Suc. Ruiz'!D40</f>
        <v>2</v>
      </c>
      <c r="P40" s="131">
        <f>'Suc. Sanblas'!D40</f>
        <v>3</v>
      </c>
      <c r="Q40" s="131">
        <f>'LALO VARAS'!D40</f>
        <v>3</v>
      </c>
      <c r="R40" s="131">
        <f>'Suc. Santiago 2'!D40</f>
        <v>3</v>
      </c>
      <c r="S40" s="131">
        <f>'Suc. Tecuala'!D40</f>
        <v>2</v>
      </c>
      <c r="T40" s="131">
        <f>'Suc. Tuxpan'!D40</f>
        <v>3</v>
      </c>
      <c r="U40" s="131">
        <f>'Suc. Varas'!D40</f>
        <v>3</v>
      </c>
      <c r="V40" s="131">
        <f>'Suc. Santa María del Oro'!D40</f>
        <v>2</v>
      </c>
      <c r="W40" s="131">
        <f>'Suc. Villa Hidalgo'!D40</f>
        <v>4</v>
      </c>
      <c r="X40" s="131">
        <f>'Suc. Peñita'!D40</f>
        <v>3</v>
      </c>
      <c r="Y40" s="120">
        <f t="shared" si="14"/>
        <v>33</v>
      </c>
      <c r="Z40" s="120">
        <f t="shared" si="15"/>
        <v>52</v>
      </c>
      <c r="AB40" s="84">
        <f>IFERROR(VLOOKUP(A40,'GRAL. SUC. FORANEAS'!$R:$S,2,0),0)</f>
        <v>25</v>
      </c>
      <c r="AD40" s="84">
        <f t="shared" si="11"/>
        <v>77</v>
      </c>
    </row>
    <row r="41" spans="1:30" ht="17.399999999999999" x14ac:dyDescent="0.35">
      <c r="A41" s="97" t="s">
        <v>25</v>
      </c>
      <c r="B41" s="131">
        <f>'Suc. Amado Nervo'!D41</f>
        <v>2</v>
      </c>
      <c r="C41" s="131">
        <f>'Suc. León'!D41</f>
        <v>2</v>
      </c>
      <c r="D41" s="120">
        <f>'San Cayetano'!D41</f>
        <v>2</v>
      </c>
      <c r="E41" s="120">
        <f>'Suc. Boulevard'!D41</f>
        <v>1</v>
      </c>
      <c r="F41" s="120">
        <f>'Suc. Dos de Agosto'!D41</f>
        <v>2</v>
      </c>
      <c r="G41" s="120">
        <f>'Suc. La Nueva Canasta'!D41</f>
        <v>0</v>
      </c>
      <c r="H41" s="120">
        <f>'Suc. Mololoa'!D41</f>
        <v>2</v>
      </c>
      <c r="I41" s="120">
        <f>'Suc. Plaza'!D41</f>
        <v>1</v>
      </c>
      <c r="J41" s="120">
        <f>'Suc. Vistas'!D41</f>
        <v>2</v>
      </c>
      <c r="K41" s="120">
        <f>'Suc. Xalisco'!D41</f>
        <v>1</v>
      </c>
      <c r="L41" s="120">
        <f t="shared" si="13"/>
        <v>15</v>
      </c>
      <c r="M41" s="131">
        <f>'Suc. Acaponeta'!D41</f>
        <v>3</v>
      </c>
      <c r="N41" s="131">
        <f>'Suc. Compostela'!D41</f>
        <v>2</v>
      </c>
      <c r="O41" s="131">
        <f>'Suc. Ruiz'!D41</f>
        <v>2</v>
      </c>
      <c r="P41" s="131">
        <f>'Suc. Sanblas'!D41</f>
        <v>3</v>
      </c>
      <c r="Q41" s="131">
        <f>'LALO VARAS'!D41</f>
        <v>3</v>
      </c>
      <c r="R41" s="131">
        <f>'Suc. Santiago 2'!D41</f>
        <v>3</v>
      </c>
      <c r="S41" s="131">
        <f>'Suc. Tecuala'!D41</f>
        <v>3</v>
      </c>
      <c r="T41" s="131">
        <f>'Suc. Tuxpan'!D41</f>
        <v>2</v>
      </c>
      <c r="U41" s="131">
        <f>'Suc. Varas'!D41</f>
        <v>2</v>
      </c>
      <c r="V41" s="131">
        <f>'Suc. Santa María del Oro'!D41</f>
        <v>0</v>
      </c>
      <c r="W41" s="131">
        <f>'Suc. Villa Hidalgo'!D41</f>
        <v>3</v>
      </c>
      <c r="X41" s="131">
        <f>'Suc. Peñita'!D41</f>
        <v>2</v>
      </c>
      <c r="Y41" s="120">
        <f t="shared" si="14"/>
        <v>28</v>
      </c>
      <c r="Z41" s="120">
        <f t="shared" si="15"/>
        <v>43</v>
      </c>
      <c r="AB41" s="84">
        <f>IFERROR(VLOOKUP(A41,'GRAL. SUC. FORANEAS'!$R:$S,2,0),0)</f>
        <v>13</v>
      </c>
      <c r="AD41" s="84">
        <f t="shared" si="11"/>
        <v>56</v>
      </c>
    </row>
    <row r="42" spans="1:30" ht="17.399999999999999" x14ac:dyDescent="0.35">
      <c r="A42" s="97"/>
      <c r="B42" s="131">
        <f>'Suc. Amado Nervo'!D42</f>
        <v>0</v>
      </c>
      <c r="C42" s="131">
        <f>'Suc. León'!D42</f>
        <v>0</v>
      </c>
      <c r="D42" s="120">
        <f>'San Cayetano'!D42</f>
        <v>0</v>
      </c>
      <c r="E42" s="120">
        <f>'Suc. Boulevard'!D42</f>
        <v>0</v>
      </c>
      <c r="F42" s="120">
        <f>'Suc. Dos de Agosto'!D42</f>
        <v>0</v>
      </c>
      <c r="G42" s="120">
        <f>'Suc. La Nueva Canasta'!D42</f>
        <v>0</v>
      </c>
      <c r="H42" s="120">
        <f>'Suc. Mololoa'!D42</f>
        <v>0</v>
      </c>
      <c r="I42" s="120">
        <f>'Suc. Plaza'!D42</f>
        <v>0</v>
      </c>
      <c r="J42" s="120">
        <f>'Suc. Vistas'!D42</f>
        <v>0</v>
      </c>
      <c r="K42" s="120">
        <f>'Suc. Xalisco'!D42</f>
        <v>0</v>
      </c>
      <c r="L42" s="120">
        <f t="shared" si="13"/>
        <v>0</v>
      </c>
      <c r="M42" s="131">
        <f>'Suc. Acaponeta'!D42</f>
        <v>0</v>
      </c>
      <c r="N42" s="131">
        <f>'Suc. Compostela'!D42</f>
        <v>0</v>
      </c>
      <c r="O42" s="131">
        <f>'Suc. Ruiz'!D42</f>
        <v>0</v>
      </c>
      <c r="P42" s="131">
        <f>'Suc. Sanblas'!D42</f>
        <v>0</v>
      </c>
      <c r="Q42" s="131">
        <f>'LALO VARAS'!D42</f>
        <v>0</v>
      </c>
      <c r="R42" s="131">
        <f>'Suc. Santiago 2'!D42</f>
        <v>0</v>
      </c>
      <c r="S42" s="131">
        <f>'Suc. Tecuala'!D42</f>
        <v>0</v>
      </c>
      <c r="T42" s="131">
        <f>'Suc. Tuxpan'!D42</f>
        <v>0</v>
      </c>
      <c r="U42" s="131">
        <f>'Suc. Varas'!D42</f>
        <v>0</v>
      </c>
      <c r="V42" s="131">
        <f>'Suc. Santa María del Oro'!D42</f>
        <v>0</v>
      </c>
      <c r="W42" s="131">
        <f>'Suc. Villa Hidalgo'!D42</f>
        <v>0</v>
      </c>
      <c r="X42" s="131">
        <f>'Suc. Peñita'!D42</f>
        <v>0</v>
      </c>
      <c r="Y42" s="120">
        <f t="shared" si="14"/>
        <v>0</v>
      </c>
      <c r="Z42" s="120">
        <f t="shared" si="15"/>
        <v>0</v>
      </c>
    </row>
    <row r="43" spans="1:30" ht="17.399999999999999" x14ac:dyDescent="0.35">
      <c r="A43" s="97"/>
      <c r="B43" s="131">
        <f>'Suc. Amado Nervo'!D43</f>
        <v>0</v>
      </c>
      <c r="C43" s="131">
        <f>'Suc. León'!D43</f>
        <v>0</v>
      </c>
      <c r="D43" s="120">
        <f>'San Cayetano'!D43</f>
        <v>0</v>
      </c>
      <c r="E43" s="120">
        <f>'Suc. Boulevard'!D43</f>
        <v>0</v>
      </c>
      <c r="F43" s="120">
        <f>'Suc. Dos de Agosto'!D43</f>
        <v>0</v>
      </c>
      <c r="G43" s="120">
        <f>'Suc. La Nueva Canasta'!D43</f>
        <v>0</v>
      </c>
      <c r="H43" s="120">
        <f>'Suc. Mololoa'!D43</f>
        <v>0</v>
      </c>
      <c r="I43" s="120">
        <f>'Suc. Plaza'!D43</f>
        <v>0</v>
      </c>
      <c r="J43" s="120">
        <f>'Suc. Vistas'!D43</f>
        <v>0</v>
      </c>
      <c r="K43" s="120">
        <f>'Suc. Xalisco'!D43</f>
        <v>0</v>
      </c>
      <c r="L43" s="120">
        <f t="shared" si="13"/>
        <v>0</v>
      </c>
      <c r="M43" s="131">
        <f>'Suc. Acaponeta'!D43</f>
        <v>0</v>
      </c>
      <c r="N43" s="131">
        <f>'Suc. Compostela'!D43</f>
        <v>0</v>
      </c>
      <c r="O43" s="131">
        <f>'Suc. Ruiz'!D43</f>
        <v>0</v>
      </c>
      <c r="P43" s="131">
        <f>'Suc. Sanblas'!D43</f>
        <v>0</v>
      </c>
      <c r="Q43" s="131">
        <f>'LALO VARAS'!D43</f>
        <v>0</v>
      </c>
      <c r="R43" s="131">
        <f>'Suc. Santiago 2'!D43</f>
        <v>0</v>
      </c>
      <c r="S43" s="131">
        <f>'Suc. Tecuala'!D43</f>
        <v>0</v>
      </c>
      <c r="T43" s="131">
        <f>'Suc. Tuxpan'!D43</f>
        <v>0</v>
      </c>
      <c r="U43" s="131">
        <f>'Suc. Varas'!D43</f>
        <v>0</v>
      </c>
      <c r="V43" s="131">
        <f>'Suc. Santa María del Oro'!D43</f>
        <v>0</v>
      </c>
      <c r="W43" s="131">
        <f>'Suc. Villa Hidalgo'!D43</f>
        <v>0</v>
      </c>
      <c r="X43" s="131">
        <f>'Suc. Peñita'!D43</f>
        <v>0</v>
      </c>
      <c r="Y43" s="120">
        <f t="shared" si="14"/>
        <v>0</v>
      </c>
      <c r="Z43" s="120">
        <f t="shared" si="15"/>
        <v>0</v>
      </c>
    </row>
    <row r="44" spans="1:30" ht="17.399999999999999" x14ac:dyDescent="0.35">
      <c r="A44" s="97"/>
      <c r="B44" s="131">
        <f>'Suc. Amado Nervo'!D44</f>
        <v>0</v>
      </c>
      <c r="C44" s="131">
        <f>'Suc. León'!D44</f>
        <v>0</v>
      </c>
      <c r="D44" s="120">
        <f>'San Cayetano'!D44</f>
        <v>0</v>
      </c>
      <c r="E44" s="120">
        <f>'Suc. Boulevard'!D44</f>
        <v>0</v>
      </c>
      <c r="F44" s="120">
        <f>'Suc. Dos de Agosto'!D44</f>
        <v>0</v>
      </c>
      <c r="G44" s="120">
        <f>'Suc. La Nueva Canasta'!D44</f>
        <v>0</v>
      </c>
      <c r="H44" s="120">
        <f>'Suc. Mololoa'!D44</f>
        <v>0</v>
      </c>
      <c r="I44" s="120">
        <f>'Suc. Plaza'!D44</f>
        <v>0</v>
      </c>
      <c r="J44" s="120">
        <f>'Suc. Vistas'!D44</f>
        <v>0</v>
      </c>
      <c r="K44" s="120">
        <f>'Suc. Xalisco'!D44</f>
        <v>0</v>
      </c>
      <c r="L44" s="120">
        <f t="shared" si="13"/>
        <v>0</v>
      </c>
      <c r="M44" s="131">
        <f>'Suc. Acaponeta'!D44</f>
        <v>0</v>
      </c>
      <c r="N44" s="131">
        <f>'Suc. Compostela'!D44</f>
        <v>0</v>
      </c>
      <c r="O44" s="131">
        <f>'Suc. Ruiz'!D44</f>
        <v>0</v>
      </c>
      <c r="P44" s="131">
        <f>'Suc. Sanblas'!D44</f>
        <v>0</v>
      </c>
      <c r="Q44" s="131">
        <f>'LALO VARAS'!D44</f>
        <v>0</v>
      </c>
      <c r="R44" s="131">
        <f>'Suc. Santiago 2'!D44</f>
        <v>0</v>
      </c>
      <c r="S44" s="131">
        <f>'Suc. Tecuala'!D44</f>
        <v>0</v>
      </c>
      <c r="T44" s="131">
        <f>'Suc. Tuxpan'!D44</f>
        <v>0</v>
      </c>
      <c r="U44" s="131">
        <f>'Suc. Varas'!D44</f>
        <v>0</v>
      </c>
      <c r="V44" s="131">
        <f>'Suc. Santa María del Oro'!D44</f>
        <v>0</v>
      </c>
      <c r="W44" s="131">
        <f>'Suc. Villa Hidalgo'!D44</f>
        <v>0</v>
      </c>
      <c r="X44" s="131">
        <f>'Suc. Peñita'!D44</f>
        <v>0</v>
      </c>
      <c r="Y44" s="120">
        <f t="shared" si="14"/>
        <v>0</v>
      </c>
      <c r="Z44" s="120">
        <f t="shared" si="15"/>
        <v>0</v>
      </c>
    </row>
    <row r="45" spans="1:30" ht="17.399999999999999" x14ac:dyDescent="0.35">
      <c r="A45" s="97"/>
      <c r="B45" s="131">
        <f>'Suc. Amado Nervo'!D45</f>
        <v>0</v>
      </c>
      <c r="C45" s="131">
        <f>'Suc. León'!D45</f>
        <v>0</v>
      </c>
      <c r="D45" s="120">
        <f>'San Cayetano'!D45</f>
        <v>0</v>
      </c>
      <c r="E45" s="120">
        <f>'Suc. Boulevard'!D45</f>
        <v>0</v>
      </c>
      <c r="F45" s="120">
        <f>'Suc. Dos de Agosto'!D45</f>
        <v>0</v>
      </c>
      <c r="G45" s="120">
        <f>'Suc. La Nueva Canasta'!D45</f>
        <v>0</v>
      </c>
      <c r="H45" s="120">
        <f>'Suc. Mololoa'!D45</f>
        <v>0</v>
      </c>
      <c r="I45" s="120">
        <f>'Suc. Plaza'!D45</f>
        <v>0</v>
      </c>
      <c r="J45" s="120">
        <f>'Suc. Vistas'!D45</f>
        <v>0</v>
      </c>
      <c r="K45" s="120">
        <f>'Suc. Xalisco'!D45</f>
        <v>0</v>
      </c>
      <c r="L45" s="120">
        <f t="shared" si="13"/>
        <v>0</v>
      </c>
      <c r="M45" s="131">
        <f>'Suc. Acaponeta'!D45</f>
        <v>0</v>
      </c>
      <c r="N45" s="131">
        <f>'Suc. Compostela'!D45</f>
        <v>0</v>
      </c>
      <c r="O45" s="131">
        <f>'Suc. Ruiz'!D45</f>
        <v>0</v>
      </c>
      <c r="P45" s="131">
        <f>'Suc. Sanblas'!D45</f>
        <v>0</v>
      </c>
      <c r="Q45" s="131">
        <f>'LALO VARAS'!D45</f>
        <v>0</v>
      </c>
      <c r="R45" s="131">
        <f>'Suc. Santiago 2'!D45</f>
        <v>0</v>
      </c>
      <c r="S45" s="131">
        <f>'Suc. Tecuala'!D45</f>
        <v>0</v>
      </c>
      <c r="T45" s="131">
        <f>'Suc. Tuxpan'!D45</f>
        <v>0</v>
      </c>
      <c r="U45" s="131">
        <f>'Suc. Varas'!D45</f>
        <v>0</v>
      </c>
      <c r="V45" s="131">
        <f>'Suc. Santa María del Oro'!D45</f>
        <v>0</v>
      </c>
      <c r="W45" s="131">
        <f>'Suc. Villa Hidalgo'!D45</f>
        <v>0</v>
      </c>
      <c r="X45" s="131">
        <f>'Suc. Peñita'!D45</f>
        <v>0</v>
      </c>
      <c r="Y45" s="120">
        <f t="shared" si="14"/>
        <v>0</v>
      </c>
      <c r="Z45" s="120">
        <f t="shared" si="15"/>
        <v>0</v>
      </c>
    </row>
    <row r="46" spans="1:30" ht="17.399999999999999" x14ac:dyDescent="0.35">
      <c r="A46" s="97"/>
      <c r="B46" s="131">
        <f>'Suc. Amado Nervo'!D46</f>
        <v>0</v>
      </c>
      <c r="C46" s="131">
        <f>'Suc. León'!D46</f>
        <v>0</v>
      </c>
      <c r="D46" s="120">
        <f>'San Cayetano'!D46</f>
        <v>0</v>
      </c>
      <c r="E46" s="120">
        <f>'Suc. Boulevard'!D46</f>
        <v>0</v>
      </c>
      <c r="F46" s="120">
        <f>'Suc. Dos de Agosto'!D46</f>
        <v>0</v>
      </c>
      <c r="G46" s="120">
        <f>'Suc. La Nueva Canasta'!D46</f>
        <v>0</v>
      </c>
      <c r="H46" s="120">
        <f>'Suc. Mololoa'!D46</f>
        <v>0</v>
      </c>
      <c r="I46" s="120">
        <f>'Suc. Plaza'!D46</f>
        <v>0</v>
      </c>
      <c r="J46" s="120">
        <f>'Suc. Vistas'!D46</f>
        <v>0</v>
      </c>
      <c r="K46" s="120">
        <f>'Suc. Xalisco'!D46</f>
        <v>0</v>
      </c>
      <c r="L46" s="120">
        <f t="shared" si="13"/>
        <v>0</v>
      </c>
      <c r="M46" s="131">
        <f>'Suc. Acaponeta'!D46</f>
        <v>0</v>
      </c>
      <c r="N46" s="131">
        <f>'Suc. Compostela'!D46</f>
        <v>0</v>
      </c>
      <c r="O46" s="131">
        <f>'Suc. Ruiz'!D46</f>
        <v>0</v>
      </c>
      <c r="P46" s="131">
        <f>'Suc. Sanblas'!D46</f>
        <v>0</v>
      </c>
      <c r="Q46" s="131">
        <f>'LALO VARAS'!D46</f>
        <v>0</v>
      </c>
      <c r="R46" s="131">
        <f>'Suc. Santiago 2'!D46</f>
        <v>0</v>
      </c>
      <c r="S46" s="131">
        <f>'Suc. Tecuala'!D46</f>
        <v>0</v>
      </c>
      <c r="T46" s="131">
        <f>'Suc. Tuxpan'!D46</f>
        <v>0</v>
      </c>
      <c r="U46" s="131">
        <f>'Suc. Varas'!D46</f>
        <v>0</v>
      </c>
      <c r="V46" s="131">
        <f>'Suc. Santa María del Oro'!D46</f>
        <v>0</v>
      </c>
      <c r="W46" s="131">
        <f>'Suc. Villa Hidalgo'!D46</f>
        <v>0</v>
      </c>
      <c r="X46" s="131">
        <f>'Suc. Peñita'!D46</f>
        <v>0</v>
      </c>
      <c r="Y46" s="120">
        <f t="shared" si="14"/>
        <v>0</v>
      </c>
      <c r="Z46" s="120">
        <f t="shared" si="15"/>
        <v>0</v>
      </c>
    </row>
    <row r="47" spans="1:30" ht="17.399999999999999" x14ac:dyDescent="0.35">
      <c r="A47" s="97"/>
      <c r="B47" s="131">
        <f>'Suc. Amado Nervo'!D47</f>
        <v>0</v>
      </c>
      <c r="C47" s="131">
        <f>'Suc. León'!D47</f>
        <v>0</v>
      </c>
      <c r="D47" s="120">
        <f>'San Cayetano'!D47</f>
        <v>0</v>
      </c>
      <c r="E47" s="120">
        <f>'Suc. Boulevard'!D47</f>
        <v>0</v>
      </c>
      <c r="F47" s="120">
        <f>'Suc. Dos de Agosto'!D47</f>
        <v>0</v>
      </c>
      <c r="G47" s="120">
        <f>'Suc. La Nueva Canasta'!D47</f>
        <v>0</v>
      </c>
      <c r="H47" s="120">
        <f>'Suc. Mololoa'!D47</f>
        <v>0</v>
      </c>
      <c r="I47" s="120">
        <f>'Suc. Plaza'!D47</f>
        <v>0</v>
      </c>
      <c r="J47" s="120">
        <f>'Suc. Vistas'!D47</f>
        <v>0</v>
      </c>
      <c r="K47" s="120">
        <f>'Suc. Xalisco'!D47</f>
        <v>0</v>
      </c>
      <c r="L47" s="120">
        <f t="shared" si="13"/>
        <v>0</v>
      </c>
      <c r="M47" s="131">
        <f>'Suc. Acaponeta'!D47</f>
        <v>0</v>
      </c>
      <c r="N47" s="131">
        <f>'Suc. Compostela'!D47</f>
        <v>0</v>
      </c>
      <c r="O47" s="131">
        <f>'Suc. Ruiz'!D47</f>
        <v>0</v>
      </c>
      <c r="P47" s="131">
        <f>'Suc. Sanblas'!D47</f>
        <v>0</v>
      </c>
      <c r="Q47" s="131">
        <f>'LALO VARAS'!D47</f>
        <v>0</v>
      </c>
      <c r="R47" s="131">
        <f>'Suc. Santiago 2'!D47</f>
        <v>0</v>
      </c>
      <c r="S47" s="131">
        <f>'Suc. Tecuala'!D47</f>
        <v>0</v>
      </c>
      <c r="T47" s="131">
        <f>'Suc. Tuxpan'!D47</f>
        <v>0</v>
      </c>
      <c r="U47" s="131">
        <f>'Suc. Varas'!D47</f>
        <v>0</v>
      </c>
      <c r="V47" s="131">
        <f>'Suc. Santa María del Oro'!D47</f>
        <v>0</v>
      </c>
      <c r="W47" s="131">
        <f>'Suc. Villa Hidalgo'!D47</f>
        <v>0</v>
      </c>
      <c r="X47" s="131">
        <f>'Suc. Peñita'!D47</f>
        <v>0</v>
      </c>
      <c r="Y47" s="120">
        <f t="shared" si="14"/>
        <v>0</v>
      </c>
      <c r="Z47" s="120">
        <f t="shared" si="15"/>
        <v>0</v>
      </c>
    </row>
    <row r="48" spans="1:30" ht="18" thickBot="1" x14ac:dyDescent="0.4">
      <c r="A48" s="97"/>
      <c r="B48" s="131">
        <f>'Suc. Amado Nervo'!D48</f>
        <v>0</v>
      </c>
      <c r="C48" s="131">
        <f>'Suc. León'!D48</f>
        <v>0</v>
      </c>
      <c r="D48" s="120">
        <f>'San Cayetano'!D48</f>
        <v>0</v>
      </c>
      <c r="E48" s="120">
        <f>'Suc. Boulevard'!D48</f>
        <v>0</v>
      </c>
      <c r="F48" s="120">
        <f>'Suc. Dos de Agosto'!D48</f>
        <v>0</v>
      </c>
      <c r="G48" s="120">
        <f>'Suc. La Nueva Canasta'!D48</f>
        <v>0</v>
      </c>
      <c r="H48" s="120">
        <f>'Suc. Mololoa'!D48</f>
        <v>0</v>
      </c>
      <c r="I48" s="120">
        <f>'Suc. Plaza'!D48</f>
        <v>0</v>
      </c>
      <c r="J48" s="120">
        <f>'Suc. Vistas'!D48</f>
        <v>0</v>
      </c>
      <c r="K48" s="120">
        <f>'Suc. Xalisco'!D48</f>
        <v>0</v>
      </c>
      <c r="L48" s="120">
        <f t="shared" si="13"/>
        <v>0</v>
      </c>
      <c r="M48" s="131">
        <f>'Suc. Acaponeta'!D48</f>
        <v>0</v>
      </c>
      <c r="N48" s="131">
        <f>'Suc. Compostela'!D48</f>
        <v>0</v>
      </c>
      <c r="O48" s="131">
        <f>'Suc. Ruiz'!D48</f>
        <v>0</v>
      </c>
      <c r="P48" s="131">
        <f>'Suc. Sanblas'!D48</f>
        <v>0</v>
      </c>
      <c r="Q48" s="131">
        <f>'LALO VARAS'!D48</f>
        <v>0</v>
      </c>
      <c r="R48" s="131">
        <f>'Suc. Santiago 2'!D48</f>
        <v>0</v>
      </c>
      <c r="S48" s="131">
        <f>'Suc. Tecuala'!D48</f>
        <v>0</v>
      </c>
      <c r="T48" s="131">
        <f>'Suc. Tuxpan'!D48</f>
        <v>0</v>
      </c>
      <c r="U48" s="131">
        <f>'Suc. Varas'!D48</f>
        <v>0</v>
      </c>
      <c r="V48" s="131">
        <f>'Suc. Santa María del Oro'!D48</f>
        <v>0</v>
      </c>
      <c r="W48" s="131">
        <f>'Suc. Villa Hidalgo'!D48</f>
        <v>0</v>
      </c>
      <c r="X48" s="131">
        <f>'Suc. Peñita'!D48</f>
        <v>0</v>
      </c>
      <c r="Y48" s="120">
        <f t="shared" si="14"/>
        <v>0</v>
      </c>
      <c r="Z48" s="120">
        <f t="shared" si="15"/>
        <v>0</v>
      </c>
      <c r="AB48" s="84">
        <f>IFERROR(VLOOKUP(A48,'GRAL. SUC. FORANEAS'!$R:$S,2,0),0)</f>
        <v>0</v>
      </c>
      <c r="AD48" s="84">
        <f t="shared" ref="AD48:AD70" si="16">AB48+Z48</f>
        <v>0</v>
      </c>
    </row>
    <row r="49" spans="1:30" ht="18" thickBot="1" x14ac:dyDescent="0.4">
      <c r="A49" s="99" t="s">
        <v>29</v>
      </c>
      <c r="B49" s="123">
        <f t="shared" ref="B49:Z49" si="17">SUM(B33:B48)</f>
        <v>21</v>
      </c>
      <c r="C49" s="123">
        <f t="shared" si="17"/>
        <v>22</v>
      </c>
      <c r="D49" s="123">
        <f t="shared" si="17"/>
        <v>19</v>
      </c>
      <c r="E49" s="123">
        <f t="shared" si="17"/>
        <v>13</v>
      </c>
      <c r="F49" s="123">
        <f t="shared" si="17"/>
        <v>17</v>
      </c>
      <c r="G49" s="123">
        <f t="shared" si="17"/>
        <v>0</v>
      </c>
      <c r="H49" s="123">
        <f t="shared" si="17"/>
        <v>18</v>
      </c>
      <c r="I49" s="123">
        <f t="shared" si="17"/>
        <v>9</v>
      </c>
      <c r="J49" s="123">
        <f t="shared" si="17"/>
        <v>24</v>
      </c>
      <c r="K49" s="123">
        <f t="shared" si="17"/>
        <v>18</v>
      </c>
      <c r="L49" s="123">
        <f t="shared" si="17"/>
        <v>161</v>
      </c>
      <c r="M49" s="123">
        <f t="shared" si="17"/>
        <v>30</v>
      </c>
      <c r="N49" s="123">
        <f t="shared" si="17"/>
        <v>19</v>
      </c>
      <c r="O49" s="123">
        <f t="shared" si="17"/>
        <v>26</v>
      </c>
      <c r="P49" s="123">
        <f t="shared" si="17"/>
        <v>25</v>
      </c>
      <c r="Q49" s="123">
        <f t="shared" si="17"/>
        <v>27</v>
      </c>
      <c r="R49" s="123">
        <f t="shared" si="17"/>
        <v>23</v>
      </c>
      <c r="S49" s="123">
        <f t="shared" si="17"/>
        <v>21</v>
      </c>
      <c r="T49" s="123">
        <f t="shared" si="17"/>
        <v>28</v>
      </c>
      <c r="U49" s="123">
        <f t="shared" si="17"/>
        <v>20</v>
      </c>
      <c r="V49" s="123">
        <f t="shared" si="17"/>
        <v>13</v>
      </c>
      <c r="W49" s="123">
        <f t="shared" si="17"/>
        <v>30</v>
      </c>
      <c r="X49" s="123">
        <f t="shared" si="17"/>
        <v>19</v>
      </c>
      <c r="Y49" s="123">
        <f t="shared" si="17"/>
        <v>281</v>
      </c>
      <c r="Z49" s="123">
        <f t="shared" si="17"/>
        <v>442</v>
      </c>
      <c r="AB49" s="47">
        <f>SUM(AB33:AB48)</f>
        <v>157</v>
      </c>
      <c r="AD49" s="47">
        <f t="shared" si="16"/>
        <v>599</v>
      </c>
    </row>
    <row r="50" spans="1:30" ht="17.399999999999999" x14ac:dyDescent="0.35">
      <c r="A50" s="93" t="s">
        <v>30</v>
      </c>
      <c r="B50" s="131">
        <f>'Suc. Amado Nervo'!D50</f>
        <v>6</v>
      </c>
      <c r="C50" s="131">
        <f>'Suc. León'!D50</f>
        <v>7</v>
      </c>
      <c r="D50" s="120">
        <f>'San Cayetano'!D50</f>
        <v>6</v>
      </c>
      <c r="E50" s="120">
        <f>'Suc. Boulevard'!D50</f>
        <v>3</v>
      </c>
      <c r="F50" s="120">
        <f>'Suc. Dos de Agosto'!D50</f>
        <v>6</v>
      </c>
      <c r="G50" s="120">
        <f>'Suc. La Nueva Canasta'!D50</f>
        <v>0</v>
      </c>
      <c r="H50" s="120">
        <f>'Suc. Mololoa'!D50</f>
        <v>5</v>
      </c>
      <c r="I50" s="120">
        <f>'Suc. Plaza'!D50</f>
        <v>5</v>
      </c>
      <c r="J50" s="120">
        <f>'Suc. Vistas'!D50</f>
        <v>8</v>
      </c>
      <c r="K50" s="120">
        <f>'Suc. Xalisco'!D50</f>
        <v>3</v>
      </c>
      <c r="L50" s="120">
        <f t="shared" ref="L50:L51" si="18">SUM(B50:K50)</f>
        <v>49</v>
      </c>
      <c r="M50" s="131">
        <f>'Suc. Acaponeta'!D50</f>
        <v>10</v>
      </c>
      <c r="N50" s="131">
        <f>'Suc. Compostela'!D50</f>
        <v>6</v>
      </c>
      <c r="O50" s="131">
        <f>'Suc. Ruiz'!D50</f>
        <v>8</v>
      </c>
      <c r="P50" s="131">
        <f>'Suc. Sanblas'!D50</f>
        <v>8</v>
      </c>
      <c r="Q50" s="131">
        <f>'LALO VARAS'!D50</f>
        <v>15</v>
      </c>
      <c r="R50" s="131">
        <f>'Suc. Santiago 2'!D50</f>
        <v>9</v>
      </c>
      <c r="S50" s="131">
        <f>'Suc. Tecuala'!D50</f>
        <v>6</v>
      </c>
      <c r="T50" s="131">
        <f>'Suc. Tuxpan'!D50</f>
        <v>10</v>
      </c>
      <c r="U50" s="131">
        <f>'Suc. Varas'!D50</f>
        <v>8</v>
      </c>
      <c r="V50" s="131">
        <f>'Suc. Santa María del Oro'!D50</f>
        <v>10</v>
      </c>
      <c r="W50" s="131">
        <f>'Suc. Villa Hidalgo'!D50</f>
        <v>15</v>
      </c>
      <c r="X50" s="131">
        <f>'Suc. Peñita'!D50</f>
        <v>6</v>
      </c>
      <c r="Y50" s="120">
        <f t="shared" ref="Y50:Y51" si="19">SUM(M50:X50)</f>
        <v>111</v>
      </c>
      <c r="Z50" s="120">
        <f t="shared" ref="Z50:Z51" si="20">L50+Y50</f>
        <v>160</v>
      </c>
      <c r="AB50" s="84">
        <f>IFERROR(VLOOKUP(A50,'GRAL. SUC. FORANEAS'!$R:$S,2,0),0)</f>
        <v>37</v>
      </c>
      <c r="AD50" s="84">
        <f t="shared" si="16"/>
        <v>197</v>
      </c>
    </row>
    <row r="51" spans="1:30" ht="18" thickBot="1" x14ac:dyDescent="0.4">
      <c r="A51" s="95" t="s">
        <v>31</v>
      </c>
      <c r="B51" s="131">
        <f>'Suc. Amado Nervo'!D51</f>
        <v>6</v>
      </c>
      <c r="C51" s="131">
        <f>'Suc. León'!D51</f>
        <v>7</v>
      </c>
      <c r="D51" s="120">
        <f>'San Cayetano'!D51</f>
        <v>6</v>
      </c>
      <c r="E51" s="120">
        <f>'Suc. Boulevard'!D51</f>
        <v>4</v>
      </c>
      <c r="F51" s="120">
        <f>'Suc. Dos de Agosto'!D51</f>
        <v>6</v>
      </c>
      <c r="G51" s="120">
        <f>'Suc. La Nueva Canasta'!D51</f>
        <v>0</v>
      </c>
      <c r="H51" s="120">
        <f>'Suc. Mololoa'!D51</f>
        <v>5</v>
      </c>
      <c r="I51" s="120">
        <f>'Suc. Plaza'!D51</f>
        <v>5</v>
      </c>
      <c r="J51" s="120">
        <f>'Suc. Vistas'!D51</f>
        <v>8</v>
      </c>
      <c r="K51" s="120">
        <f>'Suc. Xalisco'!D51</f>
        <v>3</v>
      </c>
      <c r="L51" s="120">
        <f t="shared" si="18"/>
        <v>50</v>
      </c>
      <c r="M51" s="131">
        <f>'Suc. Acaponeta'!D51</f>
        <v>10</v>
      </c>
      <c r="N51" s="131">
        <f>'Suc. Compostela'!D51</f>
        <v>6</v>
      </c>
      <c r="O51" s="131">
        <f>'Suc. Ruiz'!D51</f>
        <v>8</v>
      </c>
      <c r="P51" s="131">
        <f>'Suc. Sanblas'!D51</f>
        <v>8</v>
      </c>
      <c r="Q51" s="131">
        <f>'LALO VARAS'!D51</f>
        <v>15</v>
      </c>
      <c r="R51" s="131">
        <f>'Suc. Santiago 2'!D51</f>
        <v>9</v>
      </c>
      <c r="S51" s="131">
        <f>'Suc. Tecuala'!D51</f>
        <v>6</v>
      </c>
      <c r="T51" s="131">
        <f>'Suc. Tuxpan'!D51</f>
        <v>10</v>
      </c>
      <c r="U51" s="131">
        <f>'Suc. Varas'!D51</f>
        <v>8</v>
      </c>
      <c r="V51" s="131">
        <f>'Suc. Santa María del Oro'!D51</f>
        <v>10</v>
      </c>
      <c r="W51" s="131">
        <f>'Suc. Villa Hidalgo'!D51</f>
        <v>15</v>
      </c>
      <c r="X51" s="131">
        <f>'Suc. Peñita'!D51</f>
        <v>6</v>
      </c>
      <c r="Y51" s="120">
        <f t="shared" si="19"/>
        <v>111</v>
      </c>
      <c r="Z51" s="120">
        <f t="shared" si="20"/>
        <v>161</v>
      </c>
      <c r="AB51" s="84">
        <f>IFERROR(VLOOKUP(A51,'GRAL. SUC. FORANEAS'!$R:$S,2,0),0)</f>
        <v>64</v>
      </c>
      <c r="AD51" s="84">
        <f t="shared" si="16"/>
        <v>225</v>
      </c>
    </row>
    <row r="52" spans="1:30" ht="18" thickBot="1" x14ac:dyDescent="0.4">
      <c r="A52" s="100" t="s">
        <v>32</v>
      </c>
      <c r="B52" s="124">
        <f t="shared" ref="B52:Z52" si="21">SUM(B50:B51)</f>
        <v>12</v>
      </c>
      <c r="C52" s="124">
        <f t="shared" si="21"/>
        <v>14</v>
      </c>
      <c r="D52" s="124">
        <f t="shared" si="21"/>
        <v>12</v>
      </c>
      <c r="E52" s="124">
        <f t="shared" si="21"/>
        <v>7</v>
      </c>
      <c r="F52" s="124">
        <f t="shared" si="21"/>
        <v>12</v>
      </c>
      <c r="G52" s="124">
        <f t="shared" si="21"/>
        <v>0</v>
      </c>
      <c r="H52" s="124">
        <f t="shared" si="21"/>
        <v>10</v>
      </c>
      <c r="I52" s="124">
        <f t="shared" si="21"/>
        <v>10</v>
      </c>
      <c r="J52" s="124">
        <f t="shared" si="21"/>
        <v>16</v>
      </c>
      <c r="K52" s="124">
        <f t="shared" si="21"/>
        <v>6</v>
      </c>
      <c r="L52" s="124">
        <f t="shared" si="21"/>
        <v>99</v>
      </c>
      <c r="M52" s="124">
        <f t="shared" si="21"/>
        <v>20</v>
      </c>
      <c r="N52" s="124">
        <f t="shared" si="21"/>
        <v>12</v>
      </c>
      <c r="O52" s="124">
        <f t="shared" si="21"/>
        <v>16</v>
      </c>
      <c r="P52" s="124">
        <f t="shared" si="21"/>
        <v>16</v>
      </c>
      <c r="Q52" s="124">
        <f t="shared" si="21"/>
        <v>30</v>
      </c>
      <c r="R52" s="124">
        <f t="shared" si="21"/>
        <v>18</v>
      </c>
      <c r="S52" s="124">
        <f t="shared" si="21"/>
        <v>12</v>
      </c>
      <c r="T52" s="124">
        <f t="shared" si="21"/>
        <v>20</v>
      </c>
      <c r="U52" s="124">
        <f t="shared" si="21"/>
        <v>16</v>
      </c>
      <c r="V52" s="124">
        <f t="shared" si="21"/>
        <v>20</v>
      </c>
      <c r="W52" s="124">
        <f t="shared" si="21"/>
        <v>30</v>
      </c>
      <c r="X52" s="124">
        <f t="shared" si="21"/>
        <v>12</v>
      </c>
      <c r="Y52" s="124">
        <f t="shared" si="21"/>
        <v>222</v>
      </c>
      <c r="Z52" s="124">
        <f t="shared" si="21"/>
        <v>321</v>
      </c>
      <c r="AB52" s="49">
        <f>SUM(AB50:AB51)</f>
        <v>101</v>
      </c>
      <c r="AD52" s="49">
        <f t="shared" si="16"/>
        <v>422</v>
      </c>
    </row>
    <row r="53" spans="1:30" ht="17.399999999999999" x14ac:dyDescent="0.35">
      <c r="A53" s="93" t="s">
        <v>33</v>
      </c>
      <c r="B53" s="131">
        <f>'Suc. Amado Nervo'!D53</f>
        <v>6</v>
      </c>
      <c r="C53" s="131">
        <f>'Suc. León'!D53</f>
        <v>7</v>
      </c>
      <c r="D53" s="120">
        <f>'San Cayetano'!D53</f>
        <v>6</v>
      </c>
      <c r="E53" s="120">
        <f>'Suc. Boulevard'!D53</f>
        <v>3</v>
      </c>
      <c r="F53" s="120">
        <f>'Suc. Dos de Agosto'!D53</f>
        <v>8</v>
      </c>
      <c r="G53" s="120">
        <f>'Suc. La Nueva Canasta'!D53</f>
        <v>0</v>
      </c>
      <c r="H53" s="120">
        <f>'Suc. Mololoa'!D53</f>
        <v>6</v>
      </c>
      <c r="I53" s="120">
        <f>'Suc. Plaza'!D53</f>
        <v>2</v>
      </c>
      <c r="J53" s="120">
        <f>'Suc. Vistas'!D53</f>
        <v>10</v>
      </c>
      <c r="K53" s="120">
        <f>'Suc. Xalisco'!D53</f>
        <v>3</v>
      </c>
      <c r="L53" s="120">
        <f t="shared" ref="L53:L54" si="22">SUM(B53:K53)</f>
        <v>51</v>
      </c>
      <c r="M53" s="131">
        <f>'Suc. Acaponeta'!D53</f>
        <v>10</v>
      </c>
      <c r="N53" s="131">
        <f>'Suc. Compostela'!D53</f>
        <v>6</v>
      </c>
      <c r="O53" s="131">
        <f>'Suc. Ruiz'!D53</f>
        <v>8</v>
      </c>
      <c r="P53" s="131">
        <f>'Suc. Sanblas'!D53</f>
        <v>10</v>
      </c>
      <c r="Q53" s="131">
        <f>'LALO VARAS'!D53</f>
        <v>8</v>
      </c>
      <c r="R53" s="131">
        <f>'Suc. Santiago 2'!D53</f>
        <v>8</v>
      </c>
      <c r="S53" s="131">
        <f>'Suc. Tecuala'!D53</f>
        <v>5</v>
      </c>
      <c r="T53" s="131">
        <f>'Suc. Tuxpan'!D53</f>
        <v>8</v>
      </c>
      <c r="U53" s="131">
        <f>'Suc. Varas'!D53</f>
        <v>10</v>
      </c>
      <c r="V53" s="131">
        <f>'Suc. Santa María del Oro'!D53</f>
        <v>10</v>
      </c>
      <c r="W53" s="131">
        <f>'Suc. Villa Hidalgo'!D53</f>
        <v>15</v>
      </c>
      <c r="X53" s="131">
        <f>'Suc. Peñita'!D53</f>
        <v>6</v>
      </c>
      <c r="Y53" s="120">
        <f t="shared" ref="Y53:Y54" si="23">SUM(M53:X53)</f>
        <v>104</v>
      </c>
      <c r="Z53" s="120">
        <f t="shared" ref="Z53:Z54" si="24">L53+Y53</f>
        <v>155</v>
      </c>
      <c r="AB53" s="84">
        <f>IFERROR(VLOOKUP(A53,'GRAL. SUC. FORANEAS'!$R:$S,2,0),0)</f>
        <v>32</v>
      </c>
      <c r="AD53" s="84">
        <f t="shared" si="16"/>
        <v>187</v>
      </c>
    </row>
    <row r="54" spans="1:30" ht="18" thickBot="1" x14ac:dyDescent="0.4">
      <c r="A54" s="95" t="s">
        <v>34</v>
      </c>
      <c r="B54" s="131">
        <f>'Suc. Amado Nervo'!D54</f>
        <v>6</v>
      </c>
      <c r="C54" s="131">
        <f>'Suc. León'!D54</f>
        <v>7</v>
      </c>
      <c r="D54" s="120">
        <f>'San Cayetano'!D54</f>
        <v>6</v>
      </c>
      <c r="E54" s="120">
        <f>'Suc. Boulevard'!D54</f>
        <v>3</v>
      </c>
      <c r="F54" s="120">
        <f>'Suc. Dos de Agosto'!D54</f>
        <v>8</v>
      </c>
      <c r="G54" s="120">
        <f>'Suc. La Nueva Canasta'!D54</f>
        <v>0</v>
      </c>
      <c r="H54" s="120">
        <f>'Suc. Mololoa'!D54</f>
        <v>6</v>
      </c>
      <c r="I54" s="120">
        <f>'Suc. Plaza'!D54</f>
        <v>2</v>
      </c>
      <c r="J54" s="120">
        <f>'Suc. Vistas'!D54</f>
        <v>10</v>
      </c>
      <c r="K54" s="120">
        <f>'Suc. Xalisco'!D54</f>
        <v>3</v>
      </c>
      <c r="L54" s="120">
        <f t="shared" si="22"/>
        <v>51</v>
      </c>
      <c r="M54" s="131">
        <f>'Suc. Acaponeta'!D54</f>
        <v>10</v>
      </c>
      <c r="N54" s="131">
        <f>'Suc. Compostela'!D54</f>
        <v>6</v>
      </c>
      <c r="O54" s="131">
        <f>'Suc. Ruiz'!D54</f>
        <v>8</v>
      </c>
      <c r="P54" s="131">
        <f>'Suc. Sanblas'!D54</f>
        <v>10</v>
      </c>
      <c r="Q54" s="131">
        <f>'LALO VARAS'!D54</f>
        <v>8</v>
      </c>
      <c r="R54" s="131">
        <f>'Suc. Santiago 2'!D54</f>
        <v>10</v>
      </c>
      <c r="S54" s="131">
        <f>'Suc. Tecuala'!D54</f>
        <v>5</v>
      </c>
      <c r="T54" s="131">
        <f>'Suc. Tuxpan'!D54</f>
        <v>8</v>
      </c>
      <c r="U54" s="131">
        <f>'Suc. Varas'!D54</f>
        <v>12</v>
      </c>
      <c r="V54" s="131">
        <f>'Suc. Santa María del Oro'!D54</f>
        <v>10</v>
      </c>
      <c r="W54" s="131">
        <f>'Suc. Villa Hidalgo'!D54</f>
        <v>15</v>
      </c>
      <c r="X54" s="131">
        <f>'Suc. Peñita'!D54</f>
        <v>6</v>
      </c>
      <c r="Y54" s="120">
        <f t="shared" si="23"/>
        <v>108</v>
      </c>
      <c r="Z54" s="120">
        <f t="shared" si="24"/>
        <v>159</v>
      </c>
      <c r="AB54" s="84">
        <f>IFERROR(VLOOKUP(A54,'GRAL. SUC. FORANEAS'!$R:$S,2,0),0)</f>
        <v>56</v>
      </c>
      <c r="AD54" s="84">
        <f t="shared" si="16"/>
        <v>215</v>
      </c>
    </row>
    <row r="55" spans="1:30" ht="18" thickBot="1" x14ac:dyDescent="0.4">
      <c r="A55" s="99" t="s">
        <v>35</v>
      </c>
      <c r="B55" s="123">
        <f t="shared" ref="B55:Z55" si="25">SUM(B53:B54)</f>
        <v>12</v>
      </c>
      <c r="C55" s="123">
        <f t="shared" si="25"/>
        <v>14</v>
      </c>
      <c r="D55" s="123">
        <f t="shared" si="25"/>
        <v>12</v>
      </c>
      <c r="E55" s="123">
        <f t="shared" si="25"/>
        <v>6</v>
      </c>
      <c r="F55" s="123">
        <f t="shared" si="25"/>
        <v>16</v>
      </c>
      <c r="G55" s="123">
        <f t="shared" si="25"/>
        <v>0</v>
      </c>
      <c r="H55" s="123">
        <f t="shared" si="25"/>
        <v>12</v>
      </c>
      <c r="I55" s="123">
        <f t="shared" si="25"/>
        <v>4</v>
      </c>
      <c r="J55" s="123">
        <f t="shared" si="25"/>
        <v>20</v>
      </c>
      <c r="K55" s="123">
        <f t="shared" si="25"/>
        <v>6</v>
      </c>
      <c r="L55" s="123">
        <f t="shared" si="25"/>
        <v>102</v>
      </c>
      <c r="M55" s="123">
        <f t="shared" si="25"/>
        <v>20</v>
      </c>
      <c r="N55" s="123">
        <f t="shared" si="25"/>
        <v>12</v>
      </c>
      <c r="O55" s="123">
        <f t="shared" si="25"/>
        <v>16</v>
      </c>
      <c r="P55" s="123">
        <f t="shared" si="25"/>
        <v>20</v>
      </c>
      <c r="Q55" s="123">
        <f t="shared" si="25"/>
        <v>16</v>
      </c>
      <c r="R55" s="123">
        <f t="shared" si="25"/>
        <v>18</v>
      </c>
      <c r="S55" s="123">
        <f t="shared" si="25"/>
        <v>10</v>
      </c>
      <c r="T55" s="123">
        <f t="shared" si="25"/>
        <v>16</v>
      </c>
      <c r="U55" s="123">
        <f t="shared" si="25"/>
        <v>22</v>
      </c>
      <c r="V55" s="123">
        <f t="shared" si="25"/>
        <v>20</v>
      </c>
      <c r="W55" s="123">
        <f t="shared" si="25"/>
        <v>30</v>
      </c>
      <c r="X55" s="123">
        <f t="shared" si="25"/>
        <v>12</v>
      </c>
      <c r="Y55" s="123">
        <f t="shared" si="25"/>
        <v>212</v>
      </c>
      <c r="Z55" s="123">
        <f t="shared" si="25"/>
        <v>314</v>
      </c>
      <c r="AB55" s="47">
        <f>SUM(AB53:AB54)</f>
        <v>88</v>
      </c>
      <c r="AD55" s="47">
        <f t="shared" si="16"/>
        <v>402</v>
      </c>
    </row>
    <row r="56" spans="1:30" ht="17.399999999999999" x14ac:dyDescent="0.35">
      <c r="A56" s="93" t="s">
        <v>36</v>
      </c>
      <c r="B56" s="131">
        <f>'Suc. Amado Nervo'!D56</f>
        <v>2</v>
      </c>
      <c r="C56" s="131">
        <f>'Suc. León'!D56</f>
        <v>2</v>
      </c>
      <c r="D56" s="120">
        <f>'San Cayetano'!D56</f>
        <v>1</v>
      </c>
      <c r="E56" s="120">
        <f>'Suc. Boulevard'!D56</f>
        <v>1</v>
      </c>
      <c r="F56" s="120">
        <f>'Suc. Dos de Agosto'!D56</f>
        <v>1</v>
      </c>
      <c r="G56" s="120">
        <f>'Suc. La Nueva Canasta'!D56</f>
        <v>0</v>
      </c>
      <c r="H56" s="120">
        <f>'Suc. Mololoa'!D56</f>
        <v>1</v>
      </c>
      <c r="I56" s="120">
        <f>'Suc. Plaza'!D56</f>
        <v>1</v>
      </c>
      <c r="J56" s="120">
        <f>'Suc. Vistas'!D56</f>
        <v>2</v>
      </c>
      <c r="K56" s="120">
        <f>'Suc. Xalisco'!D56</f>
        <v>1</v>
      </c>
      <c r="L56" s="120">
        <f t="shared" ref="L56:L77" si="26">SUM(B56:K56)</f>
        <v>12</v>
      </c>
      <c r="M56" s="131">
        <f>'Suc. Acaponeta'!D56</f>
        <v>2</v>
      </c>
      <c r="N56" s="131">
        <f>'Suc. Compostela'!D56</f>
        <v>1</v>
      </c>
      <c r="O56" s="131">
        <f>'Suc. Ruiz'!D56</f>
        <v>1</v>
      </c>
      <c r="P56" s="131">
        <f>'Suc. Sanblas'!D56</f>
        <v>1</v>
      </c>
      <c r="Q56" s="131">
        <f>'LALO VARAS'!D56</f>
        <v>2</v>
      </c>
      <c r="R56" s="131">
        <f>'Suc. Santiago 2'!D56</f>
        <v>2</v>
      </c>
      <c r="S56" s="131">
        <f>'Suc. Tecuala'!D56</f>
        <v>1</v>
      </c>
      <c r="T56" s="131">
        <f>'Suc. Tuxpan'!D56</f>
        <v>1</v>
      </c>
      <c r="U56" s="131">
        <f>'Suc. Varas'!D56</f>
        <v>4</v>
      </c>
      <c r="V56" s="131">
        <f>'Suc. Santa María del Oro'!D56</f>
        <v>1</v>
      </c>
      <c r="W56" s="131">
        <f>'Suc. Villa Hidalgo'!D56</f>
        <v>1</v>
      </c>
      <c r="X56" s="131">
        <f>'Suc. Peñita'!D56</f>
        <v>1</v>
      </c>
      <c r="Y56" s="120">
        <f t="shared" ref="Y56:Y77" si="27">SUM(M56:X56)</f>
        <v>18</v>
      </c>
      <c r="Z56" s="120">
        <f t="shared" ref="Z56:Z77" si="28">L56+Y56</f>
        <v>30</v>
      </c>
      <c r="AB56" s="84">
        <f>IFERROR(VLOOKUP(A56,'GRAL. SUC. FORANEAS'!$R:$S,2,0),0)</f>
        <v>15</v>
      </c>
      <c r="AD56" s="84">
        <f t="shared" si="16"/>
        <v>45</v>
      </c>
    </row>
    <row r="57" spans="1:30" ht="17.399999999999999" x14ac:dyDescent="0.35">
      <c r="A57" s="93" t="s">
        <v>37</v>
      </c>
      <c r="B57" s="131">
        <f>'Suc. Amado Nervo'!D57</f>
        <v>2</v>
      </c>
      <c r="C57" s="131">
        <f>'Suc. León'!D57</f>
        <v>2</v>
      </c>
      <c r="D57" s="120">
        <f>'San Cayetano'!D57</f>
        <v>1</v>
      </c>
      <c r="E57" s="120">
        <f>'Suc. Boulevard'!D57</f>
        <v>1</v>
      </c>
      <c r="F57" s="120">
        <f>'Suc. Dos de Agosto'!D57</f>
        <v>1</v>
      </c>
      <c r="G57" s="120">
        <f>'Suc. La Nueva Canasta'!D57</f>
        <v>0</v>
      </c>
      <c r="H57" s="120">
        <f>'Suc. Mololoa'!D57</f>
        <v>1</v>
      </c>
      <c r="I57" s="120">
        <f>'Suc. Plaza'!D57</f>
        <v>2</v>
      </c>
      <c r="J57" s="120">
        <f>'Suc. Vistas'!D57</f>
        <v>2</v>
      </c>
      <c r="K57" s="120">
        <f>'Suc. Xalisco'!D57</f>
        <v>1</v>
      </c>
      <c r="L57" s="120">
        <f t="shared" si="26"/>
        <v>13</v>
      </c>
      <c r="M57" s="131">
        <f>'Suc. Acaponeta'!D57</f>
        <v>4</v>
      </c>
      <c r="N57" s="131">
        <f>'Suc. Compostela'!D57</f>
        <v>1</v>
      </c>
      <c r="O57" s="131">
        <f>'Suc. Ruiz'!D57</f>
        <v>1</v>
      </c>
      <c r="P57" s="131">
        <f>'Suc. Sanblas'!D57</f>
        <v>1</v>
      </c>
      <c r="Q57" s="131">
        <f>'LALO VARAS'!D57</f>
        <v>2</v>
      </c>
      <c r="R57" s="131">
        <f>'Suc. Santiago 2'!D57</f>
        <v>2</v>
      </c>
      <c r="S57" s="131">
        <f>'Suc. Tecuala'!D57</f>
        <v>2</v>
      </c>
      <c r="T57" s="131">
        <f>'Suc. Tuxpan'!D57</f>
        <v>1</v>
      </c>
      <c r="U57" s="131">
        <f>'Suc. Varas'!D57</f>
        <v>4</v>
      </c>
      <c r="V57" s="131">
        <f>'Suc. Santa María del Oro'!D57</f>
        <v>1</v>
      </c>
      <c r="W57" s="131">
        <f>'Suc. Villa Hidalgo'!D57</f>
        <v>2</v>
      </c>
      <c r="X57" s="131">
        <f>'Suc. Peñita'!D57</f>
        <v>1</v>
      </c>
      <c r="Y57" s="120">
        <f t="shared" si="27"/>
        <v>22</v>
      </c>
      <c r="Z57" s="120">
        <f t="shared" si="28"/>
        <v>35</v>
      </c>
      <c r="AB57" s="84">
        <f>IFERROR(VLOOKUP(A57,'GRAL. SUC. FORANEAS'!$R:$S,2,0),0)</f>
        <v>9</v>
      </c>
      <c r="AD57" s="84">
        <f t="shared" si="16"/>
        <v>44</v>
      </c>
    </row>
    <row r="58" spans="1:30" ht="17.399999999999999" x14ac:dyDescent="0.35">
      <c r="A58" s="93" t="s">
        <v>39</v>
      </c>
      <c r="B58" s="131">
        <f>'Suc. Amado Nervo'!D58</f>
        <v>2</v>
      </c>
      <c r="C58" s="131">
        <f>'Suc. León'!D58</f>
        <v>2</v>
      </c>
      <c r="D58" s="120">
        <f>'San Cayetano'!D58</f>
        <v>1</v>
      </c>
      <c r="E58" s="120">
        <f>'Suc. Boulevard'!D58</f>
        <v>1</v>
      </c>
      <c r="F58" s="120">
        <f>'Suc. Dos de Agosto'!D58</f>
        <v>1</v>
      </c>
      <c r="G58" s="120">
        <f>'Suc. La Nueva Canasta'!D58</f>
        <v>0</v>
      </c>
      <c r="H58" s="120">
        <f>'Suc. Mololoa'!D58</f>
        <v>1</v>
      </c>
      <c r="I58" s="120">
        <f>'Suc. Plaza'!D58</f>
        <v>1</v>
      </c>
      <c r="J58" s="120">
        <f>'Suc. Vistas'!D58</f>
        <v>1</v>
      </c>
      <c r="K58" s="120">
        <f>'Suc. Xalisco'!D58</f>
        <v>0</v>
      </c>
      <c r="L58" s="120">
        <f t="shared" si="26"/>
        <v>10</v>
      </c>
      <c r="M58" s="131">
        <f>'Suc. Acaponeta'!D58</f>
        <v>2</v>
      </c>
      <c r="N58" s="131">
        <f>'Suc. Compostela'!D58</f>
        <v>1</v>
      </c>
      <c r="O58" s="131">
        <f>'Suc. Ruiz'!D58</f>
        <v>0</v>
      </c>
      <c r="P58" s="131">
        <f>'Suc. Sanblas'!D58</f>
        <v>1</v>
      </c>
      <c r="Q58" s="131">
        <f>'LALO VARAS'!D58</f>
        <v>1</v>
      </c>
      <c r="R58" s="131">
        <f>'Suc. Santiago 2'!D58</f>
        <v>1</v>
      </c>
      <c r="S58" s="131">
        <f>'Suc. Tecuala'!D58</f>
        <v>1</v>
      </c>
      <c r="T58" s="131">
        <f>'Suc. Tuxpan'!D58</f>
        <v>0</v>
      </c>
      <c r="U58" s="131">
        <f>'Suc. Varas'!D58</f>
        <v>1</v>
      </c>
      <c r="V58" s="131">
        <f>'Suc. Santa María del Oro'!D58</f>
        <v>1</v>
      </c>
      <c r="W58" s="131">
        <f>'Suc. Villa Hidalgo'!D58</f>
        <v>2</v>
      </c>
      <c r="X58" s="131">
        <f>'Suc. Peñita'!D58</f>
        <v>1</v>
      </c>
      <c r="Y58" s="120">
        <f t="shared" si="27"/>
        <v>12</v>
      </c>
      <c r="Z58" s="120">
        <f t="shared" si="28"/>
        <v>22</v>
      </c>
      <c r="AB58" s="84">
        <f>IFERROR(VLOOKUP(A58,'GRAL. SUC. FORANEAS'!$R:$S,2,0),0)</f>
        <v>6</v>
      </c>
      <c r="AD58" s="84">
        <f t="shared" si="16"/>
        <v>28</v>
      </c>
    </row>
    <row r="59" spans="1:30" ht="17.399999999999999" x14ac:dyDescent="0.35">
      <c r="A59" s="93" t="s">
        <v>40</v>
      </c>
      <c r="B59" s="131">
        <f>'Suc. Amado Nervo'!D59</f>
        <v>2</v>
      </c>
      <c r="C59" s="131">
        <f>'Suc. León'!D59</f>
        <v>2</v>
      </c>
      <c r="D59" s="120">
        <f>'San Cayetano'!D59</f>
        <v>1</v>
      </c>
      <c r="E59" s="120">
        <f>'Suc. Boulevard'!D59</f>
        <v>1</v>
      </c>
      <c r="F59" s="120">
        <f>'Suc. Dos de Agosto'!D59</f>
        <v>1</v>
      </c>
      <c r="G59" s="120">
        <f>'Suc. La Nueva Canasta'!D59</f>
        <v>0</v>
      </c>
      <c r="H59" s="120">
        <f>'Suc. Mololoa'!D59</f>
        <v>1</v>
      </c>
      <c r="I59" s="120">
        <f>'Suc. Plaza'!D59</f>
        <v>1</v>
      </c>
      <c r="J59" s="120">
        <f>'Suc. Vistas'!D59</f>
        <v>1</v>
      </c>
      <c r="K59" s="120">
        <f>'Suc. Xalisco'!D59</f>
        <v>0</v>
      </c>
      <c r="L59" s="120">
        <f t="shared" si="26"/>
        <v>10</v>
      </c>
      <c r="M59" s="131">
        <f>'Suc. Acaponeta'!D59</f>
        <v>2</v>
      </c>
      <c r="N59" s="131">
        <f>'Suc. Compostela'!D59</f>
        <v>1</v>
      </c>
      <c r="O59" s="131">
        <f>'Suc. Ruiz'!D59</f>
        <v>0</v>
      </c>
      <c r="P59" s="131">
        <f>'Suc. Sanblas'!D59</f>
        <v>1</v>
      </c>
      <c r="Q59" s="131">
        <f>'LALO VARAS'!D59</f>
        <v>0</v>
      </c>
      <c r="R59" s="131">
        <f>'Suc. Santiago 2'!D59</f>
        <v>1</v>
      </c>
      <c r="S59" s="131">
        <f>'Suc. Tecuala'!D59</f>
        <v>2</v>
      </c>
      <c r="T59" s="131">
        <f>'Suc. Tuxpan'!D59</f>
        <v>1</v>
      </c>
      <c r="U59" s="131">
        <f>'Suc. Varas'!D59</f>
        <v>3</v>
      </c>
      <c r="V59" s="131">
        <f>'Suc. Santa María del Oro'!D59</f>
        <v>1</v>
      </c>
      <c r="W59" s="131">
        <f>'Suc. Villa Hidalgo'!D59</f>
        <v>1</v>
      </c>
      <c r="X59" s="131">
        <f>'Suc. Peñita'!D59</f>
        <v>1</v>
      </c>
      <c r="Y59" s="120">
        <f t="shared" si="27"/>
        <v>14</v>
      </c>
      <c r="Z59" s="120">
        <f t="shared" si="28"/>
        <v>24</v>
      </c>
      <c r="AB59" s="84">
        <f>IFERROR(VLOOKUP(A59,'GRAL. SUC. FORANEAS'!$R:$S,2,0),0)</f>
        <v>0</v>
      </c>
      <c r="AD59" s="84">
        <f t="shared" si="16"/>
        <v>24</v>
      </c>
    </row>
    <row r="60" spans="1:30" ht="17.399999999999999" x14ac:dyDescent="0.35">
      <c r="A60" s="93" t="s">
        <v>41</v>
      </c>
      <c r="B60" s="131">
        <f>'Suc. Amado Nervo'!D60</f>
        <v>2</v>
      </c>
      <c r="C60" s="131">
        <f>'Suc. León'!D60</f>
        <v>2</v>
      </c>
      <c r="D60" s="120">
        <f>'San Cayetano'!D60</f>
        <v>1</v>
      </c>
      <c r="E60" s="120">
        <f>'Suc. Boulevard'!D60</f>
        <v>1</v>
      </c>
      <c r="F60" s="120">
        <f>'Suc. Dos de Agosto'!D60</f>
        <v>1</v>
      </c>
      <c r="G60" s="120">
        <f>'Suc. La Nueva Canasta'!D60</f>
        <v>0</v>
      </c>
      <c r="H60" s="120">
        <f>'Suc. Mololoa'!D60</f>
        <v>1</v>
      </c>
      <c r="I60" s="120">
        <f>'Suc. Plaza'!D60</f>
        <v>2</v>
      </c>
      <c r="J60" s="120">
        <f>'Suc. Vistas'!D60</f>
        <v>1</v>
      </c>
      <c r="K60" s="120">
        <f>'Suc. Xalisco'!D60</f>
        <v>1</v>
      </c>
      <c r="L60" s="120">
        <f t="shared" si="26"/>
        <v>12</v>
      </c>
      <c r="M60" s="131">
        <f>'Suc. Acaponeta'!D60</f>
        <v>2</v>
      </c>
      <c r="N60" s="131">
        <f>'Suc. Compostela'!D60</f>
        <v>1</v>
      </c>
      <c r="O60" s="131">
        <f>'Suc. Ruiz'!D60</f>
        <v>0</v>
      </c>
      <c r="P60" s="131">
        <f>'Suc. Sanblas'!D60</f>
        <v>1</v>
      </c>
      <c r="Q60" s="131">
        <f>'LALO VARAS'!D60</f>
        <v>2</v>
      </c>
      <c r="R60" s="131">
        <f>'Suc. Santiago 2'!D60</f>
        <v>1</v>
      </c>
      <c r="S60" s="131">
        <f>'Suc. Tecuala'!D60</f>
        <v>1</v>
      </c>
      <c r="T60" s="131">
        <f>'Suc. Tuxpan'!D60</f>
        <v>1</v>
      </c>
      <c r="U60" s="131">
        <f>'Suc. Varas'!D60</f>
        <v>2</v>
      </c>
      <c r="V60" s="131">
        <f>'Suc. Santa María del Oro'!D60</f>
        <v>1</v>
      </c>
      <c r="W60" s="131">
        <f>'Suc. Villa Hidalgo'!D60</f>
        <v>2</v>
      </c>
      <c r="X60" s="131">
        <f>'Suc. Peñita'!D60</f>
        <v>1</v>
      </c>
      <c r="Y60" s="120">
        <f t="shared" si="27"/>
        <v>15</v>
      </c>
      <c r="Z60" s="120">
        <f t="shared" si="28"/>
        <v>27</v>
      </c>
      <c r="AB60" s="84">
        <f>IFERROR(VLOOKUP(A60,'GRAL. SUC. FORANEAS'!$R:$S,2,0),0)</f>
        <v>0</v>
      </c>
      <c r="AD60" s="84">
        <f t="shared" si="16"/>
        <v>27</v>
      </c>
    </row>
    <row r="61" spans="1:30" ht="17.399999999999999" x14ac:dyDescent="0.35">
      <c r="A61" s="101" t="s">
        <v>42</v>
      </c>
      <c r="B61" s="131">
        <f>'Suc. Amado Nervo'!D61</f>
        <v>2</v>
      </c>
      <c r="C61" s="131">
        <f>'Suc. León'!D61</f>
        <v>2</v>
      </c>
      <c r="D61" s="120">
        <f>'San Cayetano'!D61</f>
        <v>1</v>
      </c>
      <c r="E61" s="120">
        <f>'Suc. Boulevard'!D61</f>
        <v>1</v>
      </c>
      <c r="F61" s="120">
        <f>'Suc. Dos de Agosto'!D61</f>
        <v>1</v>
      </c>
      <c r="G61" s="120">
        <f>'Suc. La Nueva Canasta'!D61</f>
        <v>0</v>
      </c>
      <c r="H61" s="120">
        <f>'Suc. Mololoa'!D61</f>
        <v>1</v>
      </c>
      <c r="I61" s="120">
        <f>'Suc. Plaza'!D61</f>
        <v>1</v>
      </c>
      <c r="J61" s="120">
        <f>'Suc. Vistas'!D61</f>
        <v>1</v>
      </c>
      <c r="K61" s="120">
        <f>'Suc. Xalisco'!D61</f>
        <v>0</v>
      </c>
      <c r="L61" s="120">
        <f t="shared" si="26"/>
        <v>10</v>
      </c>
      <c r="M61" s="131">
        <f>'Suc. Acaponeta'!D61</f>
        <v>2</v>
      </c>
      <c r="N61" s="131">
        <f>'Suc. Compostela'!D61</f>
        <v>1</v>
      </c>
      <c r="O61" s="131">
        <f>'Suc. Ruiz'!D61</f>
        <v>0</v>
      </c>
      <c r="P61" s="131">
        <f>'Suc. Sanblas'!D61</f>
        <v>1</v>
      </c>
      <c r="Q61" s="131">
        <f>'LALO VARAS'!D61</f>
        <v>1</v>
      </c>
      <c r="R61" s="131">
        <f>'Suc. Santiago 2'!D61</f>
        <v>1</v>
      </c>
      <c r="S61" s="131">
        <f>'Suc. Tecuala'!D61</f>
        <v>2</v>
      </c>
      <c r="T61" s="131">
        <f>'Suc. Tuxpan'!D61</f>
        <v>1</v>
      </c>
      <c r="U61" s="131">
        <f>'Suc. Varas'!D61</f>
        <v>2</v>
      </c>
      <c r="V61" s="131">
        <f>'Suc. Santa María del Oro'!D61</f>
        <v>1</v>
      </c>
      <c r="W61" s="131">
        <f>'Suc. Villa Hidalgo'!D61</f>
        <v>1</v>
      </c>
      <c r="X61" s="131">
        <f>'Suc. Peñita'!D61</f>
        <v>1</v>
      </c>
      <c r="Y61" s="120">
        <f t="shared" si="27"/>
        <v>14</v>
      </c>
      <c r="Z61" s="120">
        <f t="shared" si="28"/>
        <v>24</v>
      </c>
      <c r="AB61" s="84">
        <f>IFERROR(VLOOKUP(A61,'GRAL. SUC. FORANEAS'!$R:$S,2,0),0)</f>
        <v>0</v>
      </c>
      <c r="AD61" s="84">
        <f t="shared" si="16"/>
        <v>24</v>
      </c>
    </row>
    <row r="62" spans="1:30" ht="17.399999999999999" x14ac:dyDescent="0.35">
      <c r="A62" s="102" t="s">
        <v>43</v>
      </c>
      <c r="B62" s="131">
        <f>'Suc. Amado Nervo'!D62</f>
        <v>2</v>
      </c>
      <c r="C62" s="131">
        <f>'Suc. León'!D62</f>
        <v>2</v>
      </c>
      <c r="D62" s="120">
        <f>'San Cayetano'!D62</f>
        <v>1</v>
      </c>
      <c r="E62" s="120">
        <f>'Suc. Boulevard'!D62</f>
        <v>1</v>
      </c>
      <c r="F62" s="120">
        <f>'Suc. Dos de Agosto'!D62</f>
        <v>1</v>
      </c>
      <c r="G62" s="120">
        <f>'Suc. La Nueva Canasta'!D62</f>
        <v>0</v>
      </c>
      <c r="H62" s="120">
        <f>'Suc. Mololoa'!D62</f>
        <v>1</v>
      </c>
      <c r="I62" s="120">
        <f>'Suc. Plaza'!D62</f>
        <v>1</v>
      </c>
      <c r="J62" s="120">
        <f>'Suc. Vistas'!D62</f>
        <v>1</v>
      </c>
      <c r="K62" s="120">
        <f>'Suc. Xalisco'!D62</f>
        <v>0</v>
      </c>
      <c r="L62" s="120">
        <f t="shared" si="26"/>
        <v>10</v>
      </c>
      <c r="M62" s="131">
        <f>'Suc. Acaponeta'!D62</f>
        <v>2</v>
      </c>
      <c r="N62" s="131">
        <f>'Suc. Compostela'!D62</f>
        <v>1</v>
      </c>
      <c r="O62" s="131">
        <f>'Suc. Ruiz'!D62</f>
        <v>0</v>
      </c>
      <c r="P62" s="131">
        <f>'Suc. Sanblas'!D62</f>
        <v>2</v>
      </c>
      <c r="Q62" s="131">
        <f>'LALO VARAS'!D62</f>
        <v>2</v>
      </c>
      <c r="R62" s="131">
        <f>'Suc. Santiago 2'!D62</f>
        <v>2</v>
      </c>
      <c r="S62" s="131">
        <f>'Suc. Tecuala'!D62</f>
        <v>2</v>
      </c>
      <c r="T62" s="131">
        <f>'Suc. Tuxpan'!D62</f>
        <v>1</v>
      </c>
      <c r="U62" s="131">
        <f>'Suc. Varas'!D62</f>
        <v>1</v>
      </c>
      <c r="V62" s="131">
        <f>'Suc. Santa María del Oro'!D62</f>
        <v>1</v>
      </c>
      <c r="W62" s="131">
        <f>'Suc. Villa Hidalgo'!D62</f>
        <v>2</v>
      </c>
      <c r="X62" s="131">
        <f>'Suc. Peñita'!D62</f>
        <v>1</v>
      </c>
      <c r="Y62" s="120">
        <f t="shared" si="27"/>
        <v>17</v>
      </c>
      <c r="Z62" s="120">
        <f t="shared" si="28"/>
        <v>27</v>
      </c>
      <c r="AB62" s="84">
        <f>IFERROR(VLOOKUP(A62,'GRAL. SUC. FORANEAS'!$R:$S,2,0),0)</f>
        <v>7</v>
      </c>
      <c r="AD62" s="84">
        <f t="shared" si="16"/>
        <v>34</v>
      </c>
    </row>
    <row r="63" spans="1:30" ht="17.399999999999999" x14ac:dyDescent="0.35">
      <c r="A63" s="93" t="s">
        <v>44</v>
      </c>
      <c r="B63" s="131">
        <f>'Suc. Amado Nervo'!D63</f>
        <v>2</v>
      </c>
      <c r="C63" s="131">
        <f>'Suc. León'!D63</f>
        <v>2</v>
      </c>
      <c r="D63" s="120">
        <f>'San Cayetano'!D63</f>
        <v>2</v>
      </c>
      <c r="E63" s="120">
        <f>'Suc. Boulevard'!D63</f>
        <v>1</v>
      </c>
      <c r="F63" s="120">
        <f>'Suc. Dos de Agosto'!D63</f>
        <v>1</v>
      </c>
      <c r="G63" s="120">
        <f>'Suc. La Nueva Canasta'!D63</f>
        <v>0</v>
      </c>
      <c r="H63" s="120">
        <f>'Suc. Mololoa'!D63</f>
        <v>1</v>
      </c>
      <c r="I63" s="120">
        <f>'Suc. Plaza'!D63</f>
        <v>0</v>
      </c>
      <c r="J63" s="120">
        <f>'Suc. Vistas'!D63</f>
        <v>1</v>
      </c>
      <c r="K63" s="120">
        <f>'Suc. Xalisco'!D63</f>
        <v>1</v>
      </c>
      <c r="L63" s="120">
        <f t="shared" si="26"/>
        <v>11</v>
      </c>
      <c r="M63" s="131">
        <f>'Suc. Acaponeta'!D63</f>
        <v>2</v>
      </c>
      <c r="N63" s="131">
        <f>'Suc. Compostela'!D63</f>
        <v>1</v>
      </c>
      <c r="O63" s="131">
        <f>'Suc. Ruiz'!D63</f>
        <v>0</v>
      </c>
      <c r="P63" s="131">
        <f>'Suc. Sanblas'!D63</f>
        <v>1</v>
      </c>
      <c r="Q63" s="131">
        <f>'LALO VARAS'!D63</f>
        <v>0</v>
      </c>
      <c r="R63" s="131">
        <f>'Suc. Santiago 2'!D63</f>
        <v>1</v>
      </c>
      <c r="S63" s="131">
        <f>'Suc. Tecuala'!D63</f>
        <v>1</v>
      </c>
      <c r="T63" s="131">
        <f>'Suc. Tuxpan'!D63</f>
        <v>1</v>
      </c>
      <c r="U63" s="131">
        <f>'Suc. Varas'!D63</f>
        <v>3</v>
      </c>
      <c r="V63" s="131">
        <f>'Suc. Santa María del Oro'!D63</f>
        <v>0</v>
      </c>
      <c r="W63" s="131">
        <f>'Suc. Villa Hidalgo'!D63</f>
        <v>1</v>
      </c>
      <c r="X63" s="131">
        <f>'Suc. Peñita'!D63</f>
        <v>1</v>
      </c>
      <c r="Y63" s="120">
        <f t="shared" si="27"/>
        <v>12</v>
      </c>
      <c r="Z63" s="120">
        <f t="shared" si="28"/>
        <v>23</v>
      </c>
      <c r="AB63" s="84">
        <f>IFERROR(VLOOKUP(A63,'GRAL. SUC. FORANEAS'!$R:$S,2,0),0)</f>
        <v>7</v>
      </c>
      <c r="AD63" s="84">
        <f t="shared" si="16"/>
        <v>30</v>
      </c>
    </row>
    <row r="64" spans="1:30" ht="17.399999999999999" x14ac:dyDescent="0.35">
      <c r="A64" s="93" t="s">
        <v>45</v>
      </c>
      <c r="B64" s="131">
        <f>'Suc. Amado Nervo'!D64</f>
        <v>2</v>
      </c>
      <c r="C64" s="131">
        <f>'Suc. León'!D64</f>
        <v>2</v>
      </c>
      <c r="D64" s="120">
        <f>'San Cayetano'!D64</f>
        <v>1</v>
      </c>
      <c r="E64" s="120">
        <f>'Suc. Boulevard'!D64</f>
        <v>1</v>
      </c>
      <c r="F64" s="120">
        <f>'Suc. Dos de Agosto'!D64</f>
        <v>1</v>
      </c>
      <c r="G64" s="120">
        <f>'Suc. La Nueva Canasta'!D64</f>
        <v>0</v>
      </c>
      <c r="H64" s="120">
        <f>'Suc. Mololoa'!D64</f>
        <v>2</v>
      </c>
      <c r="I64" s="120">
        <f>'Suc. Plaza'!D64</f>
        <v>3</v>
      </c>
      <c r="J64" s="120">
        <f>'Suc. Vistas'!D64</f>
        <v>2</v>
      </c>
      <c r="K64" s="120">
        <f>'Suc. Xalisco'!D64</f>
        <v>1</v>
      </c>
      <c r="L64" s="120">
        <f t="shared" si="26"/>
        <v>15</v>
      </c>
      <c r="M64" s="131">
        <f>'Suc. Acaponeta'!D64</f>
        <v>2</v>
      </c>
      <c r="N64" s="131">
        <f>'Suc. Compostela'!D64</f>
        <v>1</v>
      </c>
      <c r="O64" s="131">
        <f>'Suc. Ruiz'!D64</f>
        <v>0</v>
      </c>
      <c r="P64" s="131">
        <f>'Suc. Sanblas'!D64</f>
        <v>2</v>
      </c>
      <c r="Q64" s="131">
        <f>'LALO VARAS'!D64</f>
        <v>2</v>
      </c>
      <c r="R64" s="131">
        <f>'Suc. Santiago 2'!D64</f>
        <v>2</v>
      </c>
      <c r="S64" s="131">
        <f>'Suc. Tecuala'!D64</f>
        <v>2</v>
      </c>
      <c r="T64" s="131">
        <f>'Suc. Tuxpan'!D64</f>
        <v>1</v>
      </c>
      <c r="U64" s="131">
        <f>'Suc. Varas'!D64</f>
        <v>5</v>
      </c>
      <c r="V64" s="131">
        <f>'Suc. Santa María del Oro'!D64</f>
        <v>2</v>
      </c>
      <c r="W64" s="131">
        <f>'Suc. Villa Hidalgo'!D64</f>
        <v>3</v>
      </c>
      <c r="X64" s="131">
        <f>'Suc. Peñita'!D64</f>
        <v>1</v>
      </c>
      <c r="Y64" s="120">
        <f t="shared" si="27"/>
        <v>23</v>
      </c>
      <c r="Z64" s="120">
        <f t="shared" si="28"/>
        <v>38</v>
      </c>
      <c r="AB64" s="84">
        <f>IFERROR(VLOOKUP(A64,'GRAL. SUC. FORANEAS'!$R:$S,2,0),0)</f>
        <v>11</v>
      </c>
      <c r="AD64" s="84">
        <f t="shared" si="16"/>
        <v>49</v>
      </c>
    </row>
    <row r="65" spans="1:30" ht="17.399999999999999" x14ac:dyDescent="0.35">
      <c r="A65" s="93" t="s">
        <v>46</v>
      </c>
      <c r="B65" s="131">
        <f>'Suc. Amado Nervo'!D65</f>
        <v>3</v>
      </c>
      <c r="C65" s="131">
        <f>'Suc. León'!D65</f>
        <v>3</v>
      </c>
      <c r="D65" s="120">
        <f>'San Cayetano'!D65</f>
        <v>3</v>
      </c>
      <c r="E65" s="120">
        <f>'Suc. Boulevard'!D65</f>
        <v>2</v>
      </c>
      <c r="F65" s="120">
        <f>'Suc. Dos de Agosto'!D65</f>
        <v>2</v>
      </c>
      <c r="G65" s="120">
        <f>'Suc. La Nueva Canasta'!D65</f>
        <v>0</v>
      </c>
      <c r="H65" s="120">
        <f>'Suc. Mololoa'!D65</f>
        <v>2</v>
      </c>
      <c r="I65" s="120">
        <f>'Suc. Plaza'!D65</f>
        <v>4</v>
      </c>
      <c r="J65" s="120">
        <f>'Suc. Vistas'!D65</f>
        <v>3</v>
      </c>
      <c r="K65" s="120">
        <f>'Suc. Xalisco'!D65</f>
        <v>3</v>
      </c>
      <c r="L65" s="120">
        <f t="shared" si="26"/>
        <v>25</v>
      </c>
      <c r="M65" s="131">
        <f>'Suc. Acaponeta'!D65</f>
        <v>5</v>
      </c>
      <c r="N65" s="131">
        <f>'Suc. Compostela'!D65</f>
        <v>4</v>
      </c>
      <c r="O65" s="131">
        <f>'Suc. Ruiz'!D65</f>
        <v>0</v>
      </c>
      <c r="P65" s="131">
        <f>'Suc. Sanblas'!D65</f>
        <v>5</v>
      </c>
      <c r="Q65" s="131">
        <f>'LALO VARAS'!D65</f>
        <v>3</v>
      </c>
      <c r="R65" s="131">
        <f>'Suc. Santiago 2'!D65</f>
        <v>3</v>
      </c>
      <c r="S65" s="131">
        <f>'Suc. Tecuala'!D65</f>
        <v>4</v>
      </c>
      <c r="T65" s="131">
        <f>'Suc. Tuxpan'!D65</f>
        <v>2</v>
      </c>
      <c r="U65" s="131">
        <f>'Suc. Varas'!D65</f>
        <v>6</v>
      </c>
      <c r="V65" s="131">
        <f>'Suc. Santa María del Oro'!D65</f>
        <v>5</v>
      </c>
      <c r="W65" s="131">
        <f>'Suc. Villa Hidalgo'!D65</f>
        <v>7</v>
      </c>
      <c r="X65" s="131">
        <f>'Suc. Peñita'!D65</f>
        <v>5</v>
      </c>
      <c r="Y65" s="120">
        <f t="shared" si="27"/>
        <v>49</v>
      </c>
      <c r="Z65" s="120">
        <f t="shared" si="28"/>
        <v>74</v>
      </c>
      <c r="AB65" s="84">
        <f>IFERROR(VLOOKUP(A65,'GRAL. SUC. FORANEAS'!$R:$S,2,0),0)</f>
        <v>24</v>
      </c>
      <c r="AD65" s="84">
        <f t="shared" si="16"/>
        <v>98</v>
      </c>
    </row>
    <row r="66" spans="1:30" ht="17.399999999999999" x14ac:dyDescent="0.35">
      <c r="A66" s="93" t="s">
        <v>48</v>
      </c>
      <c r="B66" s="131">
        <f>'Suc. Amado Nervo'!D66</f>
        <v>2</v>
      </c>
      <c r="C66" s="131">
        <f>'Suc. León'!D66</f>
        <v>2</v>
      </c>
      <c r="D66" s="120">
        <f>'San Cayetano'!D66</f>
        <v>1</v>
      </c>
      <c r="E66" s="120">
        <f>'Suc. Boulevard'!D66</f>
        <v>1</v>
      </c>
      <c r="F66" s="120">
        <f>'Suc. Dos de Agosto'!D66</f>
        <v>1</v>
      </c>
      <c r="G66" s="120">
        <f>'Suc. La Nueva Canasta'!D66</f>
        <v>0</v>
      </c>
      <c r="H66" s="120">
        <f>'Suc. Mololoa'!D66</f>
        <v>1</v>
      </c>
      <c r="I66" s="120">
        <f>'Suc. Plaza'!D66</f>
        <v>1</v>
      </c>
      <c r="J66" s="120">
        <f>'Suc. Vistas'!D66</f>
        <v>1</v>
      </c>
      <c r="K66" s="120">
        <f>'Suc. Xalisco'!D66</f>
        <v>1</v>
      </c>
      <c r="L66" s="120">
        <f t="shared" si="26"/>
        <v>11</v>
      </c>
      <c r="M66" s="131">
        <f>'Suc. Acaponeta'!D66</f>
        <v>2</v>
      </c>
      <c r="N66" s="131">
        <f>'Suc. Compostela'!D66</f>
        <v>1</v>
      </c>
      <c r="O66" s="131">
        <f>'Suc. Ruiz'!D66</f>
        <v>0</v>
      </c>
      <c r="P66" s="131">
        <f>'Suc. Sanblas'!D66</f>
        <v>1</v>
      </c>
      <c r="Q66" s="131">
        <f>'LALO VARAS'!D66</f>
        <v>0</v>
      </c>
      <c r="R66" s="131">
        <f>'Suc. Santiago 2'!D66</f>
        <v>2</v>
      </c>
      <c r="S66" s="131">
        <f>'Suc. Tecuala'!D66</f>
        <v>1</v>
      </c>
      <c r="T66" s="131">
        <f>'Suc. Tuxpan'!D66</f>
        <v>1</v>
      </c>
      <c r="U66" s="131">
        <f>'Suc. Varas'!D66</f>
        <v>3</v>
      </c>
      <c r="V66" s="131">
        <f>'Suc. Santa María del Oro'!D66</f>
        <v>1</v>
      </c>
      <c r="W66" s="131">
        <f>'Suc. Villa Hidalgo'!D66</f>
        <v>1</v>
      </c>
      <c r="X66" s="131">
        <f>'Suc. Peñita'!D66</f>
        <v>1</v>
      </c>
      <c r="Y66" s="120">
        <f t="shared" si="27"/>
        <v>14</v>
      </c>
      <c r="Z66" s="120">
        <f t="shared" si="28"/>
        <v>25</v>
      </c>
      <c r="AB66" s="84">
        <f>IFERROR(VLOOKUP(A66,'GRAL. SUC. FORANEAS'!$R:$S,2,0),0)</f>
        <v>8</v>
      </c>
      <c r="AD66" s="84">
        <f t="shared" si="16"/>
        <v>33</v>
      </c>
    </row>
    <row r="67" spans="1:30" ht="17.399999999999999" x14ac:dyDescent="0.35">
      <c r="A67" s="93" t="s">
        <v>49</v>
      </c>
      <c r="B67" s="131">
        <f>'Suc. Amado Nervo'!D67</f>
        <v>2</v>
      </c>
      <c r="C67" s="131">
        <f>'Suc. León'!D67</f>
        <v>2</v>
      </c>
      <c r="D67" s="120">
        <f>'San Cayetano'!D67</f>
        <v>1</v>
      </c>
      <c r="E67" s="120">
        <f>'Suc. Boulevard'!D67</f>
        <v>1</v>
      </c>
      <c r="F67" s="120">
        <f>'Suc. Dos de Agosto'!D67</f>
        <v>1</v>
      </c>
      <c r="G67" s="120">
        <f>'Suc. La Nueva Canasta'!D67</f>
        <v>0</v>
      </c>
      <c r="H67" s="120">
        <f>'Suc. Mololoa'!D67</f>
        <v>1</v>
      </c>
      <c r="I67" s="120">
        <f>'Suc. Plaza'!D67</f>
        <v>1</v>
      </c>
      <c r="J67" s="120">
        <f>'Suc. Vistas'!D67</f>
        <v>1</v>
      </c>
      <c r="K67" s="120">
        <f>'Suc. Xalisco'!D67</f>
        <v>1</v>
      </c>
      <c r="L67" s="120">
        <f t="shared" si="26"/>
        <v>11</v>
      </c>
      <c r="M67" s="131">
        <f>'Suc. Acaponeta'!D67</f>
        <v>4</v>
      </c>
      <c r="N67" s="131">
        <f>'Suc. Compostela'!D67</f>
        <v>1</v>
      </c>
      <c r="O67" s="131">
        <f>'Suc. Ruiz'!D67</f>
        <v>0</v>
      </c>
      <c r="P67" s="131">
        <f>'Suc. Sanblas'!D67</f>
        <v>2</v>
      </c>
      <c r="Q67" s="131">
        <f>'LALO VARAS'!D67</f>
        <v>1</v>
      </c>
      <c r="R67" s="131">
        <f>'Suc. Santiago 2'!D67</f>
        <v>3</v>
      </c>
      <c r="S67" s="131">
        <f>'Suc. Tecuala'!D67</f>
        <v>2</v>
      </c>
      <c r="T67" s="131">
        <f>'Suc. Tuxpan'!D67</f>
        <v>1</v>
      </c>
      <c r="U67" s="131">
        <f>'Suc. Varas'!D67</f>
        <v>2</v>
      </c>
      <c r="V67" s="131">
        <f>'Suc. Santa María del Oro'!D67</f>
        <v>1</v>
      </c>
      <c r="W67" s="131">
        <f>'Suc. Villa Hidalgo'!D67</f>
        <v>1</v>
      </c>
      <c r="X67" s="131">
        <f>'Suc. Peñita'!D67</f>
        <v>1</v>
      </c>
      <c r="Y67" s="120">
        <f t="shared" si="27"/>
        <v>19</v>
      </c>
      <c r="Z67" s="120">
        <f t="shared" si="28"/>
        <v>30</v>
      </c>
      <c r="AB67" s="84">
        <f>IFERROR(VLOOKUP(A67,'GRAL. SUC. FORANEAS'!$R:$S,2,0),0)</f>
        <v>17</v>
      </c>
      <c r="AD67" s="84">
        <f t="shared" si="16"/>
        <v>47</v>
      </c>
    </row>
    <row r="68" spans="1:30" ht="17.399999999999999" x14ac:dyDescent="0.35">
      <c r="A68" s="93" t="s">
        <v>50</v>
      </c>
      <c r="B68" s="131">
        <f>'Suc. Amado Nervo'!D68</f>
        <v>3</v>
      </c>
      <c r="C68" s="131">
        <f>'Suc. León'!D68</f>
        <v>3</v>
      </c>
      <c r="D68" s="120">
        <f>'San Cayetano'!D68</f>
        <v>3</v>
      </c>
      <c r="E68" s="120">
        <f>'Suc. Boulevard'!D68</f>
        <v>2</v>
      </c>
      <c r="F68" s="120">
        <f>'Suc. Dos de Agosto'!D68</f>
        <v>1</v>
      </c>
      <c r="G68" s="120">
        <f>'Suc. La Nueva Canasta'!D68</f>
        <v>0</v>
      </c>
      <c r="H68" s="120">
        <f>'Suc. Mololoa'!D68</f>
        <v>2</v>
      </c>
      <c r="I68" s="120">
        <f>'Suc. Plaza'!D68</f>
        <v>3</v>
      </c>
      <c r="J68" s="120">
        <f>'Suc. Vistas'!D68</f>
        <v>2</v>
      </c>
      <c r="K68" s="120">
        <f>'Suc. Xalisco'!D68</f>
        <v>0</v>
      </c>
      <c r="L68" s="120">
        <f t="shared" si="26"/>
        <v>19</v>
      </c>
      <c r="M68" s="131">
        <f>'Suc. Acaponeta'!D68</f>
        <v>5</v>
      </c>
      <c r="N68" s="131">
        <f>'Suc. Compostela'!D68</f>
        <v>4</v>
      </c>
      <c r="O68" s="131">
        <f>'Suc. Ruiz'!D68</f>
        <v>0</v>
      </c>
      <c r="P68" s="131">
        <f>'Suc. Sanblas'!D68</f>
        <v>5</v>
      </c>
      <c r="Q68" s="131">
        <f>'LALO VARAS'!D68</f>
        <v>3</v>
      </c>
      <c r="R68" s="131">
        <f>'Suc. Santiago 2'!D68</f>
        <v>2</v>
      </c>
      <c r="S68" s="131">
        <f>'Suc. Tecuala'!D68</f>
        <v>3</v>
      </c>
      <c r="T68" s="131">
        <f>'Suc. Tuxpan'!D68</f>
        <v>2</v>
      </c>
      <c r="U68" s="131">
        <f>'Suc. Varas'!D68</f>
        <v>4</v>
      </c>
      <c r="V68" s="131">
        <f>'Suc. Santa María del Oro'!D68</f>
        <v>5</v>
      </c>
      <c r="W68" s="131">
        <f>'Suc. Villa Hidalgo'!D68</f>
        <v>7</v>
      </c>
      <c r="X68" s="131">
        <f>'Suc. Peñita'!D68</f>
        <v>4</v>
      </c>
      <c r="Y68" s="120">
        <f t="shared" si="27"/>
        <v>44</v>
      </c>
      <c r="Z68" s="120">
        <f t="shared" si="28"/>
        <v>63</v>
      </c>
      <c r="AB68" s="84">
        <f>IFERROR(VLOOKUP(A68,'GRAL. SUC. FORANEAS'!$R:$S,2,0),0)</f>
        <v>9</v>
      </c>
      <c r="AD68" s="84">
        <f t="shared" si="16"/>
        <v>72</v>
      </c>
    </row>
    <row r="69" spans="1:30" ht="17.399999999999999" x14ac:dyDescent="0.35">
      <c r="A69" s="93" t="s">
        <v>51</v>
      </c>
      <c r="B69" s="131">
        <f>'Suc. Amado Nervo'!D69</f>
        <v>2</v>
      </c>
      <c r="C69" s="131">
        <f>'Suc. León'!D69</f>
        <v>3</v>
      </c>
      <c r="D69" s="120">
        <f>'San Cayetano'!D69</f>
        <v>1</v>
      </c>
      <c r="E69" s="120">
        <f>'Suc. Boulevard'!D69</f>
        <v>1</v>
      </c>
      <c r="F69" s="120">
        <f>'Suc. Dos de Agosto'!D69</f>
        <v>1</v>
      </c>
      <c r="G69" s="120">
        <f>'Suc. La Nueva Canasta'!D69</f>
        <v>0</v>
      </c>
      <c r="H69" s="120">
        <f>'Suc. Mololoa'!D69</f>
        <v>1</v>
      </c>
      <c r="I69" s="120">
        <f>'Suc. Plaza'!D69</f>
        <v>1</v>
      </c>
      <c r="J69" s="120">
        <f>'Suc. Vistas'!D69</f>
        <v>1</v>
      </c>
      <c r="K69" s="120">
        <f>'Suc. Xalisco'!D69</f>
        <v>1</v>
      </c>
      <c r="L69" s="120">
        <f t="shared" si="26"/>
        <v>12</v>
      </c>
      <c r="M69" s="131">
        <f>'Suc. Acaponeta'!D69</f>
        <v>3</v>
      </c>
      <c r="N69" s="131">
        <f>'Suc. Compostela'!D69</f>
        <v>0</v>
      </c>
      <c r="O69" s="131">
        <f>'Suc. Ruiz'!D69</f>
        <v>0</v>
      </c>
      <c r="P69" s="131">
        <f>'Suc. Sanblas'!D69</f>
        <v>1</v>
      </c>
      <c r="Q69" s="131">
        <f>'LALO VARAS'!D69</f>
        <v>0</v>
      </c>
      <c r="R69" s="131">
        <f>'Suc. Santiago 2'!D69</f>
        <v>0</v>
      </c>
      <c r="S69" s="131">
        <f>'Suc. Tecuala'!D69</f>
        <v>1</v>
      </c>
      <c r="T69" s="131">
        <f>'Suc. Tuxpan'!D69</f>
        <v>0</v>
      </c>
      <c r="U69" s="131">
        <f>'Suc. Varas'!D69</f>
        <v>0</v>
      </c>
      <c r="V69" s="131">
        <f>'Suc. Santa María del Oro'!D69</f>
        <v>2</v>
      </c>
      <c r="W69" s="131">
        <f>'Suc. Villa Hidalgo'!D69</f>
        <v>1</v>
      </c>
      <c r="X69" s="131">
        <f>'Suc. Peñita'!D69</f>
        <v>0</v>
      </c>
      <c r="Y69" s="120">
        <f t="shared" si="27"/>
        <v>8</v>
      </c>
      <c r="Z69" s="120">
        <f t="shared" si="28"/>
        <v>20</v>
      </c>
      <c r="AB69" s="84">
        <f>IFERROR(VLOOKUP(A69,'GRAL. SUC. FORANEAS'!$R:$S,2,0),0)</f>
        <v>0</v>
      </c>
      <c r="AD69" s="84">
        <f t="shared" si="16"/>
        <v>20</v>
      </c>
    </row>
    <row r="70" spans="1:30" ht="17.399999999999999" x14ac:dyDescent="0.35">
      <c r="A70" s="93" t="s">
        <v>53</v>
      </c>
      <c r="B70" s="131">
        <f>'Suc. Amado Nervo'!D70</f>
        <v>2</v>
      </c>
      <c r="C70" s="131">
        <f>'Suc. León'!D70</f>
        <v>3</v>
      </c>
      <c r="D70" s="120">
        <f>'San Cayetano'!D70</f>
        <v>3</v>
      </c>
      <c r="E70" s="120">
        <f>'Suc. Boulevard'!D70</f>
        <v>1</v>
      </c>
      <c r="F70" s="120">
        <f>'Suc. Dos de Agosto'!D70</f>
        <v>3</v>
      </c>
      <c r="G70" s="120">
        <f>'Suc. La Nueva Canasta'!D70</f>
        <v>0</v>
      </c>
      <c r="H70" s="120">
        <f>'Suc. Mololoa'!D70</f>
        <v>2</v>
      </c>
      <c r="I70" s="120">
        <f>'Suc. Plaza'!D70</f>
        <v>3</v>
      </c>
      <c r="J70" s="120">
        <f>'Suc. Vistas'!D70</f>
        <v>3</v>
      </c>
      <c r="K70" s="120">
        <f>'Suc. Xalisco'!D70</f>
        <v>3</v>
      </c>
      <c r="L70" s="120">
        <f t="shared" si="26"/>
        <v>23</v>
      </c>
      <c r="M70" s="131">
        <f>'Suc. Acaponeta'!D70</f>
        <v>8</v>
      </c>
      <c r="N70" s="131">
        <f>'Suc. Compostela'!D70</f>
        <v>3</v>
      </c>
      <c r="O70" s="131">
        <f>'Suc. Ruiz'!D70</f>
        <v>6</v>
      </c>
      <c r="P70" s="131">
        <f>'Suc. Sanblas'!D70</f>
        <v>4</v>
      </c>
      <c r="Q70" s="131">
        <f>'LALO VARAS'!D70</f>
        <v>3</v>
      </c>
      <c r="R70" s="131">
        <f>'Suc. Santiago 2'!D70</f>
        <v>2</v>
      </c>
      <c r="S70" s="131">
        <f>'Suc. Tecuala'!D70</f>
        <v>3</v>
      </c>
      <c r="T70" s="131">
        <f>'Suc. Tuxpan'!D70</f>
        <v>5</v>
      </c>
      <c r="U70" s="131">
        <f>'Suc. Varas'!D70</f>
        <v>4</v>
      </c>
      <c r="V70" s="131">
        <f>'Suc. Santa María del Oro'!D70</f>
        <v>3</v>
      </c>
      <c r="W70" s="131">
        <f>'Suc. Villa Hidalgo'!D70</f>
        <v>6</v>
      </c>
      <c r="X70" s="131">
        <f>'Suc. Peñita'!D70</f>
        <v>3</v>
      </c>
      <c r="Y70" s="120">
        <f t="shared" si="27"/>
        <v>50</v>
      </c>
      <c r="Z70" s="120">
        <f t="shared" si="28"/>
        <v>73</v>
      </c>
      <c r="AB70" s="84">
        <f>IFERROR(VLOOKUP(A70,'GRAL. SUC. FORANEAS'!$R:$S,2,0),0)</f>
        <v>20</v>
      </c>
      <c r="AD70" s="84">
        <f t="shared" si="16"/>
        <v>93</v>
      </c>
    </row>
    <row r="71" spans="1:30" ht="17.399999999999999" x14ac:dyDescent="0.35">
      <c r="A71" s="93" t="s">
        <v>47</v>
      </c>
      <c r="B71" s="131">
        <f>'Suc. Amado Nervo'!D71</f>
        <v>2</v>
      </c>
      <c r="C71" s="131">
        <f>'Suc. León'!D71</f>
        <v>2</v>
      </c>
      <c r="D71" s="120">
        <f>'San Cayetano'!D71</f>
        <v>1</v>
      </c>
      <c r="E71" s="120">
        <f>'Suc. Boulevard'!D71</f>
        <v>2</v>
      </c>
      <c r="F71" s="120">
        <f>'Suc. Dos de Agosto'!D71</f>
        <v>1</v>
      </c>
      <c r="G71" s="120">
        <f>'Suc. La Nueva Canasta'!D71</f>
        <v>0</v>
      </c>
      <c r="H71" s="120">
        <f>'Suc. Mololoa'!D71</f>
        <v>1</v>
      </c>
      <c r="I71" s="120">
        <f>'Suc. Plaza'!D71</f>
        <v>2</v>
      </c>
      <c r="J71" s="120">
        <f>'Suc. Vistas'!D71</f>
        <v>2</v>
      </c>
      <c r="K71" s="120">
        <f>'Suc. Xalisco'!D71</f>
        <v>1</v>
      </c>
      <c r="L71" s="120">
        <f t="shared" si="26"/>
        <v>14</v>
      </c>
      <c r="M71" s="131">
        <f>'Suc. Acaponeta'!D71</f>
        <v>2</v>
      </c>
      <c r="N71" s="131">
        <f>'Suc. Compostela'!D71</f>
        <v>1</v>
      </c>
      <c r="O71" s="131">
        <f>'Suc. Ruiz'!D71</f>
        <v>1</v>
      </c>
      <c r="P71" s="131">
        <f>'Suc. Sanblas'!D71</f>
        <v>1</v>
      </c>
      <c r="Q71" s="131">
        <f>'LALO VARAS'!D71</f>
        <v>2</v>
      </c>
      <c r="R71" s="131">
        <f>'Suc. Santiago 2'!D71</f>
        <v>1</v>
      </c>
      <c r="S71" s="131">
        <f>'Suc. Tecuala'!D71</f>
        <v>2</v>
      </c>
      <c r="T71" s="131">
        <f>'Suc. Tuxpan'!D71</f>
        <v>1</v>
      </c>
      <c r="U71" s="131">
        <f>'Suc. Varas'!D71</f>
        <v>4</v>
      </c>
      <c r="V71" s="131">
        <f>'Suc. Santa María del Oro'!D71</f>
        <v>2</v>
      </c>
      <c r="W71" s="131">
        <f>'Suc. Villa Hidalgo'!D71</f>
        <v>3</v>
      </c>
      <c r="X71" s="131">
        <f>'Suc. Peñita'!D71</f>
        <v>0</v>
      </c>
      <c r="Y71" s="120">
        <f t="shared" si="27"/>
        <v>20</v>
      </c>
      <c r="Z71" s="120">
        <f t="shared" si="28"/>
        <v>34</v>
      </c>
    </row>
    <row r="72" spans="1:30" ht="17.399999999999999" hidden="1" x14ac:dyDescent="0.35">
      <c r="A72" s="86" t="s">
        <v>1089</v>
      </c>
      <c r="B72" s="131">
        <f>'Suc. Amado Nervo'!D72</f>
        <v>0</v>
      </c>
      <c r="C72" s="131">
        <f>'Suc. León'!D72</f>
        <v>0</v>
      </c>
      <c r="D72" s="120">
        <f>'San Cayetano'!D72</f>
        <v>0</v>
      </c>
      <c r="E72" s="120">
        <f>'Suc. Boulevard'!D72</f>
        <v>0</v>
      </c>
      <c r="F72" s="120">
        <f>'Suc. Dos de Agosto'!D72</f>
        <v>0</v>
      </c>
      <c r="G72" s="120">
        <f>'Suc. La Nueva Canasta'!D72</f>
        <v>0</v>
      </c>
      <c r="H72" s="120">
        <f>'Suc. Mololoa'!D72</f>
        <v>0</v>
      </c>
      <c r="I72" s="120">
        <f>'Suc. Plaza'!D72</f>
        <v>3</v>
      </c>
      <c r="J72" s="120">
        <f>'Suc. Vistas'!D72</f>
        <v>0</v>
      </c>
      <c r="K72" s="120">
        <f>'Suc. Xalisco'!D72</f>
        <v>0</v>
      </c>
      <c r="L72" s="120">
        <f t="shared" si="26"/>
        <v>3</v>
      </c>
      <c r="M72" s="131">
        <f>'Suc. Acaponeta'!D72</f>
        <v>0</v>
      </c>
      <c r="N72" s="131">
        <f>'Suc. Compostela'!D72</f>
        <v>0</v>
      </c>
      <c r="O72" s="131">
        <f>'Suc. Ruiz'!D72</f>
        <v>0</v>
      </c>
      <c r="P72" s="131">
        <f>'Suc. Sanblas'!D72</f>
        <v>0</v>
      </c>
      <c r="Q72" s="131">
        <f>'LALO VARAS'!D72</f>
        <v>0</v>
      </c>
      <c r="R72" s="131">
        <f>'Suc. Santiago 2'!D72</f>
        <v>0</v>
      </c>
      <c r="S72" s="131">
        <f>'Suc. Tecuala'!D72</f>
        <v>0</v>
      </c>
      <c r="T72" s="131">
        <f>'Suc. Tuxpan'!D72</f>
        <v>0</v>
      </c>
      <c r="U72" s="131">
        <f>'Suc. Varas'!D72</f>
        <v>0</v>
      </c>
      <c r="V72" s="131">
        <f>'Suc. Santa María del Oro'!D72</f>
        <v>0</v>
      </c>
      <c r="W72" s="131">
        <f>'Suc. Villa Hidalgo'!D72</f>
        <v>0</v>
      </c>
      <c r="X72" s="131">
        <f>'Suc. Peñita'!D72</f>
        <v>0</v>
      </c>
      <c r="Y72" s="120">
        <f t="shared" si="27"/>
        <v>0</v>
      </c>
      <c r="Z72" s="120">
        <f t="shared" si="28"/>
        <v>3</v>
      </c>
    </row>
    <row r="73" spans="1:30" ht="17.399999999999999" x14ac:dyDescent="0.35">
      <c r="A73" s="93"/>
      <c r="B73" s="131">
        <f>'Suc. Amado Nervo'!D73</f>
        <v>0</v>
      </c>
      <c r="C73" s="131">
        <f>'Suc. León'!D73</f>
        <v>0</v>
      </c>
      <c r="D73" s="120">
        <f>'San Cayetano'!D73</f>
        <v>0</v>
      </c>
      <c r="E73" s="120">
        <f>'Suc. Boulevard'!D73</f>
        <v>0</v>
      </c>
      <c r="F73" s="120">
        <f>'Suc. Dos de Agosto'!D73</f>
        <v>0</v>
      </c>
      <c r="G73" s="120">
        <f>'Suc. La Nueva Canasta'!D73</f>
        <v>0</v>
      </c>
      <c r="H73" s="120">
        <f>'Suc. Mololoa'!D73</f>
        <v>0</v>
      </c>
      <c r="I73" s="120">
        <f>'Suc. Plaza'!D73</f>
        <v>0</v>
      </c>
      <c r="J73" s="120">
        <f>'Suc. Vistas'!D73</f>
        <v>0</v>
      </c>
      <c r="K73" s="120">
        <f>'Suc. Xalisco'!D73</f>
        <v>0</v>
      </c>
      <c r="L73" s="120">
        <f t="shared" si="26"/>
        <v>0</v>
      </c>
      <c r="M73" s="131">
        <f>'Suc. Acaponeta'!D73</f>
        <v>0</v>
      </c>
      <c r="N73" s="131">
        <f>'Suc. Compostela'!D73</f>
        <v>0</v>
      </c>
      <c r="O73" s="131">
        <f>'Suc. Ruiz'!D73</f>
        <v>0</v>
      </c>
      <c r="P73" s="131">
        <f>'Suc. Sanblas'!D73</f>
        <v>0</v>
      </c>
      <c r="Q73" s="131">
        <f>'LALO VARAS'!D73</f>
        <v>0</v>
      </c>
      <c r="R73" s="131">
        <f>'Suc. Santiago 2'!D73</f>
        <v>0</v>
      </c>
      <c r="S73" s="131">
        <f>'Suc. Tecuala'!D73</f>
        <v>0</v>
      </c>
      <c r="T73" s="131">
        <f>'Suc. Tuxpan'!D73</f>
        <v>0</v>
      </c>
      <c r="U73" s="131">
        <f>'Suc. Varas'!D73</f>
        <v>0</v>
      </c>
      <c r="V73" s="131">
        <f>'Suc. Santa María del Oro'!D73</f>
        <v>0</v>
      </c>
      <c r="W73" s="131">
        <f>'Suc. Villa Hidalgo'!D73</f>
        <v>0</v>
      </c>
      <c r="X73" s="131">
        <f>'Suc. Peñita'!D73</f>
        <v>0</v>
      </c>
      <c r="Y73" s="120">
        <f t="shared" si="27"/>
        <v>0</v>
      </c>
      <c r="Z73" s="120">
        <f t="shared" si="28"/>
        <v>0</v>
      </c>
    </row>
    <row r="74" spans="1:30" ht="17.399999999999999" x14ac:dyDescent="0.35">
      <c r="A74" s="93"/>
      <c r="B74" s="131">
        <f>'Suc. Amado Nervo'!D74</f>
        <v>0</v>
      </c>
      <c r="C74" s="131">
        <f>'Suc. León'!D74</f>
        <v>0</v>
      </c>
      <c r="D74" s="120">
        <f>'San Cayetano'!D74</f>
        <v>0</v>
      </c>
      <c r="E74" s="120">
        <f>'Suc. Boulevard'!D74</f>
        <v>0</v>
      </c>
      <c r="F74" s="120">
        <f>'Suc. Dos de Agosto'!D74</f>
        <v>0</v>
      </c>
      <c r="G74" s="120">
        <f>'Suc. La Nueva Canasta'!D74</f>
        <v>0</v>
      </c>
      <c r="H74" s="120">
        <f>'Suc. Mololoa'!D74</f>
        <v>0</v>
      </c>
      <c r="I74" s="120">
        <f>'Suc. Plaza'!D74</f>
        <v>0</v>
      </c>
      <c r="J74" s="120">
        <f>'Suc. Vistas'!D74</f>
        <v>0</v>
      </c>
      <c r="K74" s="120">
        <f>'Suc. Xalisco'!D74</f>
        <v>0</v>
      </c>
      <c r="L74" s="120">
        <f t="shared" si="26"/>
        <v>0</v>
      </c>
      <c r="M74" s="131">
        <f>'Suc. Acaponeta'!D74</f>
        <v>0</v>
      </c>
      <c r="N74" s="131">
        <f>'Suc. Compostela'!D74</f>
        <v>0</v>
      </c>
      <c r="O74" s="131">
        <f>'Suc. Ruiz'!D74</f>
        <v>0</v>
      </c>
      <c r="P74" s="131">
        <f>'Suc. Sanblas'!D74</f>
        <v>0</v>
      </c>
      <c r="Q74" s="131">
        <f>'LALO VARAS'!D74</f>
        <v>0</v>
      </c>
      <c r="R74" s="131">
        <f>'Suc. Santiago 2'!D74</f>
        <v>0</v>
      </c>
      <c r="S74" s="131">
        <f>'Suc. Tecuala'!D74</f>
        <v>0</v>
      </c>
      <c r="T74" s="131">
        <f>'Suc. Tuxpan'!D74</f>
        <v>0</v>
      </c>
      <c r="U74" s="131">
        <f>'Suc. Varas'!D74</f>
        <v>0</v>
      </c>
      <c r="V74" s="131">
        <f>'Suc. Santa María del Oro'!D74</f>
        <v>0</v>
      </c>
      <c r="W74" s="131">
        <f>'Suc. Villa Hidalgo'!D74</f>
        <v>0</v>
      </c>
      <c r="X74" s="131">
        <f>'Suc. Peñita'!D74</f>
        <v>0</v>
      </c>
      <c r="Y74" s="120">
        <f t="shared" si="27"/>
        <v>0</v>
      </c>
      <c r="Z74" s="120">
        <f t="shared" si="28"/>
        <v>0</v>
      </c>
    </row>
    <row r="75" spans="1:30" ht="17.399999999999999" x14ac:dyDescent="0.35">
      <c r="A75" s="93"/>
      <c r="B75" s="131">
        <f>'Suc. Amado Nervo'!D75</f>
        <v>0</v>
      </c>
      <c r="C75" s="131">
        <f>'Suc. León'!D75</f>
        <v>0</v>
      </c>
      <c r="D75" s="120">
        <f>'San Cayetano'!D75</f>
        <v>0</v>
      </c>
      <c r="E75" s="120">
        <f>'Suc. Boulevard'!D75</f>
        <v>0</v>
      </c>
      <c r="F75" s="120">
        <f>'Suc. Dos de Agosto'!D75</f>
        <v>0</v>
      </c>
      <c r="G75" s="120">
        <f>'Suc. La Nueva Canasta'!D75</f>
        <v>0</v>
      </c>
      <c r="H75" s="120">
        <f>'Suc. Mololoa'!D75</f>
        <v>0</v>
      </c>
      <c r="I75" s="120">
        <f>'Suc. Plaza'!D75</f>
        <v>0</v>
      </c>
      <c r="J75" s="120">
        <f>'Suc. Vistas'!D75</f>
        <v>0</v>
      </c>
      <c r="K75" s="120">
        <f>'Suc. Xalisco'!D75</f>
        <v>0</v>
      </c>
      <c r="L75" s="120">
        <f t="shared" si="26"/>
        <v>0</v>
      </c>
      <c r="M75" s="131">
        <f>'Suc. Acaponeta'!D75</f>
        <v>0</v>
      </c>
      <c r="N75" s="131">
        <f>'Suc. Compostela'!D75</f>
        <v>0</v>
      </c>
      <c r="O75" s="131">
        <f>'Suc. Ruiz'!D75</f>
        <v>0</v>
      </c>
      <c r="P75" s="131">
        <f>'Suc. Sanblas'!D75</f>
        <v>0</v>
      </c>
      <c r="Q75" s="131">
        <f>'LALO VARAS'!D75</f>
        <v>0</v>
      </c>
      <c r="R75" s="131">
        <f>'Suc. Santiago 2'!D75</f>
        <v>0</v>
      </c>
      <c r="S75" s="131">
        <f>'Suc. Tecuala'!D75</f>
        <v>0</v>
      </c>
      <c r="T75" s="131">
        <f>'Suc. Tuxpan'!D75</f>
        <v>0</v>
      </c>
      <c r="U75" s="131">
        <f>'Suc. Varas'!D75</f>
        <v>0</v>
      </c>
      <c r="V75" s="131">
        <f>'Suc. Santa María del Oro'!D75</f>
        <v>0</v>
      </c>
      <c r="W75" s="131">
        <f>'Suc. Villa Hidalgo'!D75</f>
        <v>0</v>
      </c>
      <c r="X75" s="131">
        <f>'Suc. Peñita'!D75</f>
        <v>0</v>
      </c>
      <c r="Y75" s="120">
        <f t="shared" si="27"/>
        <v>0</v>
      </c>
      <c r="Z75" s="120">
        <f t="shared" si="28"/>
        <v>0</v>
      </c>
    </row>
    <row r="76" spans="1:30" ht="17.399999999999999" x14ac:dyDescent="0.35">
      <c r="A76" s="93"/>
      <c r="B76" s="131">
        <f>'Suc. Amado Nervo'!D76</f>
        <v>0</v>
      </c>
      <c r="C76" s="131">
        <f>'Suc. León'!D76</f>
        <v>0</v>
      </c>
      <c r="D76" s="120">
        <f>'San Cayetano'!D76</f>
        <v>0</v>
      </c>
      <c r="E76" s="120">
        <f>'Suc. Boulevard'!D76</f>
        <v>0</v>
      </c>
      <c r="F76" s="120">
        <f>'Suc. Dos de Agosto'!D76</f>
        <v>0</v>
      </c>
      <c r="G76" s="120">
        <f>'Suc. La Nueva Canasta'!D76</f>
        <v>0</v>
      </c>
      <c r="H76" s="120">
        <f>'Suc. Mololoa'!D76</f>
        <v>0</v>
      </c>
      <c r="I76" s="120">
        <f>'Suc. Plaza'!D76</f>
        <v>0</v>
      </c>
      <c r="J76" s="120">
        <f>'Suc. Vistas'!D76</f>
        <v>0</v>
      </c>
      <c r="K76" s="120">
        <f>'Suc. Xalisco'!D76</f>
        <v>0</v>
      </c>
      <c r="L76" s="120">
        <f t="shared" si="26"/>
        <v>0</v>
      </c>
      <c r="M76" s="131">
        <f>'Suc. Acaponeta'!D76</f>
        <v>0</v>
      </c>
      <c r="N76" s="131">
        <f>'Suc. Compostela'!D76</f>
        <v>0</v>
      </c>
      <c r="O76" s="131">
        <f>'Suc. Ruiz'!D76</f>
        <v>0</v>
      </c>
      <c r="P76" s="131">
        <f>'Suc. Sanblas'!D76</f>
        <v>0</v>
      </c>
      <c r="Q76" s="131">
        <f>'LALO VARAS'!D76</f>
        <v>0</v>
      </c>
      <c r="R76" s="131">
        <f>'Suc. Santiago 2'!D76</f>
        <v>0</v>
      </c>
      <c r="S76" s="131">
        <f>'Suc. Tecuala'!D76</f>
        <v>0</v>
      </c>
      <c r="T76" s="131">
        <f>'Suc. Tuxpan'!D76</f>
        <v>0</v>
      </c>
      <c r="U76" s="131">
        <f>'Suc. Varas'!D76</f>
        <v>0</v>
      </c>
      <c r="V76" s="131">
        <f>'Suc. Santa María del Oro'!D76</f>
        <v>0</v>
      </c>
      <c r="W76" s="131">
        <f>'Suc. Villa Hidalgo'!D76</f>
        <v>0</v>
      </c>
      <c r="X76" s="131">
        <f>'Suc. Peñita'!D76</f>
        <v>0</v>
      </c>
      <c r="Y76" s="120">
        <f t="shared" si="27"/>
        <v>0</v>
      </c>
      <c r="Z76" s="120">
        <f t="shared" si="28"/>
        <v>0</v>
      </c>
    </row>
    <row r="77" spans="1:30" ht="18" thickBot="1" x14ac:dyDescent="0.4">
      <c r="A77" s="93"/>
      <c r="B77" s="131">
        <f>'Suc. Amado Nervo'!D77</f>
        <v>0</v>
      </c>
      <c r="C77" s="131">
        <f>'Suc. León'!D77</f>
        <v>0</v>
      </c>
      <c r="D77" s="120">
        <f>'San Cayetano'!D77</f>
        <v>0</v>
      </c>
      <c r="E77" s="120">
        <f>'Suc. Boulevard'!D77</f>
        <v>0</v>
      </c>
      <c r="F77" s="120">
        <f>'Suc. Dos de Agosto'!D77</f>
        <v>0</v>
      </c>
      <c r="G77" s="120">
        <f>'Suc. La Nueva Canasta'!D77</f>
        <v>0</v>
      </c>
      <c r="H77" s="120">
        <f>'Suc. Mololoa'!D77</f>
        <v>0</v>
      </c>
      <c r="I77" s="120">
        <f>'Suc. Plaza'!D77</f>
        <v>0</v>
      </c>
      <c r="J77" s="120">
        <f>'Suc. Vistas'!D77</f>
        <v>0</v>
      </c>
      <c r="K77" s="120">
        <f>'Suc. Xalisco'!D77</f>
        <v>0</v>
      </c>
      <c r="L77" s="120">
        <f t="shared" si="26"/>
        <v>0</v>
      </c>
      <c r="M77" s="131">
        <f>'Suc. Acaponeta'!D77</f>
        <v>0</v>
      </c>
      <c r="N77" s="131">
        <f>'Suc. Compostela'!D77</f>
        <v>0</v>
      </c>
      <c r="O77" s="131">
        <f>'Suc. Ruiz'!D77</f>
        <v>0</v>
      </c>
      <c r="P77" s="131">
        <f>'Suc. Sanblas'!D77</f>
        <v>0</v>
      </c>
      <c r="Q77" s="131">
        <f>'LALO VARAS'!D77</f>
        <v>0</v>
      </c>
      <c r="R77" s="131">
        <f>'Suc. Santiago 2'!D77</f>
        <v>0</v>
      </c>
      <c r="S77" s="131">
        <f>'Suc. Tecuala'!D77</f>
        <v>0</v>
      </c>
      <c r="T77" s="131">
        <f>'Suc. Tuxpan'!D77</f>
        <v>0</v>
      </c>
      <c r="U77" s="131">
        <f>'Suc. Varas'!D77</f>
        <v>0</v>
      </c>
      <c r="V77" s="131">
        <f>'Suc. Santa María del Oro'!D77</f>
        <v>0</v>
      </c>
      <c r="W77" s="131">
        <f>'Suc. Villa Hidalgo'!D77</f>
        <v>0</v>
      </c>
      <c r="X77" s="131">
        <f>'Suc. Peñita'!D77</f>
        <v>0</v>
      </c>
      <c r="Y77" s="120">
        <f t="shared" si="27"/>
        <v>0</v>
      </c>
      <c r="Z77" s="120">
        <f t="shared" si="28"/>
        <v>0</v>
      </c>
      <c r="AB77" s="84">
        <f>IFERROR(VLOOKUP(A77,'GRAL. SUC. FORANEAS'!$R:$S,2,0),0)</f>
        <v>0</v>
      </c>
      <c r="AD77" s="84">
        <f t="shared" ref="AD77:AD85" si="29">AB77+Z77</f>
        <v>0</v>
      </c>
    </row>
    <row r="78" spans="1:30" ht="18" thickBot="1" x14ac:dyDescent="0.4">
      <c r="A78" s="99" t="s">
        <v>54</v>
      </c>
      <c r="B78" s="123">
        <f t="shared" ref="B78:Z78" si="30">SUM(B56:B77)</f>
        <v>34</v>
      </c>
      <c r="C78" s="123">
        <f t="shared" si="30"/>
        <v>36</v>
      </c>
      <c r="D78" s="123">
        <f t="shared" si="30"/>
        <v>23</v>
      </c>
      <c r="E78" s="123">
        <f t="shared" si="30"/>
        <v>19</v>
      </c>
      <c r="F78" s="123">
        <f t="shared" si="30"/>
        <v>19</v>
      </c>
      <c r="G78" s="123">
        <f t="shared" si="30"/>
        <v>0</v>
      </c>
      <c r="H78" s="123">
        <f t="shared" si="30"/>
        <v>20</v>
      </c>
      <c r="I78" s="123">
        <f t="shared" si="30"/>
        <v>30</v>
      </c>
      <c r="J78" s="123">
        <f t="shared" si="30"/>
        <v>25</v>
      </c>
      <c r="K78" s="123">
        <f t="shared" si="30"/>
        <v>15</v>
      </c>
      <c r="L78" s="123">
        <f t="shared" si="30"/>
        <v>221</v>
      </c>
      <c r="M78" s="123">
        <f t="shared" si="30"/>
        <v>49</v>
      </c>
      <c r="N78" s="123">
        <f t="shared" si="30"/>
        <v>23</v>
      </c>
      <c r="O78" s="123">
        <f t="shared" si="30"/>
        <v>9</v>
      </c>
      <c r="P78" s="123">
        <f t="shared" si="30"/>
        <v>30</v>
      </c>
      <c r="Q78" s="123">
        <f t="shared" si="30"/>
        <v>24</v>
      </c>
      <c r="R78" s="123">
        <f t="shared" si="30"/>
        <v>26</v>
      </c>
      <c r="S78" s="123">
        <f t="shared" si="30"/>
        <v>30</v>
      </c>
      <c r="T78" s="123">
        <f t="shared" si="30"/>
        <v>20</v>
      </c>
      <c r="U78" s="123">
        <f t="shared" si="30"/>
        <v>48</v>
      </c>
      <c r="V78" s="123">
        <f t="shared" si="30"/>
        <v>28</v>
      </c>
      <c r="W78" s="123">
        <f t="shared" si="30"/>
        <v>41</v>
      </c>
      <c r="X78" s="123">
        <f t="shared" si="30"/>
        <v>23</v>
      </c>
      <c r="Y78" s="123">
        <f t="shared" si="30"/>
        <v>351</v>
      </c>
      <c r="Z78" s="123">
        <f t="shared" si="30"/>
        <v>572</v>
      </c>
      <c r="AB78" s="47">
        <f>SUM(AB56:AB77)</f>
        <v>133</v>
      </c>
      <c r="AD78" s="47">
        <f t="shared" si="29"/>
        <v>705</v>
      </c>
    </row>
    <row r="79" spans="1:30" ht="18.600000000000001" thickBot="1" x14ac:dyDescent="0.4">
      <c r="A79" s="103" t="s">
        <v>55</v>
      </c>
      <c r="B79" s="125">
        <f t="shared" ref="B79:Z79" si="31">B18+B32+B49+B52+B55+B78</f>
        <v>119</v>
      </c>
      <c r="C79" s="125">
        <f t="shared" si="31"/>
        <v>127</v>
      </c>
      <c r="D79" s="125">
        <f t="shared" si="31"/>
        <v>105</v>
      </c>
      <c r="E79" s="125">
        <f t="shared" si="31"/>
        <v>73</v>
      </c>
      <c r="F79" s="125">
        <f t="shared" si="31"/>
        <v>91</v>
      </c>
      <c r="G79" s="125">
        <f t="shared" si="31"/>
        <v>0</v>
      </c>
      <c r="H79" s="125">
        <f t="shared" si="31"/>
        <v>86</v>
      </c>
      <c r="I79" s="125">
        <f t="shared" si="31"/>
        <v>70</v>
      </c>
      <c r="J79" s="125">
        <f t="shared" si="31"/>
        <v>130</v>
      </c>
      <c r="K79" s="125">
        <f t="shared" si="31"/>
        <v>79</v>
      </c>
      <c r="L79" s="125">
        <f t="shared" si="31"/>
        <v>880</v>
      </c>
      <c r="M79" s="125">
        <f t="shared" si="31"/>
        <v>161</v>
      </c>
      <c r="N79" s="125">
        <f t="shared" si="31"/>
        <v>98</v>
      </c>
      <c r="O79" s="125">
        <f t="shared" si="31"/>
        <v>114</v>
      </c>
      <c r="P79" s="125">
        <f t="shared" si="31"/>
        <v>132</v>
      </c>
      <c r="Q79" s="125">
        <f t="shared" si="31"/>
        <v>171</v>
      </c>
      <c r="R79" s="125">
        <f t="shared" si="31"/>
        <v>141</v>
      </c>
      <c r="S79" s="125">
        <f t="shared" si="31"/>
        <v>108</v>
      </c>
      <c r="T79" s="125">
        <f t="shared" si="31"/>
        <v>131</v>
      </c>
      <c r="U79" s="125">
        <f t="shared" si="31"/>
        <v>145</v>
      </c>
      <c r="V79" s="125">
        <f t="shared" si="31"/>
        <v>110</v>
      </c>
      <c r="W79" s="125">
        <f t="shared" si="31"/>
        <v>157</v>
      </c>
      <c r="X79" s="125">
        <f t="shared" si="31"/>
        <v>96</v>
      </c>
      <c r="Y79" s="125">
        <f t="shared" si="31"/>
        <v>1564</v>
      </c>
      <c r="Z79" s="125">
        <f t="shared" si="31"/>
        <v>2444</v>
      </c>
      <c r="AB79" s="51">
        <f>AB18+AB32+AB49+AB52+AB55+AB78</f>
        <v>775</v>
      </c>
      <c r="AD79" s="51">
        <f t="shared" si="29"/>
        <v>3219</v>
      </c>
    </row>
    <row r="80" spans="1:30" ht="17.399999999999999" x14ac:dyDescent="0.35">
      <c r="A80" s="104" t="s">
        <v>56</v>
      </c>
      <c r="B80" s="132"/>
      <c r="C80" s="132"/>
      <c r="D80" s="126"/>
      <c r="E80" s="126"/>
      <c r="F80" s="126"/>
      <c r="G80" s="126"/>
      <c r="H80" s="126"/>
      <c r="I80" s="126"/>
      <c r="J80" s="126"/>
      <c r="K80" s="126"/>
      <c r="L80" s="126"/>
      <c r="M80" s="132"/>
      <c r="N80" s="132"/>
      <c r="O80" s="132"/>
      <c r="P80" s="132"/>
      <c r="Q80" s="132"/>
      <c r="R80" s="132"/>
      <c r="S80" s="132"/>
      <c r="T80" s="132"/>
      <c r="U80" s="132"/>
      <c r="V80" s="132"/>
      <c r="W80" s="132"/>
      <c r="X80" s="132"/>
      <c r="Y80" s="126"/>
      <c r="Z80" s="126"/>
      <c r="AB80" s="27"/>
      <c r="AD80" s="27">
        <f t="shared" si="29"/>
        <v>0</v>
      </c>
    </row>
    <row r="81" spans="1:30" ht="17.399999999999999" x14ac:dyDescent="0.35">
      <c r="A81" s="94" t="s">
        <v>57</v>
      </c>
      <c r="B81" s="131">
        <f>'Suc. Amado Nervo'!D81</f>
        <v>3</v>
      </c>
      <c r="C81" s="131">
        <f>'Suc. León'!D81</f>
        <v>3</v>
      </c>
      <c r="D81" s="120">
        <f>'San Cayetano'!D81</f>
        <v>1</v>
      </c>
      <c r="E81" s="120">
        <f>'Suc. Boulevard'!D81</f>
        <v>1</v>
      </c>
      <c r="F81" s="120">
        <f>'Suc. Dos de Agosto'!D81</f>
        <v>2</v>
      </c>
      <c r="G81" s="120">
        <f>'Suc. La Nueva Canasta'!D81</f>
        <v>0</v>
      </c>
      <c r="H81" s="120">
        <f>'Suc. Mololoa'!D81</f>
        <v>1</v>
      </c>
      <c r="I81" s="120">
        <f>'Suc. Plaza'!D81</f>
        <v>1</v>
      </c>
      <c r="J81" s="120">
        <f>'Suc. Vistas'!D81</f>
        <v>1</v>
      </c>
      <c r="K81" s="120">
        <f>'Suc. Xalisco'!D81</f>
        <v>1</v>
      </c>
      <c r="L81" s="120">
        <f t="shared" ref="L81:L90" si="32">SUM(B81:K81)</f>
        <v>14</v>
      </c>
      <c r="M81" s="131">
        <f>'Suc. Acaponeta'!D81</f>
        <v>6</v>
      </c>
      <c r="N81" s="131">
        <f>'Suc. Compostela'!D81</f>
        <v>1</v>
      </c>
      <c r="O81" s="131">
        <f>'Suc. Ruiz'!D81</f>
        <v>1</v>
      </c>
      <c r="P81" s="131">
        <f>'Suc. Sanblas'!D81</f>
        <v>1</v>
      </c>
      <c r="Q81" s="131">
        <f>'LALO VARAS'!D81</f>
        <v>2</v>
      </c>
      <c r="R81" s="131">
        <f>'Suc. Santiago 2'!D81</f>
        <v>1</v>
      </c>
      <c r="S81" s="131">
        <f>'Suc. Tecuala'!D81</f>
        <v>2</v>
      </c>
      <c r="T81" s="131">
        <f>'Suc. Tuxpan'!D81</f>
        <v>1</v>
      </c>
      <c r="U81" s="131">
        <f>'Suc. Varas'!D81</f>
        <v>0</v>
      </c>
      <c r="V81" s="131">
        <f>'Suc. Santa María del Oro'!D81</f>
        <v>0</v>
      </c>
      <c r="W81" s="131">
        <f>'Suc. Villa Hidalgo'!D81</f>
        <v>1</v>
      </c>
      <c r="X81" s="131">
        <f>'Suc. Peñita'!D81</f>
        <v>0</v>
      </c>
      <c r="Y81" s="120">
        <f t="shared" ref="Y81:Y90" si="33">SUM(M81:X81)</f>
        <v>16</v>
      </c>
      <c r="Z81" s="120">
        <f t="shared" ref="Z81:Z90" si="34">L81+Y81</f>
        <v>30</v>
      </c>
      <c r="AB81" s="84">
        <f>IFERROR(VLOOKUP(A81,'GRAL. SUC. FORANEAS'!$R:$S,2,0),0)</f>
        <v>7</v>
      </c>
      <c r="AD81" s="84">
        <f t="shared" si="29"/>
        <v>37</v>
      </c>
    </row>
    <row r="82" spans="1:30" ht="17.399999999999999" x14ac:dyDescent="0.35">
      <c r="A82" s="94" t="s">
        <v>58</v>
      </c>
      <c r="B82" s="131">
        <f>'Suc. Amado Nervo'!D82</f>
        <v>2</v>
      </c>
      <c r="C82" s="131">
        <f>'Suc. León'!D82</f>
        <v>2</v>
      </c>
      <c r="D82" s="120">
        <f>'San Cayetano'!D82</f>
        <v>1</v>
      </c>
      <c r="E82" s="120">
        <f>'Suc. Boulevard'!D82</f>
        <v>1</v>
      </c>
      <c r="F82" s="120">
        <f>'Suc. Dos de Agosto'!D82</f>
        <v>1</v>
      </c>
      <c r="G82" s="120">
        <f>'Suc. La Nueva Canasta'!D82</f>
        <v>0</v>
      </c>
      <c r="H82" s="120">
        <f>'Suc. Mololoa'!D82</f>
        <v>1</v>
      </c>
      <c r="I82" s="120">
        <f>'Suc. Plaza'!D82</f>
        <v>1</v>
      </c>
      <c r="J82" s="120">
        <f>'Suc. Vistas'!D82</f>
        <v>1</v>
      </c>
      <c r="K82" s="120">
        <f>'Suc. Xalisco'!D82</f>
        <v>1</v>
      </c>
      <c r="L82" s="120">
        <f t="shared" si="32"/>
        <v>11</v>
      </c>
      <c r="M82" s="131">
        <f>'Suc. Acaponeta'!D82</f>
        <v>6</v>
      </c>
      <c r="N82" s="131">
        <f>'Suc. Compostela'!D82</f>
        <v>1</v>
      </c>
      <c r="O82" s="131">
        <f>'Suc. Ruiz'!D82</f>
        <v>1</v>
      </c>
      <c r="P82" s="131">
        <f>'Suc. Sanblas'!D82</f>
        <v>1</v>
      </c>
      <c r="Q82" s="131">
        <f>'LALO VARAS'!D82</f>
        <v>2</v>
      </c>
      <c r="R82" s="131">
        <f>'Suc. Santiago 2'!D82</f>
        <v>1</v>
      </c>
      <c r="S82" s="131">
        <f>'Suc. Tecuala'!D82</f>
        <v>1</v>
      </c>
      <c r="T82" s="131">
        <f>'Suc. Tuxpan'!D82</f>
        <v>0</v>
      </c>
      <c r="U82" s="131">
        <f>'Suc. Varas'!D82</f>
        <v>0</v>
      </c>
      <c r="V82" s="131">
        <f>'Suc. Santa María del Oro'!D82</f>
        <v>0</v>
      </c>
      <c r="W82" s="131">
        <f>'Suc. Villa Hidalgo'!D82</f>
        <v>1</v>
      </c>
      <c r="X82" s="131">
        <f>'Suc. Peñita'!D82</f>
        <v>0</v>
      </c>
      <c r="Y82" s="120">
        <f t="shared" si="33"/>
        <v>14</v>
      </c>
      <c r="Z82" s="120">
        <f t="shared" si="34"/>
        <v>25</v>
      </c>
      <c r="AB82" s="84">
        <f>IFERROR(VLOOKUP(A82,'GRAL. SUC. FORANEAS'!$R:$S,2,0),0)</f>
        <v>5</v>
      </c>
      <c r="AD82" s="84">
        <f t="shared" si="29"/>
        <v>30</v>
      </c>
    </row>
    <row r="83" spans="1:30" ht="17.399999999999999" x14ac:dyDescent="0.35">
      <c r="A83" s="94" t="s">
        <v>59</v>
      </c>
      <c r="B83" s="131">
        <f>'Suc. Amado Nervo'!D83</f>
        <v>2</v>
      </c>
      <c r="C83" s="131">
        <f>'Suc. León'!D83</f>
        <v>2</v>
      </c>
      <c r="D83" s="120">
        <f>'San Cayetano'!D83</f>
        <v>1</v>
      </c>
      <c r="E83" s="120">
        <f>'Suc. Boulevard'!D83</f>
        <v>1</v>
      </c>
      <c r="F83" s="120">
        <f>'Suc. Dos de Agosto'!D83</f>
        <v>1</v>
      </c>
      <c r="G83" s="120">
        <f>'Suc. La Nueva Canasta'!D83</f>
        <v>0</v>
      </c>
      <c r="H83" s="120">
        <f>'Suc. Mololoa'!D83</f>
        <v>1</v>
      </c>
      <c r="I83" s="120">
        <f>'Suc. Plaza'!D83</f>
        <v>1</v>
      </c>
      <c r="J83" s="120">
        <f>'Suc. Vistas'!D83</f>
        <v>1</v>
      </c>
      <c r="K83" s="120">
        <f>'Suc. Xalisco'!D83</f>
        <v>1</v>
      </c>
      <c r="L83" s="120">
        <f t="shared" si="32"/>
        <v>11</v>
      </c>
      <c r="M83" s="131">
        <f>'Suc. Acaponeta'!D83</f>
        <v>2</v>
      </c>
      <c r="N83" s="131">
        <f>'Suc. Compostela'!D83</f>
        <v>1</v>
      </c>
      <c r="O83" s="131">
        <f>'Suc. Ruiz'!D83</f>
        <v>0</v>
      </c>
      <c r="P83" s="131">
        <f>'Suc. Sanblas'!D83</f>
        <v>1</v>
      </c>
      <c r="Q83" s="131">
        <f>'LALO VARAS'!D83</f>
        <v>1</v>
      </c>
      <c r="R83" s="131">
        <f>'Suc. Santiago 2'!D83</f>
        <v>1</v>
      </c>
      <c r="S83" s="131">
        <f>'Suc. Tecuala'!D83</f>
        <v>1</v>
      </c>
      <c r="T83" s="131">
        <f>'Suc. Tuxpan'!D83</f>
        <v>0</v>
      </c>
      <c r="U83" s="131">
        <f>'Suc. Varas'!D83</f>
        <v>0</v>
      </c>
      <c r="V83" s="131">
        <f>'Suc. Santa María del Oro'!D83</f>
        <v>0</v>
      </c>
      <c r="W83" s="131">
        <f>'Suc. Villa Hidalgo'!D83</f>
        <v>1</v>
      </c>
      <c r="X83" s="131">
        <f>'Suc. Peñita'!D83</f>
        <v>0</v>
      </c>
      <c r="Y83" s="120">
        <f t="shared" si="33"/>
        <v>8</v>
      </c>
      <c r="Z83" s="120">
        <f t="shared" si="34"/>
        <v>19</v>
      </c>
      <c r="AB83" s="84">
        <f>IFERROR(VLOOKUP(A83,'GRAL. SUC. FORANEAS'!$R:$S,2,0),0)</f>
        <v>6</v>
      </c>
      <c r="AD83" s="84">
        <f t="shared" si="29"/>
        <v>25</v>
      </c>
    </row>
    <row r="84" spans="1:30" ht="17.399999999999999" x14ac:dyDescent="0.35">
      <c r="A84" s="94" t="s">
        <v>60</v>
      </c>
      <c r="B84" s="131">
        <f>'Suc. Amado Nervo'!D84</f>
        <v>3</v>
      </c>
      <c r="C84" s="131">
        <f>'Suc. León'!D84</f>
        <v>4</v>
      </c>
      <c r="D84" s="120">
        <f>'San Cayetano'!D84</f>
        <v>1</v>
      </c>
      <c r="E84" s="120">
        <f>'Suc. Boulevard'!D84</f>
        <v>1</v>
      </c>
      <c r="F84" s="120">
        <f>'Suc. Dos de Agosto'!D84</f>
        <v>1</v>
      </c>
      <c r="G84" s="120">
        <f>'Suc. La Nueva Canasta'!D84</f>
        <v>0</v>
      </c>
      <c r="H84" s="120">
        <f>'Suc. Mololoa'!D84</f>
        <v>1</v>
      </c>
      <c r="I84" s="120">
        <f>'Suc. Plaza'!D84</f>
        <v>0</v>
      </c>
      <c r="J84" s="120">
        <f>'Suc. Vistas'!D84</f>
        <v>1</v>
      </c>
      <c r="K84" s="120">
        <f>'Suc. Xalisco'!D84</f>
        <v>1</v>
      </c>
      <c r="L84" s="120">
        <f t="shared" si="32"/>
        <v>13</v>
      </c>
      <c r="M84" s="131">
        <f>'Suc. Acaponeta'!D84</f>
        <v>4</v>
      </c>
      <c r="N84" s="131">
        <f>'Suc. Compostela'!D84</f>
        <v>0</v>
      </c>
      <c r="O84" s="131">
        <f>'Suc. Ruiz'!D84</f>
        <v>1</v>
      </c>
      <c r="P84" s="131">
        <f>'Suc. Sanblas'!D84</f>
        <v>1</v>
      </c>
      <c r="Q84" s="131">
        <f>'LALO VARAS'!D84</f>
        <v>2</v>
      </c>
      <c r="R84" s="131">
        <f>'Suc. Santiago 2'!D84</f>
        <v>2</v>
      </c>
      <c r="S84" s="131">
        <f>'Suc. Tecuala'!D84</f>
        <v>2</v>
      </c>
      <c r="T84" s="131">
        <f>'Suc. Tuxpan'!D84</f>
        <v>1</v>
      </c>
      <c r="U84" s="131">
        <f>'Suc. Varas'!D84</f>
        <v>0</v>
      </c>
      <c r="V84" s="131">
        <f>'Suc. Santa María del Oro'!D84</f>
        <v>0</v>
      </c>
      <c r="W84" s="131">
        <f>'Suc. Villa Hidalgo'!D84</f>
        <v>1</v>
      </c>
      <c r="X84" s="131">
        <f>'Suc. Peñita'!D84</f>
        <v>0</v>
      </c>
      <c r="Y84" s="120">
        <f t="shared" si="33"/>
        <v>14</v>
      </c>
      <c r="Z84" s="120">
        <f t="shared" si="34"/>
        <v>27</v>
      </c>
      <c r="AB84" s="84">
        <f>IFERROR(VLOOKUP(A84,'GRAL. SUC. FORANEAS'!$R:$S,2,0),0)</f>
        <v>7</v>
      </c>
      <c r="AD84" s="84">
        <f t="shared" si="29"/>
        <v>34</v>
      </c>
    </row>
    <row r="85" spans="1:30" ht="17.399999999999999" x14ac:dyDescent="0.35">
      <c r="A85" s="94" t="s">
        <v>61</v>
      </c>
      <c r="B85" s="131">
        <f>'Suc. Amado Nervo'!D85</f>
        <v>3</v>
      </c>
      <c r="C85" s="131">
        <f>'Suc. León'!D85</f>
        <v>4</v>
      </c>
      <c r="D85" s="120">
        <f>'San Cayetano'!D85</f>
        <v>1</v>
      </c>
      <c r="E85" s="120">
        <f>'Suc. Boulevard'!D85</f>
        <v>1</v>
      </c>
      <c r="F85" s="120">
        <f>'Suc. Dos de Agosto'!D85</f>
        <v>1</v>
      </c>
      <c r="G85" s="120">
        <f>'Suc. La Nueva Canasta'!D85</f>
        <v>0</v>
      </c>
      <c r="H85" s="120">
        <f>'Suc. Mololoa'!D85</f>
        <v>1</v>
      </c>
      <c r="I85" s="120">
        <f>'Suc. Plaza'!D85</f>
        <v>1</v>
      </c>
      <c r="J85" s="120">
        <f>'Suc. Vistas'!D85</f>
        <v>1</v>
      </c>
      <c r="K85" s="120">
        <f>'Suc. Xalisco'!D85</f>
        <v>1</v>
      </c>
      <c r="L85" s="120">
        <f t="shared" si="32"/>
        <v>14</v>
      </c>
      <c r="M85" s="131">
        <f>'Suc. Acaponeta'!D85</f>
        <v>8</v>
      </c>
      <c r="N85" s="131">
        <f>'Suc. Compostela'!D85</f>
        <v>1</v>
      </c>
      <c r="O85" s="131">
        <f>'Suc. Ruiz'!D85</f>
        <v>1</v>
      </c>
      <c r="P85" s="131">
        <f>'Suc. Sanblas'!D85</f>
        <v>2</v>
      </c>
      <c r="Q85" s="131">
        <f>'LALO VARAS'!D85</f>
        <v>4</v>
      </c>
      <c r="R85" s="131">
        <f>'Suc. Santiago 2'!D85</f>
        <v>3</v>
      </c>
      <c r="S85" s="131">
        <f>'Suc. Tecuala'!D85</f>
        <v>2</v>
      </c>
      <c r="T85" s="131">
        <f>'Suc. Tuxpan'!D85</f>
        <v>1</v>
      </c>
      <c r="U85" s="131">
        <f>'Suc. Varas'!D85</f>
        <v>1</v>
      </c>
      <c r="V85" s="131">
        <f>'Suc. Santa María del Oro'!D85</f>
        <v>0</v>
      </c>
      <c r="W85" s="131">
        <f>'Suc. Villa Hidalgo'!D85</f>
        <v>1</v>
      </c>
      <c r="X85" s="131">
        <f>'Suc. Peñita'!D85</f>
        <v>0</v>
      </c>
      <c r="Y85" s="120">
        <f t="shared" si="33"/>
        <v>24</v>
      </c>
      <c r="Z85" s="120">
        <f t="shared" si="34"/>
        <v>38</v>
      </c>
      <c r="AB85" s="84">
        <f>IFERROR(VLOOKUP(A85,'GRAL. SUC. FORANEAS'!$R:$S,2,0),0)</f>
        <v>11</v>
      </c>
      <c r="AD85" s="84">
        <f t="shared" si="29"/>
        <v>49</v>
      </c>
    </row>
    <row r="86" spans="1:30" ht="17.399999999999999" x14ac:dyDescent="0.35">
      <c r="A86" s="94" t="s">
        <v>63</v>
      </c>
      <c r="B86" s="131">
        <f>'Suc. Amado Nervo'!D86</f>
        <v>3</v>
      </c>
      <c r="C86" s="131">
        <f>'Suc. León'!D86</f>
        <v>5</v>
      </c>
      <c r="D86" s="120">
        <f>'San Cayetano'!D86</f>
        <v>2</v>
      </c>
      <c r="E86" s="120">
        <f>'Suc. Boulevard'!D86</f>
        <v>3</v>
      </c>
      <c r="F86" s="120">
        <f>'Suc. Dos de Agosto'!D86</f>
        <v>2</v>
      </c>
      <c r="G86" s="120">
        <f>'Suc. La Nueva Canasta'!D86</f>
        <v>0</v>
      </c>
      <c r="H86" s="120">
        <f>'Suc. Mololoa'!D86</f>
        <v>3</v>
      </c>
      <c r="I86" s="120">
        <f>'Suc. Plaza'!D86</f>
        <v>2</v>
      </c>
      <c r="J86" s="120">
        <f>'Suc. Vistas'!D86</f>
        <v>3</v>
      </c>
      <c r="K86" s="120">
        <f>'Suc. Xalisco'!D86</f>
        <v>2</v>
      </c>
      <c r="L86" s="120">
        <f t="shared" si="32"/>
        <v>25</v>
      </c>
      <c r="M86" s="131">
        <f>'Suc. Acaponeta'!D86</f>
        <v>5</v>
      </c>
      <c r="N86" s="131">
        <f>'Suc. Compostela'!D86</f>
        <v>4</v>
      </c>
      <c r="O86" s="131">
        <f>'Suc. Ruiz'!D86</f>
        <v>2</v>
      </c>
      <c r="P86" s="131">
        <f>'Suc. Sanblas'!D86</f>
        <v>5</v>
      </c>
      <c r="Q86" s="131">
        <f>'LALO VARAS'!D86</f>
        <v>4</v>
      </c>
      <c r="R86" s="131">
        <f>'Suc. Santiago 2'!D86</f>
        <v>3</v>
      </c>
      <c r="S86" s="131">
        <f>'Suc. Tecuala'!D86</f>
        <v>3</v>
      </c>
      <c r="T86" s="131">
        <f>'Suc. Tuxpan'!D86</f>
        <v>3</v>
      </c>
      <c r="U86" s="131">
        <f>'Suc. Varas'!D86</f>
        <v>2</v>
      </c>
      <c r="V86" s="131">
        <f>'Suc. Santa María del Oro'!D86</f>
        <v>0</v>
      </c>
      <c r="W86" s="131">
        <f>'Suc. Villa Hidalgo'!D86</f>
        <v>5</v>
      </c>
      <c r="X86" s="131">
        <f>'Suc. Peñita'!D86</f>
        <v>0</v>
      </c>
      <c r="Y86" s="120">
        <f t="shared" si="33"/>
        <v>36</v>
      </c>
      <c r="Z86" s="120">
        <f t="shared" si="34"/>
        <v>61</v>
      </c>
    </row>
    <row r="87" spans="1:30" ht="17.399999999999999" x14ac:dyDescent="0.35">
      <c r="A87" s="94"/>
      <c r="B87" s="131">
        <f>'Suc. Amado Nervo'!D87</f>
        <v>0</v>
      </c>
      <c r="C87" s="131">
        <f>'Suc. León'!D87</f>
        <v>0</v>
      </c>
      <c r="D87" s="120">
        <f>'San Cayetano'!D87</f>
        <v>0</v>
      </c>
      <c r="E87" s="120">
        <f>'Suc. Boulevard'!D87</f>
        <v>0</v>
      </c>
      <c r="F87" s="120">
        <f>'Suc. Dos de Agosto'!D87</f>
        <v>0</v>
      </c>
      <c r="G87" s="120">
        <f>'Suc. La Nueva Canasta'!D87</f>
        <v>0</v>
      </c>
      <c r="H87" s="120">
        <f>'Suc. Mololoa'!D87</f>
        <v>0</v>
      </c>
      <c r="I87" s="120">
        <f>'Suc. Plaza'!D87</f>
        <v>0</v>
      </c>
      <c r="J87" s="120">
        <f>'Suc. Vistas'!D87</f>
        <v>0</v>
      </c>
      <c r="K87" s="120">
        <f>'Suc. Xalisco'!D87</f>
        <v>0</v>
      </c>
      <c r="L87" s="120">
        <f t="shared" si="32"/>
        <v>0</v>
      </c>
      <c r="M87" s="131">
        <f>'Suc. Acaponeta'!D87</f>
        <v>0</v>
      </c>
      <c r="N87" s="131">
        <f>'Suc. Compostela'!D87</f>
        <v>0</v>
      </c>
      <c r="O87" s="131">
        <f>'Suc. Ruiz'!D87</f>
        <v>0</v>
      </c>
      <c r="P87" s="131">
        <f>'Suc. Sanblas'!D87</f>
        <v>0</v>
      </c>
      <c r="Q87" s="131">
        <f>'LALO VARAS'!D87</f>
        <v>0</v>
      </c>
      <c r="R87" s="131">
        <f>'Suc. Santiago 2'!D87</f>
        <v>0</v>
      </c>
      <c r="S87" s="131">
        <f>'Suc. Tecuala'!D87</f>
        <v>0</v>
      </c>
      <c r="T87" s="131">
        <f>'Suc. Tuxpan'!D87</f>
        <v>0</v>
      </c>
      <c r="U87" s="131">
        <f>'Suc. Varas'!D87</f>
        <v>0</v>
      </c>
      <c r="V87" s="131">
        <f>'Suc. Santa María del Oro'!D87</f>
        <v>0</v>
      </c>
      <c r="W87" s="131">
        <f>'Suc. Villa Hidalgo'!D87</f>
        <v>0</v>
      </c>
      <c r="X87" s="131">
        <f>'Suc. Peñita'!D87</f>
        <v>0</v>
      </c>
      <c r="Y87" s="120">
        <f t="shared" si="33"/>
        <v>0</v>
      </c>
      <c r="Z87" s="120">
        <f t="shared" si="34"/>
        <v>0</v>
      </c>
    </row>
    <row r="88" spans="1:30" ht="17.399999999999999" x14ac:dyDescent="0.35">
      <c r="A88" s="94"/>
      <c r="B88" s="131">
        <f>'Suc. Amado Nervo'!D88</f>
        <v>0</v>
      </c>
      <c r="C88" s="131">
        <f>'Suc. León'!D88</f>
        <v>0</v>
      </c>
      <c r="D88" s="120">
        <f>'San Cayetano'!D88</f>
        <v>0</v>
      </c>
      <c r="E88" s="120">
        <f>'Suc. Boulevard'!D88</f>
        <v>0</v>
      </c>
      <c r="F88" s="120">
        <f>'Suc. Dos de Agosto'!D88</f>
        <v>0</v>
      </c>
      <c r="G88" s="120">
        <f>'Suc. La Nueva Canasta'!D88</f>
        <v>0</v>
      </c>
      <c r="H88" s="120">
        <f>'Suc. Mololoa'!D88</f>
        <v>0</v>
      </c>
      <c r="I88" s="120">
        <f>'Suc. Plaza'!D88</f>
        <v>0</v>
      </c>
      <c r="J88" s="120">
        <f>'Suc. Vistas'!D88</f>
        <v>0</v>
      </c>
      <c r="K88" s="120">
        <f>'Suc. Xalisco'!D88</f>
        <v>0</v>
      </c>
      <c r="L88" s="120">
        <f t="shared" si="32"/>
        <v>0</v>
      </c>
      <c r="M88" s="131">
        <f>'Suc. Acaponeta'!D88</f>
        <v>0</v>
      </c>
      <c r="N88" s="131">
        <f>'Suc. Compostela'!D88</f>
        <v>0</v>
      </c>
      <c r="O88" s="131">
        <f>'Suc. Ruiz'!D88</f>
        <v>0</v>
      </c>
      <c r="P88" s="131">
        <f>'Suc. Sanblas'!D88</f>
        <v>0</v>
      </c>
      <c r="Q88" s="131">
        <f>'LALO VARAS'!D88</f>
        <v>0</v>
      </c>
      <c r="R88" s="131">
        <f>'Suc. Santiago 2'!D88</f>
        <v>0</v>
      </c>
      <c r="S88" s="131">
        <f>'Suc. Tecuala'!D88</f>
        <v>0</v>
      </c>
      <c r="T88" s="131">
        <f>'Suc. Tuxpan'!D88</f>
        <v>0</v>
      </c>
      <c r="U88" s="131">
        <f>'Suc. Varas'!D88</f>
        <v>0</v>
      </c>
      <c r="V88" s="131">
        <f>'Suc. Santa María del Oro'!D88</f>
        <v>0</v>
      </c>
      <c r="W88" s="131">
        <f>'Suc. Villa Hidalgo'!D88</f>
        <v>0</v>
      </c>
      <c r="X88" s="131">
        <f>'Suc. Peñita'!D88</f>
        <v>0</v>
      </c>
      <c r="Y88" s="120">
        <f t="shared" si="33"/>
        <v>0</v>
      </c>
      <c r="Z88" s="120">
        <f t="shared" si="34"/>
        <v>0</v>
      </c>
    </row>
    <row r="89" spans="1:30" ht="17.399999999999999" x14ac:dyDescent="0.35">
      <c r="A89" s="94"/>
      <c r="B89" s="131">
        <f>'Suc. Amado Nervo'!D89</f>
        <v>0</v>
      </c>
      <c r="C89" s="131">
        <f>'Suc. León'!D89</f>
        <v>0</v>
      </c>
      <c r="D89" s="120">
        <f>'San Cayetano'!D89</f>
        <v>0</v>
      </c>
      <c r="E89" s="120">
        <f>'Suc. Boulevard'!D89</f>
        <v>0</v>
      </c>
      <c r="F89" s="120">
        <f>'Suc. Dos de Agosto'!D89</f>
        <v>0</v>
      </c>
      <c r="G89" s="120">
        <f>'Suc. La Nueva Canasta'!D89</f>
        <v>0</v>
      </c>
      <c r="H89" s="120">
        <f>'Suc. Mololoa'!D89</f>
        <v>0</v>
      </c>
      <c r="I89" s="120">
        <f>'Suc. Plaza'!D89</f>
        <v>0</v>
      </c>
      <c r="J89" s="120">
        <f>'Suc. Vistas'!D89</f>
        <v>0</v>
      </c>
      <c r="K89" s="120">
        <f>'Suc. Xalisco'!D89</f>
        <v>0</v>
      </c>
      <c r="L89" s="120">
        <f t="shared" si="32"/>
        <v>0</v>
      </c>
      <c r="M89" s="131">
        <f>'Suc. Acaponeta'!D89</f>
        <v>0</v>
      </c>
      <c r="N89" s="131">
        <f>'Suc. Compostela'!D89</f>
        <v>0</v>
      </c>
      <c r="O89" s="131">
        <f>'Suc. Ruiz'!D89</f>
        <v>0</v>
      </c>
      <c r="P89" s="131">
        <f>'Suc. Sanblas'!D89</f>
        <v>0</v>
      </c>
      <c r="Q89" s="131">
        <f>'LALO VARAS'!D89</f>
        <v>0</v>
      </c>
      <c r="R89" s="131">
        <f>'Suc. Santiago 2'!D89</f>
        <v>0</v>
      </c>
      <c r="S89" s="131">
        <f>'Suc. Tecuala'!D89</f>
        <v>0</v>
      </c>
      <c r="T89" s="131">
        <f>'Suc. Tuxpan'!D89</f>
        <v>0</v>
      </c>
      <c r="U89" s="131">
        <f>'Suc. Varas'!D89</f>
        <v>0</v>
      </c>
      <c r="V89" s="131">
        <f>'Suc. Santa María del Oro'!D89</f>
        <v>0</v>
      </c>
      <c r="W89" s="131">
        <f>'Suc. Villa Hidalgo'!D89</f>
        <v>0</v>
      </c>
      <c r="X89" s="131">
        <f>'Suc. Peñita'!D89</f>
        <v>0</v>
      </c>
      <c r="Y89" s="120">
        <f t="shared" si="33"/>
        <v>0</v>
      </c>
      <c r="Z89" s="120">
        <f t="shared" si="34"/>
        <v>0</v>
      </c>
    </row>
    <row r="90" spans="1:30" ht="18" thickBot="1" x14ac:dyDescent="0.4">
      <c r="A90" s="94"/>
      <c r="B90" s="131">
        <f>'Suc. Amado Nervo'!D90</f>
        <v>0</v>
      </c>
      <c r="C90" s="131">
        <f>'Suc. León'!D90</f>
        <v>0</v>
      </c>
      <c r="D90" s="120">
        <f>'San Cayetano'!D90</f>
        <v>0</v>
      </c>
      <c r="E90" s="120">
        <f>'Suc. Boulevard'!D90</f>
        <v>0</v>
      </c>
      <c r="F90" s="120">
        <f>'Suc. Dos de Agosto'!D90</f>
        <v>0</v>
      </c>
      <c r="G90" s="120">
        <f>'Suc. La Nueva Canasta'!D90</f>
        <v>0</v>
      </c>
      <c r="H90" s="120">
        <f>'Suc. Mololoa'!D90</f>
        <v>0</v>
      </c>
      <c r="I90" s="120">
        <f>'Suc. Plaza'!D90</f>
        <v>0</v>
      </c>
      <c r="J90" s="120">
        <f>'Suc. Vistas'!D90</f>
        <v>0</v>
      </c>
      <c r="K90" s="120">
        <f>'Suc. Xalisco'!D90</f>
        <v>0</v>
      </c>
      <c r="L90" s="120">
        <f t="shared" si="32"/>
        <v>0</v>
      </c>
      <c r="M90" s="131">
        <f>'Suc. Acaponeta'!D90</f>
        <v>0</v>
      </c>
      <c r="N90" s="131">
        <f>'Suc. Compostela'!D90</f>
        <v>0</v>
      </c>
      <c r="O90" s="131">
        <f>'Suc. Ruiz'!D90</f>
        <v>0</v>
      </c>
      <c r="P90" s="131">
        <f>'Suc. Sanblas'!D90</f>
        <v>0</v>
      </c>
      <c r="Q90" s="131">
        <f>'LALO VARAS'!D90</f>
        <v>0</v>
      </c>
      <c r="R90" s="131">
        <f>'Suc. Santiago 2'!D90</f>
        <v>0</v>
      </c>
      <c r="S90" s="131">
        <f>'Suc. Tecuala'!D90</f>
        <v>0</v>
      </c>
      <c r="T90" s="131">
        <f>'Suc. Tuxpan'!D90</f>
        <v>0</v>
      </c>
      <c r="U90" s="131">
        <f>'Suc. Varas'!D90</f>
        <v>0</v>
      </c>
      <c r="V90" s="131">
        <f>'Suc. Santa María del Oro'!D90</f>
        <v>0</v>
      </c>
      <c r="W90" s="131">
        <f>'Suc. Villa Hidalgo'!D90</f>
        <v>0</v>
      </c>
      <c r="X90" s="131">
        <f>'Suc. Peñita'!D90</f>
        <v>0</v>
      </c>
      <c r="Y90" s="120">
        <f t="shared" si="33"/>
        <v>0</v>
      </c>
      <c r="Z90" s="120">
        <f t="shared" si="34"/>
        <v>0</v>
      </c>
      <c r="AB90" s="84">
        <f>IFERROR(VLOOKUP(A90,'GRAL. SUC. FORANEAS'!$R:$S,2,0),0)</f>
        <v>0</v>
      </c>
      <c r="AD90" s="84">
        <f t="shared" ref="AD90:AD100" si="35">AB90+Z90</f>
        <v>0</v>
      </c>
    </row>
    <row r="91" spans="1:30" ht="18.600000000000001" thickBot="1" x14ac:dyDescent="0.4">
      <c r="A91" s="105" t="s">
        <v>55</v>
      </c>
      <c r="B91" s="127">
        <f t="shared" ref="B91:Z91" si="36">SUM(B81:B90)</f>
        <v>16</v>
      </c>
      <c r="C91" s="127">
        <f t="shared" si="36"/>
        <v>20</v>
      </c>
      <c r="D91" s="127">
        <f t="shared" si="36"/>
        <v>7</v>
      </c>
      <c r="E91" s="127">
        <f t="shared" si="36"/>
        <v>8</v>
      </c>
      <c r="F91" s="127">
        <f t="shared" si="36"/>
        <v>8</v>
      </c>
      <c r="G91" s="127">
        <f t="shared" si="36"/>
        <v>0</v>
      </c>
      <c r="H91" s="127">
        <f t="shared" si="36"/>
        <v>8</v>
      </c>
      <c r="I91" s="127">
        <f t="shared" si="36"/>
        <v>6</v>
      </c>
      <c r="J91" s="127">
        <f t="shared" si="36"/>
        <v>8</v>
      </c>
      <c r="K91" s="127">
        <f t="shared" si="36"/>
        <v>7</v>
      </c>
      <c r="L91" s="127">
        <f t="shared" si="36"/>
        <v>88</v>
      </c>
      <c r="M91" s="127">
        <f t="shared" si="36"/>
        <v>31</v>
      </c>
      <c r="N91" s="127">
        <f t="shared" si="36"/>
        <v>8</v>
      </c>
      <c r="O91" s="127">
        <f t="shared" si="36"/>
        <v>6</v>
      </c>
      <c r="P91" s="127">
        <f t="shared" si="36"/>
        <v>11</v>
      </c>
      <c r="Q91" s="127">
        <f t="shared" si="36"/>
        <v>15</v>
      </c>
      <c r="R91" s="127">
        <f t="shared" si="36"/>
        <v>11</v>
      </c>
      <c r="S91" s="127">
        <f t="shared" si="36"/>
        <v>11</v>
      </c>
      <c r="T91" s="127">
        <f t="shared" si="36"/>
        <v>6</v>
      </c>
      <c r="U91" s="127">
        <f t="shared" si="36"/>
        <v>3</v>
      </c>
      <c r="V91" s="127">
        <f t="shared" si="36"/>
        <v>0</v>
      </c>
      <c r="W91" s="127">
        <f t="shared" si="36"/>
        <v>10</v>
      </c>
      <c r="X91" s="127">
        <f t="shared" si="36"/>
        <v>0</v>
      </c>
      <c r="Y91" s="127">
        <f t="shared" si="36"/>
        <v>112</v>
      </c>
      <c r="Z91" s="127">
        <f t="shared" si="36"/>
        <v>200</v>
      </c>
      <c r="AB91" s="53">
        <f>SUM(AB81:AB90)</f>
        <v>36</v>
      </c>
      <c r="AD91" s="53">
        <f t="shared" si="35"/>
        <v>236</v>
      </c>
    </row>
    <row r="92" spans="1:30" ht="17.399999999999999" x14ac:dyDescent="0.35">
      <c r="A92" s="106" t="s">
        <v>64</v>
      </c>
      <c r="B92" s="133"/>
      <c r="C92" s="133"/>
      <c r="D92" s="128"/>
      <c r="E92" s="128"/>
      <c r="F92" s="128"/>
      <c r="G92" s="128"/>
      <c r="H92" s="128"/>
      <c r="I92" s="128"/>
      <c r="J92" s="128"/>
      <c r="K92" s="128"/>
      <c r="L92" s="128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28"/>
      <c r="Z92" s="128"/>
      <c r="AB92" s="31"/>
      <c r="AD92" s="31">
        <f t="shared" si="35"/>
        <v>0</v>
      </c>
    </row>
    <row r="93" spans="1:30" ht="17.399999999999999" x14ac:dyDescent="0.35">
      <c r="A93" s="94" t="s">
        <v>65</v>
      </c>
      <c r="B93" s="131">
        <f>'Suc. Amado Nervo'!D93</f>
        <v>3</v>
      </c>
      <c r="C93" s="131">
        <f>'Suc. León'!D93</f>
        <v>3</v>
      </c>
      <c r="D93" s="120">
        <f>'San Cayetano'!D93</f>
        <v>1</v>
      </c>
      <c r="E93" s="120">
        <f>'Suc. Boulevard'!D93</f>
        <v>2</v>
      </c>
      <c r="F93" s="120">
        <f>'Suc. Dos de Agosto'!D93</f>
        <v>2</v>
      </c>
      <c r="G93" s="120">
        <f>'Suc. La Nueva Canasta'!D93</f>
        <v>0</v>
      </c>
      <c r="H93" s="120">
        <f>'Suc. Mololoa'!D93</f>
        <v>1</v>
      </c>
      <c r="I93" s="120">
        <f>'Suc. Plaza'!D93</f>
        <v>2</v>
      </c>
      <c r="J93" s="120">
        <f>'Suc. Vistas'!D93</f>
        <v>2</v>
      </c>
      <c r="K93" s="120">
        <f>'Suc. Xalisco'!D93</f>
        <v>2</v>
      </c>
      <c r="L93" s="120">
        <f t="shared" ref="L93:L104" si="37">SUM(B93:K93)</f>
        <v>18</v>
      </c>
      <c r="M93" s="131">
        <f>'Suc. Acaponeta'!D93</f>
        <v>2</v>
      </c>
      <c r="N93" s="131">
        <f>'Suc. Compostela'!D93</f>
        <v>1</v>
      </c>
      <c r="O93" s="131">
        <f>'Suc. Ruiz'!D93</f>
        <v>0</v>
      </c>
      <c r="P93" s="131">
        <f>'Suc. Sanblas'!D93</f>
        <v>0</v>
      </c>
      <c r="Q93" s="131">
        <f>'LALO VARAS'!D93</f>
        <v>1</v>
      </c>
      <c r="R93" s="131">
        <f>'Suc. Santiago 2'!D93</f>
        <v>1</v>
      </c>
      <c r="S93" s="131">
        <f>'Suc. Tecuala'!D93</f>
        <v>0</v>
      </c>
      <c r="T93" s="131">
        <f>'Suc. Tuxpan'!D93</f>
        <v>0</v>
      </c>
      <c r="U93" s="131">
        <f>'Suc. Varas'!D93</f>
        <v>2</v>
      </c>
      <c r="V93" s="131">
        <f>'Suc. Santa María del Oro'!D93</f>
        <v>0</v>
      </c>
      <c r="W93" s="131">
        <f>'Suc. Villa Hidalgo'!D93</f>
        <v>1</v>
      </c>
      <c r="X93" s="131">
        <f>'Suc. Peñita'!D93</f>
        <v>1</v>
      </c>
      <c r="Y93" s="120">
        <f t="shared" ref="Y93:Y104" si="38">SUM(M93:X93)</f>
        <v>9</v>
      </c>
      <c r="Z93" s="120">
        <f t="shared" ref="Z93:Z104" si="39">L93+Y93</f>
        <v>27</v>
      </c>
      <c r="AB93" s="84">
        <f>IFERROR(VLOOKUP(A93,'GRAL. SUC. FORANEAS'!$R:$S,2,0),0)</f>
        <v>13</v>
      </c>
      <c r="AD93" s="84">
        <f t="shared" si="35"/>
        <v>40</v>
      </c>
    </row>
    <row r="94" spans="1:30" ht="17.399999999999999" x14ac:dyDescent="0.35">
      <c r="A94" s="94" t="s">
        <v>66</v>
      </c>
      <c r="B94" s="131">
        <f>'Suc. Amado Nervo'!D94</f>
        <v>2</v>
      </c>
      <c r="C94" s="131">
        <f>'Suc. León'!D94</f>
        <v>2</v>
      </c>
      <c r="D94" s="120">
        <f>'San Cayetano'!D94</f>
        <v>1</v>
      </c>
      <c r="E94" s="120">
        <f>'Suc. Boulevard'!D94</f>
        <v>2</v>
      </c>
      <c r="F94" s="120">
        <f>'Suc. Dos de Agosto'!D94</f>
        <v>2</v>
      </c>
      <c r="G94" s="120">
        <f>'Suc. La Nueva Canasta'!D94</f>
        <v>0</v>
      </c>
      <c r="H94" s="120">
        <f>'Suc. Mololoa'!D94</f>
        <v>1</v>
      </c>
      <c r="I94" s="120">
        <f>'Suc. Plaza'!D94</f>
        <v>1</v>
      </c>
      <c r="J94" s="120">
        <f>'Suc. Vistas'!D94</f>
        <v>2</v>
      </c>
      <c r="K94" s="120">
        <f>'Suc. Xalisco'!D94</f>
        <v>1</v>
      </c>
      <c r="L94" s="120">
        <f t="shared" si="37"/>
        <v>14</v>
      </c>
      <c r="M94" s="131">
        <f>'Suc. Acaponeta'!D94</f>
        <v>2</v>
      </c>
      <c r="N94" s="131">
        <f>'Suc. Compostela'!D94</f>
        <v>1</v>
      </c>
      <c r="O94" s="131">
        <f>'Suc. Ruiz'!D94</f>
        <v>0</v>
      </c>
      <c r="P94" s="131">
        <f>'Suc. Sanblas'!D94</f>
        <v>0</v>
      </c>
      <c r="Q94" s="131">
        <f>'LALO VARAS'!D94</f>
        <v>1</v>
      </c>
      <c r="R94" s="131">
        <f>'Suc. Santiago 2'!D94</f>
        <v>1</v>
      </c>
      <c r="S94" s="131">
        <f>'Suc. Tecuala'!D94</f>
        <v>0</v>
      </c>
      <c r="T94" s="131">
        <f>'Suc. Tuxpan'!D94</f>
        <v>0</v>
      </c>
      <c r="U94" s="131">
        <f>'Suc. Varas'!D94</f>
        <v>2</v>
      </c>
      <c r="V94" s="131">
        <f>'Suc. Santa María del Oro'!D94</f>
        <v>0</v>
      </c>
      <c r="W94" s="131">
        <f>'Suc. Villa Hidalgo'!D94</f>
        <v>1</v>
      </c>
      <c r="X94" s="131">
        <f>'Suc. Peñita'!D94</f>
        <v>1</v>
      </c>
      <c r="Y94" s="120">
        <f t="shared" si="38"/>
        <v>9</v>
      </c>
      <c r="Z94" s="120">
        <f t="shared" si="39"/>
        <v>23</v>
      </c>
      <c r="AB94" s="84">
        <f>IFERROR(VLOOKUP(A94,'GRAL. SUC. FORANEAS'!$R:$S,2,0),0)</f>
        <v>14</v>
      </c>
      <c r="AD94" s="84">
        <f t="shared" si="35"/>
        <v>37</v>
      </c>
    </row>
    <row r="95" spans="1:30" ht="17.399999999999999" x14ac:dyDescent="0.35">
      <c r="A95" s="94" t="s">
        <v>68</v>
      </c>
      <c r="B95" s="131">
        <f>'Suc. Amado Nervo'!D95</f>
        <v>3</v>
      </c>
      <c r="C95" s="131">
        <f>'Suc. León'!D95</f>
        <v>2</v>
      </c>
      <c r="D95" s="120">
        <f>'San Cayetano'!D95</f>
        <v>1</v>
      </c>
      <c r="E95" s="120">
        <f>'Suc. Boulevard'!D95</f>
        <v>1</v>
      </c>
      <c r="F95" s="120">
        <f>'Suc. Dos de Agosto'!D95</f>
        <v>1</v>
      </c>
      <c r="G95" s="120">
        <f>'Suc. La Nueva Canasta'!D95</f>
        <v>0</v>
      </c>
      <c r="H95" s="120">
        <f>'Suc. Mololoa'!D95</f>
        <v>2</v>
      </c>
      <c r="I95" s="120">
        <f>'Suc. Plaza'!D95</f>
        <v>1</v>
      </c>
      <c r="J95" s="120">
        <f>'Suc. Vistas'!D95</f>
        <v>2</v>
      </c>
      <c r="K95" s="120">
        <f>'Suc. Xalisco'!D95</f>
        <v>2</v>
      </c>
      <c r="L95" s="120">
        <f t="shared" si="37"/>
        <v>15</v>
      </c>
      <c r="M95" s="131">
        <f>'Suc. Acaponeta'!D95</f>
        <v>2</v>
      </c>
      <c r="N95" s="131">
        <f>'Suc. Compostela'!D95</f>
        <v>2</v>
      </c>
      <c r="O95" s="131">
        <f>'Suc. Ruiz'!D95</f>
        <v>0</v>
      </c>
      <c r="P95" s="131">
        <f>'Suc. Sanblas'!D95</f>
        <v>1</v>
      </c>
      <c r="Q95" s="131">
        <f>'LALO VARAS'!D95</f>
        <v>3</v>
      </c>
      <c r="R95" s="131">
        <f>'Suc. Santiago 2'!D95</f>
        <v>2</v>
      </c>
      <c r="S95" s="131">
        <f>'Suc. Tecuala'!D95</f>
        <v>1</v>
      </c>
      <c r="T95" s="131">
        <f>'Suc. Tuxpan'!D95</f>
        <v>1</v>
      </c>
      <c r="U95" s="131">
        <f>'Suc. Varas'!D95</f>
        <v>2</v>
      </c>
      <c r="V95" s="131">
        <f>'Suc. Santa María del Oro'!D95</f>
        <v>1</v>
      </c>
      <c r="W95" s="131">
        <f>'Suc. Villa Hidalgo'!D95</f>
        <v>2</v>
      </c>
      <c r="X95" s="131">
        <f>'Suc. Peñita'!D95</f>
        <v>1</v>
      </c>
      <c r="Y95" s="120">
        <f t="shared" si="38"/>
        <v>18</v>
      </c>
      <c r="Z95" s="120">
        <f t="shared" si="39"/>
        <v>33</v>
      </c>
      <c r="AB95" s="84">
        <f>IFERROR(VLOOKUP(A95,'GRAL. SUC. FORANEAS'!$R:$S,2,0),0)</f>
        <v>16</v>
      </c>
      <c r="AD95" s="84">
        <f t="shared" si="35"/>
        <v>49</v>
      </c>
    </row>
    <row r="96" spans="1:30" ht="17.399999999999999" x14ac:dyDescent="0.35">
      <c r="A96" s="94" t="s">
        <v>69</v>
      </c>
      <c r="B96" s="131">
        <f>'Suc. Amado Nervo'!D96</f>
        <v>8</v>
      </c>
      <c r="C96" s="131">
        <f>'Suc. León'!D96</f>
        <v>10</v>
      </c>
      <c r="D96" s="120">
        <f>'San Cayetano'!D96</f>
        <v>5</v>
      </c>
      <c r="E96" s="120">
        <f>'Suc. Boulevard'!D96</f>
        <v>4</v>
      </c>
      <c r="F96" s="120">
        <f>'Suc. Dos de Agosto'!D96</f>
        <v>4</v>
      </c>
      <c r="G96" s="120">
        <f>'Suc. La Nueva Canasta'!D96</f>
        <v>0</v>
      </c>
      <c r="H96" s="120">
        <f>'Suc. Mololoa'!D96</f>
        <v>5</v>
      </c>
      <c r="I96" s="120">
        <f>'Suc. Plaza'!D96</f>
        <v>10</v>
      </c>
      <c r="J96" s="120">
        <f>'Suc. Vistas'!D96</f>
        <v>6</v>
      </c>
      <c r="K96" s="120">
        <f>'Suc. Xalisco'!D96</f>
        <v>4</v>
      </c>
      <c r="L96" s="120">
        <f t="shared" si="37"/>
        <v>56</v>
      </c>
      <c r="M96" s="131">
        <f>'Suc. Acaponeta'!D96</f>
        <v>10</v>
      </c>
      <c r="N96" s="131">
        <f>'Suc. Compostela'!D96</f>
        <v>10</v>
      </c>
      <c r="O96" s="131">
        <f>'Suc. Ruiz'!D96</f>
        <v>5</v>
      </c>
      <c r="P96" s="131">
        <f>'Suc. Sanblas'!D96</f>
        <v>10</v>
      </c>
      <c r="Q96" s="131">
        <f>'LALO VARAS'!D96</f>
        <v>10</v>
      </c>
      <c r="R96" s="131">
        <f>'Suc. Santiago 2'!D96</f>
        <v>10</v>
      </c>
      <c r="S96" s="131">
        <f>'Suc. Tecuala'!D96</f>
        <v>6</v>
      </c>
      <c r="T96" s="131">
        <f>'Suc. Tuxpan'!D96</f>
        <v>15</v>
      </c>
      <c r="U96" s="131">
        <f>'Suc. Varas'!D96</f>
        <v>6</v>
      </c>
      <c r="V96" s="131">
        <f>'Suc. Santa María del Oro'!D96</f>
        <v>15</v>
      </c>
      <c r="W96" s="131">
        <f>'Suc. Villa Hidalgo'!D96</f>
        <v>15</v>
      </c>
      <c r="X96" s="131">
        <f>'Suc. Peñita'!D96</f>
        <v>10</v>
      </c>
      <c r="Y96" s="120">
        <f t="shared" si="38"/>
        <v>122</v>
      </c>
      <c r="Z96" s="120">
        <f t="shared" si="39"/>
        <v>178</v>
      </c>
      <c r="AB96" s="84">
        <f>IFERROR(VLOOKUP(A96,'GRAL. SUC. FORANEAS'!$R:$S,2,0),0)</f>
        <v>48</v>
      </c>
      <c r="AD96" s="84">
        <f t="shared" si="35"/>
        <v>226</v>
      </c>
    </row>
    <row r="97" spans="1:30" ht="17.399999999999999" x14ac:dyDescent="0.35">
      <c r="A97" s="94" t="s">
        <v>70</v>
      </c>
      <c r="B97" s="131">
        <f>'Suc. Amado Nervo'!D97</f>
        <v>6</v>
      </c>
      <c r="C97" s="131">
        <f>'Suc. León'!D97</f>
        <v>6</v>
      </c>
      <c r="D97" s="120">
        <f>'San Cayetano'!D97</f>
        <v>5</v>
      </c>
      <c r="E97" s="120">
        <f>'Suc. Boulevard'!D97</f>
        <v>4</v>
      </c>
      <c r="F97" s="120">
        <f>'Suc. Dos de Agosto'!D97</f>
        <v>2</v>
      </c>
      <c r="G97" s="120">
        <f>'Suc. La Nueva Canasta'!D97</f>
        <v>0</v>
      </c>
      <c r="H97" s="120">
        <f>'Suc. Mololoa'!D97</f>
        <v>4</v>
      </c>
      <c r="I97" s="120">
        <f>'Suc. Plaza'!D97</f>
        <v>5</v>
      </c>
      <c r="J97" s="120">
        <f>'Suc. Vistas'!D97</f>
        <v>6</v>
      </c>
      <c r="K97" s="120">
        <f>'Suc. Xalisco'!D97</f>
        <v>2</v>
      </c>
      <c r="L97" s="120">
        <f t="shared" si="37"/>
        <v>40</v>
      </c>
      <c r="M97" s="131">
        <f>'Suc. Acaponeta'!D97</f>
        <v>10</v>
      </c>
      <c r="N97" s="131">
        <f>'Suc. Compostela'!D97</f>
        <v>10</v>
      </c>
      <c r="O97" s="131">
        <f>'Suc. Ruiz'!D97</f>
        <v>5</v>
      </c>
      <c r="P97" s="131">
        <f>'Suc. Sanblas'!D97</f>
        <v>10</v>
      </c>
      <c r="Q97" s="131">
        <f>'LALO VARAS'!D97</f>
        <v>3</v>
      </c>
      <c r="R97" s="131">
        <f>'Suc. Santiago 2'!D97</f>
        <v>5</v>
      </c>
      <c r="S97" s="131">
        <f>'Suc. Tecuala'!D97</f>
        <v>4</v>
      </c>
      <c r="T97" s="131">
        <f>'Suc. Tuxpan'!D97</f>
        <v>10</v>
      </c>
      <c r="U97" s="131">
        <f>'Suc. Varas'!D97</f>
        <v>6</v>
      </c>
      <c r="V97" s="131">
        <f>'Suc. Santa María del Oro'!D97</f>
        <v>10</v>
      </c>
      <c r="W97" s="131">
        <f>'Suc. Villa Hidalgo'!D97</f>
        <v>15</v>
      </c>
      <c r="X97" s="131">
        <f>'Suc. Peñita'!D97</f>
        <v>6</v>
      </c>
      <c r="Y97" s="120">
        <f t="shared" si="38"/>
        <v>94</v>
      </c>
      <c r="Z97" s="120">
        <f t="shared" si="39"/>
        <v>134</v>
      </c>
      <c r="AB97" s="84">
        <f>IFERROR(VLOOKUP(A97,'GRAL. SUC. FORANEAS'!$R:$S,2,0),0)</f>
        <v>26</v>
      </c>
      <c r="AD97" s="84">
        <f t="shared" si="35"/>
        <v>160</v>
      </c>
    </row>
    <row r="98" spans="1:30" ht="17.399999999999999" x14ac:dyDescent="0.35">
      <c r="A98" s="94" t="s">
        <v>857</v>
      </c>
      <c r="B98" s="131">
        <f>'Suc. Amado Nervo'!D98</f>
        <v>4</v>
      </c>
      <c r="C98" s="131">
        <f>'Suc. León'!D98</f>
        <v>4</v>
      </c>
      <c r="D98" s="120">
        <f>'San Cayetano'!D98</f>
        <v>4</v>
      </c>
      <c r="E98" s="120">
        <f>'Suc. Boulevard'!D98</f>
        <v>2</v>
      </c>
      <c r="F98" s="120">
        <f>'Suc. Dos de Agosto'!D98</f>
        <v>3</v>
      </c>
      <c r="G98" s="120">
        <f>'Suc. La Nueva Canasta'!D98</f>
        <v>0</v>
      </c>
      <c r="H98" s="120">
        <f>'Suc. Mololoa'!D98</f>
        <v>2</v>
      </c>
      <c r="I98" s="120">
        <f>'Suc. Plaza'!D98</f>
        <v>3</v>
      </c>
      <c r="J98" s="120">
        <f>'Suc. Vistas'!D98</f>
        <v>4</v>
      </c>
      <c r="K98" s="120">
        <f>'Suc. Xalisco'!D98</f>
        <v>2</v>
      </c>
      <c r="L98" s="120">
        <f t="shared" si="37"/>
        <v>28</v>
      </c>
      <c r="M98" s="131">
        <f>'Suc. Acaponeta'!D98</f>
        <v>5</v>
      </c>
      <c r="N98" s="131">
        <f>'Suc. Compostela'!D98</f>
        <v>2</v>
      </c>
      <c r="O98" s="131">
        <f>'Suc. Ruiz'!D98</f>
        <v>2</v>
      </c>
      <c r="P98" s="131">
        <f>'Suc. Sanblas'!D98</f>
        <v>3</v>
      </c>
      <c r="Q98" s="131">
        <f>'LALO VARAS'!D98</f>
        <v>3</v>
      </c>
      <c r="R98" s="131">
        <f>'Suc. Santiago 2'!D98</f>
        <v>3</v>
      </c>
      <c r="S98" s="131">
        <f>'Suc. Tecuala'!D98</f>
        <v>5</v>
      </c>
      <c r="T98" s="131">
        <f>'Suc. Tuxpan'!D98</f>
        <v>3</v>
      </c>
      <c r="U98" s="131">
        <f>'Suc. Varas'!D98</f>
        <v>4</v>
      </c>
      <c r="V98" s="131">
        <f>'Suc. Santa María del Oro'!D98</f>
        <v>3</v>
      </c>
      <c r="W98" s="131">
        <f>'Suc. Villa Hidalgo'!D98</f>
        <v>4</v>
      </c>
      <c r="X98" s="131">
        <f>'Suc. Peñita'!D98</f>
        <v>4</v>
      </c>
      <c r="Y98" s="120">
        <f t="shared" si="38"/>
        <v>41</v>
      </c>
      <c r="Z98" s="120">
        <f t="shared" si="39"/>
        <v>69</v>
      </c>
      <c r="AB98" s="84">
        <f>IFERROR(VLOOKUP(A98,'GRAL. SUC. FORANEAS'!$R:$S,2,0),0)</f>
        <v>30</v>
      </c>
      <c r="AD98" s="84">
        <f t="shared" si="35"/>
        <v>99</v>
      </c>
    </row>
    <row r="99" spans="1:30" ht="17.399999999999999" x14ac:dyDescent="0.35">
      <c r="A99" s="94" t="s">
        <v>835</v>
      </c>
      <c r="B99" s="131">
        <f>'Suc. Amado Nervo'!D99</f>
        <v>3</v>
      </c>
      <c r="C99" s="131">
        <f>'Suc. León'!D99</f>
        <v>3</v>
      </c>
      <c r="D99" s="120">
        <f>'San Cayetano'!D99</f>
        <v>2</v>
      </c>
      <c r="E99" s="120">
        <f>'Suc. Boulevard'!D99</f>
        <v>2</v>
      </c>
      <c r="F99" s="120">
        <f>'Suc. Dos de Agosto'!D99</f>
        <v>2</v>
      </c>
      <c r="G99" s="120">
        <f>'Suc. La Nueva Canasta'!D99</f>
        <v>0</v>
      </c>
      <c r="H99" s="120">
        <f>'Suc. Mololoa'!D99</f>
        <v>2</v>
      </c>
      <c r="I99" s="120">
        <f>'Suc. Plaza'!D99</f>
        <v>3</v>
      </c>
      <c r="J99" s="120">
        <f>'Suc. Vistas'!D99</f>
        <v>3</v>
      </c>
      <c r="K99" s="120">
        <f>'Suc. Xalisco'!D99</f>
        <v>2</v>
      </c>
      <c r="L99" s="120">
        <f t="shared" si="37"/>
        <v>22</v>
      </c>
      <c r="M99" s="131">
        <f>'Suc. Acaponeta'!D99</f>
        <v>3</v>
      </c>
      <c r="N99" s="131">
        <f>'Suc. Compostela'!D99</f>
        <v>2</v>
      </c>
      <c r="O99" s="131">
        <f>'Suc. Ruiz'!D99</f>
        <v>2</v>
      </c>
      <c r="P99" s="131">
        <f>'Suc. Sanblas'!D99</f>
        <v>2</v>
      </c>
      <c r="Q99" s="131">
        <f>'LALO VARAS'!D99</f>
        <v>3</v>
      </c>
      <c r="R99" s="131">
        <f>'Suc. Santiago 2'!D99</f>
        <v>3</v>
      </c>
      <c r="S99" s="131">
        <f>'Suc. Tecuala'!D99</f>
        <v>2</v>
      </c>
      <c r="T99" s="131">
        <f>'Suc. Tuxpan'!D99</f>
        <v>1</v>
      </c>
      <c r="U99" s="131">
        <f>'Suc. Varas'!D99</f>
        <v>2</v>
      </c>
      <c r="V99" s="131">
        <f>'Suc. Santa María del Oro'!D99</f>
        <v>2</v>
      </c>
      <c r="W99" s="131">
        <f>'Suc. Villa Hidalgo'!D99</f>
        <v>3</v>
      </c>
      <c r="X99" s="131">
        <f>'Suc. Peñita'!D99</f>
        <v>2</v>
      </c>
      <c r="Y99" s="120">
        <f t="shared" si="38"/>
        <v>27</v>
      </c>
      <c r="Z99" s="120">
        <f t="shared" si="39"/>
        <v>49</v>
      </c>
      <c r="AB99" s="84">
        <f>IFERROR(VLOOKUP(A99,'GRAL. SUC. FORANEAS'!$R:$S,2,0),0)</f>
        <v>19</v>
      </c>
      <c r="AD99" s="84">
        <f t="shared" si="35"/>
        <v>68</v>
      </c>
    </row>
    <row r="100" spans="1:30" ht="17.399999999999999" x14ac:dyDescent="0.35">
      <c r="A100" s="94" t="s">
        <v>72</v>
      </c>
      <c r="B100" s="131">
        <f>'Suc. Amado Nervo'!D100</f>
        <v>30</v>
      </c>
      <c r="C100" s="131">
        <f>'Suc. León'!D100</f>
        <v>30</v>
      </c>
      <c r="D100" s="120">
        <f>'San Cayetano'!D100</f>
        <v>20</v>
      </c>
      <c r="E100" s="120">
        <f>'Suc. Boulevard'!D100</f>
        <v>20</v>
      </c>
      <c r="F100" s="120">
        <f>'Suc. Dos de Agosto'!D100</f>
        <v>25</v>
      </c>
      <c r="G100" s="120">
        <f>'Suc. La Nueva Canasta'!D100</f>
        <v>0</v>
      </c>
      <c r="H100" s="120">
        <f>'Suc. Mololoa'!D100</f>
        <v>25</v>
      </c>
      <c r="I100" s="120">
        <f>'Suc. Plaza'!D100</f>
        <v>25</v>
      </c>
      <c r="J100" s="120">
        <f>'Suc. Vistas'!D100</f>
        <v>30</v>
      </c>
      <c r="K100" s="120">
        <f>'Suc. Xalisco'!D100</f>
        <v>30</v>
      </c>
      <c r="L100" s="120">
        <f t="shared" si="37"/>
        <v>235</v>
      </c>
      <c r="M100" s="131">
        <f>'Suc. Acaponeta'!D100</f>
        <v>25</v>
      </c>
      <c r="N100" s="131">
        <f>'Suc. Compostela'!D100</f>
        <v>25</v>
      </c>
      <c r="O100" s="131">
        <f>'Suc. Ruiz'!D100</f>
        <v>20</v>
      </c>
      <c r="P100" s="131">
        <f>'Suc. Sanblas'!D100</f>
        <v>30</v>
      </c>
      <c r="Q100" s="131">
        <f>'LALO VARAS'!D100</f>
        <v>30</v>
      </c>
      <c r="R100" s="131">
        <f>'Suc. Santiago 2'!D100</f>
        <v>30</v>
      </c>
      <c r="S100" s="131">
        <f>'Suc. Tecuala'!D100</f>
        <v>25</v>
      </c>
      <c r="T100" s="131">
        <f>'Suc. Tuxpan'!D100</f>
        <v>30</v>
      </c>
      <c r="U100" s="131">
        <f>'Suc. Varas'!D100</f>
        <v>30</v>
      </c>
      <c r="V100" s="131">
        <f>'Suc. Santa María del Oro'!D100</f>
        <v>30</v>
      </c>
      <c r="W100" s="131">
        <f>'Suc. Villa Hidalgo'!D100</f>
        <v>25</v>
      </c>
      <c r="X100" s="131">
        <f>'Suc. Peñita'!D100</f>
        <v>25</v>
      </c>
      <c r="Y100" s="120">
        <f t="shared" si="38"/>
        <v>325</v>
      </c>
      <c r="Z100" s="120">
        <f t="shared" si="39"/>
        <v>560</v>
      </c>
      <c r="AB100" s="84">
        <f>IFERROR(VLOOKUP(A100,'GRAL. SUC. FORANEAS'!$R:$S,2,0),0)</f>
        <v>309</v>
      </c>
      <c r="AD100" s="84">
        <f t="shared" si="35"/>
        <v>869</v>
      </c>
    </row>
    <row r="101" spans="1:30" ht="17.399999999999999" x14ac:dyDescent="0.35">
      <c r="A101" s="94" t="s">
        <v>73</v>
      </c>
      <c r="B101" s="131">
        <f>'Suc. Amado Nervo'!D101</f>
        <v>3</v>
      </c>
      <c r="C101" s="131">
        <f>'Suc. León'!D101</f>
        <v>2</v>
      </c>
      <c r="D101" s="120">
        <f>'San Cayetano'!D101</f>
        <v>1</v>
      </c>
      <c r="E101" s="120">
        <f>'Suc. Boulevard'!D101</f>
        <v>1</v>
      </c>
      <c r="F101" s="120">
        <f>'Suc. Dos de Agosto'!D101</f>
        <v>2</v>
      </c>
      <c r="G101" s="120">
        <f>'Suc. La Nueva Canasta'!D101</f>
        <v>0</v>
      </c>
      <c r="H101" s="120">
        <f>'Suc. Mololoa'!D101</f>
        <v>2</v>
      </c>
      <c r="I101" s="120">
        <f>'Suc. Plaza'!D101</f>
        <v>1</v>
      </c>
      <c r="J101" s="120">
        <f>'Suc. Vistas'!D101</f>
        <v>3</v>
      </c>
      <c r="K101" s="120">
        <f>'Suc. Xalisco'!D101</f>
        <v>1</v>
      </c>
      <c r="L101" s="120">
        <f t="shared" si="37"/>
        <v>16</v>
      </c>
      <c r="M101" s="131">
        <f>'Suc. Acaponeta'!D101</f>
        <v>2</v>
      </c>
      <c r="N101" s="131">
        <f>'Suc. Compostela'!D101</f>
        <v>1</v>
      </c>
      <c r="O101" s="131">
        <f>'Suc. Ruiz'!D101</f>
        <v>0</v>
      </c>
      <c r="P101" s="131">
        <f>'Suc. Sanblas'!D101</f>
        <v>0</v>
      </c>
      <c r="Q101" s="131">
        <f>'LALO VARAS'!D101</f>
        <v>0</v>
      </c>
      <c r="R101" s="131">
        <f>'Suc. Santiago 2'!D101</f>
        <v>1</v>
      </c>
      <c r="S101" s="131">
        <f>'Suc. Tecuala'!D101</f>
        <v>0</v>
      </c>
      <c r="T101" s="131">
        <f>'Suc. Tuxpan'!D101</f>
        <v>1</v>
      </c>
      <c r="U101" s="131">
        <f>'Suc. Varas'!D101</f>
        <v>1</v>
      </c>
      <c r="V101" s="131">
        <f>'Suc. Santa María del Oro'!D101</f>
        <v>2</v>
      </c>
      <c r="W101" s="131">
        <f>'Suc. Villa Hidalgo'!D101</f>
        <v>2</v>
      </c>
      <c r="X101" s="131">
        <f>'Suc. Peñita'!D101</f>
        <v>1</v>
      </c>
      <c r="Y101" s="120">
        <f t="shared" si="38"/>
        <v>11</v>
      </c>
      <c r="Z101" s="120">
        <f t="shared" si="39"/>
        <v>27</v>
      </c>
    </row>
    <row r="102" spans="1:30" ht="17.399999999999999" x14ac:dyDescent="0.35">
      <c r="A102" s="94" t="s">
        <v>74</v>
      </c>
      <c r="B102" s="131">
        <f>'Suc. Amado Nervo'!D102</f>
        <v>3</v>
      </c>
      <c r="C102" s="131">
        <f>'Suc. León'!D102</f>
        <v>3</v>
      </c>
      <c r="D102" s="120">
        <f>'San Cayetano'!D102</f>
        <v>2</v>
      </c>
      <c r="E102" s="120">
        <f>'Suc. Boulevard'!D102</f>
        <v>1</v>
      </c>
      <c r="F102" s="120">
        <f>'Suc. Dos de Agosto'!D102</f>
        <v>3</v>
      </c>
      <c r="G102" s="120">
        <f>'Suc. La Nueva Canasta'!D102</f>
        <v>0</v>
      </c>
      <c r="H102" s="120">
        <f>'Suc. Mololoa'!D102</f>
        <v>2</v>
      </c>
      <c r="I102" s="120">
        <f>'Suc. Plaza'!D102</f>
        <v>2</v>
      </c>
      <c r="J102" s="120">
        <f>'Suc. Vistas'!D102</f>
        <v>3</v>
      </c>
      <c r="K102" s="120">
        <f>'Suc. Xalisco'!D102</f>
        <v>3</v>
      </c>
      <c r="L102" s="120">
        <f t="shared" si="37"/>
        <v>22</v>
      </c>
      <c r="M102" s="131">
        <f>'Suc. Acaponeta'!D102</f>
        <v>3</v>
      </c>
      <c r="N102" s="131">
        <f>'Suc. Compostela'!D102</f>
        <v>1</v>
      </c>
      <c r="O102" s="131">
        <f>'Suc. Ruiz'!D102</f>
        <v>1</v>
      </c>
      <c r="P102" s="131">
        <f>'Suc. Sanblas'!D102</f>
        <v>2</v>
      </c>
      <c r="Q102" s="131">
        <f>'LALO VARAS'!D102</f>
        <v>3</v>
      </c>
      <c r="R102" s="131">
        <f>'Suc. Santiago 2'!D102</f>
        <v>4</v>
      </c>
      <c r="S102" s="131">
        <f>'Suc. Tecuala'!D102</f>
        <v>2</v>
      </c>
      <c r="T102" s="131">
        <f>'Suc. Tuxpan'!D102</f>
        <v>1</v>
      </c>
      <c r="U102" s="131">
        <f>'Suc. Varas'!D102</f>
        <v>2</v>
      </c>
      <c r="V102" s="131">
        <f>'Suc. Santa María del Oro'!D102</f>
        <v>2</v>
      </c>
      <c r="W102" s="131">
        <f>'Suc. Villa Hidalgo'!D102</f>
        <v>2</v>
      </c>
      <c r="X102" s="131">
        <f>'Suc. Peñita'!D102</f>
        <v>1</v>
      </c>
      <c r="Y102" s="120">
        <f t="shared" si="38"/>
        <v>24</v>
      </c>
      <c r="Z102" s="120">
        <f t="shared" si="39"/>
        <v>46</v>
      </c>
    </row>
    <row r="103" spans="1:30" ht="17.399999999999999" x14ac:dyDescent="0.35">
      <c r="A103" s="94" t="s">
        <v>75</v>
      </c>
      <c r="B103" s="131">
        <f>'Suc. Amado Nervo'!D103</f>
        <v>3</v>
      </c>
      <c r="C103" s="131">
        <f>'Suc. León'!D103</f>
        <v>2</v>
      </c>
      <c r="D103" s="120">
        <f>'San Cayetano'!D103</f>
        <v>3</v>
      </c>
      <c r="E103" s="120">
        <f>'Suc. Boulevard'!D103</f>
        <v>1</v>
      </c>
      <c r="F103" s="120">
        <f>'Suc. Dos de Agosto'!D103</f>
        <v>1</v>
      </c>
      <c r="G103" s="120">
        <f>'Suc. La Nueva Canasta'!D103</f>
        <v>0</v>
      </c>
      <c r="H103" s="120">
        <f>'Suc. Mololoa'!D103</f>
        <v>2</v>
      </c>
      <c r="I103" s="120">
        <f>'Suc. Plaza'!D103</f>
        <v>2</v>
      </c>
      <c r="J103" s="120">
        <f>'Suc. Vistas'!D103</f>
        <v>3</v>
      </c>
      <c r="K103" s="120">
        <f>'Suc. Xalisco'!D103</f>
        <v>2</v>
      </c>
      <c r="L103" s="120">
        <f t="shared" si="37"/>
        <v>19</v>
      </c>
      <c r="M103" s="131">
        <f>'Suc. Acaponeta'!D103</f>
        <v>6</v>
      </c>
      <c r="N103" s="131">
        <f>'Suc. Compostela'!D103</f>
        <v>3</v>
      </c>
      <c r="O103" s="131">
        <f>'Suc. Ruiz'!D103</f>
        <v>1</v>
      </c>
      <c r="P103" s="131">
        <f>'Suc. Sanblas'!D103</f>
        <v>3</v>
      </c>
      <c r="Q103" s="131">
        <f>'LALO VARAS'!D103</f>
        <v>2</v>
      </c>
      <c r="R103" s="131">
        <f>'Suc. Santiago 2'!D103</f>
        <v>4</v>
      </c>
      <c r="S103" s="131">
        <f>'Suc. Tecuala'!D103</f>
        <v>2</v>
      </c>
      <c r="T103" s="131">
        <f>'Suc. Tuxpan'!D103</f>
        <v>3</v>
      </c>
      <c r="U103" s="131">
        <f>'Suc. Varas'!D103</f>
        <v>2</v>
      </c>
      <c r="V103" s="131">
        <f>'Suc. Santa María del Oro'!D103</f>
        <v>4</v>
      </c>
      <c r="W103" s="131">
        <f>'Suc. Villa Hidalgo'!D103</f>
        <v>5</v>
      </c>
      <c r="X103" s="131">
        <f>'Suc. Peñita'!D103</f>
        <v>1</v>
      </c>
      <c r="Y103" s="120">
        <f t="shared" si="38"/>
        <v>36</v>
      </c>
      <c r="Z103" s="120">
        <f t="shared" si="39"/>
        <v>55</v>
      </c>
      <c r="AB103" s="84">
        <f>IFERROR(VLOOKUP(A103,'GRAL. SUC. FORANEAS'!$R:$S,2,0),0)</f>
        <v>18</v>
      </c>
      <c r="AD103" s="84">
        <f t="shared" ref="AD103:AD114" si="40">AB103+Z103</f>
        <v>73</v>
      </c>
    </row>
    <row r="104" spans="1:30" ht="18" thickBot="1" x14ac:dyDescent="0.4">
      <c r="A104" s="94"/>
      <c r="B104" s="131">
        <f>'Suc. Amado Nervo'!D104</f>
        <v>0</v>
      </c>
      <c r="C104" s="131">
        <f>'Suc. León'!D104</f>
        <v>0</v>
      </c>
      <c r="D104" s="120">
        <f>'San Cayetano'!D104</f>
        <v>0</v>
      </c>
      <c r="E104" s="120">
        <f>'Suc. Boulevard'!D104</f>
        <v>0</v>
      </c>
      <c r="F104" s="120">
        <f>'Suc. Dos de Agosto'!D104</f>
        <v>0</v>
      </c>
      <c r="G104" s="120">
        <f>'Suc. La Nueva Canasta'!D104</f>
        <v>0</v>
      </c>
      <c r="H104" s="120">
        <f>'Suc. Mololoa'!D104</f>
        <v>0</v>
      </c>
      <c r="I104" s="120">
        <f>'Suc. Plaza'!D104</f>
        <v>0</v>
      </c>
      <c r="J104" s="120">
        <f>'Suc. Vistas'!D104</f>
        <v>0</v>
      </c>
      <c r="K104" s="120">
        <f>'Suc. Xalisco'!D104</f>
        <v>0</v>
      </c>
      <c r="L104" s="120">
        <f t="shared" si="37"/>
        <v>0</v>
      </c>
      <c r="M104" s="131">
        <f>'Suc. Acaponeta'!D104</f>
        <v>0</v>
      </c>
      <c r="N104" s="131">
        <f>'Suc. Compostela'!D104</f>
        <v>0</v>
      </c>
      <c r="O104" s="131">
        <f>'Suc. Ruiz'!D104</f>
        <v>0</v>
      </c>
      <c r="P104" s="131">
        <f>'Suc. Sanblas'!D104</f>
        <v>0</v>
      </c>
      <c r="Q104" s="131">
        <f>'LALO VARAS'!D104</f>
        <v>0</v>
      </c>
      <c r="R104" s="131">
        <f>'Suc. Santiago 2'!D104</f>
        <v>0</v>
      </c>
      <c r="S104" s="131">
        <f>'Suc. Tecuala'!D104</f>
        <v>0</v>
      </c>
      <c r="T104" s="131">
        <f>'Suc. Tuxpan'!D104</f>
        <v>0</v>
      </c>
      <c r="U104" s="131">
        <f>'Suc. Varas'!D104</f>
        <v>0</v>
      </c>
      <c r="V104" s="131">
        <f>'Suc. Santa María del Oro'!D104</f>
        <v>0</v>
      </c>
      <c r="W104" s="131">
        <f>'Suc. Villa Hidalgo'!D104</f>
        <v>0</v>
      </c>
      <c r="X104" s="131">
        <f>'Suc. Peñita'!D104</f>
        <v>0</v>
      </c>
      <c r="Y104" s="120">
        <f t="shared" si="38"/>
        <v>0</v>
      </c>
      <c r="Z104" s="120">
        <f t="shared" si="39"/>
        <v>0</v>
      </c>
      <c r="AB104" s="84">
        <f>IFERROR(VLOOKUP(A104,'GRAL. SUC. FORANEAS'!$R:$S,2,0),0)</f>
        <v>0</v>
      </c>
      <c r="AD104" s="84">
        <f t="shared" si="40"/>
        <v>0</v>
      </c>
    </row>
    <row r="105" spans="1:30" ht="18.600000000000001" thickBot="1" x14ac:dyDescent="0.4">
      <c r="A105" s="107" t="s">
        <v>55</v>
      </c>
      <c r="B105" s="129">
        <f t="shared" ref="B105:Z105" si="41">SUM(B93:B104)</f>
        <v>68</v>
      </c>
      <c r="C105" s="129">
        <f t="shared" si="41"/>
        <v>67</v>
      </c>
      <c r="D105" s="129">
        <f t="shared" si="41"/>
        <v>45</v>
      </c>
      <c r="E105" s="129">
        <f t="shared" si="41"/>
        <v>40</v>
      </c>
      <c r="F105" s="129">
        <f t="shared" si="41"/>
        <v>47</v>
      </c>
      <c r="G105" s="129">
        <f t="shared" si="41"/>
        <v>0</v>
      </c>
      <c r="H105" s="129">
        <f t="shared" si="41"/>
        <v>48</v>
      </c>
      <c r="I105" s="129">
        <f t="shared" si="41"/>
        <v>55</v>
      </c>
      <c r="J105" s="129">
        <f t="shared" si="41"/>
        <v>64</v>
      </c>
      <c r="K105" s="129">
        <f t="shared" si="41"/>
        <v>51</v>
      </c>
      <c r="L105" s="129">
        <f t="shared" si="41"/>
        <v>485</v>
      </c>
      <c r="M105" s="129">
        <f t="shared" si="41"/>
        <v>70</v>
      </c>
      <c r="N105" s="129">
        <f t="shared" si="41"/>
        <v>58</v>
      </c>
      <c r="O105" s="129">
        <f t="shared" si="41"/>
        <v>36</v>
      </c>
      <c r="P105" s="129">
        <f t="shared" si="41"/>
        <v>61</v>
      </c>
      <c r="Q105" s="129">
        <f t="shared" si="41"/>
        <v>59</v>
      </c>
      <c r="R105" s="129">
        <f t="shared" si="41"/>
        <v>64</v>
      </c>
      <c r="S105" s="129">
        <f t="shared" si="41"/>
        <v>47</v>
      </c>
      <c r="T105" s="129">
        <f t="shared" si="41"/>
        <v>65</v>
      </c>
      <c r="U105" s="129">
        <f t="shared" si="41"/>
        <v>59</v>
      </c>
      <c r="V105" s="129">
        <f t="shared" si="41"/>
        <v>69</v>
      </c>
      <c r="W105" s="129">
        <f t="shared" si="41"/>
        <v>75</v>
      </c>
      <c r="X105" s="129">
        <f t="shared" si="41"/>
        <v>53</v>
      </c>
      <c r="Y105" s="129">
        <f t="shared" si="41"/>
        <v>716</v>
      </c>
      <c r="Z105" s="129">
        <f t="shared" si="41"/>
        <v>1201</v>
      </c>
      <c r="AB105" s="55">
        <f>SUM(AB93:AB104)</f>
        <v>493</v>
      </c>
      <c r="AD105" s="55">
        <f t="shared" si="40"/>
        <v>1694</v>
      </c>
    </row>
    <row r="106" spans="1:30" ht="17.399999999999999" x14ac:dyDescent="0.35">
      <c r="A106" s="108" t="s">
        <v>76</v>
      </c>
      <c r="B106" s="134"/>
      <c r="C106" s="134"/>
      <c r="D106" s="130"/>
      <c r="E106" s="130"/>
      <c r="F106" s="130"/>
      <c r="G106" s="130"/>
      <c r="H106" s="130"/>
      <c r="I106" s="130"/>
      <c r="J106" s="130"/>
      <c r="K106" s="130"/>
      <c r="L106" s="130"/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134"/>
      <c r="Y106" s="130"/>
      <c r="Z106" s="130"/>
      <c r="AB106" s="35"/>
      <c r="AD106" s="35">
        <f t="shared" si="40"/>
        <v>0</v>
      </c>
    </row>
    <row r="107" spans="1:30" ht="17.399999999999999" x14ac:dyDescent="0.35">
      <c r="A107" s="94" t="s">
        <v>77</v>
      </c>
      <c r="B107" s="131">
        <f>'Suc. Amado Nervo'!D107</f>
        <v>2</v>
      </c>
      <c r="C107" s="131">
        <f>'Suc. León'!D107</f>
        <v>2</v>
      </c>
      <c r="D107" s="120">
        <f>'San Cayetano'!D107</f>
        <v>1</v>
      </c>
      <c r="E107" s="120">
        <f>'Suc. Boulevard'!D107</f>
        <v>0</v>
      </c>
      <c r="F107" s="120">
        <f>'Suc. Dos de Agosto'!D107</f>
        <v>1</v>
      </c>
      <c r="G107" s="120">
        <f>'Suc. La Nueva Canasta'!D107</f>
        <v>0</v>
      </c>
      <c r="H107" s="120">
        <f>'Suc. Mololoa'!D107</f>
        <v>2</v>
      </c>
      <c r="I107" s="120">
        <f>'Suc. Plaza'!D107</f>
        <v>1</v>
      </c>
      <c r="J107" s="120">
        <f>'Suc. Vistas'!D107</f>
        <v>2</v>
      </c>
      <c r="K107" s="120">
        <f>'Suc. Xalisco'!D107</f>
        <v>1</v>
      </c>
      <c r="L107" s="120">
        <f t="shared" ref="L107:L112" si="42">SUM(B107:K107)</f>
        <v>12</v>
      </c>
      <c r="M107" s="131">
        <f>'Suc. Acaponeta'!D107</f>
        <v>3</v>
      </c>
      <c r="N107" s="131">
        <f>'Suc. Compostela'!D107</f>
        <v>1</v>
      </c>
      <c r="O107" s="131">
        <f>'Suc. Ruiz'!D107</f>
        <v>2</v>
      </c>
      <c r="P107" s="131">
        <f>'Suc. Sanblas'!D107</f>
        <v>1</v>
      </c>
      <c r="Q107" s="131">
        <f>'LALO VARAS'!D107</f>
        <v>6</v>
      </c>
      <c r="R107" s="131">
        <f>'Suc. Santiago 2'!D107</f>
        <v>4</v>
      </c>
      <c r="S107" s="131">
        <f>'Suc. Tecuala'!D107</f>
        <v>2</v>
      </c>
      <c r="T107" s="131">
        <f>'Suc. Tuxpan'!D107</f>
        <v>1</v>
      </c>
      <c r="U107" s="131">
        <f>'Suc. Varas'!D107</f>
        <v>2</v>
      </c>
      <c r="V107" s="131">
        <f>'Suc. Santa María del Oro'!D107</f>
        <v>4</v>
      </c>
      <c r="W107" s="131">
        <f>'Suc. Villa Hidalgo'!D107</f>
        <v>5</v>
      </c>
      <c r="X107" s="131">
        <f>'Suc. Peñita'!D107</f>
        <v>2</v>
      </c>
      <c r="Y107" s="120">
        <f t="shared" ref="Y107:Y112" si="43">SUM(M107:X107)</f>
        <v>33</v>
      </c>
      <c r="Z107" s="120">
        <f t="shared" ref="Z107:Z112" si="44">L107+Y107</f>
        <v>45</v>
      </c>
      <c r="AB107" s="84">
        <f>IFERROR(VLOOKUP(A107,'GRAL. SUC. FORANEAS'!$R:$S,2,0),0)</f>
        <v>19</v>
      </c>
      <c r="AD107" s="84">
        <f t="shared" si="40"/>
        <v>64</v>
      </c>
    </row>
    <row r="108" spans="1:30" ht="17.399999999999999" x14ac:dyDescent="0.35">
      <c r="A108" s="94" t="s">
        <v>621</v>
      </c>
      <c r="B108" s="131">
        <f>'Suc. Amado Nervo'!D108</f>
        <v>0</v>
      </c>
      <c r="C108" s="131">
        <f>'Suc. León'!D108</f>
        <v>0</v>
      </c>
      <c r="D108" s="120">
        <f>'San Cayetano'!D108</f>
        <v>0</v>
      </c>
      <c r="E108" s="120">
        <f>'Suc. Boulevard'!D108</f>
        <v>0</v>
      </c>
      <c r="F108" s="120">
        <f>'Suc. Dos de Agosto'!D108</f>
        <v>0</v>
      </c>
      <c r="G108" s="120">
        <f>'Suc. La Nueva Canasta'!D108</f>
        <v>0</v>
      </c>
      <c r="H108" s="120">
        <f>'Suc. Mololoa'!D108</f>
        <v>0</v>
      </c>
      <c r="I108" s="120">
        <f>'Suc. Plaza'!D108</f>
        <v>0</v>
      </c>
      <c r="J108" s="120">
        <f>'Suc. Vistas'!D108</f>
        <v>0</v>
      </c>
      <c r="K108" s="120">
        <f>'Suc. Xalisco'!D108</f>
        <v>0</v>
      </c>
      <c r="L108" s="120">
        <f t="shared" si="42"/>
        <v>0</v>
      </c>
      <c r="M108" s="131">
        <f>'Suc. Acaponeta'!D108</f>
        <v>10</v>
      </c>
      <c r="N108" s="131">
        <f>'Suc. Compostela'!D108</f>
        <v>0</v>
      </c>
      <c r="O108" s="131">
        <f>'Suc. Ruiz'!D108</f>
        <v>0</v>
      </c>
      <c r="P108" s="131">
        <f>'Suc. Sanblas'!D108</f>
        <v>0</v>
      </c>
      <c r="Q108" s="131">
        <f>'LALO VARAS'!D108</f>
        <v>0</v>
      </c>
      <c r="R108" s="131">
        <f>'Suc. Santiago 2'!D108</f>
        <v>0</v>
      </c>
      <c r="S108" s="131">
        <f>'Suc. Tecuala'!D108</f>
        <v>0</v>
      </c>
      <c r="T108" s="131">
        <f>'Suc. Tuxpan'!D108</f>
        <v>0</v>
      </c>
      <c r="U108" s="131">
        <f>'Suc. Varas'!D108</f>
        <v>0</v>
      </c>
      <c r="V108" s="131">
        <f>'Suc. Santa María del Oro'!D108</f>
        <v>0</v>
      </c>
      <c r="W108" s="131">
        <f>'Suc. Villa Hidalgo'!D108</f>
        <v>0</v>
      </c>
      <c r="X108" s="131">
        <f>'Suc. Peñita'!D108</f>
        <v>0</v>
      </c>
      <c r="Y108" s="120">
        <f t="shared" si="43"/>
        <v>10</v>
      </c>
      <c r="Z108" s="120">
        <f t="shared" si="44"/>
        <v>10</v>
      </c>
      <c r="AB108" s="84">
        <f>IFERROR(VLOOKUP(A108,'GRAL. SUC. FORANEAS'!$R:$S,2,0),0)</f>
        <v>0</v>
      </c>
      <c r="AD108" s="84">
        <f t="shared" si="40"/>
        <v>10</v>
      </c>
    </row>
    <row r="109" spans="1:30" ht="17.399999999999999" x14ac:dyDescent="0.35">
      <c r="A109" s="94" t="s">
        <v>80</v>
      </c>
      <c r="B109" s="131">
        <f>'Suc. Amado Nervo'!D109</f>
        <v>40</v>
      </c>
      <c r="C109" s="131">
        <f>'Suc. León'!D109</f>
        <v>50</v>
      </c>
      <c r="D109" s="120">
        <f>'San Cayetano'!D109</f>
        <v>10</v>
      </c>
      <c r="E109" s="120">
        <f>'Suc. Boulevard'!D109</f>
        <v>2</v>
      </c>
      <c r="F109" s="120">
        <f>'Suc. Dos de Agosto'!D109</f>
        <v>5</v>
      </c>
      <c r="G109" s="120">
        <f>'Suc. La Nueva Canasta'!D109</f>
        <v>0</v>
      </c>
      <c r="H109" s="120">
        <f>'Suc. Mololoa'!D109</f>
        <v>10</v>
      </c>
      <c r="I109" s="120">
        <f>'Suc. Plaza'!D109</f>
        <v>10</v>
      </c>
      <c r="J109" s="120">
        <f>'Suc. Vistas'!D109</f>
        <v>10</v>
      </c>
      <c r="K109" s="120">
        <f>'Suc. Xalisco'!D109</f>
        <v>3</v>
      </c>
      <c r="L109" s="120">
        <f t="shared" si="42"/>
        <v>140</v>
      </c>
      <c r="M109" s="131">
        <f>'Suc. Acaponeta'!D109</f>
        <v>10</v>
      </c>
      <c r="N109" s="131">
        <f>'Suc. Compostela'!D109</f>
        <v>10</v>
      </c>
      <c r="O109" s="131">
        <f>'Suc. Ruiz'!D109</f>
        <v>10</v>
      </c>
      <c r="P109" s="131">
        <f>'Suc. Sanblas'!D109</f>
        <v>10</v>
      </c>
      <c r="Q109" s="131">
        <f>'LALO VARAS'!D109</f>
        <v>10</v>
      </c>
      <c r="R109" s="131">
        <f>'Suc. Santiago 2'!D109</f>
        <v>15</v>
      </c>
      <c r="S109" s="131">
        <f>'Suc. Tecuala'!D109</f>
        <v>10</v>
      </c>
      <c r="T109" s="131">
        <f>'Suc. Tuxpan'!D109</f>
        <v>10</v>
      </c>
      <c r="U109" s="131">
        <f>'Suc. Varas'!D109</f>
        <v>8</v>
      </c>
      <c r="V109" s="131">
        <f>'Suc. Santa María del Oro'!D109</f>
        <v>15</v>
      </c>
      <c r="W109" s="131">
        <f>'Suc. Villa Hidalgo'!D109</f>
        <v>20</v>
      </c>
      <c r="X109" s="131">
        <f>'Suc. Peñita'!D109</f>
        <v>6</v>
      </c>
      <c r="Y109" s="120">
        <f t="shared" si="43"/>
        <v>134</v>
      </c>
      <c r="Z109" s="120">
        <f t="shared" si="44"/>
        <v>274</v>
      </c>
      <c r="AB109" s="84">
        <f>IFERROR(VLOOKUP(A109,'GRAL. SUC. FORANEAS'!$R:$S,2,0),0)</f>
        <v>15</v>
      </c>
      <c r="AD109" s="84">
        <f t="shared" si="40"/>
        <v>289</v>
      </c>
    </row>
    <row r="110" spans="1:30" ht="17.399999999999999" x14ac:dyDescent="0.35">
      <c r="A110" s="94" t="s">
        <v>81</v>
      </c>
      <c r="B110" s="131">
        <f>'Suc. Amado Nervo'!D110</f>
        <v>40</v>
      </c>
      <c r="C110" s="131">
        <f>'Suc. León'!D110</f>
        <v>50</v>
      </c>
      <c r="D110" s="120">
        <f>'San Cayetano'!D110</f>
        <v>10</v>
      </c>
      <c r="E110" s="120">
        <f>'Suc. Boulevard'!D110</f>
        <v>2</v>
      </c>
      <c r="F110" s="120">
        <f>'Suc. Dos de Agosto'!D110</f>
        <v>3</v>
      </c>
      <c r="G110" s="120">
        <f>'Suc. La Nueva Canasta'!D110</f>
        <v>0</v>
      </c>
      <c r="H110" s="120">
        <f>'Suc. Mololoa'!D110</f>
        <v>10</v>
      </c>
      <c r="I110" s="120">
        <f>'Suc. Plaza'!D110</f>
        <v>10</v>
      </c>
      <c r="J110" s="120">
        <f>'Suc. Vistas'!D110</f>
        <v>10</v>
      </c>
      <c r="K110" s="120">
        <f>'Suc. Xalisco'!D110</f>
        <v>3</v>
      </c>
      <c r="L110" s="120">
        <f t="shared" si="42"/>
        <v>138</v>
      </c>
      <c r="M110" s="131">
        <f>'Suc. Acaponeta'!D110</f>
        <v>10</v>
      </c>
      <c r="N110" s="131">
        <f>'Suc. Compostela'!D110</f>
        <v>6</v>
      </c>
      <c r="O110" s="131">
        <f>'Suc. Ruiz'!D110</f>
        <v>10</v>
      </c>
      <c r="P110" s="131">
        <f>'Suc. Sanblas'!D110</f>
        <v>10</v>
      </c>
      <c r="Q110" s="131">
        <f>'LALO VARAS'!D110</f>
        <v>10</v>
      </c>
      <c r="R110" s="131">
        <f>'Suc. Santiago 2'!D110</f>
        <v>10</v>
      </c>
      <c r="S110" s="131">
        <f>'Suc. Tecuala'!D110</f>
        <v>8</v>
      </c>
      <c r="T110" s="131">
        <f>'Suc. Tuxpan'!D110</f>
        <v>10</v>
      </c>
      <c r="U110" s="131">
        <f>'Suc. Varas'!D110</f>
        <v>8</v>
      </c>
      <c r="V110" s="131">
        <f>'Suc. Santa María del Oro'!D110</f>
        <v>15</v>
      </c>
      <c r="W110" s="131">
        <f>'Suc. Villa Hidalgo'!D110</f>
        <v>15</v>
      </c>
      <c r="X110" s="131">
        <f>'Suc. Peñita'!D110</f>
        <v>6</v>
      </c>
      <c r="Y110" s="120">
        <f t="shared" si="43"/>
        <v>118</v>
      </c>
      <c r="Z110" s="120">
        <f t="shared" si="44"/>
        <v>256</v>
      </c>
      <c r="AB110" s="84">
        <f>IFERROR(VLOOKUP(A110,'GRAL. SUC. FORANEAS'!$R:$S,2,0),0)</f>
        <v>11</v>
      </c>
      <c r="AD110" s="84">
        <f t="shared" si="40"/>
        <v>267</v>
      </c>
    </row>
    <row r="111" spans="1:30" ht="17.399999999999999" x14ac:dyDescent="0.35">
      <c r="A111" s="95" t="s">
        <v>83</v>
      </c>
      <c r="B111" s="131">
        <f>'Suc. Amado Nervo'!D111</f>
        <v>2</v>
      </c>
      <c r="C111" s="131">
        <f>'Suc. León'!D111</f>
        <v>2</v>
      </c>
      <c r="D111" s="120">
        <f>'San Cayetano'!D111</f>
        <v>2</v>
      </c>
      <c r="E111" s="120">
        <f>'Suc. Boulevard'!D111</f>
        <v>1</v>
      </c>
      <c r="F111" s="120">
        <f>'Suc. Dos de Agosto'!D111</f>
        <v>1</v>
      </c>
      <c r="G111" s="120">
        <f>'Suc. La Nueva Canasta'!D111</f>
        <v>0</v>
      </c>
      <c r="H111" s="120">
        <f>'Suc. Mololoa'!D111</f>
        <v>2</v>
      </c>
      <c r="I111" s="120">
        <f>'Suc. Plaza'!D111</f>
        <v>2</v>
      </c>
      <c r="J111" s="120">
        <f>'Suc. Vistas'!D111</f>
        <v>2</v>
      </c>
      <c r="K111" s="120">
        <f>'Suc. Xalisco'!D111</f>
        <v>1</v>
      </c>
      <c r="L111" s="120">
        <f t="shared" si="42"/>
        <v>15</v>
      </c>
      <c r="M111" s="131">
        <f>'Suc. Acaponeta'!D111</f>
        <v>4</v>
      </c>
      <c r="N111" s="131">
        <f>'Suc. Compostela'!D111</f>
        <v>2</v>
      </c>
      <c r="O111" s="131">
        <f>'Suc. Ruiz'!D111</f>
        <v>1</v>
      </c>
      <c r="P111" s="131">
        <f>'Suc. Sanblas'!D111</f>
        <v>2</v>
      </c>
      <c r="Q111" s="131">
        <f>'LALO VARAS'!D111</f>
        <v>3</v>
      </c>
      <c r="R111" s="131">
        <f>'Suc. Santiago 2'!D111</f>
        <v>2</v>
      </c>
      <c r="S111" s="131">
        <f>'Suc. Tecuala'!D111</f>
        <v>2</v>
      </c>
      <c r="T111" s="131">
        <f>'Suc. Tuxpan'!D111</f>
        <v>2</v>
      </c>
      <c r="U111" s="131">
        <f>'Suc. Varas'!D111</f>
        <v>2</v>
      </c>
      <c r="V111" s="131">
        <f>'Suc. Santa María del Oro'!D111</f>
        <v>4</v>
      </c>
      <c r="W111" s="131">
        <f>'Suc. Villa Hidalgo'!D111</f>
        <v>3</v>
      </c>
      <c r="X111" s="131">
        <f>'Suc. Peñita'!D111</f>
        <v>1</v>
      </c>
      <c r="Y111" s="120">
        <f t="shared" si="43"/>
        <v>28</v>
      </c>
      <c r="Z111" s="120">
        <f t="shared" si="44"/>
        <v>43</v>
      </c>
      <c r="AB111" s="84">
        <f>IFERROR(VLOOKUP(A111,'GRAL. SUC. FORANEAS'!$R:$S,2,0),0)</f>
        <v>14</v>
      </c>
      <c r="AD111" s="84">
        <f t="shared" si="40"/>
        <v>57</v>
      </c>
    </row>
    <row r="112" spans="1:30" ht="18" thickBot="1" x14ac:dyDescent="0.4">
      <c r="A112" s="95"/>
      <c r="B112" s="131">
        <f>'Suc. Amado Nervo'!D112</f>
        <v>0</v>
      </c>
      <c r="C112" s="131">
        <f>'Suc. León'!D112</f>
        <v>0</v>
      </c>
      <c r="D112" s="120">
        <f>'San Cayetano'!D112</f>
        <v>0</v>
      </c>
      <c r="E112" s="120">
        <f>'Suc. Boulevard'!D112</f>
        <v>0</v>
      </c>
      <c r="F112" s="120">
        <f>'Suc. Dos de Agosto'!D112</f>
        <v>0</v>
      </c>
      <c r="G112" s="120">
        <f>'Suc. La Nueva Canasta'!D112</f>
        <v>0</v>
      </c>
      <c r="H112" s="120">
        <f>'Suc. Mololoa'!D112</f>
        <v>0</v>
      </c>
      <c r="I112" s="120">
        <f>'Suc. Plaza'!D112</f>
        <v>0</v>
      </c>
      <c r="J112" s="120">
        <f>'Suc. Vistas'!D112</f>
        <v>0</v>
      </c>
      <c r="K112" s="120">
        <f>'Suc. Xalisco'!D112</f>
        <v>0</v>
      </c>
      <c r="L112" s="120">
        <f t="shared" si="42"/>
        <v>0</v>
      </c>
      <c r="M112" s="131">
        <f>'Suc. Acaponeta'!D112</f>
        <v>0</v>
      </c>
      <c r="N112" s="131">
        <f>'Suc. Compostela'!D112</f>
        <v>0</v>
      </c>
      <c r="O112" s="131">
        <f>'Suc. Ruiz'!D112</f>
        <v>0</v>
      </c>
      <c r="P112" s="131">
        <f>'Suc. Sanblas'!D112</f>
        <v>0</v>
      </c>
      <c r="Q112" s="131">
        <f>'LALO VARAS'!D112</f>
        <v>0</v>
      </c>
      <c r="R112" s="131">
        <f>'Suc. Santiago 2'!D112</f>
        <v>0</v>
      </c>
      <c r="S112" s="131">
        <f>'Suc. Tecuala'!D112</f>
        <v>0</v>
      </c>
      <c r="T112" s="131">
        <f>'Suc. Tuxpan'!D112</f>
        <v>0</v>
      </c>
      <c r="U112" s="131">
        <f>'Suc. Varas'!D112</f>
        <v>0</v>
      </c>
      <c r="V112" s="131">
        <f>'Suc. Santa María del Oro'!D112</f>
        <v>0</v>
      </c>
      <c r="W112" s="131">
        <f>'Suc. Villa Hidalgo'!D112</f>
        <v>0</v>
      </c>
      <c r="X112" s="131">
        <f>'Suc. Peñita'!D112</f>
        <v>0</v>
      </c>
      <c r="Y112" s="120">
        <f t="shared" si="43"/>
        <v>0</v>
      </c>
      <c r="Z112" s="120">
        <f t="shared" si="44"/>
        <v>0</v>
      </c>
      <c r="AB112" s="84">
        <f>IFERROR(VLOOKUP(A112,'GRAL. SUC. FORANEAS'!$R:$S,2,0),0)</f>
        <v>0</v>
      </c>
      <c r="AD112" s="84">
        <f t="shared" si="40"/>
        <v>0</v>
      </c>
    </row>
    <row r="113" spans="1:30" ht="18" thickBot="1" x14ac:dyDescent="0.4">
      <c r="A113" s="109" t="s">
        <v>55</v>
      </c>
      <c r="B113" s="114">
        <f t="shared" ref="B113:Z113" si="45">SUM(B107:B112,B114:B116)</f>
        <v>93</v>
      </c>
      <c r="C113" s="114">
        <f t="shared" si="45"/>
        <v>116</v>
      </c>
      <c r="D113" s="114">
        <f t="shared" si="45"/>
        <v>31</v>
      </c>
      <c r="E113" s="114">
        <f t="shared" si="45"/>
        <v>10</v>
      </c>
      <c r="F113" s="114">
        <f t="shared" si="45"/>
        <v>14</v>
      </c>
      <c r="G113" s="114">
        <f t="shared" si="45"/>
        <v>0</v>
      </c>
      <c r="H113" s="114">
        <f t="shared" si="45"/>
        <v>27</v>
      </c>
      <c r="I113" s="114">
        <f t="shared" si="45"/>
        <v>36</v>
      </c>
      <c r="J113" s="114">
        <f t="shared" si="45"/>
        <v>32</v>
      </c>
      <c r="K113" s="114">
        <f t="shared" si="45"/>
        <v>10</v>
      </c>
      <c r="L113" s="114">
        <f t="shared" si="45"/>
        <v>369</v>
      </c>
      <c r="M113" s="114">
        <f t="shared" si="45"/>
        <v>52</v>
      </c>
      <c r="N113" s="114">
        <f t="shared" si="45"/>
        <v>27</v>
      </c>
      <c r="O113" s="114">
        <f t="shared" si="45"/>
        <v>28</v>
      </c>
      <c r="P113" s="114">
        <f t="shared" si="45"/>
        <v>31</v>
      </c>
      <c r="Q113" s="114">
        <f t="shared" si="45"/>
        <v>36</v>
      </c>
      <c r="R113" s="114">
        <f t="shared" si="45"/>
        <v>39</v>
      </c>
      <c r="S113" s="114">
        <f t="shared" si="45"/>
        <v>28</v>
      </c>
      <c r="T113" s="114">
        <f t="shared" si="45"/>
        <v>33</v>
      </c>
      <c r="U113" s="114">
        <f t="shared" si="45"/>
        <v>26</v>
      </c>
      <c r="V113" s="114">
        <f t="shared" si="45"/>
        <v>52</v>
      </c>
      <c r="W113" s="114">
        <f t="shared" si="45"/>
        <v>58</v>
      </c>
      <c r="X113" s="114">
        <f t="shared" si="45"/>
        <v>30</v>
      </c>
      <c r="Y113" s="114">
        <f t="shared" si="45"/>
        <v>440</v>
      </c>
      <c r="Z113" s="114">
        <f t="shared" si="45"/>
        <v>809</v>
      </c>
      <c r="AB113" s="57">
        <f>SUM(AB107:AB112,AB114:AB116)</f>
        <v>74</v>
      </c>
      <c r="AD113" s="57">
        <f t="shared" si="40"/>
        <v>883</v>
      </c>
    </row>
    <row r="114" spans="1:30" ht="17.399999999999999" x14ac:dyDescent="0.35">
      <c r="A114" s="93" t="s">
        <v>84</v>
      </c>
      <c r="B114" s="131">
        <f>'Suc. Amado Nervo'!D114</f>
        <v>3</v>
      </c>
      <c r="C114" s="131">
        <f>'Suc. León'!D114</f>
        <v>4</v>
      </c>
      <c r="D114" s="120">
        <f>'San Cayetano'!D114</f>
        <v>2</v>
      </c>
      <c r="E114" s="120">
        <f>'Suc. Boulevard'!D114</f>
        <v>2</v>
      </c>
      <c r="F114" s="120">
        <f>'Suc. Dos de Agosto'!D114</f>
        <v>1</v>
      </c>
      <c r="G114" s="120">
        <f>'Suc. La Nueva Canasta'!D114</f>
        <v>0</v>
      </c>
      <c r="H114" s="120">
        <f>'Suc. Mololoa'!D114</f>
        <v>1</v>
      </c>
      <c r="I114" s="120">
        <f>'Suc. Plaza'!D114</f>
        <v>4</v>
      </c>
      <c r="J114" s="120">
        <f>'Suc. Vistas'!D114</f>
        <v>3</v>
      </c>
      <c r="K114" s="120">
        <f>'Suc. Xalisco'!D114</f>
        <v>1</v>
      </c>
      <c r="L114" s="120">
        <f t="shared" ref="L114:L116" si="46">SUM(B114:K114)</f>
        <v>21</v>
      </c>
      <c r="M114" s="131">
        <f>'Suc. Acaponeta'!D114</f>
        <v>5</v>
      </c>
      <c r="N114" s="131">
        <f>'Suc. Compostela'!D114</f>
        <v>3</v>
      </c>
      <c r="O114" s="131">
        <f>'Suc. Ruiz'!D114</f>
        <v>2</v>
      </c>
      <c r="P114" s="131">
        <f>'Suc. Sanblas'!D114</f>
        <v>3</v>
      </c>
      <c r="Q114" s="131">
        <f>'LALO VARAS'!D114</f>
        <v>3</v>
      </c>
      <c r="R114" s="131">
        <f>'Suc. Santiago 2'!D114</f>
        <v>3</v>
      </c>
      <c r="S114" s="131">
        <f>'Suc. Tecuala'!D114</f>
        <v>2</v>
      </c>
      <c r="T114" s="131">
        <f>'Suc. Tuxpan'!D114</f>
        <v>2</v>
      </c>
      <c r="U114" s="131">
        <f>'Suc. Varas'!D114</f>
        <v>2</v>
      </c>
      <c r="V114" s="131">
        <f>'Suc. Santa María del Oro'!D114</f>
        <v>5</v>
      </c>
      <c r="W114" s="131">
        <f>'Suc. Villa Hidalgo'!D114</f>
        <v>5</v>
      </c>
      <c r="X114" s="131">
        <f>'Suc. Peñita'!D114</f>
        <v>5</v>
      </c>
      <c r="Y114" s="120">
        <f t="shared" ref="Y114:Y116" si="47">SUM(M114:X114)</f>
        <v>40</v>
      </c>
      <c r="Z114" s="120">
        <f t="shared" ref="Z114:Z116" si="48">L114+Y114</f>
        <v>61</v>
      </c>
      <c r="AB114" s="84">
        <f>IFERROR(VLOOKUP(A114,'GRAL. SUC. FORANEAS'!$R:$S,2,0),0)</f>
        <v>7</v>
      </c>
      <c r="AD114" s="84">
        <f t="shared" si="40"/>
        <v>68</v>
      </c>
    </row>
    <row r="115" spans="1:30" ht="17.399999999999999" x14ac:dyDescent="0.35">
      <c r="A115" s="95" t="s">
        <v>85</v>
      </c>
      <c r="B115" s="131">
        <f>'Suc. Amado Nervo'!D115</f>
        <v>3</v>
      </c>
      <c r="C115" s="131">
        <f>'Suc. León'!D115</f>
        <v>4</v>
      </c>
      <c r="D115" s="120">
        <f>'San Cayetano'!D115</f>
        <v>3</v>
      </c>
      <c r="E115" s="120">
        <f>'Suc. Boulevard'!D115</f>
        <v>2</v>
      </c>
      <c r="F115" s="120">
        <f>'Suc. Dos de Agosto'!D115</f>
        <v>1</v>
      </c>
      <c r="G115" s="120">
        <f>'Suc. La Nueva Canasta'!D115</f>
        <v>0</v>
      </c>
      <c r="H115" s="120">
        <f>'Suc. Mololoa'!D115</f>
        <v>1</v>
      </c>
      <c r="I115" s="120">
        <f>'Suc. Plaza'!D115</f>
        <v>4</v>
      </c>
      <c r="J115" s="120">
        <f>'Suc. Vistas'!D115</f>
        <v>3</v>
      </c>
      <c r="K115" s="120">
        <f>'Suc. Xalisco'!D115</f>
        <v>1</v>
      </c>
      <c r="L115" s="120">
        <f t="shared" si="46"/>
        <v>22</v>
      </c>
      <c r="M115" s="131">
        <f>'Suc. Acaponeta'!D115</f>
        <v>5</v>
      </c>
      <c r="N115" s="131">
        <f>'Suc. Compostela'!D115</f>
        <v>3</v>
      </c>
      <c r="O115" s="131">
        <f>'Suc. Ruiz'!D115</f>
        <v>2</v>
      </c>
      <c r="P115" s="131">
        <f>'Suc. Sanblas'!D115</f>
        <v>3</v>
      </c>
      <c r="Q115" s="131">
        <f>'LALO VARAS'!D115</f>
        <v>3</v>
      </c>
      <c r="R115" s="131">
        <f>'Suc. Santiago 2'!D115</f>
        <v>3</v>
      </c>
      <c r="S115" s="131">
        <f>'Suc. Tecuala'!D115</f>
        <v>2</v>
      </c>
      <c r="T115" s="131">
        <f>'Suc. Tuxpan'!D115</f>
        <v>2</v>
      </c>
      <c r="U115" s="131">
        <f>'Suc. Varas'!D115</f>
        <v>2</v>
      </c>
      <c r="V115" s="131">
        <f>'Suc. Santa María del Oro'!D115</f>
        <v>5</v>
      </c>
      <c r="W115" s="131">
        <f>'Suc. Villa Hidalgo'!D115</f>
        <v>5</v>
      </c>
      <c r="X115" s="131">
        <f>'Suc. Peñita'!D115</f>
        <v>5</v>
      </c>
      <c r="Y115" s="120">
        <f t="shared" si="47"/>
        <v>40</v>
      </c>
      <c r="Z115" s="120">
        <f t="shared" si="48"/>
        <v>62</v>
      </c>
    </row>
    <row r="116" spans="1:30" ht="18" thickBot="1" x14ac:dyDescent="0.4">
      <c r="A116" s="95" t="s">
        <v>881</v>
      </c>
      <c r="B116" s="131">
        <f>'Suc. Amado Nervo'!D116</f>
        <v>3</v>
      </c>
      <c r="C116" s="131">
        <f>'Suc. León'!D116</f>
        <v>4</v>
      </c>
      <c r="D116" s="120">
        <f>'San Cayetano'!D116</f>
        <v>3</v>
      </c>
      <c r="E116" s="120">
        <f>'Suc. Boulevard'!D116</f>
        <v>1</v>
      </c>
      <c r="F116" s="120">
        <f>'Suc. Dos de Agosto'!D116</f>
        <v>2</v>
      </c>
      <c r="G116" s="120">
        <f>'Suc. La Nueva Canasta'!D116</f>
        <v>0</v>
      </c>
      <c r="H116" s="120">
        <f>'Suc. Mololoa'!D116</f>
        <v>1</v>
      </c>
      <c r="I116" s="120">
        <f>'Suc. Plaza'!D116</f>
        <v>5</v>
      </c>
      <c r="J116" s="120">
        <f>'Suc. Vistas'!D116</f>
        <v>2</v>
      </c>
      <c r="K116" s="120">
        <f>'Suc. Xalisco'!D116</f>
        <v>0</v>
      </c>
      <c r="L116" s="120">
        <f t="shared" si="46"/>
        <v>21</v>
      </c>
      <c r="M116" s="131">
        <f>'Suc. Acaponeta'!D116</f>
        <v>5</v>
      </c>
      <c r="N116" s="131">
        <f>'Suc. Compostela'!D116</f>
        <v>2</v>
      </c>
      <c r="O116" s="131">
        <f>'Suc. Ruiz'!D116</f>
        <v>1</v>
      </c>
      <c r="P116" s="131">
        <f>'Suc. Sanblas'!D116</f>
        <v>2</v>
      </c>
      <c r="Q116" s="131">
        <f>'LALO VARAS'!D116</f>
        <v>1</v>
      </c>
      <c r="R116" s="131">
        <f>'Suc. Santiago 2'!D116</f>
        <v>2</v>
      </c>
      <c r="S116" s="131">
        <f>'Suc. Tecuala'!D116</f>
        <v>2</v>
      </c>
      <c r="T116" s="131">
        <f>'Suc. Tuxpan'!D116</f>
        <v>6</v>
      </c>
      <c r="U116" s="131">
        <f>'Suc. Varas'!D116</f>
        <v>2</v>
      </c>
      <c r="V116" s="131">
        <f>'Suc. Santa María del Oro'!D116</f>
        <v>4</v>
      </c>
      <c r="W116" s="131">
        <f>'Suc. Villa Hidalgo'!D116</f>
        <v>5</v>
      </c>
      <c r="X116" s="131">
        <f>'Suc. Peñita'!D116</f>
        <v>5</v>
      </c>
      <c r="Y116" s="120">
        <f t="shared" si="47"/>
        <v>37</v>
      </c>
      <c r="Z116" s="120">
        <f t="shared" si="48"/>
        <v>58</v>
      </c>
      <c r="AB116" s="84">
        <f>IFERROR(VLOOKUP(A116,'GRAL. SUC. FORANEAS'!$R:$S,2,0),0)</f>
        <v>8</v>
      </c>
      <c r="AD116" s="84">
        <f t="shared" ref="AD116:AD125" si="49">AB116+Z116</f>
        <v>66</v>
      </c>
    </row>
    <row r="117" spans="1:30" ht="18" thickBot="1" x14ac:dyDescent="0.4">
      <c r="A117" s="110" t="s">
        <v>86</v>
      </c>
      <c r="B117" s="59">
        <f t="shared" ref="B117:Z117" si="50">B79+B91+B105+B113</f>
        <v>296</v>
      </c>
      <c r="C117" s="59">
        <f t="shared" si="50"/>
        <v>330</v>
      </c>
      <c r="D117" s="59">
        <f t="shared" si="50"/>
        <v>188</v>
      </c>
      <c r="E117" s="59">
        <f t="shared" si="50"/>
        <v>131</v>
      </c>
      <c r="F117" s="59">
        <f t="shared" si="50"/>
        <v>160</v>
      </c>
      <c r="G117" s="59">
        <f t="shared" si="50"/>
        <v>0</v>
      </c>
      <c r="H117" s="59">
        <f t="shared" si="50"/>
        <v>169</v>
      </c>
      <c r="I117" s="59">
        <f t="shared" si="50"/>
        <v>167</v>
      </c>
      <c r="J117" s="59">
        <f t="shared" si="50"/>
        <v>234</v>
      </c>
      <c r="K117" s="59">
        <f t="shared" si="50"/>
        <v>147</v>
      </c>
      <c r="L117" s="59">
        <f t="shared" si="50"/>
        <v>1822</v>
      </c>
      <c r="M117" s="59">
        <f t="shared" si="50"/>
        <v>314</v>
      </c>
      <c r="N117" s="59">
        <f t="shared" si="50"/>
        <v>191</v>
      </c>
      <c r="O117" s="59">
        <f t="shared" si="50"/>
        <v>184</v>
      </c>
      <c r="P117" s="59">
        <f t="shared" si="50"/>
        <v>235</v>
      </c>
      <c r="Q117" s="59">
        <f t="shared" si="50"/>
        <v>281</v>
      </c>
      <c r="R117" s="59">
        <f t="shared" si="50"/>
        <v>255</v>
      </c>
      <c r="S117" s="59">
        <f t="shared" si="50"/>
        <v>194</v>
      </c>
      <c r="T117" s="59">
        <f t="shared" si="50"/>
        <v>235</v>
      </c>
      <c r="U117" s="59">
        <f t="shared" si="50"/>
        <v>233</v>
      </c>
      <c r="V117" s="59">
        <f t="shared" si="50"/>
        <v>231</v>
      </c>
      <c r="W117" s="59">
        <f t="shared" si="50"/>
        <v>300</v>
      </c>
      <c r="X117" s="59">
        <f t="shared" si="50"/>
        <v>179</v>
      </c>
      <c r="Y117" s="59">
        <f t="shared" si="50"/>
        <v>2832</v>
      </c>
      <c r="Z117" s="59">
        <f t="shared" si="50"/>
        <v>4654</v>
      </c>
      <c r="AB117" s="59">
        <f>AB79+AB91+AB105+AB113</f>
        <v>1378</v>
      </c>
      <c r="AD117" s="59">
        <f t="shared" si="49"/>
        <v>6032</v>
      </c>
    </row>
    <row r="118" spans="1:30" ht="17.399999999999999" x14ac:dyDescent="0.35">
      <c r="A118" s="95" t="s">
        <v>975</v>
      </c>
      <c r="B118" s="131">
        <f>'Suc. Amado Nervo'!D118</f>
        <v>4</v>
      </c>
      <c r="C118" s="131">
        <f>'Suc. León'!D118</f>
        <v>4</v>
      </c>
      <c r="D118" s="120">
        <f>'San Cayetano'!D118</f>
        <v>4</v>
      </c>
      <c r="E118" s="120">
        <f>'Suc. Boulevard'!D118</f>
        <v>2</v>
      </c>
      <c r="F118" s="120">
        <f>'Suc. Dos de Agosto'!D118</f>
        <v>3</v>
      </c>
      <c r="G118" s="120">
        <f>'Suc. La Nueva Canasta'!D118</f>
        <v>0</v>
      </c>
      <c r="H118" s="120">
        <f>'Suc. Mololoa'!D118</f>
        <v>4</v>
      </c>
      <c r="I118" s="120">
        <f>'Suc. Plaza'!D118</f>
        <v>4</v>
      </c>
      <c r="J118" s="120">
        <f>'Suc. Vistas'!D118</f>
        <v>3</v>
      </c>
      <c r="K118" s="120">
        <f>'Suc. Xalisco'!D118</f>
        <v>2</v>
      </c>
      <c r="L118" s="120">
        <f t="shared" ref="L118:L148" si="51">SUM(B118:K118)</f>
        <v>30</v>
      </c>
      <c r="M118" s="131">
        <f>'Suc. Acaponeta'!D118</f>
        <v>4</v>
      </c>
      <c r="N118" s="131">
        <f>'Suc. Compostela'!D118</f>
        <v>3</v>
      </c>
      <c r="O118" s="131">
        <f>'Suc. Ruiz'!D118</f>
        <v>3</v>
      </c>
      <c r="P118" s="131">
        <f>'Suc. Sanblas'!D118</f>
        <v>3</v>
      </c>
      <c r="Q118" s="131">
        <f>'LALO VARAS'!D118</f>
        <v>3</v>
      </c>
      <c r="R118" s="131">
        <f>'Suc. Santiago 2'!D118</f>
        <v>3</v>
      </c>
      <c r="S118" s="131">
        <f>'Suc. Tecuala'!D118</f>
        <v>3</v>
      </c>
      <c r="T118" s="131">
        <f>'Suc. Tuxpan'!D118</f>
        <v>3</v>
      </c>
      <c r="U118" s="131">
        <f>'Suc. Varas'!D118</f>
        <v>6</v>
      </c>
      <c r="V118" s="131">
        <f>'Suc. Santa María del Oro'!D118</f>
        <v>3</v>
      </c>
      <c r="W118" s="131">
        <f>'Suc. Villa Hidalgo'!D118</f>
        <v>3</v>
      </c>
      <c r="X118" s="131">
        <f>'Suc. Peñita'!D118</f>
        <v>3</v>
      </c>
      <c r="Y118" s="120">
        <f t="shared" ref="Y118:Y148" si="52">SUM(M118:X118)</f>
        <v>40</v>
      </c>
      <c r="Z118" s="120">
        <f t="shared" ref="Z118:Z148" si="53">L118+Y118</f>
        <v>70</v>
      </c>
      <c r="AB118" s="84">
        <f>IFERROR(VLOOKUP(A118,'GRAL. SUC. FORANEAS'!$R:$S,2,0),0)</f>
        <v>20</v>
      </c>
      <c r="AD118" s="84">
        <f t="shared" si="49"/>
        <v>90</v>
      </c>
    </row>
    <row r="119" spans="1:30" ht="17.399999999999999" x14ac:dyDescent="0.35">
      <c r="A119" s="95" t="s">
        <v>974</v>
      </c>
      <c r="B119" s="131">
        <f>'Suc. Amado Nervo'!D119</f>
        <v>4</v>
      </c>
      <c r="C119" s="131">
        <f>'Suc. León'!D119</f>
        <v>4</v>
      </c>
      <c r="D119" s="120">
        <f>'San Cayetano'!D119</f>
        <v>4</v>
      </c>
      <c r="E119" s="120">
        <f>'Suc. Boulevard'!D119</f>
        <v>2</v>
      </c>
      <c r="F119" s="120">
        <f>'Suc. Dos de Agosto'!D119</f>
        <v>3</v>
      </c>
      <c r="G119" s="120">
        <f>'Suc. La Nueva Canasta'!D119</f>
        <v>0</v>
      </c>
      <c r="H119" s="120">
        <f>'Suc. Mololoa'!D119</f>
        <v>4</v>
      </c>
      <c r="I119" s="120">
        <f>'Suc. Plaza'!D119</f>
        <v>4</v>
      </c>
      <c r="J119" s="120">
        <f>'Suc. Vistas'!D119</f>
        <v>3</v>
      </c>
      <c r="K119" s="120">
        <f>'Suc. Xalisco'!D119</f>
        <v>2</v>
      </c>
      <c r="L119" s="120">
        <f t="shared" si="51"/>
        <v>30</v>
      </c>
      <c r="M119" s="131">
        <f>'Suc. Acaponeta'!D119</f>
        <v>4</v>
      </c>
      <c r="N119" s="131">
        <f>'Suc. Compostela'!D119</f>
        <v>3</v>
      </c>
      <c r="O119" s="131">
        <f>'Suc. Ruiz'!D119</f>
        <v>3</v>
      </c>
      <c r="P119" s="131">
        <f>'Suc. Sanblas'!D119</f>
        <v>3</v>
      </c>
      <c r="Q119" s="131">
        <f>'LALO VARAS'!D119</f>
        <v>3</v>
      </c>
      <c r="R119" s="131">
        <f>'Suc. Santiago 2'!D119</f>
        <v>3</v>
      </c>
      <c r="S119" s="131">
        <f>'Suc. Tecuala'!D119</f>
        <v>3</v>
      </c>
      <c r="T119" s="131">
        <f>'Suc. Tuxpan'!D119</f>
        <v>3</v>
      </c>
      <c r="U119" s="131">
        <f>'Suc. Varas'!D119</f>
        <v>6</v>
      </c>
      <c r="V119" s="131">
        <f>'Suc. Santa María del Oro'!D119</f>
        <v>3</v>
      </c>
      <c r="W119" s="131">
        <f>'Suc. Villa Hidalgo'!D119</f>
        <v>3</v>
      </c>
      <c r="X119" s="131">
        <f>'Suc. Peñita'!D119</f>
        <v>3</v>
      </c>
      <c r="Y119" s="120">
        <f t="shared" si="52"/>
        <v>40</v>
      </c>
      <c r="Z119" s="120">
        <f t="shared" si="53"/>
        <v>70</v>
      </c>
      <c r="AB119" s="84">
        <f>IFERROR(VLOOKUP(A119,'GRAL. SUC. FORANEAS'!$R:$S,2,0),0)</f>
        <v>3</v>
      </c>
      <c r="AD119" s="84">
        <f t="shared" si="49"/>
        <v>73</v>
      </c>
    </row>
    <row r="120" spans="1:30" ht="17.399999999999999" x14ac:dyDescent="0.35">
      <c r="A120" s="95" t="s">
        <v>1077</v>
      </c>
      <c r="B120" s="131">
        <f>'Suc. Amado Nervo'!D120</f>
        <v>0</v>
      </c>
      <c r="C120" s="131">
        <f>'Suc. León'!D120</f>
        <v>0</v>
      </c>
      <c r="D120" s="120">
        <f>'San Cayetano'!D120</f>
        <v>0</v>
      </c>
      <c r="E120" s="120">
        <f>'Suc. Boulevard'!D120</f>
        <v>0</v>
      </c>
      <c r="F120" s="120">
        <f>'Suc. Dos de Agosto'!D120</f>
        <v>0</v>
      </c>
      <c r="G120" s="120">
        <f>'Suc. La Nueva Canasta'!D120</f>
        <v>0</v>
      </c>
      <c r="H120" s="120">
        <f>'Suc. Mololoa'!D120</f>
        <v>0</v>
      </c>
      <c r="I120" s="120">
        <f>'Suc. Plaza'!D120</f>
        <v>0</v>
      </c>
      <c r="J120" s="120">
        <f>'Suc. Vistas'!D120</f>
        <v>0</v>
      </c>
      <c r="K120" s="120">
        <f>'Suc. Xalisco'!D120</f>
        <v>0</v>
      </c>
      <c r="L120" s="120">
        <f t="shared" si="51"/>
        <v>0</v>
      </c>
      <c r="M120" s="131">
        <f>'Suc. Acaponeta'!D120</f>
        <v>0</v>
      </c>
      <c r="N120" s="131">
        <f>'Suc. Compostela'!D120</f>
        <v>0</v>
      </c>
      <c r="O120" s="131">
        <f>'Suc. Ruiz'!D120</f>
        <v>0</v>
      </c>
      <c r="P120" s="131">
        <f>'Suc. Sanblas'!D120</f>
        <v>0</v>
      </c>
      <c r="Q120" s="131">
        <f>'LALO VARAS'!D120</f>
        <v>0</v>
      </c>
      <c r="R120" s="131">
        <f>'Suc. Santiago 2'!D120</f>
        <v>0</v>
      </c>
      <c r="S120" s="131">
        <f>'Suc. Tecuala'!D120</f>
        <v>0</v>
      </c>
      <c r="T120" s="131">
        <f>'Suc. Tuxpan'!D120</f>
        <v>0</v>
      </c>
      <c r="U120" s="131">
        <f>'Suc. Varas'!D120</f>
        <v>0</v>
      </c>
      <c r="V120" s="131">
        <f>'Suc. Santa María del Oro'!D120</f>
        <v>0</v>
      </c>
      <c r="W120" s="131">
        <f>'Suc. Villa Hidalgo'!D120</f>
        <v>0</v>
      </c>
      <c r="X120" s="131">
        <f>'Suc. Peñita'!D120</f>
        <v>0</v>
      </c>
      <c r="Y120" s="120">
        <f t="shared" si="52"/>
        <v>0</v>
      </c>
      <c r="Z120" s="120">
        <f t="shared" si="53"/>
        <v>0</v>
      </c>
      <c r="AB120" s="84">
        <f>IFERROR(VLOOKUP(A120,'GRAL. SUC. FORANEAS'!$R:$S,2,0),0)</f>
        <v>0</v>
      </c>
      <c r="AD120" s="84">
        <f t="shared" si="49"/>
        <v>0</v>
      </c>
    </row>
    <row r="121" spans="1:30" ht="17.399999999999999" x14ac:dyDescent="0.35">
      <c r="A121" s="95" t="s">
        <v>1076</v>
      </c>
      <c r="B121" s="131">
        <f>'Suc. Amado Nervo'!D121</f>
        <v>0</v>
      </c>
      <c r="C121" s="131">
        <f>'Suc. León'!D121</f>
        <v>0</v>
      </c>
      <c r="D121" s="120">
        <f>'San Cayetano'!D121</f>
        <v>0</v>
      </c>
      <c r="E121" s="120">
        <f>'Suc. Boulevard'!D121</f>
        <v>0</v>
      </c>
      <c r="F121" s="120">
        <f>'Suc. Dos de Agosto'!D121</f>
        <v>0</v>
      </c>
      <c r="G121" s="120">
        <f>'Suc. La Nueva Canasta'!D121</f>
        <v>0</v>
      </c>
      <c r="H121" s="120">
        <f>'Suc. Mololoa'!D121</f>
        <v>0</v>
      </c>
      <c r="I121" s="120">
        <f>'Suc. Plaza'!D121</f>
        <v>0</v>
      </c>
      <c r="J121" s="120">
        <f>'Suc. Vistas'!D121</f>
        <v>0</v>
      </c>
      <c r="K121" s="120">
        <f>'Suc. Xalisco'!D121</f>
        <v>0</v>
      </c>
      <c r="L121" s="120">
        <f t="shared" si="51"/>
        <v>0</v>
      </c>
      <c r="M121" s="131">
        <f>'Suc. Acaponeta'!D121</f>
        <v>0</v>
      </c>
      <c r="N121" s="131">
        <f>'Suc. Compostela'!D121</f>
        <v>0</v>
      </c>
      <c r="O121" s="131">
        <f>'Suc. Ruiz'!D121</f>
        <v>0</v>
      </c>
      <c r="P121" s="131">
        <f>'Suc. Sanblas'!D121</f>
        <v>1</v>
      </c>
      <c r="Q121" s="131">
        <f>'LALO VARAS'!D121</f>
        <v>0</v>
      </c>
      <c r="R121" s="131">
        <f>'Suc. Santiago 2'!D121</f>
        <v>0</v>
      </c>
      <c r="S121" s="131">
        <f>'Suc. Tecuala'!D121</f>
        <v>0</v>
      </c>
      <c r="T121" s="131">
        <f>'Suc. Tuxpan'!D121</f>
        <v>0</v>
      </c>
      <c r="U121" s="131">
        <f>'Suc. Varas'!D121</f>
        <v>0</v>
      </c>
      <c r="V121" s="131">
        <f>'Suc. Santa María del Oro'!D121</f>
        <v>0</v>
      </c>
      <c r="W121" s="131">
        <f>'Suc. Villa Hidalgo'!D121</f>
        <v>0</v>
      </c>
      <c r="X121" s="131">
        <f>'Suc. Peñita'!D121</f>
        <v>0</v>
      </c>
      <c r="Y121" s="120">
        <f t="shared" si="52"/>
        <v>1</v>
      </c>
      <c r="Z121" s="120">
        <f t="shared" si="53"/>
        <v>1</v>
      </c>
      <c r="AB121" s="84">
        <f>IFERROR(VLOOKUP(A121,'GRAL. SUC. FORANEAS'!$R:$S,2,0),0)</f>
        <v>0</v>
      </c>
      <c r="AD121" s="84">
        <f t="shared" si="49"/>
        <v>1</v>
      </c>
    </row>
    <row r="122" spans="1:30" ht="17.399999999999999" x14ac:dyDescent="0.35">
      <c r="A122" s="95" t="s">
        <v>1014</v>
      </c>
      <c r="B122" s="131">
        <f>'Suc. Amado Nervo'!D122</f>
        <v>10</v>
      </c>
      <c r="C122" s="131">
        <f>'Suc. León'!D122</f>
        <v>10</v>
      </c>
      <c r="D122" s="120">
        <f>'San Cayetano'!D122</f>
        <v>5</v>
      </c>
      <c r="E122" s="120">
        <f>'Suc. Boulevard'!D122</f>
        <v>2</v>
      </c>
      <c r="F122" s="120">
        <f>'Suc. Dos de Agosto'!D122</f>
        <v>3</v>
      </c>
      <c r="G122" s="120">
        <f>'Suc. La Nueva Canasta'!D122</f>
        <v>0</v>
      </c>
      <c r="H122" s="120">
        <f>'Suc. Mololoa'!D122</f>
        <v>10</v>
      </c>
      <c r="I122" s="120">
        <f>'Suc. Plaza'!D122</f>
        <v>10</v>
      </c>
      <c r="J122" s="120">
        <f>'Suc. Vistas'!D122</f>
        <v>10</v>
      </c>
      <c r="K122" s="120">
        <f>'Suc. Xalisco'!D122</f>
        <v>5</v>
      </c>
      <c r="L122" s="120">
        <f t="shared" si="51"/>
        <v>65</v>
      </c>
      <c r="M122" s="131">
        <f>'Suc. Acaponeta'!D122</f>
        <v>10</v>
      </c>
      <c r="N122" s="131">
        <f>'Suc. Compostela'!D122</f>
        <v>5</v>
      </c>
      <c r="O122" s="131">
        <f>'Suc. Ruiz'!D122</f>
        <v>5</v>
      </c>
      <c r="P122" s="131">
        <f>'Suc. Sanblas'!D122</f>
        <v>5</v>
      </c>
      <c r="Q122" s="131">
        <f>'LALO VARAS'!D122</f>
        <v>10</v>
      </c>
      <c r="R122" s="131">
        <f>'Suc. Santiago 2'!D122</f>
        <v>10</v>
      </c>
      <c r="S122" s="131">
        <f>'Suc. Tecuala'!D122</f>
        <v>5</v>
      </c>
      <c r="T122" s="131">
        <f>'Suc. Tuxpan'!D122</f>
        <v>8</v>
      </c>
      <c r="U122" s="131">
        <f>'Suc. Varas'!D122</f>
        <v>10</v>
      </c>
      <c r="V122" s="131">
        <f>'Suc. Santa María del Oro'!D122</f>
        <v>10</v>
      </c>
      <c r="W122" s="131">
        <f>'Suc. Villa Hidalgo'!D122</f>
        <v>10</v>
      </c>
      <c r="X122" s="131">
        <f>'Suc. Peñita'!D122</f>
        <v>5</v>
      </c>
      <c r="Y122" s="120">
        <f t="shared" si="52"/>
        <v>93</v>
      </c>
      <c r="Z122" s="120">
        <f t="shared" si="53"/>
        <v>158</v>
      </c>
      <c r="AB122" s="84">
        <f>IFERROR(VLOOKUP(A122,'GRAL. SUC. FORANEAS'!$R:$S,2,0),0)</f>
        <v>35</v>
      </c>
      <c r="AD122" s="84">
        <f t="shared" si="49"/>
        <v>193</v>
      </c>
    </row>
    <row r="123" spans="1:30" ht="17.399999999999999" x14ac:dyDescent="0.35">
      <c r="A123" s="95" t="s">
        <v>1015</v>
      </c>
      <c r="B123" s="131">
        <f>'Suc. Amado Nervo'!D123</f>
        <v>5</v>
      </c>
      <c r="C123" s="131">
        <f>'Suc. León'!D123</f>
        <v>10</v>
      </c>
      <c r="D123" s="120">
        <f>'San Cayetano'!D123</f>
        <v>5</v>
      </c>
      <c r="E123" s="120">
        <f>'Suc. Boulevard'!D123</f>
        <v>4</v>
      </c>
      <c r="F123" s="120">
        <f>'Suc. Dos de Agosto'!D123</f>
        <v>3</v>
      </c>
      <c r="G123" s="120">
        <f>'Suc. La Nueva Canasta'!D123</f>
        <v>0</v>
      </c>
      <c r="H123" s="120">
        <f>'Suc. Mololoa'!D123</f>
        <v>5</v>
      </c>
      <c r="I123" s="120">
        <f>'Suc. Plaza'!D123</f>
        <v>10</v>
      </c>
      <c r="J123" s="120">
        <f>'Suc. Vistas'!D123</f>
        <v>10</v>
      </c>
      <c r="K123" s="120">
        <f>'Suc. Xalisco'!D123</f>
        <v>0</v>
      </c>
      <c r="L123" s="120">
        <f t="shared" si="51"/>
        <v>52</v>
      </c>
      <c r="M123" s="131">
        <f>'Suc. Acaponeta'!D123</f>
        <v>5</v>
      </c>
      <c r="N123" s="131">
        <f>'Suc. Compostela'!D123</f>
        <v>5</v>
      </c>
      <c r="O123" s="131">
        <f>'Suc. Ruiz'!D123</f>
        <v>5</v>
      </c>
      <c r="P123" s="131">
        <f>'Suc. Sanblas'!D123</f>
        <v>5</v>
      </c>
      <c r="Q123" s="131">
        <f>'LALO VARAS'!D123</f>
        <v>5</v>
      </c>
      <c r="R123" s="131">
        <f>'Suc. Santiago 2'!D123</f>
        <v>0</v>
      </c>
      <c r="S123" s="131">
        <f>'Suc. Tecuala'!D123</f>
        <v>5</v>
      </c>
      <c r="T123" s="131">
        <f>'Suc. Tuxpan'!D123</f>
        <v>5</v>
      </c>
      <c r="U123" s="131">
        <f>'Suc. Varas'!D123</f>
        <v>5</v>
      </c>
      <c r="V123" s="131">
        <f>'Suc. Santa María del Oro'!D123</f>
        <v>5</v>
      </c>
      <c r="W123" s="131">
        <f>'Suc. Villa Hidalgo'!D123</f>
        <v>5</v>
      </c>
      <c r="X123" s="131">
        <f>'Suc. Peñita'!D123</f>
        <v>5</v>
      </c>
      <c r="Y123" s="120">
        <f t="shared" si="52"/>
        <v>55</v>
      </c>
      <c r="Z123" s="120">
        <f t="shared" si="53"/>
        <v>107</v>
      </c>
      <c r="AB123" s="84">
        <f>IFERROR(VLOOKUP(A123,'GRAL. SUC. FORANEAS'!$R:$S,2,0),0)</f>
        <v>12</v>
      </c>
      <c r="AD123" s="84">
        <f t="shared" si="49"/>
        <v>119</v>
      </c>
    </row>
    <row r="124" spans="1:30" ht="17.399999999999999" x14ac:dyDescent="0.35">
      <c r="A124" s="95" t="s">
        <v>1016</v>
      </c>
      <c r="B124" s="131">
        <f>'Suc. Amado Nervo'!D124</f>
        <v>5</v>
      </c>
      <c r="C124" s="131">
        <f>'Suc. León'!D124</f>
        <v>10</v>
      </c>
      <c r="D124" s="120">
        <f>'San Cayetano'!D124</f>
        <v>5</v>
      </c>
      <c r="E124" s="120">
        <f>'Suc. Boulevard'!D124</f>
        <v>0</v>
      </c>
      <c r="F124" s="120">
        <f>'Suc. Dos de Agosto'!D124</f>
        <v>3</v>
      </c>
      <c r="G124" s="120">
        <f>'Suc. La Nueva Canasta'!D124</f>
        <v>0</v>
      </c>
      <c r="H124" s="120">
        <f>'Suc. Mololoa'!D124</f>
        <v>10</v>
      </c>
      <c r="I124" s="120">
        <f>'Suc. Plaza'!D124</f>
        <v>10</v>
      </c>
      <c r="J124" s="120">
        <f>'Suc. Vistas'!D124</f>
        <v>5</v>
      </c>
      <c r="K124" s="120">
        <f>'Suc. Xalisco'!D124</f>
        <v>10</v>
      </c>
      <c r="L124" s="120">
        <f t="shared" si="51"/>
        <v>58</v>
      </c>
      <c r="M124" s="131">
        <f>'Suc. Acaponeta'!D124</f>
        <v>5</v>
      </c>
      <c r="N124" s="131">
        <f>'Suc. Compostela'!D124</f>
        <v>5</v>
      </c>
      <c r="O124" s="131">
        <f>'Suc. Ruiz'!D124</f>
        <v>5</v>
      </c>
      <c r="P124" s="131">
        <f>'Suc. Sanblas'!D124</f>
        <v>5</v>
      </c>
      <c r="Q124" s="131">
        <f>'LALO VARAS'!D124</f>
        <v>5</v>
      </c>
      <c r="R124" s="131">
        <f>'Suc. Santiago 2'!D124</f>
        <v>5</v>
      </c>
      <c r="S124" s="131">
        <f>'Suc. Tecuala'!D124</f>
        <v>5</v>
      </c>
      <c r="T124" s="131">
        <f>'Suc. Tuxpan'!D124</f>
        <v>5</v>
      </c>
      <c r="U124" s="131">
        <f>'Suc. Varas'!D124</f>
        <v>10</v>
      </c>
      <c r="V124" s="131">
        <f>'Suc. Santa María del Oro'!D124</f>
        <v>10</v>
      </c>
      <c r="W124" s="131">
        <f>'Suc. Villa Hidalgo'!D124</f>
        <v>5</v>
      </c>
      <c r="X124" s="131">
        <f>'Suc. Peñita'!D124</f>
        <v>5</v>
      </c>
      <c r="Y124" s="120">
        <f t="shared" si="52"/>
        <v>70</v>
      </c>
      <c r="Z124" s="120">
        <f t="shared" si="53"/>
        <v>128</v>
      </c>
      <c r="AB124" s="84">
        <f>IFERROR(VLOOKUP(A124,'GRAL. SUC. FORANEAS'!$R:$S,2,0),0)</f>
        <v>10</v>
      </c>
      <c r="AD124" s="84">
        <f t="shared" si="49"/>
        <v>138</v>
      </c>
    </row>
    <row r="125" spans="1:30" ht="17.399999999999999" x14ac:dyDescent="0.35">
      <c r="A125" s="95" t="s">
        <v>1017</v>
      </c>
      <c r="B125" s="131">
        <f>'Suc. Amado Nervo'!D125</f>
        <v>10</v>
      </c>
      <c r="C125" s="131">
        <f>'Suc. León'!D125</f>
        <v>10</v>
      </c>
      <c r="D125" s="120">
        <f>'San Cayetano'!D125</f>
        <v>5</v>
      </c>
      <c r="E125" s="120">
        <f>'Suc. Boulevard'!D125</f>
        <v>2</v>
      </c>
      <c r="F125" s="120">
        <f>'Suc. Dos de Agosto'!D125</f>
        <v>3</v>
      </c>
      <c r="G125" s="120">
        <f>'Suc. La Nueva Canasta'!D125</f>
        <v>0</v>
      </c>
      <c r="H125" s="120">
        <f>'Suc. Mololoa'!D125</f>
        <v>5</v>
      </c>
      <c r="I125" s="120">
        <f>'Suc. Plaza'!D125</f>
        <v>10</v>
      </c>
      <c r="J125" s="120">
        <f>'Suc. Vistas'!D125</f>
        <v>10</v>
      </c>
      <c r="K125" s="120">
        <f>'Suc. Xalisco'!D125</f>
        <v>0</v>
      </c>
      <c r="L125" s="120">
        <f t="shared" si="51"/>
        <v>55</v>
      </c>
      <c r="M125" s="131">
        <f>'Suc. Acaponeta'!D125</f>
        <v>10</v>
      </c>
      <c r="N125" s="131">
        <f>'Suc. Compostela'!D125</f>
        <v>5</v>
      </c>
      <c r="O125" s="131">
        <f>'Suc. Ruiz'!D125</f>
        <v>5</v>
      </c>
      <c r="P125" s="131">
        <f>'Suc. Sanblas'!D125</f>
        <v>5</v>
      </c>
      <c r="Q125" s="131">
        <f>'LALO VARAS'!D125</f>
        <v>10</v>
      </c>
      <c r="R125" s="131">
        <f>'Suc. Santiago 2'!D125</f>
        <v>10</v>
      </c>
      <c r="S125" s="131">
        <f>'Suc. Tecuala'!D125</f>
        <v>5</v>
      </c>
      <c r="T125" s="131">
        <f>'Suc. Tuxpan'!D125</f>
        <v>8</v>
      </c>
      <c r="U125" s="131">
        <f>'Suc. Varas'!D125</f>
        <v>10</v>
      </c>
      <c r="V125" s="131">
        <f>'Suc. Santa María del Oro'!D125</f>
        <v>10</v>
      </c>
      <c r="W125" s="131">
        <f>'Suc. Villa Hidalgo'!D125</f>
        <v>10</v>
      </c>
      <c r="X125" s="131">
        <f>'Suc. Peñita'!D125</f>
        <v>5</v>
      </c>
      <c r="Y125" s="120">
        <f t="shared" si="52"/>
        <v>93</v>
      </c>
      <c r="Z125" s="120">
        <f t="shared" si="53"/>
        <v>148</v>
      </c>
      <c r="AB125" s="84">
        <f>IFERROR(VLOOKUP(A125,'GRAL. SUC. FORANEAS'!$R:$S,2,0),0)</f>
        <v>1</v>
      </c>
      <c r="AD125" s="84">
        <f t="shared" si="49"/>
        <v>149</v>
      </c>
    </row>
    <row r="126" spans="1:30" ht="17.399999999999999" x14ac:dyDescent="0.35">
      <c r="A126" s="95" t="s">
        <v>1125</v>
      </c>
      <c r="B126" s="131">
        <f>'Suc. Amado Nervo'!D126</f>
        <v>0</v>
      </c>
      <c r="C126" s="131">
        <f>'Suc. León'!D126</f>
        <v>0</v>
      </c>
      <c r="D126" s="120">
        <f>'San Cayetano'!D126</f>
        <v>0</v>
      </c>
      <c r="E126" s="120">
        <f>'Suc. Boulevard'!D126</f>
        <v>0</v>
      </c>
      <c r="F126" s="120">
        <f>'Suc. Dos de Agosto'!D126</f>
        <v>0</v>
      </c>
      <c r="G126" s="120">
        <f>'Suc. La Nueva Canasta'!D126</f>
        <v>0</v>
      </c>
      <c r="H126" s="120">
        <f>'Suc. Mololoa'!D126</f>
        <v>0</v>
      </c>
      <c r="I126" s="120">
        <f>'Suc. Plaza'!D126</f>
        <v>0</v>
      </c>
      <c r="J126" s="120">
        <f>'Suc. Vistas'!D126</f>
        <v>0</v>
      </c>
      <c r="K126" s="120">
        <f>'Suc. Xalisco'!D126</f>
        <v>0</v>
      </c>
      <c r="L126" s="120">
        <f t="shared" si="51"/>
        <v>0</v>
      </c>
      <c r="M126" s="131">
        <f>'Suc. Acaponeta'!D126</f>
        <v>0</v>
      </c>
      <c r="N126" s="131">
        <f>'Suc. Compostela'!D126</f>
        <v>0</v>
      </c>
      <c r="O126" s="131">
        <f>'Suc. Ruiz'!D126</f>
        <v>0</v>
      </c>
      <c r="P126" s="131">
        <f>'Suc. Sanblas'!D126</f>
        <v>0</v>
      </c>
      <c r="Q126" s="131">
        <f>'LALO VARAS'!D126</f>
        <v>0</v>
      </c>
      <c r="R126" s="131">
        <f>'Suc. Santiago 2'!D126</f>
        <v>0</v>
      </c>
      <c r="S126" s="131">
        <f>'Suc. Tecuala'!D126</f>
        <v>0</v>
      </c>
      <c r="T126" s="131">
        <f>'Suc. Tuxpan'!D126</f>
        <v>0</v>
      </c>
      <c r="U126" s="131">
        <f>'Suc. Varas'!D126</f>
        <v>0</v>
      </c>
      <c r="V126" s="131">
        <f>'Suc. Santa María del Oro'!D126</f>
        <v>0</v>
      </c>
      <c r="W126" s="131">
        <f>'Suc. Villa Hidalgo'!D126</f>
        <v>0</v>
      </c>
      <c r="X126" s="131">
        <f>'Suc. Peñita'!D126</f>
        <v>0</v>
      </c>
      <c r="Y126" s="120">
        <f t="shared" si="52"/>
        <v>0</v>
      </c>
      <c r="Z126" s="120">
        <f t="shared" si="53"/>
        <v>0</v>
      </c>
    </row>
    <row r="127" spans="1:30" ht="17.399999999999999" x14ac:dyDescent="0.35">
      <c r="A127" s="95" t="s">
        <v>1126</v>
      </c>
      <c r="B127" s="131">
        <f>'Suc. Amado Nervo'!D127</f>
        <v>0</v>
      </c>
      <c r="C127" s="131">
        <f>'Suc. León'!D127</f>
        <v>0</v>
      </c>
      <c r="D127" s="120">
        <f>'San Cayetano'!D127</f>
        <v>0</v>
      </c>
      <c r="E127" s="120">
        <f>'Suc. Boulevard'!D127</f>
        <v>0</v>
      </c>
      <c r="F127" s="120">
        <f>'Suc. Dos de Agosto'!D127</f>
        <v>0</v>
      </c>
      <c r="G127" s="120">
        <f>'Suc. La Nueva Canasta'!D127</f>
        <v>0</v>
      </c>
      <c r="H127" s="120">
        <f>'Suc. Mololoa'!D127</f>
        <v>0</v>
      </c>
      <c r="I127" s="120">
        <f>'Suc. Plaza'!D127</f>
        <v>0</v>
      </c>
      <c r="J127" s="120">
        <f>'Suc. Vistas'!D127</f>
        <v>0</v>
      </c>
      <c r="K127" s="120">
        <f>'Suc. Xalisco'!D127</f>
        <v>0</v>
      </c>
      <c r="L127" s="120">
        <f t="shared" si="51"/>
        <v>0</v>
      </c>
      <c r="M127" s="131">
        <f>'Suc. Acaponeta'!D127</f>
        <v>0</v>
      </c>
      <c r="N127" s="131">
        <f>'Suc. Compostela'!D127</f>
        <v>0</v>
      </c>
      <c r="O127" s="131">
        <f>'Suc. Ruiz'!D127</f>
        <v>0</v>
      </c>
      <c r="P127" s="131">
        <f>'Suc. Sanblas'!D127</f>
        <v>0</v>
      </c>
      <c r="Q127" s="131">
        <f>'LALO VARAS'!D127</f>
        <v>0</v>
      </c>
      <c r="R127" s="131">
        <f>'Suc. Santiago 2'!D127</f>
        <v>0</v>
      </c>
      <c r="S127" s="131">
        <f>'Suc. Tecuala'!D127</f>
        <v>0</v>
      </c>
      <c r="T127" s="131">
        <f>'Suc. Tuxpan'!D127</f>
        <v>0</v>
      </c>
      <c r="U127" s="131">
        <f>'Suc. Varas'!D127</f>
        <v>0</v>
      </c>
      <c r="V127" s="131">
        <f>'Suc. Santa María del Oro'!D127</f>
        <v>0</v>
      </c>
      <c r="W127" s="131">
        <f>'Suc. Villa Hidalgo'!D127</f>
        <v>0</v>
      </c>
      <c r="X127" s="131">
        <f>'Suc. Peñita'!D127</f>
        <v>0</v>
      </c>
      <c r="Y127" s="120">
        <f t="shared" si="52"/>
        <v>0</v>
      </c>
      <c r="Z127" s="120">
        <f t="shared" si="53"/>
        <v>0</v>
      </c>
    </row>
    <row r="128" spans="1:30" ht="17.399999999999999" x14ac:dyDescent="0.35">
      <c r="A128" s="95" t="s">
        <v>568</v>
      </c>
      <c r="B128" s="131">
        <f>'Suc. Amado Nervo'!D128</f>
        <v>3</v>
      </c>
      <c r="C128" s="131">
        <f>'Suc. León'!D128</f>
        <v>3</v>
      </c>
      <c r="D128" s="120">
        <f>'San Cayetano'!D128</f>
        <v>3</v>
      </c>
      <c r="E128" s="120">
        <f>'Suc. Boulevard'!D128</f>
        <v>3</v>
      </c>
      <c r="F128" s="120">
        <f>'Suc. Dos de Agosto'!D128</f>
        <v>3</v>
      </c>
      <c r="G128" s="120">
        <f>'Suc. La Nueva Canasta'!D128</f>
        <v>0</v>
      </c>
      <c r="H128" s="120">
        <f>'Suc. Mololoa'!D128</f>
        <v>3</v>
      </c>
      <c r="I128" s="120">
        <f>'Suc. Plaza'!D128</f>
        <v>3</v>
      </c>
      <c r="J128" s="120">
        <f>'Suc. Vistas'!D128</f>
        <v>3</v>
      </c>
      <c r="K128" s="120">
        <f>'Suc. Xalisco'!D128</f>
        <v>3</v>
      </c>
      <c r="L128" s="120">
        <f t="shared" si="51"/>
        <v>27</v>
      </c>
      <c r="M128" s="131">
        <f>'Suc. Acaponeta'!D128</f>
        <v>3</v>
      </c>
      <c r="N128" s="131">
        <f>'Suc. Compostela'!D128</f>
        <v>3</v>
      </c>
      <c r="O128" s="131">
        <f>'Suc. Ruiz'!D128</f>
        <v>3</v>
      </c>
      <c r="P128" s="131">
        <f>'Suc. Sanblas'!D128</f>
        <v>3</v>
      </c>
      <c r="Q128" s="131">
        <f>'LALO VARAS'!D128</f>
        <v>3</v>
      </c>
      <c r="R128" s="131">
        <f>'Suc. Santiago 2'!D128</f>
        <v>3</v>
      </c>
      <c r="S128" s="131">
        <f>'Suc. Tecuala'!D128</f>
        <v>3</v>
      </c>
      <c r="T128" s="131">
        <f>'Suc. Tuxpan'!D128</f>
        <v>3</v>
      </c>
      <c r="U128" s="131">
        <f>'Suc. Varas'!D128</f>
        <v>3</v>
      </c>
      <c r="V128" s="131">
        <f>'Suc. Santa María del Oro'!D128</f>
        <v>3</v>
      </c>
      <c r="W128" s="131">
        <f>'Suc. Villa Hidalgo'!D128</f>
        <v>3</v>
      </c>
      <c r="X128" s="131">
        <f>'Suc. Peñita'!D128</f>
        <v>3</v>
      </c>
      <c r="Y128" s="120">
        <f t="shared" si="52"/>
        <v>36</v>
      </c>
      <c r="Z128" s="120">
        <f t="shared" si="53"/>
        <v>63</v>
      </c>
    </row>
    <row r="129" spans="1:26" ht="17.399999999999999" x14ac:dyDescent="0.35">
      <c r="A129" s="95" t="s">
        <v>565</v>
      </c>
      <c r="B129" s="131">
        <f>'Suc. Amado Nervo'!D129</f>
        <v>2</v>
      </c>
      <c r="C129" s="131">
        <f>'Suc. León'!D129</f>
        <v>2</v>
      </c>
      <c r="D129" s="120">
        <f>'San Cayetano'!D129</f>
        <v>2</v>
      </c>
      <c r="E129" s="120">
        <f>'Suc. Boulevard'!D129</f>
        <v>2</v>
      </c>
      <c r="F129" s="120">
        <f>'Suc. Dos de Agosto'!D129</f>
        <v>2</v>
      </c>
      <c r="G129" s="120">
        <f>'Suc. La Nueva Canasta'!D129</f>
        <v>0</v>
      </c>
      <c r="H129" s="120">
        <f>'Suc. Mololoa'!D129</f>
        <v>2</v>
      </c>
      <c r="I129" s="120">
        <f>'Suc. Plaza'!D129</f>
        <v>2</v>
      </c>
      <c r="J129" s="120">
        <f>'Suc. Vistas'!D129</f>
        <v>2</v>
      </c>
      <c r="K129" s="120">
        <f>'Suc. Xalisco'!D129</f>
        <v>2</v>
      </c>
      <c r="L129" s="120">
        <f t="shared" si="51"/>
        <v>18</v>
      </c>
      <c r="M129" s="131">
        <f>'Suc. Acaponeta'!D129</f>
        <v>2</v>
      </c>
      <c r="N129" s="131">
        <f>'Suc. Compostela'!D129</f>
        <v>2</v>
      </c>
      <c r="O129" s="131">
        <f>'Suc. Ruiz'!D129</f>
        <v>2</v>
      </c>
      <c r="P129" s="131">
        <f>'Suc. Sanblas'!D129</f>
        <v>2</v>
      </c>
      <c r="Q129" s="131">
        <f>'LALO VARAS'!D129</f>
        <v>2</v>
      </c>
      <c r="R129" s="131">
        <f>'Suc. Santiago 2'!D129</f>
        <v>2</v>
      </c>
      <c r="S129" s="131">
        <f>'Suc. Tecuala'!D129</f>
        <v>2</v>
      </c>
      <c r="T129" s="131">
        <f>'Suc. Tuxpan'!D129</f>
        <v>2</v>
      </c>
      <c r="U129" s="131">
        <f>'Suc. Varas'!D129</f>
        <v>2</v>
      </c>
      <c r="V129" s="131">
        <f>'Suc. Santa María del Oro'!D129</f>
        <v>2</v>
      </c>
      <c r="W129" s="131">
        <f>'Suc. Villa Hidalgo'!D129</f>
        <v>2</v>
      </c>
      <c r="X129" s="131">
        <f>'Suc. Peñita'!D129</f>
        <v>2</v>
      </c>
      <c r="Y129" s="120">
        <f t="shared" si="52"/>
        <v>24</v>
      </c>
      <c r="Z129" s="120">
        <f t="shared" si="53"/>
        <v>42</v>
      </c>
    </row>
    <row r="130" spans="1:26" ht="17.399999999999999" x14ac:dyDescent="0.35">
      <c r="A130" s="95" t="s">
        <v>912</v>
      </c>
      <c r="B130" s="131">
        <f>'Suc. Amado Nervo'!D130</f>
        <v>2</v>
      </c>
      <c r="C130" s="131">
        <f>'Suc. León'!D130</f>
        <v>2</v>
      </c>
      <c r="D130" s="120">
        <f>'San Cayetano'!D130</f>
        <v>2</v>
      </c>
      <c r="E130" s="120">
        <f>'Suc. Boulevard'!D130</f>
        <v>2</v>
      </c>
      <c r="F130" s="120">
        <f>'Suc. Dos de Agosto'!D130</f>
        <v>2</v>
      </c>
      <c r="G130" s="120">
        <f>'Suc. La Nueva Canasta'!D130</f>
        <v>0</v>
      </c>
      <c r="H130" s="120">
        <f>'Suc. Mololoa'!D130</f>
        <v>2</v>
      </c>
      <c r="I130" s="120">
        <f>'Suc. Plaza'!D130</f>
        <v>2</v>
      </c>
      <c r="J130" s="120">
        <f>'Suc. Vistas'!D130</f>
        <v>2</v>
      </c>
      <c r="K130" s="120">
        <f>'Suc. Xalisco'!D130</f>
        <v>2</v>
      </c>
      <c r="L130" s="120">
        <f t="shared" si="51"/>
        <v>18</v>
      </c>
      <c r="M130" s="131">
        <f>'Suc. Acaponeta'!D130</f>
        <v>2</v>
      </c>
      <c r="N130" s="131">
        <f>'Suc. Compostela'!D130</f>
        <v>2</v>
      </c>
      <c r="O130" s="131">
        <f>'Suc. Ruiz'!D130</f>
        <v>2</v>
      </c>
      <c r="P130" s="131">
        <f>'Suc. Sanblas'!D130</f>
        <v>2</v>
      </c>
      <c r="Q130" s="131">
        <f>'LALO VARAS'!D130</f>
        <v>2</v>
      </c>
      <c r="R130" s="131">
        <f>'Suc. Santiago 2'!D130</f>
        <v>2</v>
      </c>
      <c r="S130" s="131">
        <f>'Suc. Tecuala'!D130</f>
        <v>2</v>
      </c>
      <c r="T130" s="131">
        <f>'Suc. Tuxpan'!D130</f>
        <v>2</v>
      </c>
      <c r="U130" s="131">
        <f>'Suc. Varas'!D130</f>
        <v>2</v>
      </c>
      <c r="V130" s="131">
        <f>'Suc. Santa María del Oro'!D130</f>
        <v>2</v>
      </c>
      <c r="W130" s="131">
        <f>'Suc. Villa Hidalgo'!D130</f>
        <v>2</v>
      </c>
      <c r="X130" s="131">
        <f>'Suc. Peñita'!D130</f>
        <v>2</v>
      </c>
      <c r="Y130" s="120">
        <f t="shared" si="52"/>
        <v>24</v>
      </c>
      <c r="Z130" s="120">
        <f t="shared" si="53"/>
        <v>42</v>
      </c>
    </row>
    <row r="131" spans="1:26" ht="17.399999999999999" x14ac:dyDescent="0.35">
      <c r="A131" s="95" t="s">
        <v>557</v>
      </c>
      <c r="B131" s="131">
        <f>'Suc. Amado Nervo'!D131</f>
        <v>2</v>
      </c>
      <c r="C131" s="131">
        <f>'Suc. León'!D131</f>
        <v>2</v>
      </c>
      <c r="D131" s="120">
        <f>'San Cayetano'!D131</f>
        <v>2</v>
      </c>
      <c r="E131" s="120">
        <f>'Suc. Boulevard'!D131</f>
        <v>2</v>
      </c>
      <c r="F131" s="120">
        <f>'Suc. Dos de Agosto'!D131</f>
        <v>2</v>
      </c>
      <c r="G131" s="120">
        <f>'Suc. La Nueva Canasta'!D131</f>
        <v>0</v>
      </c>
      <c r="H131" s="120">
        <f>'Suc. Mololoa'!D131</f>
        <v>2</v>
      </c>
      <c r="I131" s="120">
        <f>'Suc. Plaza'!D131</f>
        <v>2</v>
      </c>
      <c r="J131" s="120">
        <f>'Suc. Vistas'!D131</f>
        <v>2</v>
      </c>
      <c r="K131" s="120">
        <f>'Suc. Xalisco'!D131</f>
        <v>2</v>
      </c>
      <c r="L131" s="120">
        <f t="shared" si="51"/>
        <v>18</v>
      </c>
      <c r="M131" s="131">
        <f>'Suc. Acaponeta'!D131</f>
        <v>2</v>
      </c>
      <c r="N131" s="131">
        <f>'Suc. Compostela'!D131</f>
        <v>2</v>
      </c>
      <c r="O131" s="131">
        <f>'Suc. Ruiz'!D131</f>
        <v>2</v>
      </c>
      <c r="P131" s="131">
        <f>'Suc. Sanblas'!D131</f>
        <v>2</v>
      </c>
      <c r="Q131" s="131">
        <f>'LALO VARAS'!D131</f>
        <v>2</v>
      </c>
      <c r="R131" s="131">
        <f>'Suc. Santiago 2'!D131</f>
        <v>2</v>
      </c>
      <c r="S131" s="131">
        <f>'Suc. Tecuala'!D131</f>
        <v>2</v>
      </c>
      <c r="T131" s="131">
        <f>'Suc. Tuxpan'!D131</f>
        <v>2</v>
      </c>
      <c r="U131" s="131">
        <f>'Suc. Varas'!D131</f>
        <v>2</v>
      </c>
      <c r="V131" s="131">
        <f>'Suc. Santa María del Oro'!D131</f>
        <v>2</v>
      </c>
      <c r="W131" s="131">
        <f>'Suc. Villa Hidalgo'!D131</f>
        <v>2</v>
      </c>
      <c r="X131" s="131">
        <f>'Suc. Peñita'!D131</f>
        <v>2</v>
      </c>
      <c r="Y131" s="120">
        <f t="shared" si="52"/>
        <v>24</v>
      </c>
      <c r="Z131" s="120">
        <f t="shared" si="53"/>
        <v>42</v>
      </c>
    </row>
    <row r="132" spans="1:26" ht="17.399999999999999" x14ac:dyDescent="0.35">
      <c r="A132" s="95" t="s">
        <v>573</v>
      </c>
      <c r="B132" s="131">
        <f>'Suc. Amado Nervo'!D132</f>
        <v>1</v>
      </c>
      <c r="C132" s="131">
        <f>'Suc. León'!D132</f>
        <v>1</v>
      </c>
      <c r="D132" s="120">
        <f>'San Cayetano'!D132</f>
        <v>1</v>
      </c>
      <c r="E132" s="120">
        <f>'Suc. Boulevard'!D132</f>
        <v>1</v>
      </c>
      <c r="F132" s="120">
        <f>'Suc. Dos de Agosto'!D132</f>
        <v>1</v>
      </c>
      <c r="G132" s="120">
        <f>'Suc. La Nueva Canasta'!D132</f>
        <v>0</v>
      </c>
      <c r="H132" s="120">
        <f>'Suc. Mololoa'!D132</f>
        <v>1</v>
      </c>
      <c r="I132" s="120">
        <f>'Suc. Plaza'!D132</f>
        <v>1</v>
      </c>
      <c r="J132" s="120">
        <f>'Suc. Vistas'!D132</f>
        <v>1</v>
      </c>
      <c r="K132" s="120">
        <f>'Suc. Xalisco'!D132</f>
        <v>1</v>
      </c>
      <c r="L132" s="120">
        <f t="shared" si="51"/>
        <v>9</v>
      </c>
      <c r="M132" s="131">
        <f>'Suc. Acaponeta'!D132</f>
        <v>1</v>
      </c>
      <c r="N132" s="131">
        <f>'Suc. Compostela'!D132</f>
        <v>1</v>
      </c>
      <c r="O132" s="131">
        <f>'Suc. Ruiz'!D132</f>
        <v>1</v>
      </c>
      <c r="P132" s="131">
        <f>'Suc. Sanblas'!D132</f>
        <v>1</v>
      </c>
      <c r="Q132" s="131">
        <f>'LALO VARAS'!D132</f>
        <v>1</v>
      </c>
      <c r="R132" s="131">
        <f>'Suc. Santiago 2'!D132</f>
        <v>1</v>
      </c>
      <c r="S132" s="131">
        <f>'Suc. Tecuala'!D132</f>
        <v>1</v>
      </c>
      <c r="T132" s="131">
        <f>'Suc. Tuxpan'!D132</f>
        <v>1</v>
      </c>
      <c r="U132" s="131">
        <f>'Suc. Varas'!D132</f>
        <v>1</v>
      </c>
      <c r="V132" s="131">
        <f>'Suc. Santa María del Oro'!D132</f>
        <v>1</v>
      </c>
      <c r="W132" s="131">
        <f>'Suc. Villa Hidalgo'!D132</f>
        <v>1</v>
      </c>
      <c r="X132" s="131">
        <f>'Suc. Peñita'!D132</f>
        <v>1</v>
      </c>
      <c r="Y132" s="120">
        <f t="shared" si="52"/>
        <v>12</v>
      </c>
      <c r="Z132" s="120">
        <f t="shared" si="53"/>
        <v>21</v>
      </c>
    </row>
    <row r="133" spans="1:26" ht="17.399999999999999" x14ac:dyDescent="0.35">
      <c r="A133" s="95" t="s">
        <v>421</v>
      </c>
      <c r="B133" s="131">
        <f>'Suc. Amado Nervo'!D133</f>
        <v>2</v>
      </c>
      <c r="C133" s="131">
        <f>'Suc. León'!D133</f>
        <v>2</v>
      </c>
      <c r="D133" s="120">
        <f>'San Cayetano'!D133</f>
        <v>2</v>
      </c>
      <c r="E133" s="120">
        <f>'Suc. Boulevard'!D133</f>
        <v>2</v>
      </c>
      <c r="F133" s="120">
        <f>'Suc. Dos de Agosto'!D133</f>
        <v>2</v>
      </c>
      <c r="G133" s="120">
        <f>'Suc. La Nueva Canasta'!D133</f>
        <v>0</v>
      </c>
      <c r="H133" s="120">
        <f>'Suc. Mololoa'!D133</f>
        <v>2</v>
      </c>
      <c r="I133" s="120">
        <f>'Suc. Plaza'!D133</f>
        <v>2</v>
      </c>
      <c r="J133" s="120">
        <f>'Suc. Vistas'!D133</f>
        <v>2</v>
      </c>
      <c r="K133" s="120">
        <f>'Suc. Xalisco'!D133</f>
        <v>2</v>
      </c>
      <c r="L133" s="120">
        <f t="shared" si="51"/>
        <v>18</v>
      </c>
      <c r="M133" s="131">
        <f>'Suc. Acaponeta'!D133</f>
        <v>2</v>
      </c>
      <c r="N133" s="131">
        <f>'Suc. Compostela'!D133</f>
        <v>2</v>
      </c>
      <c r="O133" s="131">
        <f>'Suc. Ruiz'!D133</f>
        <v>2</v>
      </c>
      <c r="P133" s="131">
        <f>'Suc. Sanblas'!D133</f>
        <v>2</v>
      </c>
      <c r="Q133" s="131">
        <f>'LALO VARAS'!D133</f>
        <v>2</v>
      </c>
      <c r="R133" s="131">
        <f>'Suc. Santiago 2'!D133</f>
        <v>2</v>
      </c>
      <c r="S133" s="131">
        <f>'Suc. Tecuala'!D133</f>
        <v>2</v>
      </c>
      <c r="T133" s="131">
        <f>'Suc. Tuxpan'!D133</f>
        <v>2</v>
      </c>
      <c r="U133" s="131">
        <f>'Suc. Varas'!D133</f>
        <v>2</v>
      </c>
      <c r="V133" s="131">
        <f>'Suc. Santa María del Oro'!D133</f>
        <v>2</v>
      </c>
      <c r="W133" s="131">
        <f>'Suc. Villa Hidalgo'!D133</f>
        <v>2</v>
      </c>
      <c r="X133" s="131">
        <f>'Suc. Peñita'!D133</f>
        <v>2</v>
      </c>
      <c r="Y133" s="120">
        <f t="shared" si="52"/>
        <v>24</v>
      </c>
      <c r="Z133" s="120">
        <f t="shared" si="53"/>
        <v>42</v>
      </c>
    </row>
    <row r="134" spans="1:26" ht="17.399999999999999" x14ac:dyDescent="0.35">
      <c r="A134" s="95" t="s">
        <v>249</v>
      </c>
      <c r="B134" s="131">
        <f>'Suc. Amado Nervo'!D134</f>
        <v>2</v>
      </c>
      <c r="C134" s="131">
        <f>'Suc. León'!D134</f>
        <v>2</v>
      </c>
      <c r="D134" s="120">
        <f>'San Cayetano'!D134</f>
        <v>2</v>
      </c>
      <c r="E134" s="120">
        <f>'Suc. Boulevard'!D134</f>
        <v>2</v>
      </c>
      <c r="F134" s="120">
        <f>'Suc. Dos de Agosto'!D134</f>
        <v>2</v>
      </c>
      <c r="G134" s="120">
        <f>'Suc. La Nueva Canasta'!D134</f>
        <v>0</v>
      </c>
      <c r="H134" s="120">
        <f>'Suc. Mololoa'!D134</f>
        <v>2</v>
      </c>
      <c r="I134" s="120">
        <f>'Suc. Plaza'!D134</f>
        <v>2</v>
      </c>
      <c r="J134" s="120">
        <f>'Suc. Vistas'!D134</f>
        <v>2</v>
      </c>
      <c r="K134" s="120">
        <f>'Suc. Xalisco'!D134</f>
        <v>2</v>
      </c>
      <c r="L134" s="120">
        <f t="shared" si="51"/>
        <v>18</v>
      </c>
      <c r="M134" s="131">
        <f>'Suc. Acaponeta'!D134</f>
        <v>2</v>
      </c>
      <c r="N134" s="131">
        <f>'Suc. Compostela'!D134</f>
        <v>2</v>
      </c>
      <c r="O134" s="131">
        <f>'Suc. Ruiz'!D134</f>
        <v>2</v>
      </c>
      <c r="P134" s="131">
        <f>'Suc. Sanblas'!D134</f>
        <v>2</v>
      </c>
      <c r="Q134" s="131">
        <f>'LALO VARAS'!D134</f>
        <v>2</v>
      </c>
      <c r="R134" s="131">
        <f>'Suc. Santiago 2'!D134</f>
        <v>2</v>
      </c>
      <c r="S134" s="131">
        <f>'Suc. Tecuala'!D134</f>
        <v>2</v>
      </c>
      <c r="T134" s="131">
        <f>'Suc. Tuxpan'!D134</f>
        <v>2</v>
      </c>
      <c r="U134" s="131">
        <f>'Suc. Varas'!D134</f>
        <v>2</v>
      </c>
      <c r="V134" s="131">
        <f>'Suc. Santa María del Oro'!D134</f>
        <v>2</v>
      </c>
      <c r="W134" s="131">
        <f>'Suc. Villa Hidalgo'!D134</f>
        <v>2</v>
      </c>
      <c r="X134" s="131">
        <f>'Suc. Peñita'!D134</f>
        <v>2</v>
      </c>
      <c r="Y134" s="120">
        <f t="shared" si="52"/>
        <v>24</v>
      </c>
      <c r="Z134" s="120">
        <f t="shared" si="53"/>
        <v>42</v>
      </c>
    </row>
    <row r="135" spans="1:26" ht="17.399999999999999" x14ac:dyDescent="0.35">
      <c r="A135" s="95" t="s">
        <v>1030</v>
      </c>
      <c r="B135" s="131">
        <f>'Suc. Amado Nervo'!D135</f>
        <v>6</v>
      </c>
      <c r="C135" s="131">
        <f>'Suc. León'!D135</f>
        <v>6</v>
      </c>
      <c r="D135" s="120">
        <f>'San Cayetano'!D135</f>
        <v>6</v>
      </c>
      <c r="E135" s="120">
        <f>'Suc. Boulevard'!D135</f>
        <v>6</v>
      </c>
      <c r="F135" s="120">
        <f>'Suc. Dos de Agosto'!D135</f>
        <v>6</v>
      </c>
      <c r="G135" s="120">
        <f>'Suc. La Nueva Canasta'!D135</f>
        <v>0</v>
      </c>
      <c r="H135" s="120">
        <f>'Suc. Mololoa'!D135</f>
        <v>6</v>
      </c>
      <c r="I135" s="120">
        <f>'Suc. Plaza'!D135</f>
        <v>6</v>
      </c>
      <c r="J135" s="120">
        <f>'Suc. Vistas'!D135</f>
        <v>6</v>
      </c>
      <c r="K135" s="120">
        <f>'Suc. Xalisco'!D135</f>
        <v>6</v>
      </c>
      <c r="L135" s="120">
        <f t="shared" si="51"/>
        <v>54</v>
      </c>
      <c r="M135" s="131">
        <f>'Suc. Acaponeta'!D135</f>
        <v>6</v>
      </c>
      <c r="N135" s="131">
        <f>'Suc. Compostela'!D135</f>
        <v>6</v>
      </c>
      <c r="O135" s="131">
        <f>'Suc. Ruiz'!D135</f>
        <v>6</v>
      </c>
      <c r="P135" s="131">
        <f>'Suc. Sanblas'!D135</f>
        <v>6</v>
      </c>
      <c r="Q135" s="131">
        <f>'LALO VARAS'!D135</f>
        <v>6</v>
      </c>
      <c r="R135" s="131">
        <f>'Suc. Santiago 2'!D135</f>
        <v>6</v>
      </c>
      <c r="S135" s="131">
        <f>'Suc. Tecuala'!D135</f>
        <v>6</v>
      </c>
      <c r="T135" s="131">
        <f>'Suc. Tuxpan'!D135</f>
        <v>6</v>
      </c>
      <c r="U135" s="131">
        <f>'Suc. Varas'!D135</f>
        <v>6</v>
      </c>
      <c r="V135" s="131">
        <f>'Suc. Santa María del Oro'!D135</f>
        <v>6</v>
      </c>
      <c r="W135" s="131">
        <f>'Suc. Villa Hidalgo'!D135</f>
        <v>6</v>
      </c>
      <c r="X135" s="131">
        <f>'Suc. Peñita'!D135</f>
        <v>6</v>
      </c>
      <c r="Y135" s="120">
        <f t="shared" si="52"/>
        <v>72</v>
      </c>
      <c r="Z135" s="120">
        <f t="shared" si="53"/>
        <v>126</v>
      </c>
    </row>
    <row r="136" spans="1:26" ht="17.399999999999999" x14ac:dyDescent="0.35">
      <c r="A136" s="95" t="s">
        <v>253</v>
      </c>
      <c r="B136" s="131">
        <f>'Suc. Amado Nervo'!D136</f>
        <v>2</v>
      </c>
      <c r="C136" s="131">
        <f>'Suc. León'!D136</f>
        <v>2</v>
      </c>
      <c r="D136" s="120">
        <f>'San Cayetano'!D136</f>
        <v>2</v>
      </c>
      <c r="E136" s="120">
        <f>'Suc. Boulevard'!D136</f>
        <v>2</v>
      </c>
      <c r="F136" s="120">
        <f>'Suc. Dos de Agosto'!D136</f>
        <v>2</v>
      </c>
      <c r="G136" s="120">
        <f>'Suc. La Nueva Canasta'!D136</f>
        <v>0</v>
      </c>
      <c r="H136" s="120">
        <f>'Suc. Mololoa'!D136</f>
        <v>2</v>
      </c>
      <c r="I136" s="120">
        <f>'Suc. Plaza'!D136</f>
        <v>2</v>
      </c>
      <c r="J136" s="120">
        <f>'Suc. Vistas'!D136</f>
        <v>2</v>
      </c>
      <c r="K136" s="120">
        <f>'Suc. Xalisco'!D136</f>
        <v>2</v>
      </c>
      <c r="L136" s="120">
        <f t="shared" si="51"/>
        <v>18</v>
      </c>
      <c r="M136" s="131">
        <f>'Suc. Acaponeta'!D136</f>
        <v>2</v>
      </c>
      <c r="N136" s="131">
        <f>'Suc. Compostela'!D136</f>
        <v>2</v>
      </c>
      <c r="O136" s="131">
        <f>'Suc. Ruiz'!D136</f>
        <v>2</v>
      </c>
      <c r="P136" s="131">
        <f>'Suc. Sanblas'!D136</f>
        <v>2</v>
      </c>
      <c r="Q136" s="131">
        <f>'LALO VARAS'!D136</f>
        <v>2</v>
      </c>
      <c r="R136" s="131">
        <f>'Suc. Santiago 2'!D136</f>
        <v>2</v>
      </c>
      <c r="S136" s="131">
        <f>'Suc. Tecuala'!D136</f>
        <v>2</v>
      </c>
      <c r="T136" s="131">
        <f>'Suc. Tuxpan'!D136</f>
        <v>2</v>
      </c>
      <c r="U136" s="131">
        <f>'Suc. Varas'!D136</f>
        <v>2</v>
      </c>
      <c r="V136" s="131">
        <f>'Suc. Santa María del Oro'!D136</f>
        <v>2</v>
      </c>
      <c r="W136" s="131">
        <f>'Suc. Villa Hidalgo'!D136</f>
        <v>2</v>
      </c>
      <c r="X136" s="131">
        <f>'Suc. Peñita'!D136</f>
        <v>2</v>
      </c>
      <c r="Y136" s="120">
        <f t="shared" si="52"/>
        <v>24</v>
      </c>
      <c r="Z136" s="120">
        <f t="shared" si="53"/>
        <v>42</v>
      </c>
    </row>
    <row r="137" spans="1:26" ht="17.399999999999999" x14ac:dyDescent="0.35">
      <c r="A137" s="95" t="s">
        <v>240</v>
      </c>
      <c r="B137" s="131">
        <f>'Suc. Amado Nervo'!D137</f>
        <v>0</v>
      </c>
      <c r="C137" s="131">
        <f>'Suc. León'!D137</f>
        <v>0</v>
      </c>
      <c r="D137" s="120">
        <f>'San Cayetano'!D137</f>
        <v>0</v>
      </c>
      <c r="E137" s="120">
        <f>'Suc. Boulevard'!D137</f>
        <v>0</v>
      </c>
      <c r="F137" s="120">
        <f>'Suc. Dos de Agosto'!D137</f>
        <v>0</v>
      </c>
      <c r="G137" s="120">
        <f>'Suc. La Nueva Canasta'!D137</f>
        <v>0</v>
      </c>
      <c r="H137" s="120">
        <f>'Suc. Mololoa'!D137</f>
        <v>0</v>
      </c>
      <c r="I137" s="120">
        <f>'Suc. Plaza'!D137</f>
        <v>0</v>
      </c>
      <c r="J137" s="120">
        <f>'Suc. Vistas'!D137</f>
        <v>0</v>
      </c>
      <c r="K137" s="120">
        <f>'Suc. Xalisco'!D137</f>
        <v>0</v>
      </c>
      <c r="L137" s="120">
        <f t="shared" si="51"/>
        <v>0</v>
      </c>
      <c r="M137" s="131">
        <f>'Suc. Acaponeta'!D137</f>
        <v>0</v>
      </c>
      <c r="N137" s="131">
        <f>'Suc. Compostela'!D137</f>
        <v>0</v>
      </c>
      <c r="O137" s="131">
        <f>'Suc. Ruiz'!D137</f>
        <v>0</v>
      </c>
      <c r="P137" s="131">
        <f>'Suc. Sanblas'!D137</f>
        <v>0</v>
      </c>
      <c r="Q137" s="131">
        <f>'LALO VARAS'!D137</f>
        <v>0</v>
      </c>
      <c r="R137" s="131">
        <f>'Suc. Santiago 2'!D137</f>
        <v>0</v>
      </c>
      <c r="S137" s="131">
        <f>'Suc. Tecuala'!D137</f>
        <v>0</v>
      </c>
      <c r="T137" s="131">
        <f>'Suc. Tuxpan'!D137</f>
        <v>0</v>
      </c>
      <c r="U137" s="131">
        <f>'Suc. Varas'!D137</f>
        <v>0</v>
      </c>
      <c r="V137" s="131">
        <f>'Suc. Santa María del Oro'!D137</f>
        <v>0</v>
      </c>
      <c r="W137" s="131">
        <f>'Suc. Villa Hidalgo'!D137</f>
        <v>0</v>
      </c>
      <c r="X137" s="131">
        <f>'Suc. Peñita'!D137</f>
        <v>0</v>
      </c>
      <c r="Y137" s="120">
        <f t="shared" si="52"/>
        <v>0</v>
      </c>
      <c r="Z137" s="120">
        <f t="shared" si="53"/>
        <v>0</v>
      </c>
    </row>
    <row r="138" spans="1:26" ht="17.399999999999999" x14ac:dyDescent="0.35">
      <c r="A138" s="95" t="s">
        <v>204</v>
      </c>
      <c r="B138" s="131">
        <f>'Suc. Amado Nervo'!D138</f>
        <v>0</v>
      </c>
      <c r="C138" s="131">
        <f>'Suc. León'!D138</f>
        <v>0</v>
      </c>
      <c r="D138" s="120">
        <f>'San Cayetano'!D138</f>
        <v>0</v>
      </c>
      <c r="E138" s="120">
        <f>'Suc. Boulevard'!D138</f>
        <v>0</v>
      </c>
      <c r="F138" s="120">
        <f>'Suc. Dos de Agosto'!D138</f>
        <v>0</v>
      </c>
      <c r="G138" s="120">
        <f>'Suc. La Nueva Canasta'!D138</f>
        <v>0</v>
      </c>
      <c r="H138" s="120">
        <f>'Suc. Mololoa'!D138</f>
        <v>0</v>
      </c>
      <c r="I138" s="120">
        <f>'Suc. Plaza'!D138</f>
        <v>0</v>
      </c>
      <c r="J138" s="120">
        <f>'Suc. Vistas'!D138</f>
        <v>0</v>
      </c>
      <c r="K138" s="120">
        <f>'Suc. Xalisco'!D138</f>
        <v>0</v>
      </c>
      <c r="L138" s="120">
        <f t="shared" si="51"/>
        <v>0</v>
      </c>
      <c r="M138" s="131">
        <f>'Suc. Acaponeta'!D138</f>
        <v>0</v>
      </c>
      <c r="N138" s="131">
        <f>'Suc. Compostela'!D138</f>
        <v>0</v>
      </c>
      <c r="O138" s="131">
        <f>'Suc. Ruiz'!D138</f>
        <v>0</v>
      </c>
      <c r="P138" s="131">
        <f>'Suc. Sanblas'!D138</f>
        <v>0</v>
      </c>
      <c r="Q138" s="131">
        <f>'LALO VARAS'!D138</f>
        <v>0</v>
      </c>
      <c r="R138" s="131">
        <f>'Suc. Santiago 2'!D138</f>
        <v>0</v>
      </c>
      <c r="S138" s="131">
        <f>'Suc. Tecuala'!D138</f>
        <v>0</v>
      </c>
      <c r="T138" s="131">
        <f>'Suc. Tuxpan'!D138</f>
        <v>0</v>
      </c>
      <c r="U138" s="131">
        <f>'Suc. Varas'!D138</f>
        <v>0</v>
      </c>
      <c r="V138" s="131">
        <f>'Suc. Santa María del Oro'!D138</f>
        <v>0</v>
      </c>
      <c r="W138" s="131">
        <f>'Suc. Villa Hidalgo'!D138</f>
        <v>0</v>
      </c>
      <c r="X138" s="131">
        <f>'Suc. Peñita'!D138</f>
        <v>0</v>
      </c>
      <c r="Y138" s="120">
        <f t="shared" si="52"/>
        <v>0</v>
      </c>
      <c r="Z138" s="120">
        <f t="shared" si="53"/>
        <v>0</v>
      </c>
    </row>
    <row r="139" spans="1:26" ht="17.399999999999999" x14ac:dyDescent="0.35">
      <c r="A139" s="95" t="s">
        <v>1132</v>
      </c>
      <c r="B139" s="131">
        <f>'Suc. Amado Nervo'!D139</f>
        <v>1</v>
      </c>
      <c r="C139" s="131">
        <f>'Suc. León'!D139</f>
        <v>1</v>
      </c>
      <c r="D139" s="120">
        <f>'San Cayetano'!D139</f>
        <v>1</v>
      </c>
      <c r="E139" s="120">
        <f>'Suc. Boulevard'!D139</f>
        <v>1</v>
      </c>
      <c r="F139" s="120">
        <f>'Suc. Dos de Agosto'!D139</f>
        <v>1</v>
      </c>
      <c r="G139" s="120">
        <f>'Suc. La Nueva Canasta'!D139</f>
        <v>0</v>
      </c>
      <c r="H139" s="120">
        <f>'Suc. Mololoa'!D139</f>
        <v>1</v>
      </c>
      <c r="I139" s="120">
        <f>'Suc. Plaza'!D139</f>
        <v>1</v>
      </c>
      <c r="J139" s="120">
        <f>'Suc. Vistas'!D139</f>
        <v>1</v>
      </c>
      <c r="K139" s="120">
        <f>'Suc. Xalisco'!D139</f>
        <v>1</v>
      </c>
      <c r="L139" s="120">
        <f t="shared" si="51"/>
        <v>9</v>
      </c>
      <c r="M139" s="131">
        <f>'Suc. Acaponeta'!D139</f>
        <v>1</v>
      </c>
      <c r="N139" s="131">
        <f>'Suc. Compostela'!D139</f>
        <v>1</v>
      </c>
      <c r="O139" s="131">
        <f>'Suc. Ruiz'!D139</f>
        <v>1</v>
      </c>
      <c r="P139" s="131">
        <f>'Suc. Sanblas'!D139</f>
        <v>1</v>
      </c>
      <c r="Q139" s="131">
        <f>'LALO VARAS'!D139</f>
        <v>1</v>
      </c>
      <c r="R139" s="131">
        <f>'Suc. Santiago 2'!D139</f>
        <v>1</v>
      </c>
      <c r="S139" s="131">
        <f>'Suc. Tecuala'!D139</f>
        <v>1</v>
      </c>
      <c r="T139" s="131">
        <f>'Suc. Tuxpan'!D139</f>
        <v>1</v>
      </c>
      <c r="U139" s="131">
        <f>'Suc. Varas'!D139</f>
        <v>1</v>
      </c>
      <c r="V139" s="131">
        <f>'Suc. Santa María del Oro'!D139</f>
        <v>1</v>
      </c>
      <c r="W139" s="131">
        <f>'Suc. Villa Hidalgo'!D139</f>
        <v>1</v>
      </c>
      <c r="X139" s="131">
        <f>'Suc. Peñita'!D139</f>
        <v>1</v>
      </c>
      <c r="Y139" s="120">
        <f t="shared" si="52"/>
        <v>12</v>
      </c>
      <c r="Z139" s="120">
        <f t="shared" si="53"/>
        <v>21</v>
      </c>
    </row>
    <row r="140" spans="1:26" ht="17.399999999999999" x14ac:dyDescent="0.35">
      <c r="A140" s="95" t="s">
        <v>914</v>
      </c>
      <c r="B140" s="131">
        <f>'Suc. Amado Nervo'!D140</f>
        <v>1</v>
      </c>
      <c r="C140" s="131">
        <f>'Suc. León'!D140</f>
        <v>1</v>
      </c>
      <c r="D140" s="120">
        <f>'San Cayetano'!D140</f>
        <v>1</v>
      </c>
      <c r="E140" s="120">
        <f>'Suc. Boulevard'!D140</f>
        <v>1</v>
      </c>
      <c r="F140" s="120">
        <f>'Suc. Dos de Agosto'!D140</f>
        <v>1</v>
      </c>
      <c r="G140" s="120">
        <f>'Suc. La Nueva Canasta'!D140</f>
        <v>0</v>
      </c>
      <c r="H140" s="120">
        <f>'Suc. Mololoa'!D140</f>
        <v>1</v>
      </c>
      <c r="I140" s="120">
        <f>'Suc. Plaza'!D140</f>
        <v>1</v>
      </c>
      <c r="J140" s="120">
        <f>'Suc. Vistas'!D140</f>
        <v>1</v>
      </c>
      <c r="K140" s="120">
        <f>'Suc. Xalisco'!D140</f>
        <v>1</v>
      </c>
      <c r="L140" s="120">
        <f t="shared" si="51"/>
        <v>9</v>
      </c>
      <c r="M140" s="131">
        <f>'Suc. Acaponeta'!D140</f>
        <v>1</v>
      </c>
      <c r="N140" s="131">
        <f>'Suc. Compostela'!D140</f>
        <v>1</v>
      </c>
      <c r="O140" s="131">
        <f>'Suc. Ruiz'!D140</f>
        <v>1</v>
      </c>
      <c r="P140" s="131">
        <f>'Suc. Sanblas'!D140</f>
        <v>1</v>
      </c>
      <c r="Q140" s="131">
        <f>'LALO VARAS'!D140</f>
        <v>1</v>
      </c>
      <c r="R140" s="131">
        <f>'Suc. Santiago 2'!D140</f>
        <v>1</v>
      </c>
      <c r="S140" s="131">
        <f>'Suc. Tecuala'!D140</f>
        <v>1</v>
      </c>
      <c r="T140" s="131">
        <f>'Suc. Tuxpan'!D140</f>
        <v>1</v>
      </c>
      <c r="U140" s="131">
        <f>'Suc. Varas'!D140</f>
        <v>1</v>
      </c>
      <c r="V140" s="131">
        <f>'Suc. Santa María del Oro'!D140</f>
        <v>1</v>
      </c>
      <c r="W140" s="131">
        <f>'Suc. Villa Hidalgo'!D140</f>
        <v>1</v>
      </c>
      <c r="X140" s="131">
        <f>'Suc. Peñita'!D140</f>
        <v>1</v>
      </c>
      <c r="Y140" s="120">
        <f t="shared" si="52"/>
        <v>12</v>
      </c>
      <c r="Z140" s="120">
        <f t="shared" si="53"/>
        <v>21</v>
      </c>
    </row>
    <row r="141" spans="1:26" ht="17.399999999999999" x14ac:dyDescent="0.35">
      <c r="A141" s="243" t="s">
        <v>1120</v>
      </c>
      <c r="B141" s="131">
        <f>'Suc. Amado Nervo'!D141</f>
        <v>0</v>
      </c>
      <c r="C141" s="131">
        <f>'Suc. León'!D141</f>
        <v>0</v>
      </c>
      <c r="D141" s="120">
        <f>'San Cayetano'!D141</f>
        <v>0</v>
      </c>
      <c r="E141" s="120">
        <f>'Suc. Boulevard'!D141</f>
        <v>0</v>
      </c>
      <c r="F141" s="120">
        <f>'Suc. Dos de Agosto'!D141</f>
        <v>0</v>
      </c>
      <c r="G141" s="120">
        <f>'Suc. La Nueva Canasta'!D141</f>
        <v>0</v>
      </c>
      <c r="H141" s="120">
        <f>'Suc. Mololoa'!D141</f>
        <v>0</v>
      </c>
      <c r="I141" s="120">
        <f>'Suc. Plaza'!D141</f>
        <v>0</v>
      </c>
      <c r="J141" s="120">
        <f>'Suc. Vistas'!D141</f>
        <v>0</v>
      </c>
      <c r="K141" s="120">
        <f>'Suc. Xalisco'!D141</f>
        <v>0</v>
      </c>
      <c r="L141" s="120">
        <f t="shared" si="51"/>
        <v>0</v>
      </c>
      <c r="M141" s="131">
        <f>'Suc. Acaponeta'!D141</f>
        <v>0</v>
      </c>
      <c r="N141" s="131">
        <f>'Suc. Compostela'!D141</f>
        <v>0</v>
      </c>
      <c r="O141" s="131">
        <f>'Suc. Ruiz'!D141</f>
        <v>0</v>
      </c>
      <c r="P141" s="131">
        <f>'Suc. Sanblas'!D141</f>
        <v>0</v>
      </c>
      <c r="Q141" s="131">
        <f>'LALO VARAS'!D141</f>
        <v>0</v>
      </c>
      <c r="R141" s="131">
        <f>'Suc. Santiago 2'!D141</f>
        <v>0</v>
      </c>
      <c r="S141" s="131">
        <f>'Suc. Tecuala'!D141</f>
        <v>0</v>
      </c>
      <c r="T141" s="131">
        <f>'Suc. Tuxpan'!D141</f>
        <v>0</v>
      </c>
      <c r="U141" s="131">
        <f>'Suc. Varas'!D141</f>
        <v>0</v>
      </c>
      <c r="V141" s="131">
        <f>'Suc. Santa María del Oro'!D141</f>
        <v>0</v>
      </c>
      <c r="W141" s="131">
        <f>'Suc. Villa Hidalgo'!D141</f>
        <v>0</v>
      </c>
      <c r="X141" s="131">
        <f>'Suc. Peñita'!D141</f>
        <v>0</v>
      </c>
      <c r="Y141" s="120">
        <f t="shared" si="52"/>
        <v>0</v>
      </c>
      <c r="Z141" s="120">
        <f t="shared" si="53"/>
        <v>0</v>
      </c>
    </row>
    <row r="142" spans="1:26" ht="17.399999999999999" x14ac:dyDescent="0.35">
      <c r="A142" s="95"/>
      <c r="B142" s="131">
        <f>'Suc. Amado Nervo'!D142</f>
        <v>0</v>
      </c>
      <c r="C142" s="131">
        <f>'Suc. León'!D142</f>
        <v>0</v>
      </c>
      <c r="D142" s="120">
        <f>'San Cayetano'!D142</f>
        <v>0</v>
      </c>
      <c r="E142" s="120">
        <f>'Suc. Boulevard'!D142</f>
        <v>0</v>
      </c>
      <c r="F142" s="120">
        <f>'Suc. Dos de Agosto'!D142</f>
        <v>0</v>
      </c>
      <c r="G142" s="120">
        <f>'Suc. La Nueva Canasta'!D142</f>
        <v>0</v>
      </c>
      <c r="H142" s="120">
        <f>'Suc. Mololoa'!D142</f>
        <v>0</v>
      </c>
      <c r="I142" s="120">
        <f>'Suc. Plaza'!D142</f>
        <v>0</v>
      </c>
      <c r="J142" s="120">
        <f>'Suc. Vistas'!D142</f>
        <v>0</v>
      </c>
      <c r="K142" s="120">
        <f>'Suc. Xalisco'!D142</f>
        <v>0</v>
      </c>
      <c r="L142" s="120">
        <f t="shared" si="51"/>
        <v>0</v>
      </c>
      <c r="M142" s="131">
        <f>'Suc. Acaponeta'!D142</f>
        <v>0</v>
      </c>
      <c r="N142" s="131">
        <f>'Suc. Compostela'!D142</f>
        <v>0</v>
      </c>
      <c r="O142" s="131">
        <f>'Suc. Ruiz'!D142</f>
        <v>0</v>
      </c>
      <c r="P142" s="131">
        <f>'Suc. Sanblas'!D142</f>
        <v>0</v>
      </c>
      <c r="Q142" s="131">
        <f>'LALO VARAS'!D142</f>
        <v>0</v>
      </c>
      <c r="R142" s="131">
        <f>'Suc. Santiago 2'!D142</f>
        <v>0</v>
      </c>
      <c r="S142" s="131">
        <f>'Suc. Tecuala'!D142</f>
        <v>0</v>
      </c>
      <c r="T142" s="131">
        <f>'Suc. Tuxpan'!D142</f>
        <v>0</v>
      </c>
      <c r="U142" s="131">
        <f>'Suc. Varas'!D142</f>
        <v>0</v>
      </c>
      <c r="V142" s="131">
        <f>'Suc. Santa María del Oro'!D142</f>
        <v>0</v>
      </c>
      <c r="W142" s="131">
        <f>'Suc. Villa Hidalgo'!D142</f>
        <v>0</v>
      </c>
      <c r="X142" s="131">
        <f>'Suc. Peñita'!D142</f>
        <v>0</v>
      </c>
      <c r="Y142" s="120">
        <f t="shared" si="52"/>
        <v>0</v>
      </c>
      <c r="Z142" s="120">
        <f t="shared" si="53"/>
        <v>0</v>
      </c>
    </row>
    <row r="143" spans="1:26" ht="17.399999999999999" x14ac:dyDescent="0.35">
      <c r="A143" s="95"/>
      <c r="B143" s="131">
        <f>'Suc. Amado Nervo'!D143</f>
        <v>0</v>
      </c>
      <c r="C143" s="131">
        <f>'Suc. León'!D143</f>
        <v>0</v>
      </c>
      <c r="D143" s="120">
        <f>'San Cayetano'!D143</f>
        <v>0</v>
      </c>
      <c r="E143" s="120">
        <f>'Suc. Boulevard'!D143</f>
        <v>0</v>
      </c>
      <c r="F143" s="120">
        <f>'Suc. Dos de Agosto'!D143</f>
        <v>0</v>
      </c>
      <c r="G143" s="120">
        <f>'Suc. La Nueva Canasta'!D143</f>
        <v>0</v>
      </c>
      <c r="H143" s="120">
        <f>'Suc. Mololoa'!D143</f>
        <v>0</v>
      </c>
      <c r="I143" s="120">
        <f>'Suc. Plaza'!D143</f>
        <v>0</v>
      </c>
      <c r="J143" s="120">
        <f>'Suc. Vistas'!D143</f>
        <v>0</v>
      </c>
      <c r="K143" s="120">
        <f>'Suc. Xalisco'!D143</f>
        <v>0</v>
      </c>
      <c r="L143" s="120">
        <f t="shared" si="51"/>
        <v>0</v>
      </c>
      <c r="M143" s="131">
        <f>'Suc. Acaponeta'!D143</f>
        <v>0</v>
      </c>
      <c r="N143" s="131">
        <f>'Suc. Compostela'!D143</f>
        <v>0</v>
      </c>
      <c r="O143" s="131">
        <f>'Suc. Ruiz'!D143</f>
        <v>0</v>
      </c>
      <c r="P143" s="131">
        <f>'Suc. Sanblas'!D143</f>
        <v>0</v>
      </c>
      <c r="Q143" s="131">
        <f>'LALO VARAS'!D143</f>
        <v>0</v>
      </c>
      <c r="R143" s="131">
        <f>'Suc. Santiago 2'!D143</f>
        <v>0</v>
      </c>
      <c r="S143" s="131">
        <f>'Suc. Tecuala'!D143</f>
        <v>0</v>
      </c>
      <c r="T143" s="131">
        <f>'Suc. Tuxpan'!D143</f>
        <v>0</v>
      </c>
      <c r="U143" s="131">
        <f>'Suc. Varas'!D143</f>
        <v>0</v>
      </c>
      <c r="V143" s="131">
        <f>'Suc. Santa María del Oro'!D143</f>
        <v>0</v>
      </c>
      <c r="W143" s="131">
        <f>'Suc. Villa Hidalgo'!D143</f>
        <v>0</v>
      </c>
      <c r="X143" s="131">
        <f>'Suc. Peñita'!D143</f>
        <v>0</v>
      </c>
      <c r="Y143" s="120">
        <f t="shared" si="52"/>
        <v>0</v>
      </c>
      <c r="Z143" s="120">
        <f t="shared" si="53"/>
        <v>0</v>
      </c>
    </row>
    <row r="144" spans="1:26" ht="17.399999999999999" x14ac:dyDescent="0.35">
      <c r="A144" s="95"/>
      <c r="B144" s="131">
        <f>'Suc. Amado Nervo'!D144</f>
        <v>0</v>
      </c>
      <c r="C144" s="131">
        <f>'Suc. León'!D144</f>
        <v>0</v>
      </c>
      <c r="D144" s="120">
        <f>'San Cayetano'!D144</f>
        <v>0</v>
      </c>
      <c r="E144" s="120">
        <f>'Suc. Boulevard'!D144</f>
        <v>0</v>
      </c>
      <c r="F144" s="120">
        <f>'Suc. Dos de Agosto'!D144</f>
        <v>0</v>
      </c>
      <c r="G144" s="120">
        <f>'Suc. La Nueva Canasta'!D144</f>
        <v>0</v>
      </c>
      <c r="H144" s="120">
        <f>'Suc. Mololoa'!D144</f>
        <v>0</v>
      </c>
      <c r="I144" s="120">
        <f>'Suc. Plaza'!D144</f>
        <v>0</v>
      </c>
      <c r="J144" s="120">
        <f>'Suc. Vistas'!D144</f>
        <v>0</v>
      </c>
      <c r="K144" s="120">
        <f>'Suc. Xalisco'!D144</f>
        <v>0</v>
      </c>
      <c r="L144" s="120">
        <f t="shared" si="51"/>
        <v>0</v>
      </c>
      <c r="M144" s="131">
        <f>'Suc. Acaponeta'!D144</f>
        <v>0</v>
      </c>
      <c r="N144" s="131">
        <f>'Suc. Compostela'!D144</f>
        <v>0</v>
      </c>
      <c r="O144" s="131">
        <f>'Suc. Ruiz'!D144</f>
        <v>0</v>
      </c>
      <c r="P144" s="131">
        <f>'Suc. Sanblas'!D144</f>
        <v>0</v>
      </c>
      <c r="Q144" s="131">
        <f>'LALO VARAS'!D144</f>
        <v>0</v>
      </c>
      <c r="R144" s="131">
        <f>'Suc. Santiago 2'!D144</f>
        <v>0</v>
      </c>
      <c r="S144" s="131">
        <f>'Suc. Tecuala'!D144</f>
        <v>0</v>
      </c>
      <c r="T144" s="131">
        <f>'Suc. Tuxpan'!D144</f>
        <v>0</v>
      </c>
      <c r="U144" s="131">
        <f>'Suc. Varas'!D144</f>
        <v>0</v>
      </c>
      <c r="V144" s="131">
        <f>'Suc. Santa María del Oro'!D144</f>
        <v>0</v>
      </c>
      <c r="W144" s="131">
        <f>'Suc. Villa Hidalgo'!D144</f>
        <v>0</v>
      </c>
      <c r="X144" s="131">
        <f>'Suc. Peñita'!D144</f>
        <v>0</v>
      </c>
      <c r="Y144" s="120">
        <f t="shared" si="52"/>
        <v>0</v>
      </c>
      <c r="Z144" s="120">
        <f t="shared" si="53"/>
        <v>0</v>
      </c>
    </row>
    <row r="145" spans="1:30" ht="17.399999999999999" x14ac:dyDescent="0.35">
      <c r="A145" s="95"/>
      <c r="B145" s="131">
        <f>'Suc. Amado Nervo'!D145</f>
        <v>0</v>
      </c>
      <c r="C145" s="131">
        <f>'Suc. León'!D145</f>
        <v>0</v>
      </c>
      <c r="D145" s="120">
        <f>'San Cayetano'!D145</f>
        <v>0</v>
      </c>
      <c r="E145" s="120">
        <f>'Suc. Boulevard'!D145</f>
        <v>0</v>
      </c>
      <c r="F145" s="120">
        <f>'Suc. Dos de Agosto'!D145</f>
        <v>0</v>
      </c>
      <c r="G145" s="120">
        <f>'Suc. La Nueva Canasta'!D145</f>
        <v>0</v>
      </c>
      <c r="H145" s="120">
        <f>'Suc. Mololoa'!D145</f>
        <v>0</v>
      </c>
      <c r="I145" s="120">
        <f>'Suc. Plaza'!D145</f>
        <v>0</v>
      </c>
      <c r="J145" s="120">
        <f>'Suc. Vistas'!D145</f>
        <v>0</v>
      </c>
      <c r="K145" s="120">
        <f>'Suc. Xalisco'!D145</f>
        <v>0</v>
      </c>
      <c r="L145" s="120">
        <f t="shared" si="51"/>
        <v>0</v>
      </c>
      <c r="M145" s="131">
        <f>'Suc. Acaponeta'!D145</f>
        <v>0</v>
      </c>
      <c r="N145" s="131">
        <f>'Suc. Compostela'!D145</f>
        <v>0</v>
      </c>
      <c r="O145" s="131">
        <f>'Suc. Ruiz'!D145</f>
        <v>0</v>
      </c>
      <c r="P145" s="131">
        <f>'Suc. Sanblas'!D145</f>
        <v>0</v>
      </c>
      <c r="Q145" s="131">
        <f>'LALO VARAS'!D145</f>
        <v>0</v>
      </c>
      <c r="R145" s="131">
        <f>'Suc. Santiago 2'!D145</f>
        <v>0</v>
      </c>
      <c r="S145" s="131">
        <f>'Suc. Tecuala'!D145</f>
        <v>0</v>
      </c>
      <c r="T145" s="131">
        <f>'Suc. Tuxpan'!D145</f>
        <v>0</v>
      </c>
      <c r="U145" s="131">
        <f>'Suc. Varas'!D145</f>
        <v>0</v>
      </c>
      <c r="V145" s="131">
        <f>'Suc. Santa María del Oro'!D145</f>
        <v>0</v>
      </c>
      <c r="W145" s="131">
        <f>'Suc. Villa Hidalgo'!D145</f>
        <v>0</v>
      </c>
      <c r="X145" s="131">
        <f>'Suc. Peñita'!D145</f>
        <v>0</v>
      </c>
      <c r="Y145" s="120">
        <f t="shared" si="52"/>
        <v>0</v>
      </c>
      <c r="Z145" s="120">
        <f t="shared" si="53"/>
        <v>0</v>
      </c>
    </row>
    <row r="146" spans="1:30" ht="17.399999999999999" x14ac:dyDescent="0.35">
      <c r="A146" s="95"/>
      <c r="B146" s="131">
        <f>'Suc. Amado Nervo'!D146</f>
        <v>0</v>
      </c>
      <c r="C146" s="131">
        <f>'Suc. León'!D146</f>
        <v>0</v>
      </c>
      <c r="D146" s="120">
        <f>'San Cayetano'!D146</f>
        <v>0</v>
      </c>
      <c r="E146" s="120">
        <f>'Suc. Boulevard'!D146</f>
        <v>0</v>
      </c>
      <c r="F146" s="120">
        <f>'Suc. Dos de Agosto'!D146</f>
        <v>0</v>
      </c>
      <c r="G146" s="120">
        <f>'Suc. La Nueva Canasta'!D146</f>
        <v>0</v>
      </c>
      <c r="H146" s="120">
        <f>'Suc. Mololoa'!D146</f>
        <v>0</v>
      </c>
      <c r="I146" s="120">
        <f>'Suc. Plaza'!D146</f>
        <v>0</v>
      </c>
      <c r="J146" s="120">
        <f>'Suc. Vistas'!D146</f>
        <v>0</v>
      </c>
      <c r="K146" s="120">
        <f>'Suc. Xalisco'!D146</f>
        <v>0</v>
      </c>
      <c r="L146" s="120">
        <f t="shared" si="51"/>
        <v>0</v>
      </c>
      <c r="M146" s="131">
        <f>'Suc. Acaponeta'!D146</f>
        <v>0</v>
      </c>
      <c r="N146" s="131">
        <f>'Suc. Compostela'!D146</f>
        <v>0</v>
      </c>
      <c r="O146" s="131">
        <f>'Suc. Ruiz'!D146</f>
        <v>0</v>
      </c>
      <c r="P146" s="131">
        <f>'Suc. Sanblas'!D146</f>
        <v>0</v>
      </c>
      <c r="Q146" s="131">
        <f>'LALO VARAS'!D146</f>
        <v>0</v>
      </c>
      <c r="R146" s="131">
        <f>'Suc. Santiago 2'!D146</f>
        <v>0</v>
      </c>
      <c r="S146" s="131">
        <f>'Suc. Tecuala'!D146</f>
        <v>0</v>
      </c>
      <c r="T146" s="131">
        <f>'Suc. Tuxpan'!D146</f>
        <v>0</v>
      </c>
      <c r="U146" s="131">
        <f>'Suc. Varas'!D146</f>
        <v>0</v>
      </c>
      <c r="V146" s="131">
        <f>'Suc. Santa María del Oro'!D146</f>
        <v>0</v>
      </c>
      <c r="W146" s="131">
        <f>'Suc. Villa Hidalgo'!D146</f>
        <v>0</v>
      </c>
      <c r="X146" s="131">
        <f>'Suc. Peñita'!D146</f>
        <v>0</v>
      </c>
      <c r="Y146" s="120">
        <f t="shared" si="52"/>
        <v>0</v>
      </c>
      <c r="Z146" s="120">
        <f t="shared" si="53"/>
        <v>0</v>
      </c>
    </row>
    <row r="147" spans="1:30" ht="17.399999999999999" x14ac:dyDescent="0.35">
      <c r="A147" s="95"/>
      <c r="B147" s="131">
        <f>'Suc. Amado Nervo'!D147</f>
        <v>0</v>
      </c>
      <c r="C147" s="131">
        <f>'Suc. León'!D147</f>
        <v>0</v>
      </c>
      <c r="D147" s="120">
        <f>'San Cayetano'!D147</f>
        <v>0</v>
      </c>
      <c r="E147" s="120">
        <f>'Suc. Boulevard'!D147</f>
        <v>0</v>
      </c>
      <c r="F147" s="120">
        <f>'Suc. Dos de Agosto'!D147</f>
        <v>0</v>
      </c>
      <c r="G147" s="120">
        <f>'Suc. La Nueva Canasta'!D147</f>
        <v>0</v>
      </c>
      <c r="H147" s="120">
        <f>'Suc. Mololoa'!D147</f>
        <v>0</v>
      </c>
      <c r="I147" s="120">
        <f>'Suc. Plaza'!D147</f>
        <v>0</v>
      </c>
      <c r="J147" s="120">
        <f>'Suc. Vistas'!D147</f>
        <v>0</v>
      </c>
      <c r="K147" s="120">
        <f>'Suc. Xalisco'!D147</f>
        <v>0</v>
      </c>
      <c r="L147" s="120">
        <f t="shared" si="51"/>
        <v>0</v>
      </c>
      <c r="M147" s="131">
        <f>'Suc. Acaponeta'!D147</f>
        <v>0</v>
      </c>
      <c r="N147" s="131">
        <f>'Suc. Compostela'!D147</f>
        <v>0</v>
      </c>
      <c r="O147" s="131">
        <f>'Suc. Ruiz'!D147</f>
        <v>0</v>
      </c>
      <c r="P147" s="131">
        <f>'Suc. Sanblas'!D147</f>
        <v>0</v>
      </c>
      <c r="Q147" s="131">
        <f>'LALO VARAS'!D147</f>
        <v>0</v>
      </c>
      <c r="R147" s="131">
        <f>'Suc. Santiago 2'!D147</f>
        <v>0</v>
      </c>
      <c r="S147" s="131">
        <f>'Suc. Tecuala'!D147</f>
        <v>0</v>
      </c>
      <c r="T147" s="131">
        <f>'Suc. Tuxpan'!D147</f>
        <v>0</v>
      </c>
      <c r="U147" s="131">
        <f>'Suc. Varas'!D147</f>
        <v>0</v>
      </c>
      <c r="V147" s="131">
        <f>'Suc. Santa María del Oro'!D147</f>
        <v>0</v>
      </c>
      <c r="W147" s="131">
        <f>'Suc. Villa Hidalgo'!D147</f>
        <v>0</v>
      </c>
      <c r="X147" s="131">
        <f>'Suc. Peñita'!D147</f>
        <v>0</v>
      </c>
      <c r="Y147" s="120">
        <f t="shared" si="52"/>
        <v>0</v>
      </c>
      <c r="Z147" s="120">
        <f t="shared" si="53"/>
        <v>0</v>
      </c>
    </row>
    <row r="148" spans="1:30" ht="18" thickBot="1" x14ac:dyDescent="0.4">
      <c r="A148" s="95"/>
      <c r="B148" s="131">
        <f>'Suc. Amado Nervo'!D148</f>
        <v>0</v>
      </c>
      <c r="C148" s="131">
        <f>'Suc. León'!D148</f>
        <v>0</v>
      </c>
      <c r="D148" s="120">
        <f>'San Cayetano'!D148</f>
        <v>0</v>
      </c>
      <c r="E148" s="120">
        <f>'Suc. Boulevard'!D148</f>
        <v>0</v>
      </c>
      <c r="F148" s="120">
        <f>'Suc. Dos de Agosto'!D148</f>
        <v>0</v>
      </c>
      <c r="G148" s="120">
        <f>'Suc. La Nueva Canasta'!D148</f>
        <v>0</v>
      </c>
      <c r="H148" s="120">
        <f>'Suc. Mololoa'!D148</f>
        <v>0</v>
      </c>
      <c r="I148" s="120">
        <f>'Suc. Plaza'!D148</f>
        <v>0</v>
      </c>
      <c r="J148" s="120">
        <f>'Suc. Vistas'!D148</f>
        <v>0</v>
      </c>
      <c r="K148" s="120">
        <f>'Suc. Xalisco'!D148</f>
        <v>0</v>
      </c>
      <c r="L148" s="120">
        <f t="shared" si="51"/>
        <v>0</v>
      </c>
      <c r="M148" s="131">
        <f>'Suc. Acaponeta'!D148</f>
        <v>0</v>
      </c>
      <c r="N148" s="131">
        <f>'Suc. Compostela'!D148</f>
        <v>0</v>
      </c>
      <c r="O148" s="131">
        <f>'Suc. Ruiz'!D148</f>
        <v>0</v>
      </c>
      <c r="P148" s="131">
        <f>'Suc. Sanblas'!D148</f>
        <v>0</v>
      </c>
      <c r="Q148" s="131">
        <f>'LALO VARAS'!D148</f>
        <v>0</v>
      </c>
      <c r="R148" s="131">
        <f>'Suc. Santiago 2'!D148</f>
        <v>0</v>
      </c>
      <c r="S148" s="131">
        <f>'Suc. Tecuala'!D148</f>
        <v>0</v>
      </c>
      <c r="T148" s="131">
        <f>'Suc. Tuxpan'!D148</f>
        <v>0</v>
      </c>
      <c r="U148" s="131">
        <f>'Suc. Varas'!D148</f>
        <v>0</v>
      </c>
      <c r="V148" s="131">
        <f>'Suc. Santa María del Oro'!D148</f>
        <v>0</v>
      </c>
      <c r="W148" s="131">
        <f>'Suc. Villa Hidalgo'!D148</f>
        <v>0</v>
      </c>
      <c r="X148" s="131">
        <f>'Suc. Peñita'!D148</f>
        <v>0</v>
      </c>
      <c r="Y148" s="120">
        <f t="shared" si="52"/>
        <v>0</v>
      </c>
      <c r="Z148" s="120">
        <f t="shared" si="53"/>
        <v>0</v>
      </c>
    </row>
    <row r="149" spans="1:30" ht="18" thickBot="1" x14ac:dyDescent="0.4">
      <c r="A149" s="173"/>
      <c r="B149" s="114">
        <f>SUM(B118:B127)</f>
        <v>38</v>
      </c>
      <c r="C149" s="114">
        <f>SUM(C118:C127)</f>
        <v>48</v>
      </c>
      <c r="D149" s="114">
        <f>SUM(D118:D127)</f>
        <v>28</v>
      </c>
      <c r="E149" s="114">
        <f>SUM(E118:E127)</f>
        <v>12</v>
      </c>
      <c r="F149" s="114">
        <f>SUM(F118:F127)</f>
        <v>18</v>
      </c>
      <c r="G149" s="114">
        <f>SUM(G118:G148,)</f>
        <v>0</v>
      </c>
      <c r="H149" s="114">
        <f t="shared" ref="H149:Z149" si="54">SUM(H118:H127)</f>
        <v>38</v>
      </c>
      <c r="I149" s="114">
        <f t="shared" si="54"/>
        <v>48</v>
      </c>
      <c r="J149" s="114">
        <f t="shared" si="54"/>
        <v>41</v>
      </c>
      <c r="K149" s="114">
        <f t="shared" si="54"/>
        <v>19</v>
      </c>
      <c r="L149" s="114">
        <f t="shared" si="54"/>
        <v>290</v>
      </c>
      <c r="M149" s="114">
        <f t="shared" si="54"/>
        <v>38</v>
      </c>
      <c r="N149" s="114">
        <f t="shared" si="54"/>
        <v>26</v>
      </c>
      <c r="O149" s="114">
        <f t="shared" si="54"/>
        <v>26</v>
      </c>
      <c r="P149" s="114">
        <f t="shared" si="54"/>
        <v>27</v>
      </c>
      <c r="Q149" s="114">
        <f t="shared" si="54"/>
        <v>36</v>
      </c>
      <c r="R149" s="114">
        <f t="shared" si="54"/>
        <v>31</v>
      </c>
      <c r="S149" s="114">
        <f t="shared" si="54"/>
        <v>26</v>
      </c>
      <c r="T149" s="114">
        <f t="shared" si="54"/>
        <v>32</v>
      </c>
      <c r="U149" s="114">
        <f t="shared" si="54"/>
        <v>47</v>
      </c>
      <c r="V149" s="114">
        <f t="shared" si="54"/>
        <v>41</v>
      </c>
      <c r="W149" s="114">
        <f t="shared" si="54"/>
        <v>36</v>
      </c>
      <c r="X149" s="114">
        <f t="shared" si="54"/>
        <v>26</v>
      </c>
      <c r="Y149" s="114">
        <f t="shared" si="54"/>
        <v>392</v>
      </c>
      <c r="Z149" s="114">
        <f t="shared" si="54"/>
        <v>682</v>
      </c>
      <c r="AB149" s="114">
        <f>SUM(AB118:AB127)</f>
        <v>81</v>
      </c>
      <c r="AD149" s="114">
        <f>AB149+Z149</f>
        <v>763</v>
      </c>
    </row>
    <row r="150" spans="1:30" ht="18" thickBot="1" x14ac:dyDescent="0.4">
      <c r="A150" s="110" t="s">
        <v>86</v>
      </c>
      <c r="B150" s="59">
        <f t="shared" ref="B150:Z150" si="55">B117+B149</f>
        <v>334</v>
      </c>
      <c r="C150" s="59">
        <f t="shared" si="55"/>
        <v>378</v>
      </c>
      <c r="D150" s="59">
        <f t="shared" si="55"/>
        <v>216</v>
      </c>
      <c r="E150" s="59">
        <f t="shared" si="55"/>
        <v>143</v>
      </c>
      <c r="F150" s="59">
        <f t="shared" si="55"/>
        <v>178</v>
      </c>
      <c r="G150" s="59">
        <f t="shared" si="55"/>
        <v>0</v>
      </c>
      <c r="H150" s="59">
        <f t="shared" si="55"/>
        <v>207</v>
      </c>
      <c r="I150" s="59">
        <f t="shared" si="55"/>
        <v>215</v>
      </c>
      <c r="J150" s="59">
        <f t="shared" si="55"/>
        <v>275</v>
      </c>
      <c r="K150" s="59">
        <f t="shared" si="55"/>
        <v>166</v>
      </c>
      <c r="L150" s="59">
        <f t="shared" si="55"/>
        <v>2112</v>
      </c>
      <c r="M150" s="59">
        <f t="shared" si="55"/>
        <v>352</v>
      </c>
      <c r="N150" s="59">
        <f t="shared" si="55"/>
        <v>217</v>
      </c>
      <c r="O150" s="59">
        <f t="shared" si="55"/>
        <v>210</v>
      </c>
      <c r="P150" s="59">
        <f t="shared" si="55"/>
        <v>262</v>
      </c>
      <c r="Q150" s="59">
        <f t="shared" si="55"/>
        <v>317</v>
      </c>
      <c r="R150" s="59">
        <f t="shared" si="55"/>
        <v>286</v>
      </c>
      <c r="S150" s="59">
        <f t="shared" si="55"/>
        <v>220</v>
      </c>
      <c r="T150" s="59">
        <f t="shared" si="55"/>
        <v>267</v>
      </c>
      <c r="U150" s="59">
        <f t="shared" si="55"/>
        <v>280</v>
      </c>
      <c r="V150" s="59">
        <f t="shared" si="55"/>
        <v>272</v>
      </c>
      <c r="W150" s="59">
        <f t="shared" si="55"/>
        <v>336</v>
      </c>
      <c r="X150" s="59">
        <f t="shared" si="55"/>
        <v>205</v>
      </c>
      <c r="Y150" s="59">
        <f t="shared" si="55"/>
        <v>3224</v>
      </c>
      <c r="Z150" s="59">
        <f t="shared" si="55"/>
        <v>5336</v>
      </c>
      <c r="AB150" s="59">
        <f>AB117+AB149</f>
        <v>1459</v>
      </c>
      <c r="AD150" s="59">
        <f>AB150+Z150</f>
        <v>6795</v>
      </c>
    </row>
  </sheetData>
  <mergeCells count="2">
    <mergeCell ref="B1:K1"/>
    <mergeCell ref="M1:W1"/>
  </mergeCells>
  <conditionalFormatting sqref="B3:K17">
    <cfRule type="cellIs" dxfId="109" priority="147" operator="equal">
      <formula>0</formula>
    </cfRule>
  </conditionalFormatting>
  <conditionalFormatting sqref="B19:K31">
    <cfRule type="cellIs" dxfId="108" priority="40" operator="equal">
      <formula>0</formula>
    </cfRule>
  </conditionalFormatting>
  <conditionalFormatting sqref="B33:K48">
    <cfRule type="cellIs" dxfId="107" priority="36" operator="equal">
      <formula>0</formula>
    </cfRule>
  </conditionalFormatting>
  <conditionalFormatting sqref="B50:K51">
    <cfRule type="cellIs" dxfId="106" priority="32" operator="equal">
      <formula>0</formula>
    </cfRule>
  </conditionalFormatting>
  <conditionalFormatting sqref="B53:K54">
    <cfRule type="cellIs" dxfId="105" priority="28" operator="equal">
      <formula>0</formula>
    </cfRule>
  </conditionalFormatting>
  <conditionalFormatting sqref="B56:K77">
    <cfRule type="cellIs" dxfId="104" priority="24" operator="equal">
      <formula>0</formula>
    </cfRule>
  </conditionalFormatting>
  <conditionalFormatting sqref="B81:K90">
    <cfRule type="cellIs" dxfId="103" priority="20" operator="equal">
      <formula>0</formula>
    </cfRule>
  </conditionalFormatting>
  <conditionalFormatting sqref="B93:K104">
    <cfRule type="cellIs" dxfId="102" priority="16" operator="equal">
      <formula>0</formula>
    </cfRule>
  </conditionalFormatting>
  <conditionalFormatting sqref="B107:K112">
    <cfRule type="cellIs" dxfId="101" priority="12" operator="equal">
      <formula>0</formula>
    </cfRule>
  </conditionalFormatting>
  <conditionalFormatting sqref="B114:K116">
    <cfRule type="cellIs" dxfId="100" priority="8" operator="equal">
      <formula>0</formula>
    </cfRule>
  </conditionalFormatting>
  <conditionalFormatting sqref="B118:K148">
    <cfRule type="cellIs" dxfId="99" priority="4" operator="equal">
      <formula>0</formula>
    </cfRule>
  </conditionalFormatting>
  <conditionalFormatting sqref="L3:L17">
    <cfRule type="cellIs" dxfId="98" priority="146" operator="equal">
      <formula>0</formula>
    </cfRule>
  </conditionalFormatting>
  <conditionalFormatting sqref="L19:L31">
    <cfRule type="cellIs" dxfId="97" priority="39" operator="equal">
      <formula>0</formula>
    </cfRule>
  </conditionalFormatting>
  <conditionalFormatting sqref="L33:L48">
    <cfRule type="cellIs" dxfId="96" priority="35" operator="equal">
      <formula>0</formula>
    </cfRule>
  </conditionalFormatting>
  <conditionalFormatting sqref="L50:L51">
    <cfRule type="cellIs" dxfId="95" priority="31" operator="equal">
      <formula>0</formula>
    </cfRule>
  </conditionalFormatting>
  <conditionalFormatting sqref="L53:L54">
    <cfRule type="cellIs" dxfId="94" priority="27" operator="equal">
      <formula>0</formula>
    </cfRule>
  </conditionalFormatting>
  <conditionalFormatting sqref="L56:L77">
    <cfRule type="cellIs" dxfId="93" priority="23" operator="equal">
      <formula>0</formula>
    </cfRule>
  </conditionalFormatting>
  <conditionalFormatting sqref="L81:L90">
    <cfRule type="cellIs" dxfId="92" priority="19" operator="equal">
      <formula>0</formula>
    </cfRule>
  </conditionalFormatting>
  <conditionalFormatting sqref="L93:L104">
    <cfRule type="cellIs" dxfId="91" priority="15" operator="equal">
      <formula>0</formula>
    </cfRule>
  </conditionalFormatting>
  <conditionalFormatting sqref="L107:L112">
    <cfRule type="cellIs" dxfId="90" priority="11" operator="equal">
      <formula>0</formula>
    </cfRule>
  </conditionalFormatting>
  <conditionalFormatting sqref="L114:L116">
    <cfRule type="cellIs" dxfId="89" priority="7" operator="equal">
      <formula>0</formula>
    </cfRule>
  </conditionalFormatting>
  <conditionalFormatting sqref="L118:L148">
    <cfRule type="cellIs" dxfId="88" priority="3" operator="equal">
      <formula>0</formula>
    </cfRule>
  </conditionalFormatting>
  <conditionalFormatting sqref="M3:X17">
    <cfRule type="cellIs" dxfId="87" priority="120" operator="equal">
      <formula>0</formula>
    </cfRule>
  </conditionalFormatting>
  <conditionalFormatting sqref="M19:X31">
    <cfRule type="cellIs" dxfId="86" priority="37" operator="equal">
      <formula>0</formula>
    </cfRule>
  </conditionalFormatting>
  <conditionalFormatting sqref="M33:X48">
    <cfRule type="cellIs" dxfId="85" priority="33" operator="equal">
      <formula>0</formula>
    </cfRule>
  </conditionalFormatting>
  <conditionalFormatting sqref="M50:X51">
    <cfRule type="cellIs" dxfId="84" priority="29" operator="equal">
      <formula>0</formula>
    </cfRule>
  </conditionalFormatting>
  <conditionalFormatting sqref="M53:X54">
    <cfRule type="cellIs" dxfId="83" priority="25" operator="equal">
      <formula>0</formula>
    </cfRule>
  </conditionalFormatting>
  <conditionalFormatting sqref="M56:X77">
    <cfRule type="cellIs" dxfId="82" priority="21" operator="equal">
      <formula>0</formula>
    </cfRule>
  </conditionalFormatting>
  <conditionalFormatting sqref="M81:X90">
    <cfRule type="cellIs" dxfId="81" priority="17" operator="equal">
      <formula>0</formula>
    </cfRule>
  </conditionalFormatting>
  <conditionalFormatting sqref="M93:X104">
    <cfRule type="cellIs" dxfId="80" priority="13" operator="equal">
      <formula>0</formula>
    </cfRule>
  </conditionalFormatting>
  <conditionalFormatting sqref="M107:X112">
    <cfRule type="cellIs" dxfId="79" priority="9" operator="equal">
      <formula>0</formula>
    </cfRule>
  </conditionalFormatting>
  <conditionalFormatting sqref="M114:X116">
    <cfRule type="cellIs" dxfId="78" priority="5" operator="equal">
      <formula>0</formula>
    </cfRule>
  </conditionalFormatting>
  <conditionalFormatting sqref="M118:X148">
    <cfRule type="cellIs" dxfId="77" priority="1" operator="equal">
      <formula>0</formula>
    </cfRule>
  </conditionalFormatting>
  <conditionalFormatting sqref="Y3:Z17">
    <cfRule type="cellIs" dxfId="76" priority="121" operator="equal">
      <formula>0</formula>
    </cfRule>
  </conditionalFormatting>
  <conditionalFormatting sqref="Y19:Z31">
    <cfRule type="cellIs" dxfId="75" priority="38" operator="equal">
      <formula>0</formula>
    </cfRule>
  </conditionalFormatting>
  <conditionalFormatting sqref="Y33:Z48">
    <cfRule type="cellIs" dxfId="74" priority="34" operator="equal">
      <formula>0</formula>
    </cfRule>
  </conditionalFormatting>
  <conditionalFormatting sqref="Y50:Z51">
    <cfRule type="cellIs" dxfId="73" priority="30" operator="equal">
      <formula>0</formula>
    </cfRule>
  </conditionalFormatting>
  <conditionalFormatting sqref="Y53:Z54">
    <cfRule type="cellIs" dxfId="72" priority="26" operator="equal">
      <formula>0</formula>
    </cfRule>
  </conditionalFormatting>
  <conditionalFormatting sqref="Y56:Z77">
    <cfRule type="cellIs" dxfId="71" priority="22" operator="equal">
      <formula>0</formula>
    </cfRule>
  </conditionalFormatting>
  <conditionalFormatting sqref="Y81:Z90">
    <cfRule type="cellIs" dxfId="70" priority="18" operator="equal">
      <formula>0</formula>
    </cfRule>
  </conditionalFormatting>
  <conditionalFormatting sqref="Y93:Z104">
    <cfRule type="cellIs" dxfId="69" priority="14" operator="equal">
      <formula>0</formula>
    </cfRule>
  </conditionalFormatting>
  <conditionalFormatting sqref="Y107:Z112">
    <cfRule type="cellIs" dxfId="68" priority="10" operator="equal">
      <formula>0</formula>
    </cfRule>
  </conditionalFormatting>
  <conditionalFormatting sqref="Y114:Z116">
    <cfRule type="cellIs" dxfId="67" priority="6" operator="equal">
      <formula>0</formula>
    </cfRule>
  </conditionalFormatting>
  <conditionalFormatting sqref="Y118:Z148">
    <cfRule type="cellIs" dxfId="66" priority="2" operator="equal">
      <formula>0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8078-0F1D-43A7-B471-8F4DDE009A31}">
  <sheetPr>
    <tabColor rgb="FF33CCCC"/>
  </sheetPr>
  <dimension ref="A1:AH150"/>
  <sheetViews>
    <sheetView zoomScale="85" zoomScaleNormal="85" workbookViewId="0">
      <pane xSplit="1" ySplit="2" topLeftCell="Z104" activePane="bottomRight" state="frozen"/>
      <selection activeCell="A3" sqref="A3"/>
      <selection pane="topRight" activeCell="A3" sqref="A3"/>
      <selection pane="bottomLeft" activeCell="A3" sqref="A3"/>
      <selection pane="bottomRight" activeCell="AH115" sqref="AH115"/>
    </sheetView>
  </sheetViews>
  <sheetFormatPr baseColWidth="10" defaultRowHeight="14.4" outlineLevelCol="1" x14ac:dyDescent="0.3"/>
  <cols>
    <col min="1" max="1" width="55.6640625" customWidth="1"/>
    <col min="2" max="11" width="12.6640625" customWidth="1" outlineLevel="1"/>
    <col min="12" max="12" width="12.6640625" customWidth="1"/>
    <col min="13" max="13" width="12.6640625" customWidth="1" outlineLevel="1"/>
    <col min="14" max="14" width="13.88671875" customWidth="1" outlineLevel="1"/>
    <col min="15" max="24" width="12.6640625" customWidth="1" outlineLevel="1"/>
    <col min="25" max="26" width="12.6640625" customWidth="1"/>
    <col min="27" max="27" width="3.109375" customWidth="1"/>
    <col min="28" max="28" width="14.6640625" customWidth="1"/>
    <col min="29" max="29" width="2.109375" customWidth="1"/>
    <col min="30" max="30" width="12.6640625" customWidth="1"/>
    <col min="31" max="31" width="3.109375" customWidth="1"/>
    <col min="32" max="33" width="14.6640625" hidden="1" customWidth="1"/>
  </cols>
  <sheetData>
    <row r="1" spans="1:34" ht="18" thickBot="1" x14ac:dyDescent="0.4">
      <c r="A1" s="1">
        <f>RAIZ!B1</f>
        <v>46301</v>
      </c>
      <c r="B1" s="257" t="s">
        <v>885</v>
      </c>
      <c r="C1" s="257"/>
      <c r="D1" s="257"/>
      <c r="E1" s="257"/>
      <c r="F1" s="257"/>
      <c r="G1" s="257"/>
      <c r="H1" s="257"/>
      <c r="I1" s="257"/>
      <c r="J1" s="257"/>
      <c r="K1" s="257"/>
      <c r="L1" s="164"/>
      <c r="M1" s="257" t="s">
        <v>886</v>
      </c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167"/>
      <c r="Y1" s="164"/>
      <c r="AB1" s="164"/>
      <c r="AD1" s="164"/>
      <c r="AF1" s="164"/>
      <c r="AG1" s="164"/>
    </row>
    <row r="2" spans="1:34" ht="31.8" thickBot="1" x14ac:dyDescent="0.35">
      <c r="A2" s="90" t="s">
        <v>0</v>
      </c>
      <c r="B2" s="62" t="s">
        <v>701</v>
      </c>
      <c r="C2" s="62" t="s">
        <v>706</v>
      </c>
      <c r="D2" s="62" t="s">
        <v>707</v>
      </c>
      <c r="E2" s="62" t="s">
        <v>708</v>
      </c>
      <c r="F2" s="62" t="s">
        <v>709</v>
      </c>
      <c r="G2" s="62" t="s">
        <v>710</v>
      </c>
      <c r="H2" s="62" t="s">
        <v>711</v>
      </c>
      <c r="I2" s="62" t="s">
        <v>712</v>
      </c>
      <c r="J2" s="62" t="s">
        <v>713</v>
      </c>
      <c r="K2" s="62" t="s">
        <v>714</v>
      </c>
      <c r="L2" s="61" t="s">
        <v>838</v>
      </c>
      <c r="M2" s="62" t="s">
        <v>717</v>
      </c>
      <c r="N2" s="62" t="s">
        <v>718</v>
      </c>
      <c r="O2" s="62" t="s">
        <v>719</v>
      </c>
      <c r="P2" s="62" t="s">
        <v>720</v>
      </c>
      <c r="Q2" s="62" t="s">
        <v>721</v>
      </c>
      <c r="R2" s="62" t="s">
        <v>722</v>
      </c>
      <c r="S2" s="62" t="s">
        <v>723</v>
      </c>
      <c r="T2" s="62" t="s">
        <v>724</v>
      </c>
      <c r="U2" s="62" t="s">
        <v>860</v>
      </c>
      <c r="V2" s="62" t="s">
        <v>942</v>
      </c>
      <c r="W2" s="62" t="s">
        <v>1000</v>
      </c>
      <c r="X2" s="62" t="s">
        <v>1033</v>
      </c>
      <c r="Y2" s="61" t="s">
        <v>840</v>
      </c>
      <c r="Z2" s="115" t="s">
        <v>841</v>
      </c>
      <c r="AB2" s="145" t="s">
        <v>918</v>
      </c>
      <c r="AD2" s="62" t="s">
        <v>919</v>
      </c>
      <c r="AF2" s="203" t="s">
        <v>1024</v>
      </c>
      <c r="AG2" s="203" t="s">
        <v>1024</v>
      </c>
    </row>
    <row r="3" spans="1:34" ht="17.399999999999999" x14ac:dyDescent="0.35">
      <c r="A3" s="93" t="s">
        <v>1</v>
      </c>
      <c r="B3" s="131">
        <f>'EXISTENCIA EN SUCURSALES'!B3+'DISTRIBUCIÓN EN SUCURSALES'!B3</f>
        <v>3</v>
      </c>
      <c r="C3" s="131">
        <f>'EXISTENCIA EN SUCURSALES'!C3+'DISTRIBUCIÓN EN SUCURSALES'!C3</f>
        <v>3</v>
      </c>
      <c r="D3" s="120">
        <f>'EXISTENCIA EN SUCURSALES'!D3+'DISTRIBUCIÓN EN SUCURSALES'!D3</f>
        <v>2</v>
      </c>
      <c r="E3" s="120">
        <f>'EXISTENCIA EN SUCURSALES'!E3+'DISTRIBUCIÓN EN SUCURSALES'!E3</f>
        <v>2</v>
      </c>
      <c r="F3" s="120">
        <f>'EXISTENCIA EN SUCURSALES'!F3+'DISTRIBUCIÓN EN SUCURSALES'!F3</f>
        <v>1</v>
      </c>
      <c r="G3" s="120">
        <f>'EXISTENCIA EN SUCURSALES'!G3+'DISTRIBUCIÓN EN SUCURSALES'!G3</f>
        <v>0</v>
      </c>
      <c r="H3" s="120">
        <f>'EXISTENCIA EN SUCURSALES'!H3+'DISTRIBUCIÓN EN SUCURSALES'!H3</f>
        <v>1</v>
      </c>
      <c r="I3" s="120">
        <f>'EXISTENCIA EN SUCURSALES'!I3+'DISTRIBUCIÓN EN SUCURSALES'!I3</f>
        <v>1</v>
      </c>
      <c r="J3" s="120">
        <f>'EXISTENCIA EN SUCURSALES'!J3+'DISTRIBUCIÓN EN SUCURSALES'!J3</f>
        <v>2</v>
      </c>
      <c r="K3" s="120">
        <f>'EXISTENCIA EN SUCURSALES'!K3+'DISTRIBUCIÓN EN SUCURSALES'!K3</f>
        <v>2</v>
      </c>
      <c r="L3" s="120">
        <f>SUM(B3:K3)</f>
        <v>17</v>
      </c>
      <c r="M3" s="131">
        <f>'EXISTENCIA EN SUCURSALES'!M3+'DISTRIBUCIÓN EN SUCURSALES'!M3</f>
        <v>2</v>
      </c>
      <c r="N3" s="131">
        <f>'EXISTENCIA EN SUCURSALES'!N3+'DISTRIBUCIÓN EN SUCURSALES'!N3</f>
        <v>1</v>
      </c>
      <c r="O3" s="131">
        <f>'EXISTENCIA EN SUCURSALES'!O3+'DISTRIBUCIÓN EN SUCURSALES'!O3</f>
        <v>1</v>
      </c>
      <c r="P3" s="131">
        <f>'EXISTENCIA EN SUCURSALES'!P3+'DISTRIBUCIÓN EN SUCURSALES'!P3</f>
        <v>3</v>
      </c>
      <c r="Q3" s="131">
        <f>'EXISTENCIA EN SUCURSALES'!Q3+'DISTRIBUCIÓN EN SUCURSALES'!Q3</f>
        <v>1</v>
      </c>
      <c r="R3" s="131">
        <f>'EXISTENCIA EN SUCURSALES'!R3+'DISTRIBUCIÓN EN SUCURSALES'!R3</f>
        <v>1</v>
      </c>
      <c r="S3" s="131">
        <f>'EXISTENCIA EN SUCURSALES'!S3+'DISTRIBUCIÓN EN SUCURSALES'!S3</f>
        <v>4</v>
      </c>
      <c r="T3" s="131">
        <f>'EXISTENCIA EN SUCURSALES'!T3+'DISTRIBUCIÓN EN SUCURSALES'!T3</f>
        <v>2</v>
      </c>
      <c r="U3" s="131">
        <f>'EXISTENCIA EN SUCURSALES'!U3+'DISTRIBUCIÓN EN SUCURSALES'!U3</f>
        <v>1</v>
      </c>
      <c r="V3" s="131">
        <f>'EXISTENCIA EN SUCURSALES'!V3+'DISTRIBUCIÓN EN SUCURSALES'!V3</f>
        <v>0</v>
      </c>
      <c r="W3" s="131">
        <f>'EXISTENCIA EN SUCURSALES'!W3+'DISTRIBUCIÓN EN SUCURSALES'!W3</f>
        <v>1</v>
      </c>
      <c r="X3" s="131">
        <f>'EXISTENCIA EN SUCURSALES'!X3+'DISTRIBUCIÓN EN SUCURSALES'!X3</f>
        <v>0</v>
      </c>
      <c r="Y3" s="120">
        <f>SUM(M3:X3)</f>
        <v>17</v>
      </c>
      <c r="Z3" s="120">
        <f t="shared" ref="Z3" si="0">L3+Y3</f>
        <v>34</v>
      </c>
      <c r="AB3" s="131">
        <f>IFERROR(VLOOKUP(A3,'GRAL. SUC. LOCALES'!$A:$N,14,0),0)</f>
        <v>5</v>
      </c>
      <c r="AD3" s="131">
        <f>AB3+Z3</f>
        <v>39</v>
      </c>
      <c r="AF3" s="131">
        <v>50</v>
      </c>
      <c r="AG3" s="131">
        <v>40</v>
      </c>
      <c r="AH3" s="116">
        <f>AD3-AF3</f>
        <v>-11</v>
      </c>
    </row>
    <row r="4" spans="1:34" ht="17.399999999999999" x14ac:dyDescent="0.35">
      <c r="A4" s="93" t="s">
        <v>2</v>
      </c>
      <c r="B4" s="131">
        <f>'EXISTENCIA EN SUCURSALES'!B4+'DISTRIBUCIÓN EN SUCURSALES'!B4</f>
        <v>2</v>
      </c>
      <c r="C4" s="131">
        <f>'EXISTENCIA EN SUCURSALES'!C4+'DISTRIBUCIÓN EN SUCURSALES'!C4</f>
        <v>2</v>
      </c>
      <c r="D4" s="120">
        <f>'EXISTENCIA EN SUCURSALES'!D4+'DISTRIBUCIÓN EN SUCURSALES'!D4</f>
        <v>2</v>
      </c>
      <c r="E4" s="120">
        <f>'EXISTENCIA EN SUCURSALES'!E4+'DISTRIBUCIÓN EN SUCURSALES'!E4</f>
        <v>2</v>
      </c>
      <c r="F4" s="120">
        <f>'EXISTENCIA EN SUCURSALES'!F4+'DISTRIBUCIÓN EN SUCURSALES'!F4</f>
        <v>2</v>
      </c>
      <c r="G4" s="120">
        <f>'EXISTENCIA EN SUCURSALES'!G4+'DISTRIBUCIÓN EN SUCURSALES'!G4</f>
        <v>0</v>
      </c>
      <c r="H4" s="120">
        <f>'EXISTENCIA EN SUCURSALES'!H4+'DISTRIBUCIÓN EN SUCURSALES'!H4</f>
        <v>2</v>
      </c>
      <c r="I4" s="120">
        <f>'EXISTENCIA EN SUCURSALES'!I4+'DISTRIBUCIÓN EN SUCURSALES'!I4</f>
        <v>1</v>
      </c>
      <c r="J4" s="120">
        <f>'EXISTENCIA EN SUCURSALES'!J4+'DISTRIBUCIÓN EN SUCURSALES'!J4</f>
        <v>2</v>
      </c>
      <c r="K4" s="120">
        <f>'EXISTENCIA EN SUCURSALES'!K4+'DISTRIBUCIÓN EN SUCURSALES'!K4</f>
        <v>2</v>
      </c>
      <c r="L4" s="120">
        <f t="shared" ref="L4:L17" si="1">SUM(B4:K4)</f>
        <v>17</v>
      </c>
      <c r="M4" s="131">
        <f>'EXISTENCIA EN SUCURSALES'!M4+'DISTRIBUCIÓN EN SUCURSALES'!M4</f>
        <v>0</v>
      </c>
      <c r="N4" s="131">
        <f>'EXISTENCIA EN SUCURSALES'!N4+'DISTRIBUCIÓN EN SUCURSALES'!N4</f>
        <v>1</v>
      </c>
      <c r="O4" s="131">
        <f>'EXISTENCIA EN SUCURSALES'!O4+'DISTRIBUCIÓN EN SUCURSALES'!O4</f>
        <v>0</v>
      </c>
      <c r="P4" s="131">
        <f>'EXISTENCIA EN SUCURSALES'!P4+'DISTRIBUCIÓN EN SUCURSALES'!P4</f>
        <v>1</v>
      </c>
      <c r="Q4" s="131">
        <f>'EXISTENCIA EN SUCURSALES'!Q4+'DISTRIBUCIÓN EN SUCURSALES'!Q4</f>
        <v>4</v>
      </c>
      <c r="R4" s="131">
        <f>'EXISTENCIA EN SUCURSALES'!R4+'DISTRIBUCIÓN EN SUCURSALES'!R4</f>
        <v>3</v>
      </c>
      <c r="S4" s="131">
        <f>'EXISTENCIA EN SUCURSALES'!S4+'DISTRIBUCIÓN EN SUCURSALES'!S4</f>
        <v>2</v>
      </c>
      <c r="T4" s="131">
        <f>'EXISTENCIA EN SUCURSALES'!T4+'DISTRIBUCIÓN EN SUCURSALES'!T4</f>
        <v>3</v>
      </c>
      <c r="U4" s="131">
        <f>'EXISTENCIA EN SUCURSALES'!U4+'DISTRIBUCIÓN EN SUCURSALES'!U4</f>
        <v>1</v>
      </c>
      <c r="V4" s="131">
        <f>'EXISTENCIA EN SUCURSALES'!V4+'DISTRIBUCIÓN EN SUCURSALES'!V4</f>
        <v>1</v>
      </c>
      <c r="W4" s="131">
        <f>'EXISTENCIA EN SUCURSALES'!W4+'DISTRIBUCIÓN EN SUCURSALES'!W4</f>
        <v>1</v>
      </c>
      <c r="X4" s="131">
        <f>'EXISTENCIA EN SUCURSALES'!X4+'DISTRIBUCIÓN EN SUCURSALES'!X4</f>
        <v>2</v>
      </c>
      <c r="Y4" s="120">
        <f t="shared" ref="Y4:Y17" si="2">SUM(M4:X4)</f>
        <v>19</v>
      </c>
      <c r="Z4" s="120">
        <f t="shared" ref="Z4:Z17" si="3">L4+Y4</f>
        <v>36</v>
      </c>
      <c r="AB4" s="131">
        <f>IFERROR(VLOOKUP(A4,'GRAL. SUC. LOCALES'!$A:$N,14,0),0)</f>
        <v>9</v>
      </c>
      <c r="AD4" s="131">
        <f t="shared" ref="AD4:AD17" si="4">AB4+Z4</f>
        <v>45</v>
      </c>
      <c r="AF4" s="131">
        <v>60</v>
      </c>
      <c r="AG4" s="131">
        <v>50</v>
      </c>
      <c r="AH4" s="116">
        <f t="shared" ref="AH4:AH67" si="5">AD4-AF4</f>
        <v>-15</v>
      </c>
    </row>
    <row r="5" spans="1:34" ht="17.399999999999999" x14ac:dyDescent="0.35">
      <c r="A5" s="93" t="s">
        <v>3</v>
      </c>
      <c r="B5" s="131">
        <f>'EXISTENCIA EN SUCURSALES'!B5+'DISTRIBUCIÓN EN SUCURSALES'!B5</f>
        <v>2</v>
      </c>
      <c r="C5" s="131">
        <f>'EXISTENCIA EN SUCURSALES'!C5+'DISTRIBUCIÓN EN SUCURSALES'!C5</f>
        <v>2</v>
      </c>
      <c r="D5" s="120">
        <f>'EXISTENCIA EN SUCURSALES'!D5+'DISTRIBUCIÓN EN SUCURSALES'!D5</f>
        <v>2</v>
      </c>
      <c r="E5" s="120">
        <f>'EXISTENCIA EN SUCURSALES'!E5+'DISTRIBUCIÓN EN SUCURSALES'!E5</f>
        <v>2</v>
      </c>
      <c r="F5" s="120">
        <f>'EXISTENCIA EN SUCURSALES'!F5+'DISTRIBUCIÓN EN SUCURSALES'!F5</f>
        <v>1</v>
      </c>
      <c r="G5" s="120">
        <f>'EXISTENCIA EN SUCURSALES'!G5+'DISTRIBUCIÓN EN SUCURSALES'!G5</f>
        <v>0</v>
      </c>
      <c r="H5" s="120">
        <f>'EXISTENCIA EN SUCURSALES'!H5+'DISTRIBUCIÓN EN SUCURSALES'!H5</f>
        <v>1</v>
      </c>
      <c r="I5" s="120">
        <f>'EXISTENCIA EN SUCURSALES'!I5+'DISTRIBUCIÓN EN SUCURSALES'!I5</f>
        <v>1</v>
      </c>
      <c r="J5" s="120">
        <f>'EXISTENCIA EN SUCURSALES'!J5+'DISTRIBUCIÓN EN SUCURSALES'!J5</f>
        <v>2</v>
      </c>
      <c r="K5" s="120">
        <f>'EXISTENCIA EN SUCURSALES'!K5+'DISTRIBUCIÓN EN SUCURSALES'!K5</f>
        <v>2</v>
      </c>
      <c r="L5" s="120">
        <f t="shared" si="1"/>
        <v>15</v>
      </c>
      <c r="M5" s="131">
        <f>'EXISTENCIA EN SUCURSALES'!M5+'DISTRIBUCIÓN EN SUCURSALES'!M5</f>
        <v>4</v>
      </c>
      <c r="N5" s="131">
        <f>'EXISTENCIA EN SUCURSALES'!N5+'DISTRIBUCIÓN EN SUCURSALES'!N5</f>
        <v>2</v>
      </c>
      <c r="O5" s="131">
        <f>'EXISTENCIA EN SUCURSALES'!O5+'DISTRIBUCIÓN EN SUCURSALES'!O5</f>
        <v>0</v>
      </c>
      <c r="P5" s="131">
        <f>'EXISTENCIA EN SUCURSALES'!P5+'DISTRIBUCIÓN EN SUCURSALES'!P5</f>
        <v>1</v>
      </c>
      <c r="Q5" s="131">
        <f>'EXISTENCIA EN SUCURSALES'!Q5+'DISTRIBUCIÓN EN SUCURSALES'!Q5</f>
        <v>7</v>
      </c>
      <c r="R5" s="131">
        <f>'EXISTENCIA EN SUCURSALES'!R5+'DISTRIBUCIÓN EN SUCURSALES'!R5</f>
        <v>3</v>
      </c>
      <c r="S5" s="131">
        <f>'EXISTENCIA EN SUCURSALES'!S5+'DISTRIBUCIÓN EN SUCURSALES'!S5</f>
        <v>2</v>
      </c>
      <c r="T5" s="131">
        <f>'EXISTENCIA EN SUCURSALES'!T5+'DISTRIBUCIÓN EN SUCURSALES'!T5</f>
        <v>2</v>
      </c>
      <c r="U5" s="131">
        <f>'EXISTENCIA EN SUCURSALES'!U5+'DISTRIBUCIÓN EN SUCURSALES'!U5</f>
        <v>0</v>
      </c>
      <c r="V5" s="131">
        <f>'EXISTENCIA EN SUCURSALES'!V5+'DISTRIBUCIÓN EN SUCURSALES'!V5</f>
        <v>1</v>
      </c>
      <c r="W5" s="131">
        <f>'EXISTENCIA EN SUCURSALES'!W5+'DISTRIBUCIÓN EN SUCURSALES'!W5</f>
        <v>1</v>
      </c>
      <c r="X5" s="131">
        <f>'EXISTENCIA EN SUCURSALES'!X5+'DISTRIBUCIÓN EN SUCURSALES'!X5</f>
        <v>0</v>
      </c>
      <c r="Y5" s="120">
        <f t="shared" si="2"/>
        <v>23</v>
      </c>
      <c r="Z5" s="120">
        <f t="shared" si="3"/>
        <v>38</v>
      </c>
      <c r="AB5" s="131">
        <f>IFERROR(VLOOKUP(A5,'GRAL. SUC. LOCALES'!$A:$N,14,0),0)</f>
        <v>2</v>
      </c>
      <c r="AD5" s="131">
        <f t="shared" si="4"/>
        <v>40</v>
      </c>
      <c r="AF5" s="131">
        <v>55</v>
      </c>
      <c r="AG5" s="131">
        <v>45</v>
      </c>
      <c r="AH5" s="116">
        <f t="shared" si="5"/>
        <v>-15</v>
      </c>
    </row>
    <row r="6" spans="1:34" ht="17.399999999999999" x14ac:dyDescent="0.35">
      <c r="A6" s="93" t="s">
        <v>4</v>
      </c>
      <c r="B6" s="131">
        <f>'EXISTENCIA EN SUCURSALES'!B6+'DISTRIBUCIÓN EN SUCURSALES'!B6</f>
        <v>3</v>
      </c>
      <c r="C6" s="131">
        <f>'EXISTENCIA EN SUCURSALES'!C6+'DISTRIBUCIÓN EN SUCURSALES'!C6</f>
        <v>3</v>
      </c>
      <c r="D6" s="120">
        <f>'EXISTENCIA EN SUCURSALES'!D6+'DISTRIBUCIÓN EN SUCURSALES'!D6</f>
        <v>4</v>
      </c>
      <c r="E6" s="120">
        <f>'EXISTENCIA EN SUCURSALES'!E6+'DISTRIBUCIÓN EN SUCURSALES'!E6</f>
        <v>3</v>
      </c>
      <c r="F6" s="120">
        <f>'EXISTENCIA EN SUCURSALES'!F6+'DISTRIBUCIÓN EN SUCURSALES'!F6</f>
        <v>2</v>
      </c>
      <c r="G6" s="120">
        <f>'EXISTENCIA EN SUCURSALES'!G6+'DISTRIBUCIÓN EN SUCURSALES'!G6</f>
        <v>0</v>
      </c>
      <c r="H6" s="120">
        <f>'EXISTENCIA EN SUCURSALES'!H6+'DISTRIBUCIÓN EN SUCURSALES'!H6</f>
        <v>2</v>
      </c>
      <c r="I6" s="120">
        <f>'EXISTENCIA EN SUCURSALES'!I6+'DISTRIBUCIÓN EN SUCURSALES'!I6</f>
        <v>2</v>
      </c>
      <c r="J6" s="120">
        <f>'EXISTENCIA EN SUCURSALES'!J6+'DISTRIBUCIÓN EN SUCURSALES'!J6</f>
        <v>4</v>
      </c>
      <c r="K6" s="120">
        <f>'EXISTENCIA EN SUCURSALES'!K6+'DISTRIBUCIÓN EN SUCURSALES'!K6</f>
        <v>3</v>
      </c>
      <c r="L6" s="120">
        <f t="shared" si="1"/>
        <v>26</v>
      </c>
      <c r="M6" s="131">
        <f>'EXISTENCIA EN SUCURSALES'!M6+'DISTRIBUCIÓN EN SUCURSALES'!M6</f>
        <v>3</v>
      </c>
      <c r="N6" s="131">
        <f>'EXISTENCIA EN SUCURSALES'!N6+'DISTRIBUCIÓN EN SUCURSALES'!N6</f>
        <v>2</v>
      </c>
      <c r="O6" s="131">
        <f>'EXISTENCIA EN SUCURSALES'!O6+'DISTRIBUCIÓN EN SUCURSALES'!O6</f>
        <v>2</v>
      </c>
      <c r="P6" s="131">
        <f>'EXISTENCIA EN SUCURSALES'!P6+'DISTRIBUCIÓN EN SUCURSALES'!P6</f>
        <v>1</v>
      </c>
      <c r="Q6" s="131">
        <f>'EXISTENCIA EN SUCURSALES'!Q6+'DISTRIBUCIÓN EN SUCURSALES'!Q6</f>
        <v>5</v>
      </c>
      <c r="R6" s="131">
        <f>'EXISTENCIA EN SUCURSALES'!R6+'DISTRIBUCIÓN EN SUCURSALES'!R6</f>
        <v>3</v>
      </c>
      <c r="S6" s="131">
        <f>'EXISTENCIA EN SUCURSALES'!S6+'DISTRIBUCIÓN EN SUCURSALES'!S6</f>
        <v>1</v>
      </c>
      <c r="T6" s="131">
        <f>'EXISTENCIA EN SUCURSALES'!T6+'DISTRIBUCIÓN EN SUCURSALES'!T6</f>
        <v>2</v>
      </c>
      <c r="U6" s="131">
        <f>'EXISTENCIA EN SUCURSALES'!U6+'DISTRIBUCIÓN EN SUCURSALES'!U6</f>
        <v>1</v>
      </c>
      <c r="V6" s="131">
        <f>'EXISTENCIA EN SUCURSALES'!V6+'DISTRIBUCIÓN EN SUCURSALES'!V6</f>
        <v>2</v>
      </c>
      <c r="W6" s="131">
        <f>'EXISTENCIA EN SUCURSALES'!W6+'DISTRIBUCIÓN EN SUCURSALES'!W6</f>
        <v>1</v>
      </c>
      <c r="X6" s="131">
        <f>'EXISTENCIA EN SUCURSALES'!X6+'DISTRIBUCIÓN EN SUCURSALES'!X6</f>
        <v>1</v>
      </c>
      <c r="Y6" s="120">
        <f t="shared" si="2"/>
        <v>24</v>
      </c>
      <c r="Z6" s="120">
        <f t="shared" si="3"/>
        <v>50</v>
      </c>
      <c r="AB6" s="131">
        <f>IFERROR(VLOOKUP(A6,'GRAL. SUC. LOCALES'!$A:$N,14,0),0)</f>
        <v>20</v>
      </c>
      <c r="AD6" s="131">
        <f t="shared" si="4"/>
        <v>70</v>
      </c>
      <c r="AF6" s="131">
        <v>95</v>
      </c>
      <c r="AG6" s="131">
        <v>90</v>
      </c>
      <c r="AH6" s="116">
        <f>AD6-AF6</f>
        <v>-25</v>
      </c>
    </row>
    <row r="7" spans="1:34" ht="17.399999999999999" x14ac:dyDescent="0.35">
      <c r="A7" s="93" t="s">
        <v>5</v>
      </c>
      <c r="B7" s="131">
        <f>'EXISTENCIA EN SUCURSALES'!B7+'DISTRIBUCIÓN EN SUCURSALES'!B7</f>
        <v>2</v>
      </c>
      <c r="C7" s="131">
        <f>'EXISTENCIA EN SUCURSALES'!C7+'DISTRIBUCIÓN EN SUCURSALES'!C7</f>
        <v>2</v>
      </c>
      <c r="D7" s="120">
        <f>'EXISTENCIA EN SUCURSALES'!D7+'DISTRIBUCIÓN EN SUCURSALES'!D7</f>
        <v>2</v>
      </c>
      <c r="E7" s="120">
        <f>'EXISTENCIA EN SUCURSALES'!E7+'DISTRIBUCIÓN EN SUCURSALES'!E7</f>
        <v>1</v>
      </c>
      <c r="F7" s="120">
        <f>'EXISTENCIA EN SUCURSALES'!F7+'DISTRIBUCIÓN EN SUCURSALES'!F7</f>
        <v>1</v>
      </c>
      <c r="G7" s="120">
        <f>'EXISTENCIA EN SUCURSALES'!G7+'DISTRIBUCIÓN EN SUCURSALES'!G7</f>
        <v>0</v>
      </c>
      <c r="H7" s="120">
        <f>'EXISTENCIA EN SUCURSALES'!H7+'DISTRIBUCIÓN EN SUCURSALES'!H7</f>
        <v>1</v>
      </c>
      <c r="I7" s="120">
        <f>'EXISTENCIA EN SUCURSALES'!I7+'DISTRIBUCIÓN EN SUCURSALES'!I7</f>
        <v>1</v>
      </c>
      <c r="J7" s="120">
        <f>'EXISTENCIA EN SUCURSALES'!J7+'DISTRIBUCIÓN EN SUCURSALES'!J7</f>
        <v>2</v>
      </c>
      <c r="K7" s="120">
        <f>'EXISTENCIA EN SUCURSALES'!K7+'DISTRIBUCIÓN EN SUCURSALES'!K7</f>
        <v>2</v>
      </c>
      <c r="L7" s="120">
        <f t="shared" si="1"/>
        <v>14</v>
      </c>
      <c r="M7" s="131">
        <f>'EXISTENCIA EN SUCURSALES'!M7+'DISTRIBUCIÓN EN SUCURSALES'!M7</f>
        <v>2</v>
      </c>
      <c r="N7" s="131">
        <f>'EXISTENCIA EN SUCURSALES'!N7+'DISTRIBUCIÓN EN SUCURSALES'!N7</f>
        <v>2</v>
      </c>
      <c r="O7" s="131">
        <f>'EXISTENCIA EN SUCURSALES'!O7+'DISTRIBUCIÓN EN SUCURSALES'!O7</f>
        <v>1</v>
      </c>
      <c r="P7" s="131">
        <f>'EXISTENCIA EN SUCURSALES'!P7+'DISTRIBUCIÓN EN SUCURSALES'!P7</f>
        <v>2</v>
      </c>
      <c r="Q7" s="131">
        <f>'EXISTENCIA EN SUCURSALES'!Q7+'DISTRIBUCIÓN EN SUCURSALES'!Q7</f>
        <v>2</v>
      </c>
      <c r="R7" s="131">
        <f>'EXISTENCIA EN SUCURSALES'!R7+'DISTRIBUCIÓN EN SUCURSALES'!R7</f>
        <v>3</v>
      </c>
      <c r="S7" s="131">
        <f>'EXISTENCIA EN SUCURSALES'!S7+'DISTRIBUCIÓN EN SUCURSALES'!S7</f>
        <v>3</v>
      </c>
      <c r="T7" s="131">
        <f>'EXISTENCIA EN SUCURSALES'!T7+'DISTRIBUCIÓN EN SUCURSALES'!T7</f>
        <v>2</v>
      </c>
      <c r="U7" s="131">
        <f>'EXISTENCIA EN SUCURSALES'!U7+'DISTRIBUCIÓN EN SUCURSALES'!U7</f>
        <v>0</v>
      </c>
      <c r="V7" s="131">
        <f>'EXISTENCIA EN SUCURSALES'!V7+'DISTRIBUCIÓN EN SUCURSALES'!V7</f>
        <v>1</v>
      </c>
      <c r="W7" s="131">
        <f>'EXISTENCIA EN SUCURSALES'!W7+'DISTRIBUCIÓN EN SUCURSALES'!W7</f>
        <v>1</v>
      </c>
      <c r="X7" s="131">
        <f>'EXISTENCIA EN SUCURSALES'!X7+'DISTRIBUCIÓN EN SUCURSALES'!X7</f>
        <v>1</v>
      </c>
      <c r="Y7" s="120">
        <f t="shared" si="2"/>
        <v>20</v>
      </c>
      <c r="Z7" s="120">
        <f t="shared" si="3"/>
        <v>34</v>
      </c>
      <c r="AB7" s="131">
        <f>IFERROR(VLOOKUP(A7,'GRAL. SUC. LOCALES'!$A:$N,14,0),0)</f>
        <v>13</v>
      </c>
      <c r="AD7" s="131">
        <f t="shared" si="4"/>
        <v>47</v>
      </c>
      <c r="AF7" s="131">
        <v>60</v>
      </c>
      <c r="AG7" s="131">
        <v>55</v>
      </c>
      <c r="AH7" s="116">
        <f t="shared" si="5"/>
        <v>-13</v>
      </c>
    </row>
    <row r="8" spans="1:34" ht="17.399999999999999" x14ac:dyDescent="0.35">
      <c r="A8" s="93" t="s">
        <v>6</v>
      </c>
      <c r="B8" s="131">
        <f>'EXISTENCIA EN SUCURSALES'!B8+'DISTRIBUCIÓN EN SUCURSALES'!B8</f>
        <v>5</v>
      </c>
      <c r="C8" s="131">
        <f>'EXISTENCIA EN SUCURSALES'!C8+'DISTRIBUCIÓN EN SUCURSALES'!C8</f>
        <v>4</v>
      </c>
      <c r="D8" s="120">
        <f>'EXISTENCIA EN SUCURSALES'!D8+'DISTRIBUCIÓN EN SUCURSALES'!D8</f>
        <v>3</v>
      </c>
      <c r="E8" s="120">
        <f>'EXISTENCIA EN SUCURSALES'!E8+'DISTRIBUCIÓN EN SUCURSALES'!E8</f>
        <v>2</v>
      </c>
      <c r="F8" s="120">
        <f>'EXISTENCIA EN SUCURSALES'!F8+'DISTRIBUCIÓN EN SUCURSALES'!F8</f>
        <v>2</v>
      </c>
      <c r="G8" s="120">
        <f>'EXISTENCIA EN SUCURSALES'!G8+'DISTRIBUCIÓN EN SUCURSALES'!G8</f>
        <v>0</v>
      </c>
      <c r="H8" s="120">
        <f>'EXISTENCIA EN SUCURSALES'!H8+'DISTRIBUCIÓN EN SUCURSALES'!H8</f>
        <v>2</v>
      </c>
      <c r="I8" s="120">
        <f>'EXISTENCIA EN SUCURSALES'!I8+'DISTRIBUCIÓN EN SUCURSALES'!I8</f>
        <v>1</v>
      </c>
      <c r="J8" s="120">
        <f>'EXISTENCIA EN SUCURSALES'!J8+'DISTRIBUCIÓN EN SUCURSALES'!J8</f>
        <v>4</v>
      </c>
      <c r="K8" s="120">
        <f>'EXISTENCIA EN SUCURSALES'!K8+'DISTRIBUCIÓN EN SUCURSALES'!K8</f>
        <v>3</v>
      </c>
      <c r="L8" s="120">
        <f t="shared" si="1"/>
        <v>26</v>
      </c>
      <c r="M8" s="131">
        <f>'EXISTENCIA EN SUCURSALES'!M8+'DISTRIBUCIÓN EN SUCURSALES'!M8</f>
        <v>4</v>
      </c>
      <c r="N8" s="131">
        <f>'EXISTENCIA EN SUCURSALES'!N8+'DISTRIBUCIÓN EN SUCURSALES'!N8</f>
        <v>2</v>
      </c>
      <c r="O8" s="131">
        <f>'EXISTENCIA EN SUCURSALES'!O8+'DISTRIBUCIÓN EN SUCURSALES'!O8</f>
        <v>0</v>
      </c>
      <c r="P8" s="131">
        <f>'EXISTENCIA EN SUCURSALES'!P8+'DISTRIBUCIÓN EN SUCURSALES'!P8</f>
        <v>2</v>
      </c>
      <c r="Q8" s="131">
        <f>'EXISTENCIA EN SUCURSALES'!Q8+'DISTRIBUCIÓN EN SUCURSALES'!Q8</f>
        <v>6</v>
      </c>
      <c r="R8" s="131">
        <f>'EXISTENCIA EN SUCURSALES'!R8+'DISTRIBUCIÓN EN SUCURSALES'!R8</f>
        <v>3</v>
      </c>
      <c r="S8" s="131">
        <f>'EXISTENCIA EN SUCURSALES'!S8+'DISTRIBUCIÓN EN SUCURSALES'!S8</f>
        <v>3</v>
      </c>
      <c r="T8" s="131">
        <f>'EXISTENCIA EN SUCURSALES'!T8+'DISTRIBUCIÓN EN SUCURSALES'!T8</f>
        <v>2</v>
      </c>
      <c r="U8" s="131">
        <f>'EXISTENCIA EN SUCURSALES'!U8+'DISTRIBUCIÓN EN SUCURSALES'!U8</f>
        <v>2</v>
      </c>
      <c r="V8" s="131">
        <f>'EXISTENCIA EN SUCURSALES'!V8+'DISTRIBUCIÓN EN SUCURSALES'!V8</f>
        <v>2</v>
      </c>
      <c r="W8" s="131">
        <f>'EXISTENCIA EN SUCURSALES'!W8+'DISTRIBUCIÓN EN SUCURSALES'!W8</f>
        <v>3</v>
      </c>
      <c r="X8" s="131">
        <f>'EXISTENCIA EN SUCURSALES'!X8+'DISTRIBUCIÓN EN SUCURSALES'!X8</f>
        <v>2</v>
      </c>
      <c r="Y8" s="120">
        <f t="shared" si="2"/>
        <v>31</v>
      </c>
      <c r="Z8" s="120">
        <f t="shared" si="3"/>
        <v>57</v>
      </c>
      <c r="AB8" s="131">
        <f>IFERROR(VLOOKUP(A8,'GRAL. SUC. LOCALES'!$A:$N,14,0),0)</f>
        <v>10</v>
      </c>
      <c r="AD8" s="131">
        <f t="shared" si="4"/>
        <v>67</v>
      </c>
      <c r="AF8" s="131">
        <v>110</v>
      </c>
      <c r="AG8" s="131">
        <v>90</v>
      </c>
      <c r="AH8" s="116">
        <f t="shared" si="5"/>
        <v>-43</v>
      </c>
    </row>
    <row r="9" spans="1:34" ht="17.399999999999999" x14ac:dyDescent="0.35">
      <c r="A9" s="93" t="s">
        <v>7</v>
      </c>
      <c r="B9" s="131">
        <f>'EXISTENCIA EN SUCURSALES'!B9+'DISTRIBUCIÓN EN SUCURSALES'!B9</f>
        <v>2</v>
      </c>
      <c r="C9" s="131">
        <f>'EXISTENCIA EN SUCURSALES'!C9+'DISTRIBUCIÓN EN SUCURSALES'!C9</f>
        <v>2</v>
      </c>
      <c r="D9" s="120">
        <f>'EXISTENCIA EN SUCURSALES'!D9+'DISTRIBUCIÓN EN SUCURSALES'!D9</f>
        <v>2</v>
      </c>
      <c r="E9" s="120">
        <f>'EXISTENCIA EN SUCURSALES'!E9+'DISTRIBUCIÓN EN SUCURSALES'!E9</f>
        <v>2</v>
      </c>
      <c r="F9" s="120">
        <f>'EXISTENCIA EN SUCURSALES'!F9+'DISTRIBUCIÓN EN SUCURSALES'!F9</f>
        <v>2</v>
      </c>
      <c r="G9" s="120">
        <f>'EXISTENCIA EN SUCURSALES'!G9+'DISTRIBUCIÓN EN SUCURSALES'!G9</f>
        <v>0</v>
      </c>
      <c r="H9" s="120">
        <f>'EXISTENCIA EN SUCURSALES'!H9+'DISTRIBUCIÓN EN SUCURSALES'!H9</f>
        <v>1</v>
      </c>
      <c r="I9" s="120">
        <f>'EXISTENCIA EN SUCURSALES'!I9+'DISTRIBUCIÓN EN SUCURSALES'!I9</f>
        <v>1</v>
      </c>
      <c r="J9" s="120">
        <f>'EXISTENCIA EN SUCURSALES'!J9+'DISTRIBUCIÓN EN SUCURSALES'!J9</f>
        <v>2</v>
      </c>
      <c r="K9" s="120">
        <f>'EXISTENCIA EN SUCURSALES'!K9+'DISTRIBUCIÓN EN SUCURSALES'!K9</f>
        <v>2</v>
      </c>
      <c r="L9" s="120">
        <f t="shared" si="1"/>
        <v>16</v>
      </c>
      <c r="M9" s="131">
        <f>'EXISTENCIA EN SUCURSALES'!M9+'DISTRIBUCIÓN EN SUCURSALES'!M9</f>
        <v>2</v>
      </c>
      <c r="N9" s="131">
        <f>'EXISTENCIA EN SUCURSALES'!N9+'DISTRIBUCIÓN EN SUCURSALES'!N9</f>
        <v>2</v>
      </c>
      <c r="O9" s="131">
        <f>'EXISTENCIA EN SUCURSALES'!O9+'DISTRIBUCIÓN EN SUCURSALES'!O9</f>
        <v>0</v>
      </c>
      <c r="P9" s="131">
        <f>'EXISTENCIA EN SUCURSALES'!P9+'DISTRIBUCIÓN EN SUCURSALES'!P9</f>
        <v>2</v>
      </c>
      <c r="Q9" s="131">
        <f>'EXISTENCIA EN SUCURSALES'!Q9+'DISTRIBUCIÓN EN SUCURSALES'!Q9</f>
        <v>2</v>
      </c>
      <c r="R9" s="131">
        <f>'EXISTENCIA EN SUCURSALES'!R9+'DISTRIBUCIÓN EN SUCURSALES'!R9</f>
        <v>0</v>
      </c>
      <c r="S9" s="131">
        <f>'EXISTENCIA EN SUCURSALES'!S9+'DISTRIBUCIÓN EN SUCURSALES'!S9</f>
        <v>2</v>
      </c>
      <c r="T9" s="131">
        <f>'EXISTENCIA EN SUCURSALES'!T9+'DISTRIBUCIÓN EN SUCURSALES'!T9</f>
        <v>2</v>
      </c>
      <c r="U9" s="131">
        <f>'EXISTENCIA EN SUCURSALES'!U9+'DISTRIBUCIÓN EN SUCURSALES'!U9</f>
        <v>1</v>
      </c>
      <c r="V9" s="131">
        <f>'EXISTENCIA EN SUCURSALES'!V9+'DISTRIBUCIÓN EN SUCURSALES'!V9</f>
        <v>1</v>
      </c>
      <c r="W9" s="131">
        <f>'EXISTENCIA EN SUCURSALES'!W9+'DISTRIBUCIÓN EN SUCURSALES'!W9</f>
        <v>2</v>
      </c>
      <c r="X9" s="131">
        <f>'EXISTENCIA EN SUCURSALES'!X9+'DISTRIBUCIÓN EN SUCURSALES'!X9</f>
        <v>1</v>
      </c>
      <c r="Y9" s="120">
        <f t="shared" si="2"/>
        <v>17</v>
      </c>
      <c r="Z9" s="120">
        <f t="shared" si="3"/>
        <v>33</v>
      </c>
      <c r="AB9" s="131">
        <f>IFERROR(VLOOKUP(A9,'GRAL. SUC. LOCALES'!$A:$N,14,0),0)</f>
        <v>4</v>
      </c>
      <c r="AD9" s="131">
        <f t="shared" si="4"/>
        <v>37</v>
      </c>
      <c r="AF9" s="131">
        <v>55</v>
      </c>
      <c r="AG9" s="131">
        <v>55</v>
      </c>
      <c r="AH9" s="116">
        <f t="shared" si="5"/>
        <v>-18</v>
      </c>
    </row>
    <row r="10" spans="1:34" ht="17.399999999999999" x14ac:dyDescent="0.35">
      <c r="A10" s="93" t="s">
        <v>8</v>
      </c>
      <c r="B10" s="131">
        <f>'EXISTENCIA EN SUCURSALES'!B10+'DISTRIBUCIÓN EN SUCURSALES'!B10</f>
        <v>3</v>
      </c>
      <c r="C10" s="131">
        <f>'EXISTENCIA EN SUCURSALES'!C10+'DISTRIBUCIÓN EN SUCURSALES'!C10</f>
        <v>3</v>
      </c>
      <c r="D10" s="120">
        <f>'EXISTENCIA EN SUCURSALES'!D10+'DISTRIBUCIÓN EN SUCURSALES'!D10</f>
        <v>2</v>
      </c>
      <c r="E10" s="120">
        <f>'EXISTENCIA EN SUCURSALES'!E10+'DISTRIBUCIÓN EN SUCURSALES'!E10</f>
        <v>2</v>
      </c>
      <c r="F10" s="120">
        <f>'EXISTENCIA EN SUCURSALES'!F10+'DISTRIBUCIÓN EN SUCURSALES'!F10</f>
        <v>1</v>
      </c>
      <c r="G10" s="120">
        <f>'EXISTENCIA EN SUCURSALES'!G10+'DISTRIBUCIÓN EN SUCURSALES'!G10</f>
        <v>0</v>
      </c>
      <c r="H10" s="120">
        <f>'EXISTENCIA EN SUCURSALES'!H10+'DISTRIBUCIÓN EN SUCURSALES'!H10</f>
        <v>2</v>
      </c>
      <c r="I10" s="120">
        <f>'EXISTENCIA EN SUCURSALES'!I10+'DISTRIBUCIÓN EN SUCURSALES'!I10</f>
        <v>1</v>
      </c>
      <c r="J10" s="120">
        <f>'EXISTENCIA EN SUCURSALES'!J10+'DISTRIBUCIÓN EN SUCURSALES'!J10</f>
        <v>4</v>
      </c>
      <c r="K10" s="120">
        <f>'EXISTENCIA EN SUCURSALES'!K10+'DISTRIBUCIÓN EN SUCURSALES'!K10</f>
        <v>2</v>
      </c>
      <c r="L10" s="120">
        <f t="shared" si="1"/>
        <v>20</v>
      </c>
      <c r="M10" s="131">
        <f>'EXISTENCIA EN SUCURSALES'!M10+'DISTRIBUCIÓN EN SUCURSALES'!M10</f>
        <v>3</v>
      </c>
      <c r="N10" s="131">
        <f>'EXISTENCIA EN SUCURSALES'!N10+'DISTRIBUCIÓN EN SUCURSALES'!N10</f>
        <v>2</v>
      </c>
      <c r="O10" s="131">
        <f>'EXISTENCIA EN SUCURSALES'!O10+'DISTRIBUCIÓN EN SUCURSALES'!O10</f>
        <v>1</v>
      </c>
      <c r="P10" s="131">
        <f>'EXISTENCIA EN SUCURSALES'!P10+'DISTRIBUCIÓN EN SUCURSALES'!P10</f>
        <v>2</v>
      </c>
      <c r="Q10" s="131">
        <f>'EXISTENCIA EN SUCURSALES'!Q10+'DISTRIBUCIÓN EN SUCURSALES'!Q10</f>
        <v>6</v>
      </c>
      <c r="R10" s="131">
        <f>'EXISTENCIA EN SUCURSALES'!R10+'DISTRIBUCIÓN EN SUCURSALES'!R10</f>
        <v>5</v>
      </c>
      <c r="S10" s="131">
        <f>'EXISTENCIA EN SUCURSALES'!S10+'DISTRIBUCIÓN EN SUCURSALES'!S10</f>
        <v>2</v>
      </c>
      <c r="T10" s="131">
        <f>'EXISTENCIA EN SUCURSALES'!T10+'DISTRIBUCIÓN EN SUCURSALES'!T10</f>
        <v>2</v>
      </c>
      <c r="U10" s="131">
        <f>'EXISTENCIA EN SUCURSALES'!U10+'DISTRIBUCIÓN EN SUCURSALES'!U10</f>
        <v>3</v>
      </c>
      <c r="V10" s="131">
        <f>'EXISTENCIA EN SUCURSALES'!V10+'DISTRIBUCIÓN EN SUCURSALES'!V10</f>
        <v>2</v>
      </c>
      <c r="W10" s="131">
        <f>'EXISTENCIA EN SUCURSALES'!W10+'DISTRIBUCIÓN EN SUCURSALES'!W10</f>
        <v>2</v>
      </c>
      <c r="X10" s="131">
        <f>'EXISTENCIA EN SUCURSALES'!X10+'DISTRIBUCIÓN EN SUCURSALES'!X10</f>
        <v>2</v>
      </c>
      <c r="Y10" s="120">
        <f t="shared" si="2"/>
        <v>32</v>
      </c>
      <c r="Z10" s="120">
        <f t="shared" si="3"/>
        <v>52</v>
      </c>
      <c r="AB10" s="131">
        <f>IFERROR(VLOOKUP(A10,'GRAL. SUC. LOCALES'!$A:$N,14,0),0)</f>
        <v>12</v>
      </c>
      <c r="AD10" s="131">
        <f t="shared" si="4"/>
        <v>64</v>
      </c>
      <c r="AF10" s="131">
        <v>90</v>
      </c>
      <c r="AG10" s="131">
        <v>80</v>
      </c>
      <c r="AH10" s="116">
        <f t="shared" si="5"/>
        <v>-26</v>
      </c>
    </row>
    <row r="11" spans="1:34" ht="17.399999999999999" x14ac:dyDescent="0.35">
      <c r="A11" s="93" t="s">
        <v>9</v>
      </c>
      <c r="B11" s="131">
        <f>'EXISTENCIA EN SUCURSALES'!B11+'DISTRIBUCIÓN EN SUCURSALES'!B11</f>
        <v>2</v>
      </c>
      <c r="C11" s="131">
        <f>'EXISTENCIA EN SUCURSALES'!C11+'DISTRIBUCIÓN EN SUCURSALES'!C11</f>
        <v>2</v>
      </c>
      <c r="D11" s="120">
        <f>'EXISTENCIA EN SUCURSALES'!D11+'DISTRIBUCIÓN EN SUCURSALES'!D11</f>
        <v>2</v>
      </c>
      <c r="E11" s="120">
        <f>'EXISTENCIA EN SUCURSALES'!E11+'DISTRIBUCIÓN EN SUCURSALES'!E11</f>
        <v>1</v>
      </c>
      <c r="F11" s="120">
        <f>'EXISTENCIA EN SUCURSALES'!F11+'DISTRIBUCIÓN EN SUCURSALES'!F11</f>
        <v>2</v>
      </c>
      <c r="G11" s="120">
        <f>'EXISTENCIA EN SUCURSALES'!G11+'DISTRIBUCIÓN EN SUCURSALES'!G11</f>
        <v>0</v>
      </c>
      <c r="H11" s="120">
        <f>'EXISTENCIA EN SUCURSALES'!H11+'DISTRIBUCIÓN EN SUCURSALES'!H11</f>
        <v>2</v>
      </c>
      <c r="I11" s="120">
        <f>'EXISTENCIA EN SUCURSALES'!I11+'DISTRIBUCIÓN EN SUCURSALES'!I11</f>
        <v>1</v>
      </c>
      <c r="J11" s="120">
        <f>'EXISTENCIA EN SUCURSALES'!J11+'DISTRIBUCIÓN EN SUCURSALES'!J11</f>
        <v>2</v>
      </c>
      <c r="K11" s="120">
        <f>'EXISTENCIA EN SUCURSALES'!K11+'DISTRIBUCIÓN EN SUCURSALES'!K11</f>
        <v>2</v>
      </c>
      <c r="L11" s="120">
        <f t="shared" si="1"/>
        <v>16</v>
      </c>
      <c r="M11" s="131">
        <f>'EXISTENCIA EN SUCURSALES'!M11+'DISTRIBUCIÓN EN SUCURSALES'!M11</f>
        <v>2</v>
      </c>
      <c r="N11" s="131">
        <f>'EXISTENCIA EN SUCURSALES'!N11+'DISTRIBUCIÓN EN SUCURSALES'!N11</f>
        <v>1</v>
      </c>
      <c r="O11" s="131">
        <f>'EXISTENCIA EN SUCURSALES'!O11+'DISTRIBUCIÓN EN SUCURSALES'!O11</f>
        <v>1</v>
      </c>
      <c r="P11" s="131">
        <f>'EXISTENCIA EN SUCURSALES'!P11+'DISTRIBUCIÓN EN SUCURSALES'!P11</f>
        <v>0</v>
      </c>
      <c r="Q11" s="131">
        <f>'EXISTENCIA EN SUCURSALES'!Q11+'DISTRIBUCIÓN EN SUCURSALES'!Q11</f>
        <v>3</v>
      </c>
      <c r="R11" s="131">
        <f>'EXISTENCIA EN SUCURSALES'!R11+'DISTRIBUCIÓN EN SUCURSALES'!R11</f>
        <v>3</v>
      </c>
      <c r="S11" s="131">
        <f>'EXISTENCIA EN SUCURSALES'!S11+'DISTRIBUCIÓN EN SUCURSALES'!S11</f>
        <v>3</v>
      </c>
      <c r="T11" s="131">
        <f>'EXISTENCIA EN SUCURSALES'!T11+'DISTRIBUCIÓN EN SUCURSALES'!T11</f>
        <v>3</v>
      </c>
      <c r="U11" s="131">
        <f>'EXISTENCIA EN SUCURSALES'!U11+'DISTRIBUCIÓN EN SUCURSALES'!U11</f>
        <v>0</v>
      </c>
      <c r="V11" s="131">
        <f>'EXISTENCIA EN SUCURSALES'!V11+'DISTRIBUCIÓN EN SUCURSALES'!V11</f>
        <v>0</v>
      </c>
      <c r="W11" s="131">
        <f>'EXISTENCIA EN SUCURSALES'!W11+'DISTRIBUCIÓN EN SUCURSALES'!W11</f>
        <v>1</v>
      </c>
      <c r="X11" s="131">
        <f>'EXISTENCIA EN SUCURSALES'!X11+'DISTRIBUCIÓN EN SUCURSALES'!X11</f>
        <v>2</v>
      </c>
      <c r="Y11" s="120">
        <f t="shared" si="2"/>
        <v>19</v>
      </c>
      <c r="Z11" s="120">
        <f t="shared" si="3"/>
        <v>35</v>
      </c>
      <c r="AB11" s="131">
        <f>IFERROR(VLOOKUP(A11,'GRAL. SUC. LOCALES'!$A:$N,14,0),0)</f>
        <v>4</v>
      </c>
      <c r="AD11" s="131">
        <f t="shared" si="4"/>
        <v>39</v>
      </c>
      <c r="AF11" s="131">
        <v>55</v>
      </c>
      <c r="AG11" s="131">
        <v>50</v>
      </c>
      <c r="AH11" s="116">
        <f t="shared" si="5"/>
        <v>-16</v>
      </c>
    </row>
    <row r="12" spans="1:34" ht="17.399999999999999" x14ac:dyDescent="0.35">
      <c r="A12" s="93"/>
      <c r="B12" s="131">
        <f>'EXISTENCIA EN SUCURSALES'!B12+'DISTRIBUCIÓN EN SUCURSALES'!B12</f>
        <v>0</v>
      </c>
      <c r="C12" s="131">
        <f>'EXISTENCIA EN SUCURSALES'!C12+'DISTRIBUCIÓN EN SUCURSALES'!C12</f>
        <v>0</v>
      </c>
      <c r="D12" s="120">
        <f>'EXISTENCIA EN SUCURSALES'!D12+'DISTRIBUCIÓN EN SUCURSALES'!D12</f>
        <v>0</v>
      </c>
      <c r="E12" s="120">
        <f>'EXISTENCIA EN SUCURSALES'!E12+'DISTRIBUCIÓN EN SUCURSALES'!E12</f>
        <v>0</v>
      </c>
      <c r="F12" s="120">
        <f>'EXISTENCIA EN SUCURSALES'!F12+'DISTRIBUCIÓN EN SUCURSALES'!F12</f>
        <v>0</v>
      </c>
      <c r="G12" s="120">
        <f>'EXISTENCIA EN SUCURSALES'!G12+'DISTRIBUCIÓN EN SUCURSALES'!G12</f>
        <v>0</v>
      </c>
      <c r="H12" s="120">
        <f>'EXISTENCIA EN SUCURSALES'!H12+'DISTRIBUCIÓN EN SUCURSALES'!H12</f>
        <v>0</v>
      </c>
      <c r="I12" s="120">
        <f>'EXISTENCIA EN SUCURSALES'!I12+'DISTRIBUCIÓN EN SUCURSALES'!I12</f>
        <v>0</v>
      </c>
      <c r="J12" s="120">
        <f>'EXISTENCIA EN SUCURSALES'!J12+'DISTRIBUCIÓN EN SUCURSALES'!J12</f>
        <v>0</v>
      </c>
      <c r="K12" s="120">
        <f>'EXISTENCIA EN SUCURSALES'!K12+'DISTRIBUCIÓN EN SUCURSALES'!K12</f>
        <v>0</v>
      </c>
      <c r="L12" s="120">
        <f t="shared" si="1"/>
        <v>0</v>
      </c>
      <c r="M12" s="131">
        <f>'EXISTENCIA EN SUCURSALES'!M12+'DISTRIBUCIÓN EN SUCURSALES'!M12</f>
        <v>0</v>
      </c>
      <c r="N12" s="131">
        <f>'EXISTENCIA EN SUCURSALES'!N12+'DISTRIBUCIÓN EN SUCURSALES'!N12</f>
        <v>0</v>
      </c>
      <c r="O12" s="131">
        <f>'EXISTENCIA EN SUCURSALES'!O12+'DISTRIBUCIÓN EN SUCURSALES'!O12</f>
        <v>0</v>
      </c>
      <c r="P12" s="131">
        <f>'EXISTENCIA EN SUCURSALES'!P12+'DISTRIBUCIÓN EN SUCURSALES'!P12</f>
        <v>0</v>
      </c>
      <c r="Q12" s="131">
        <f>'EXISTENCIA EN SUCURSALES'!Q12+'DISTRIBUCIÓN EN SUCURSALES'!Q12</f>
        <v>0</v>
      </c>
      <c r="R12" s="131">
        <f>'EXISTENCIA EN SUCURSALES'!R12+'DISTRIBUCIÓN EN SUCURSALES'!R12</f>
        <v>0</v>
      </c>
      <c r="S12" s="131">
        <f>'EXISTENCIA EN SUCURSALES'!S12+'DISTRIBUCIÓN EN SUCURSALES'!S12</f>
        <v>0</v>
      </c>
      <c r="T12" s="131">
        <f>'EXISTENCIA EN SUCURSALES'!T12+'DISTRIBUCIÓN EN SUCURSALES'!T12</f>
        <v>0</v>
      </c>
      <c r="U12" s="131">
        <f>'EXISTENCIA EN SUCURSALES'!U12+'DISTRIBUCIÓN EN SUCURSALES'!U12</f>
        <v>0</v>
      </c>
      <c r="V12" s="131">
        <f>'EXISTENCIA EN SUCURSALES'!V12+'DISTRIBUCIÓN EN SUCURSALES'!V12</f>
        <v>0</v>
      </c>
      <c r="W12" s="131">
        <f>'EXISTENCIA EN SUCURSALES'!W12+'DISTRIBUCIÓN EN SUCURSALES'!W12</f>
        <v>0</v>
      </c>
      <c r="X12" s="131">
        <f>'EXISTENCIA EN SUCURSALES'!X12+'DISTRIBUCIÓN EN SUCURSALES'!X12</f>
        <v>0</v>
      </c>
      <c r="Y12" s="120">
        <f t="shared" si="2"/>
        <v>0</v>
      </c>
      <c r="Z12" s="120">
        <f t="shared" si="3"/>
        <v>0</v>
      </c>
      <c r="AB12" s="131">
        <f>IFERROR(VLOOKUP(A12,'GRAL. SUC. LOCALES'!$A:$N,14,0),0)</f>
        <v>0</v>
      </c>
      <c r="AD12" s="131">
        <f t="shared" si="4"/>
        <v>0</v>
      </c>
      <c r="AF12" s="131">
        <v>0</v>
      </c>
      <c r="AG12" s="131"/>
      <c r="AH12" s="116">
        <f t="shared" si="5"/>
        <v>0</v>
      </c>
    </row>
    <row r="13" spans="1:34" ht="17.399999999999999" x14ac:dyDescent="0.35">
      <c r="A13" s="93"/>
      <c r="B13" s="131">
        <f>'EXISTENCIA EN SUCURSALES'!B13+'DISTRIBUCIÓN EN SUCURSALES'!B13</f>
        <v>0</v>
      </c>
      <c r="C13" s="131">
        <f>'EXISTENCIA EN SUCURSALES'!C13+'DISTRIBUCIÓN EN SUCURSALES'!C13</f>
        <v>0</v>
      </c>
      <c r="D13" s="120">
        <f>'EXISTENCIA EN SUCURSALES'!D13+'DISTRIBUCIÓN EN SUCURSALES'!D13</f>
        <v>0</v>
      </c>
      <c r="E13" s="120">
        <f>'EXISTENCIA EN SUCURSALES'!E13+'DISTRIBUCIÓN EN SUCURSALES'!E13</f>
        <v>0</v>
      </c>
      <c r="F13" s="120">
        <f>'EXISTENCIA EN SUCURSALES'!F13+'DISTRIBUCIÓN EN SUCURSALES'!F13</f>
        <v>0</v>
      </c>
      <c r="G13" s="120">
        <f>'EXISTENCIA EN SUCURSALES'!G13+'DISTRIBUCIÓN EN SUCURSALES'!G13</f>
        <v>0</v>
      </c>
      <c r="H13" s="120">
        <f>'EXISTENCIA EN SUCURSALES'!H13+'DISTRIBUCIÓN EN SUCURSALES'!H13</f>
        <v>0</v>
      </c>
      <c r="I13" s="120">
        <f>'EXISTENCIA EN SUCURSALES'!I13+'DISTRIBUCIÓN EN SUCURSALES'!I13</f>
        <v>0</v>
      </c>
      <c r="J13" s="120">
        <f>'EXISTENCIA EN SUCURSALES'!J13+'DISTRIBUCIÓN EN SUCURSALES'!J13</f>
        <v>0</v>
      </c>
      <c r="K13" s="120">
        <f>'EXISTENCIA EN SUCURSALES'!K13+'DISTRIBUCIÓN EN SUCURSALES'!K13</f>
        <v>0</v>
      </c>
      <c r="L13" s="120">
        <f t="shared" si="1"/>
        <v>0</v>
      </c>
      <c r="M13" s="131">
        <f>'EXISTENCIA EN SUCURSALES'!M13+'DISTRIBUCIÓN EN SUCURSALES'!M13</f>
        <v>0</v>
      </c>
      <c r="N13" s="131">
        <f>'EXISTENCIA EN SUCURSALES'!N13+'DISTRIBUCIÓN EN SUCURSALES'!N13</f>
        <v>0</v>
      </c>
      <c r="O13" s="131">
        <f>'EXISTENCIA EN SUCURSALES'!O13+'DISTRIBUCIÓN EN SUCURSALES'!O13</f>
        <v>0</v>
      </c>
      <c r="P13" s="131">
        <f>'EXISTENCIA EN SUCURSALES'!P13+'DISTRIBUCIÓN EN SUCURSALES'!P13</f>
        <v>0</v>
      </c>
      <c r="Q13" s="131">
        <f>'EXISTENCIA EN SUCURSALES'!Q13+'DISTRIBUCIÓN EN SUCURSALES'!Q13</f>
        <v>0</v>
      </c>
      <c r="R13" s="131">
        <f>'EXISTENCIA EN SUCURSALES'!R13+'DISTRIBUCIÓN EN SUCURSALES'!R13</f>
        <v>0</v>
      </c>
      <c r="S13" s="131">
        <f>'EXISTENCIA EN SUCURSALES'!S13+'DISTRIBUCIÓN EN SUCURSALES'!S13</f>
        <v>0</v>
      </c>
      <c r="T13" s="131">
        <f>'EXISTENCIA EN SUCURSALES'!T13+'DISTRIBUCIÓN EN SUCURSALES'!T13</f>
        <v>0</v>
      </c>
      <c r="U13" s="131">
        <f>'EXISTENCIA EN SUCURSALES'!U13+'DISTRIBUCIÓN EN SUCURSALES'!U13</f>
        <v>0</v>
      </c>
      <c r="V13" s="131">
        <f>'EXISTENCIA EN SUCURSALES'!V13+'DISTRIBUCIÓN EN SUCURSALES'!V13</f>
        <v>0</v>
      </c>
      <c r="W13" s="131">
        <f>'EXISTENCIA EN SUCURSALES'!W13+'DISTRIBUCIÓN EN SUCURSALES'!W13</f>
        <v>0</v>
      </c>
      <c r="X13" s="131">
        <f>'EXISTENCIA EN SUCURSALES'!X13+'DISTRIBUCIÓN EN SUCURSALES'!X13</f>
        <v>0</v>
      </c>
      <c r="Y13" s="120">
        <f t="shared" si="2"/>
        <v>0</v>
      </c>
      <c r="Z13" s="120">
        <f t="shared" si="3"/>
        <v>0</v>
      </c>
      <c r="AB13" s="131">
        <f>IFERROR(VLOOKUP(A13,'GRAL. SUC. LOCALES'!$A:$N,14,0),0)</f>
        <v>0</v>
      </c>
      <c r="AD13" s="131">
        <f t="shared" si="4"/>
        <v>0</v>
      </c>
      <c r="AF13" s="131">
        <v>0</v>
      </c>
      <c r="AG13" s="131"/>
      <c r="AH13" s="116">
        <f t="shared" si="5"/>
        <v>0</v>
      </c>
    </row>
    <row r="14" spans="1:34" ht="17.399999999999999" x14ac:dyDescent="0.35">
      <c r="A14" s="93"/>
      <c r="B14" s="131">
        <f>'EXISTENCIA EN SUCURSALES'!B14+'DISTRIBUCIÓN EN SUCURSALES'!B14</f>
        <v>0</v>
      </c>
      <c r="C14" s="131">
        <f>'EXISTENCIA EN SUCURSALES'!C14+'DISTRIBUCIÓN EN SUCURSALES'!C14</f>
        <v>0</v>
      </c>
      <c r="D14" s="120">
        <f>'EXISTENCIA EN SUCURSALES'!D14+'DISTRIBUCIÓN EN SUCURSALES'!D14</f>
        <v>0</v>
      </c>
      <c r="E14" s="120">
        <f>'EXISTENCIA EN SUCURSALES'!E14+'DISTRIBUCIÓN EN SUCURSALES'!E14</f>
        <v>0</v>
      </c>
      <c r="F14" s="120">
        <f>'EXISTENCIA EN SUCURSALES'!F14+'DISTRIBUCIÓN EN SUCURSALES'!F14</f>
        <v>0</v>
      </c>
      <c r="G14" s="120">
        <f>'EXISTENCIA EN SUCURSALES'!G14+'DISTRIBUCIÓN EN SUCURSALES'!G14</f>
        <v>0</v>
      </c>
      <c r="H14" s="120">
        <f>'EXISTENCIA EN SUCURSALES'!H14+'DISTRIBUCIÓN EN SUCURSALES'!H14</f>
        <v>0</v>
      </c>
      <c r="I14" s="120">
        <f>'EXISTENCIA EN SUCURSALES'!I14+'DISTRIBUCIÓN EN SUCURSALES'!I14</f>
        <v>0</v>
      </c>
      <c r="J14" s="120">
        <f>'EXISTENCIA EN SUCURSALES'!J14+'DISTRIBUCIÓN EN SUCURSALES'!J14</f>
        <v>0</v>
      </c>
      <c r="K14" s="120">
        <f>'EXISTENCIA EN SUCURSALES'!K14+'DISTRIBUCIÓN EN SUCURSALES'!K14</f>
        <v>0</v>
      </c>
      <c r="L14" s="120">
        <f t="shared" si="1"/>
        <v>0</v>
      </c>
      <c r="M14" s="131">
        <f>'EXISTENCIA EN SUCURSALES'!M14+'DISTRIBUCIÓN EN SUCURSALES'!M14</f>
        <v>0</v>
      </c>
      <c r="N14" s="131">
        <f>'EXISTENCIA EN SUCURSALES'!N14+'DISTRIBUCIÓN EN SUCURSALES'!N14</f>
        <v>0</v>
      </c>
      <c r="O14" s="131">
        <f>'EXISTENCIA EN SUCURSALES'!O14+'DISTRIBUCIÓN EN SUCURSALES'!O14</f>
        <v>0</v>
      </c>
      <c r="P14" s="131">
        <f>'EXISTENCIA EN SUCURSALES'!P14+'DISTRIBUCIÓN EN SUCURSALES'!P14</f>
        <v>0</v>
      </c>
      <c r="Q14" s="131">
        <f>'EXISTENCIA EN SUCURSALES'!Q14+'DISTRIBUCIÓN EN SUCURSALES'!Q14</f>
        <v>0</v>
      </c>
      <c r="R14" s="131">
        <f>'EXISTENCIA EN SUCURSALES'!R14+'DISTRIBUCIÓN EN SUCURSALES'!R14</f>
        <v>0</v>
      </c>
      <c r="S14" s="131">
        <f>'EXISTENCIA EN SUCURSALES'!S14+'DISTRIBUCIÓN EN SUCURSALES'!S14</f>
        <v>0</v>
      </c>
      <c r="T14" s="131">
        <f>'EXISTENCIA EN SUCURSALES'!T14+'DISTRIBUCIÓN EN SUCURSALES'!T14</f>
        <v>0</v>
      </c>
      <c r="U14" s="131">
        <f>'EXISTENCIA EN SUCURSALES'!U14+'DISTRIBUCIÓN EN SUCURSALES'!U14</f>
        <v>0</v>
      </c>
      <c r="V14" s="131">
        <f>'EXISTENCIA EN SUCURSALES'!V14+'DISTRIBUCIÓN EN SUCURSALES'!V14</f>
        <v>0</v>
      </c>
      <c r="W14" s="131">
        <f>'EXISTENCIA EN SUCURSALES'!W14+'DISTRIBUCIÓN EN SUCURSALES'!W14</f>
        <v>0</v>
      </c>
      <c r="X14" s="131">
        <f>'EXISTENCIA EN SUCURSALES'!X14+'DISTRIBUCIÓN EN SUCURSALES'!X14</f>
        <v>0</v>
      </c>
      <c r="Y14" s="120">
        <f t="shared" si="2"/>
        <v>0</v>
      </c>
      <c r="Z14" s="120">
        <f t="shared" si="3"/>
        <v>0</v>
      </c>
      <c r="AB14" s="131">
        <f>IFERROR(VLOOKUP(A14,'GRAL. SUC. LOCALES'!$A:$N,14,0),0)</f>
        <v>0</v>
      </c>
      <c r="AD14" s="131">
        <f t="shared" si="4"/>
        <v>0</v>
      </c>
      <c r="AF14" s="131">
        <v>0</v>
      </c>
      <c r="AG14" s="131"/>
      <c r="AH14" s="116">
        <f t="shared" si="5"/>
        <v>0</v>
      </c>
    </row>
    <row r="15" spans="1:34" ht="17.399999999999999" x14ac:dyDescent="0.35">
      <c r="A15" s="93"/>
      <c r="B15" s="131">
        <f>'EXISTENCIA EN SUCURSALES'!B15+'DISTRIBUCIÓN EN SUCURSALES'!B15</f>
        <v>0</v>
      </c>
      <c r="C15" s="131">
        <f>'EXISTENCIA EN SUCURSALES'!C15+'DISTRIBUCIÓN EN SUCURSALES'!C15</f>
        <v>0</v>
      </c>
      <c r="D15" s="120">
        <f>'EXISTENCIA EN SUCURSALES'!D15+'DISTRIBUCIÓN EN SUCURSALES'!D15</f>
        <v>0</v>
      </c>
      <c r="E15" s="120">
        <f>'EXISTENCIA EN SUCURSALES'!E15+'DISTRIBUCIÓN EN SUCURSALES'!E15</f>
        <v>0</v>
      </c>
      <c r="F15" s="120">
        <f>'EXISTENCIA EN SUCURSALES'!F15+'DISTRIBUCIÓN EN SUCURSALES'!F15</f>
        <v>0</v>
      </c>
      <c r="G15" s="120">
        <f>'EXISTENCIA EN SUCURSALES'!G15+'DISTRIBUCIÓN EN SUCURSALES'!G15</f>
        <v>0</v>
      </c>
      <c r="H15" s="120">
        <f>'EXISTENCIA EN SUCURSALES'!H15+'DISTRIBUCIÓN EN SUCURSALES'!H15</f>
        <v>0</v>
      </c>
      <c r="I15" s="120">
        <f>'EXISTENCIA EN SUCURSALES'!I15+'DISTRIBUCIÓN EN SUCURSALES'!I15</f>
        <v>0</v>
      </c>
      <c r="J15" s="120">
        <f>'EXISTENCIA EN SUCURSALES'!J15+'DISTRIBUCIÓN EN SUCURSALES'!J15</f>
        <v>0</v>
      </c>
      <c r="K15" s="120">
        <f>'EXISTENCIA EN SUCURSALES'!K15+'DISTRIBUCIÓN EN SUCURSALES'!K15</f>
        <v>0</v>
      </c>
      <c r="L15" s="120">
        <f t="shared" si="1"/>
        <v>0</v>
      </c>
      <c r="M15" s="131">
        <f>'EXISTENCIA EN SUCURSALES'!M15+'DISTRIBUCIÓN EN SUCURSALES'!M15</f>
        <v>0</v>
      </c>
      <c r="N15" s="131">
        <f>'EXISTENCIA EN SUCURSALES'!N15+'DISTRIBUCIÓN EN SUCURSALES'!N15</f>
        <v>0</v>
      </c>
      <c r="O15" s="131">
        <f>'EXISTENCIA EN SUCURSALES'!O15+'DISTRIBUCIÓN EN SUCURSALES'!O15</f>
        <v>0</v>
      </c>
      <c r="P15" s="131">
        <f>'EXISTENCIA EN SUCURSALES'!P15+'DISTRIBUCIÓN EN SUCURSALES'!P15</f>
        <v>0</v>
      </c>
      <c r="Q15" s="131">
        <f>'EXISTENCIA EN SUCURSALES'!Q15+'DISTRIBUCIÓN EN SUCURSALES'!Q15</f>
        <v>0</v>
      </c>
      <c r="R15" s="131">
        <f>'EXISTENCIA EN SUCURSALES'!R15+'DISTRIBUCIÓN EN SUCURSALES'!R15</f>
        <v>0</v>
      </c>
      <c r="S15" s="131">
        <f>'EXISTENCIA EN SUCURSALES'!S15+'DISTRIBUCIÓN EN SUCURSALES'!S15</f>
        <v>0</v>
      </c>
      <c r="T15" s="131">
        <f>'EXISTENCIA EN SUCURSALES'!T15+'DISTRIBUCIÓN EN SUCURSALES'!T15</f>
        <v>0</v>
      </c>
      <c r="U15" s="131">
        <f>'EXISTENCIA EN SUCURSALES'!U15+'DISTRIBUCIÓN EN SUCURSALES'!U15</f>
        <v>0</v>
      </c>
      <c r="V15" s="131">
        <f>'EXISTENCIA EN SUCURSALES'!V15+'DISTRIBUCIÓN EN SUCURSALES'!V15</f>
        <v>0</v>
      </c>
      <c r="W15" s="131">
        <f>'EXISTENCIA EN SUCURSALES'!W15+'DISTRIBUCIÓN EN SUCURSALES'!W15</f>
        <v>0</v>
      </c>
      <c r="X15" s="131">
        <f>'EXISTENCIA EN SUCURSALES'!X15+'DISTRIBUCIÓN EN SUCURSALES'!X15</f>
        <v>0</v>
      </c>
      <c r="Y15" s="120">
        <f t="shared" si="2"/>
        <v>0</v>
      </c>
      <c r="Z15" s="120">
        <f t="shared" si="3"/>
        <v>0</v>
      </c>
      <c r="AB15" s="131">
        <f>IFERROR(VLOOKUP(A15,'GRAL. SUC. LOCALES'!$A:$N,14,0),0)</f>
        <v>0</v>
      </c>
      <c r="AD15" s="131">
        <f t="shared" si="4"/>
        <v>0</v>
      </c>
      <c r="AF15" s="131">
        <v>0</v>
      </c>
      <c r="AG15" s="131"/>
      <c r="AH15" s="116">
        <f t="shared" si="5"/>
        <v>0</v>
      </c>
    </row>
    <row r="16" spans="1:34" ht="17.399999999999999" x14ac:dyDescent="0.35">
      <c r="A16" s="93"/>
      <c r="B16" s="131">
        <f>'EXISTENCIA EN SUCURSALES'!B16+'DISTRIBUCIÓN EN SUCURSALES'!B16</f>
        <v>0</v>
      </c>
      <c r="C16" s="131">
        <f>'EXISTENCIA EN SUCURSALES'!C16+'DISTRIBUCIÓN EN SUCURSALES'!C16</f>
        <v>0</v>
      </c>
      <c r="D16" s="120">
        <f>'EXISTENCIA EN SUCURSALES'!D16+'DISTRIBUCIÓN EN SUCURSALES'!D16</f>
        <v>0</v>
      </c>
      <c r="E16" s="120">
        <f>'EXISTENCIA EN SUCURSALES'!E16+'DISTRIBUCIÓN EN SUCURSALES'!E16</f>
        <v>0</v>
      </c>
      <c r="F16" s="120">
        <f>'EXISTENCIA EN SUCURSALES'!F16+'DISTRIBUCIÓN EN SUCURSALES'!F16</f>
        <v>0</v>
      </c>
      <c r="G16" s="120">
        <f>'EXISTENCIA EN SUCURSALES'!G16+'DISTRIBUCIÓN EN SUCURSALES'!G16</f>
        <v>0</v>
      </c>
      <c r="H16" s="120">
        <f>'EXISTENCIA EN SUCURSALES'!H16+'DISTRIBUCIÓN EN SUCURSALES'!H16</f>
        <v>0</v>
      </c>
      <c r="I16" s="120">
        <f>'EXISTENCIA EN SUCURSALES'!I16+'DISTRIBUCIÓN EN SUCURSALES'!I16</f>
        <v>0</v>
      </c>
      <c r="J16" s="120">
        <f>'EXISTENCIA EN SUCURSALES'!J16+'DISTRIBUCIÓN EN SUCURSALES'!J16</f>
        <v>0</v>
      </c>
      <c r="K16" s="120">
        <f>'EXISTENCIA EN SUCURSALES'!K16+'DISTRIBUCIÓN EN SUCURSALES'!K16</f>
        <v>0</v>
      </c>
      <c r="L16" s="120">
        <f t="shared" si="1"/>
        <v>0</v>
      </c>
      <c r="M16" s="131">
        <f>'EXISTENCIA EN SUCURSALES'!M16+'DISTRIBUCIÓN EN SUCURSALES'!M16</f>
        <v>0</v>
      </c>
      <c r="N16" s="131">
        <f>'EXISTENCIA EN SUCURSALES'!N16+'DISTRIBUCIÓN EN SUCURSALES'!N16</f>
        <v>0</v>
      </c>
      <c r="O16" s="131">
        <f>'EXISTENCIA EN SUCURSALES'!O16+'DISTRIBUCIÓN EN SUCURSALES'!O16</f>
        <v>0</v>
      </c>
      <c r="P16" s="131">
        <f>'EXISTENCIA EN SUCURSALES'!P16+'DISTRIBUCIÓN EN SUCURSALES'!P16</f>
        <v>0</v>
      </c>
      <c r="Q16" s="131">
        <f>'EXISTENCIA EN SUCURSALES'!Q16+'DISTRIBUCIÓN EN SUCURSALES'!Q16</f>
        <v>0</v>
      </c>
      <c r="R16" s="131">
        <f>'EXISTENCIA EN SUCURSALES'!R16+'DISTRIBUCIÓN EN SUCURSALES'!R16</f>
        <v>0</v>
      </c>
      <c r="S16" s="131">
        <f>'EXISTENCIA EN SUCURSALES'!S16+'DISTRIBUCIÓN EN SUCURSALES'!S16</f>
        <v>0</v>
      </c>
      <c r="T16" s="131">
        <f>'EXISTENCIA EN SUCURSALES'!T16+'DISTRIBUCIÓN EN SUCURSALES'!T16</f>
        <v>0</v>
      </c>
      <c r="U16" s="131">
        <f>'EXISTENCIA EN SUCURSALES'!U16+'DISTRIBUCIÓN EN SUCURSALES'!U16</f>
        <v>0</v>
      </c>
      <c r="V16" s="131">
        <f>'EXISTENCIA EN SUCURSALES'!V16+'DISTRIBUCIÓN EN SUCURSALES'!V16</f>
        <v>0</v>
      </c>
      <c r="W16" s="131">
        <f>'EXISTENCIA EN SUCURSALES'!W16+'DISTRIBUCIÓN EN SUCURSALES'!W16</f>
        <v>0</v>
      </c>
      <c r="X16" s="131">
        <f>'EXISTENCIA EN SUCURSALES'!X16+'DISTRIBUCIÓN EN SUCURSALES'!X16</f>
        <v>0</v>
      </c>
      <c r="Y16" s="120">
        <f t="shared" si="2"/>
        <v>0</v>
      </c>
      <c r="Z16" s="120">
        <f t="shared" si="3"/>
        <v>0</v>
      </c>
      <c r="AB16" s="131">
        <f>IFERROR(VLOOKUP(A16,'GRAL. SUC. LOCALES'!$A:$N,14,0),0)</f>
        <v>0</v>
      </c>
      <c r="AD16" s="131">
        <f t="shared" si="4"/>
        <v>0</v>
      </c>
      <c r="AF16" s="131">
        <v>0</v>
      </c>
      <c r="AG16" s="131"/>
      <c r="AH16" s="116">
        <f t="shared" si="5"/>
        <v>0</v>
      </c>
    </row>
    <row r="17" spans="1:34" ht="18" thickBot="1" x14ac:dyDescent="0.4">
      <c r="A17" s="93"/>
      <c r="B17" s="131">
        <f>'EXISTENCIA EN SUCURSALES'!B17+'DISTRIBUCIÓN EN SUCURSALES'!B17</f>
        <v>0</v>
      </c>
      <c r="C17" s="131">
        <f>'EXISTENCIA EN SUCURSALES'!C17+'DISTRIBUCIÓN EN SUCURSALES'!C17</f>
        <v>0</v>
      </c>
      <c r="D17" s="120">
        <f>'EXISTENCIA EN SUCURSALES'!D17+'DISTRIBUCIÓN EN SUCURSALES'!D17</f>
        <v>0</v>
      </c>
      <c r="E17" s="120">
        <f>'EXISTENCIA EN SUCURSALES'!E17+'DISTRIBUCIÓN EN SUCURSALES'!E17</f>
        <v>0</v>
      </c>
      <c r="F17" s="120">
        <f>'EXISTENCIA EN SUCURSALES'!F17+'DISTRIBUCIÓN EN SUCURSALES'!F17</f>
        <v>0</v>
      </c>
      <c r="G17" s="120">
        <f>'EXISTENCIA EN SUCURSALES'!G17+'DISTRIBUCIÓN EN SUCURSALES'!G17</f>
        <v>0</v>
      </c>
      <c r="H17" s="120">
        <f>'EXISTENCIA EN SUCURSALES'!H17+'DISTRIBUCIÓN EN SUCURSALES'!H17</f>
        <v>0</v>
      </c>
      <c r="I17" s="120">
        <f>'EXISTENCIA EN SUCURSALES'!I17+'DISTRIBUCIÓN EN SUCURSALES'!I17</f>
        <v>0</v>
      </c>
      <c r="J17" s="120">
        <f>'EXISTENCIA EN SUCURSALES'!J17+'DISTRIBUCIÓN EN SUCURSALES'!J17</f>
        <v>0</v>
      </c>
      <c r="K17" s="120">
        <f>'EXISTENCIA EN SUCURSALES'!K17+'DISTRIBUCIÓN EN SUCURSALES'!K17</f>
        <v>0</v>
      </c>
      <c r="L17" s="120">
        <f t="shared" si="1"/>
        <v>0</v>
      </c>
      <c r="M17" s="131">
        <f>'EXISTENCIA EN SUCURSALES'!M17+'DISTRIBUCIÓN EN SUCURSALES'!M17</f>
        <v>0</v>
      </c>
      <c r="N17" s="131">
        <f>'EXISTENCIA EN SUCURSALES'!N17+'DISTRIBUCIÓN EN SUCURSALES'!N17</f>
        <v>0</v>
      </c>
      <c r="O17" s="131">
        <f>'EXISTENCIA EN SUCURSALES'!O17+'DISTRIBUCIÓN EN SUCURSALES'!O17</f>
        <v>0</v>
      </c>
      <c r="P17" s="131">
        <f>'EXISTENCIA EN SUCURSALES'!P17+'DISTRIBUCIÓN EN SUCURSALES'!P17</f>
        <v>0</v>
      </c>
      <c r="Q17" s="131">
        <f>'EXISTENCIA EN SUCURSALES'!Q17+'DISTRIBUCIÓN EN SUCURSALES'!Q17</f>
        <v>0</v>
      </c>
      <c r="R17" s="131">
        <f>'EXISTENCIA EN SUCURSALES'!R17+'DISTRIBUCIÓN EN SUCURSALES'!R17</f>
        <v>0</v>
      </c>
      <c r="S17" s="131">
        <f>'EXISTENCIA EN SUCURSALES'!S17+'DISTRIBUCIÓN EN SUCURSALES'!S17</f>
        <v>0</v>
      </c>
      <c r="T17" s="131">
        <f>'EXISTENCIA EN SUCURSALES'!T17+'DISTRIBUCIÓN EN SUCURSALES'!T17</f>
        <v>0</v>
      </c>
      <c r="U17" s="131">
        <f>'EXISTENCIA EN SUCURSALES'!U17+'DISTRIBUCIÓN EN SUCURSALES'!U17</f>
        <v>0</v>
      </c>
      <c r="V17" s="131">
        <f>'EXISTENCIA EN SUCURSALES'!V17+'DISTRIBUCIÓN EN SUCURSALES'!V17</f>
        <v>0</v>
      </c>
      <c r="W17" s="131">
        <f>'EXISTENCIA EN SUCURSALES'!W17+'DISTRIBUCIÓN EN SUCURSALES'!W17</f>
        <v>0</v>
      </c>
      <c r="X17" s="131">
        <f>'EXISTENCIA EN SUCURSALES'!X17+'DISTRIBUCIÓN EN SUCURSALES'!X17</f>
        <v>0</v>
      </c>
      <c r="Y17" s="120">
        <f t="shared" si="2"/>
        <v>0</v>
      </c>
      <c r="Z17" s="120">
        <f t="shared" si="3"/>
        <v>0</v>
      </c>
      <c r="AB17" s="131">
        <f>IFERROR(VLOOKUP(A17,'GRAL. SUC. LOCALES'!$A:$N,14,0),0)</f>
        <v>0</v>
      </c>
      <c r="AD17" s="131">
        <f t="shared" si="4"/>
        <v>0</v>
      </c>
      <c r="AF17" s="131">
        <v>0</v>
      </c>
      <c r="AG17" s="131"/>
      <c r="AH17" s="116">
        <f t="shared" si="5"/>
        <v>0</v>
      </c>
    </row>
    <row r="18" spans="1:34" ht="18" thickBot="1" x14ac:dyDescent="0.4">
      <c r="A18" s="96" t="s">
        <v>10</v>
      </c>
      <c r="B18" s="121">
        <f>SUM(B3:B17)</f>
        <v>24</v>
      </c>
      <c r="C18" s="121">
        <f t="shared" ref="C18:Z18" si="6">SUM(C3:C17)</f>
        <v>23</v>
      </c>
      <c r="D18" s="121">
        <f t="shared" si="6"/>
        <v>21</v>
      </c>
      <c r="E18" s="121">
        <f t="shared" si="6"/>
        <v>17</v>
      </c>
      <c r="F18" s="121">
        <f t="shared" si="6"/>
        <v>14</v>
      </c>
      <c r="G18" s="121">
        <f t="shared" si="6"/>
        <v>0</v>
      </c>
      <c r="H18" s="121">
        <f t="shared" si="6"/>
        <v>14</v>
      </c>
      <c r="I18" s="121">
        <f t="shared" si="6"/>
        <v>10</v>
      </c>
      <c r="J18" s="121">
        <f t="shared" si="6"/>
        <v>24</v>
      </c>
      <c r="K18" s="121">
        <f t="shared" si="6"/>
        <v>20</v>
      </c>
      <c r="L18" s="121">
        <f t="shared" si="6"/>
        <v>167</v>
      </c>
      <c r="M18" s="121">
        <f t="shared" si="6"/>
        <v>22</v>
      </c>
      <c r="N18" s="121">
        <f t="shared" si="6"/>
        <v>15</v>
      </c>
      <c r="O18" s="121">
        <f t="shared" si="6"/>
        <v>6</v>
      </c>
      <c r="P18" s="121">
        <f t="shared" si="6"/>
        <v>14</v>
      </c>
      <c r="Q18" s="121">
        <f t="shared" si="6"/>
        <v>36</v>
      </c>
      <c r="R18" s="121">
        <f t="shared" si="6"/>
        <v>24</v>
      </c>
      <c r="S18" s="121">
        <f t="shared" si="6"/>
        <v>22</v>
      </c>
      <c r="T18" s="121">
        <f t="shared" si="6"/>
        <v>20</v>
      </c>
      <c r="U18" s="121">
        <f t="shared" ref="U18:V18" si="7">SUM(U3:U17)</f>
        <v>9</v>
      </c>
      <c r="V18" s="121">
        <f t="shared" si="7"/>
        <v>10</v>
      </c>
      <c r="W18" s="121">
        <f t="shared" si="6"/>
        <v>13</v>
      </c>
      <c r="X18" s="121">
        <f t="shared" ref="X18" si="8">SUM(X3:X17)</f>
        <v>11</v>
      </c>
      <c r="Y18" s="121">
        <f t="shared" si="6"/>
        <v>202</v>
      </c>
      <c r="Z18" s="121">
        <f t="shared" si="6"/>
        <v>369</v>
      </c>
      <c r="AB18" s="121">
        <f t="shared" ref="AB18" si="9">SUM(AB3:AB17)</f>
        <v>79</v>
      </c>
      <c r="AD18" s="121">
        <f t="shared" ref="AD18:AD93" si="10">AB18+Z18</f>
        <v>448</v>
      </c>
      <c r="AF18" s="121">
        <f>SUM(AF3:AF17)</f>
        <v>630</v>
      </c>
      <c r="AG18" s="121">
        <f>SUM(AG3:AG17)</f>
        <v>555</v>
      </c>
      <c r="AH18" s="116">
        <f t="shared" si="5"/>
        <v>-182</v>
      </c>
    </row>
    <row r="19" spans="1:34" ht="17.399999999999999" x14ac:dyDescent="0.35">
      <c r="A19" s="97" t="s">
        <v>676</v>
      </c>
      <c r="B19" s="131">
        <f>'EXISTENCIA EN SUCURSALES'!B19+'DISTRIBUCIÓN EN SUCURSALES'!B19</f>
        <v>2</v>
      </c>
      <c r="C19" s="131">
        <f>'EXISTENCIA EN SUCURSALES'!C19+'DISTRIBUCIÓN EN SUCURSALES'!C19</f>
        <v>2</v>
      </c>
      <c r="D19" s="120">
        <f>'EXISTENCIA EN SUCURSALES'!D19+'DISTRIBUCIÓN EN SUCURSALES'!D19</f>
        <v>2</v>
      </c>
      <c r="E19" s="120">
        <f>'EXISTENCIA EN SUCURSALES'!E19+'DISTRIBUCIÓN EN SUCURSALES'!E19</f>
        <v>0</v>
      </c>
      <c r="F19" s="120">
        <f>'EXISTENCIA EN SUCURSALES'!F19+'DISTRIBUCIÓN EN SUCURSALES'!F19</f>
        <v>1</v>
      </c>
      <c r="G19" s="120">
        <f>'EXISTENCIA EN SUCURSALES'!G19+'DISTRIBUCIÓN EN SUCURSALES'!G19</f>
        <v>0</v>
      </c>
      <c r="H19" s="120">
        <f>'EXISTENCIA EN SUCURSALES'!H19+'DISTRIBUCIÓN EN SUCURSALES'!H19</f>
        <v>1</v>
      </c>
      <c r="I19" s="120">
        <f>'EXISTENCIA EN SUCURSALES'!I19+'DISTRIBUCIÓN EN SUCURSALES'!I19</f>
        <v>1</v>
      </c>
      <c r="J19" s="120">
        <f>'EXISTENCIA EN SUCURSALES'!J19+'DISTRIBUCIÓN EN SUCURSALES'!J19</f>
        <v>2</v>
      </c>
      <c r="K19" s="120">
        <f>'EXISTENCIA EN SUCURSALES'!K19+'DISTRIBUCIÓN EN SUCURSALES'!K19</f>
        <v>1</v>
      </c>
      <c r="L19" s="120">
        <f t="shared" ref="L19:L31" si="11">SUM(B19:K19)</f>
        <v>12</v>
      </c>
      <c r="M19" s="131">
        <f>'EXISTENCIA EN SUCURSALES'!M19+'DISTRIBUCIÓN EN SUCURSALES'!M19</f>
        <v>4</v>
      </c>
      <c r="N19" s="131">
        <f>'EXISTENCIA EN SUCURSALES'!N19+'DISTRIBUCIÓN EN SUCURSALES'!N19</f>
        <v>2</v>
      </c>
      <c r="O19" s="131">
        <f>'EXISTENCIA EN SUCURSALES'!O19+'DISTRIBUCIÓN EN SUCURSALES'!O19</f>
        <v>1</v>
      </c>
      <c r="P19" s="131">
        <f>'EXISTENCIA EN SUCURSALES'!P19+'DISTRIBUCIÓN EN SUCURSALES'!P19</f>
        <v>1</v>
      </c>
      <c r="Q19" s="131">
        <f>'EXISTENCIA EN SUCURSALES'!Q19+'DISTRIBUCIÓN EN SUCURSALES'!Q19</f>
        <v>4</v>
      </c>
      <c r="R19" s="131">
        <f>'EXISTENCIA EN SUCURSALES'!R19+'DISTRIBUCIÓN EN SUCURSALES'!R19</f>
        <v>4</v>
      </c>
      <c r="S19" s="131">
        <f>'EXISTENCIA EN SUCURSALES'!S19+'DISTRIBUCIÓN EN SUCURSALES'!S19</f>
        <v>2</v>
      </c>
      <c r="T19" s="131">
        <f>'EXISTENCIA EN SUCURSALES'!T19+'DISTRIBUCIÓN EN SUCURSALES'!T19</f>
        <v>3</v>
      </c>
      <c r="U19" s="131">
        <f>'EXISTENCIA EN SUCURSALES'!U19+'DISTRIBUCIÓN EN SUCURSALES'!U19</f>
        <v>0</v>
      </c>
      <c r="V19" s="131">
        <f>'EXISTENCIA EN SUCURSALES'!V19+'DISTRIBUCIÓN EN SUCURSALES'!V19</f>
        <v>3</v>
      </c>
      <c r="W19" s="131">
        <f>'EXISTENCIA EN SUCURSALES'!W19+'DISTRIBUCIÓN EN SUCURSALES'!W19</f>
        <v>2</v>
      </c>
      <c r="X19" s="131">
        <f>'EXISTENCIA EN SUCURSALES'!X19+'DISTRIBUCIÓN EN SUCURSALES'!X19</f>
        <v>2</v>
      </c>
      <c r="Y19" s="120">
        <f t="shared" ref="Y19:Y31" si="12">SUM(M19:X19)</f>
        <v>28</v>
      </c>
      <c r="Z19" s="120">
        <f t="shared" ref="Z19:Z31" si="13">L19+Y19</f>
        <v>40</v>
      </c>
      <c r="AB19" s="131">
        <f>IFERROR(VLOOKUP(A19,'GRAL. SUC. LOCALES'!$A:$N,14,0),0)</f>
        <v>7</v>
      </c>
      <c r="AD19" s="131">
        <f t="shared" si="10"/>
        <v>47</v>
      </c>
      <c r="AF19" s="131">
        <v>50</v>
      </c>
      <c r="AG19" s="131">
        <v>50</v>
      </c>
      <c r="AH19" s="116">
        <f t="shared" si="5"/>
        <v>-3</v>
      </c>
    </row>
    <row r="20" spans="1:34" ht="17.399999999999999" x14ac:dyDescent="0.35">
      <c r="A20" s="97" t="s">
        <v>11</v>
      </c>
      <c r="B20" s="131">
        <f>'EXISTENCIA EN SUCURSALES'!B20+'DISTRIBUCIÓN EN SUCURSALES'!B20</f>
        <v>2</v>
      </c>
      <c r="C20" s="131">
        <f>'EXISTENCIA EN SUCURSALES'!C20+'DISTRIBUCIÓN EN SUCURSALES'!C20</f>
        <v>3</v>
      </c>
      <c r="D20" s="120">
        <f>'EXISTENCIA EN SUCURSALES'!D20+'DISTRIBUCIÓN EN SUCURSALES'!D20</f>
        <v>4</v>
      </c>
      <c r="E20" s="120">
        <f>'EXISTENCIA EN SUCURSALES'!E20+'DISTRIBUCIÓN EN SUCURSALES'!E20</f>
        <v>3</v>
      </c>
      <c r="F20" s="120">
        <f>'EXISTENCIA EN SUCURSALES'!F20+'DISTRIBUCIÓN EN SUCURSALES'!F20</f>
        <v>3</v>
      </c>
      <c r="G20" s="120">
        <f>'EXISTENCIA EN SUCURSALES'!G20+'DISTRIBUCIÓN EN SUCURSALES'!G20</f>
        <v>0</v>
      </c>
      <c r="H20" s="120">
        <f>'EXISTENCIA EN SUCURSALES'!H20+'DISTRIBUCIÓN EN SUCURSALES'!H20</f>
        <v>2</v>
      </c>
      <c r="I20" s="120">
        <f>'EXISTENCIA EN SUCURSALES'!I20+'DISTRIBUCIÓN EN SUCURSALES'!I20</f>
        <v>1</v>
      </c>
      <c r="J20" s="120">
        <f>'EXISTENCIA EN SUCURSALES'!J20+'DISTRIBUCIÓN EN SUCURSALES'!J20</f>
        <v>4</v>
      </c>
      <c r="K20" s="120">
        <f>'EXISTENCIA EN SUCURSALES'!K20+'DISTRIBUCIÓN EN SUCURSALES'!K20</f>
        <v>3</v>
      </c>
      <c r="L20" s="120">
        <f t="shared" si="11"/>
        <v>25</v>
      </c>
      <c r="M20" s="131">
        <f>'EXISTENCIA EN SUCURSALES'!M20+'DISTRIBUCIÓN EN SUCURSALES'!M20</f>
        <v>2</v>
      </c>
      <c r="N20" s="131">
        <f>'EXISTENCIA EN SUCURSALES'!N20+'DISTRIBUCIÓN EN SUCURSALES'!N20</f>
        <v>1</v>
      </c>
      <c r="O20" s="131">
        <f>'EXISTENCIA EN SUCURSALES'!O20+'DISTRIBUCIÓN EN SUCURSALES'!O20</f>
        <v>1</v>
      </c>
      <c r="P20" s="131">
        <f>'EXISTENCIA EN SUCURSALES'!P20+'DISTRIBUCIÓN EN SUCURSALES'!P20</f>
        <v>3</v>
      </c>
      <c r="Q20" s="131">
        <f>'EXISTENCIA EN SUCURSALES'!Q20+'DISTRIBUCIÓN EN SUCURSALES'!Q20</f>
        <v>6</v>
      </c>
      <c r="R20" s="131">
        <f>'EXISTENCIA EN SUCURSALES'!R20+'DISTRIBUCIÓN EN SUCURSALES'!R20</f>
        <v>5</v>
      </c>
      <c r="S20" s="131">
        <f>'EXISTENCIA EN SUCURSALES'!S20+'DISTRIBUCIÓN EN SUCURSALES'!S20</f>
        <v>3</v>
      </c>
      <c r="T20" s="131">
        <f>'EXISTENCIA EN SUCURSALES'!T20+'DISTRIBUCIÓN EN SUCURSALES'!T20</f>
        <v>2</v>
      </c>
      <c r="U20" s="131">
        <f>'EXISTENCIA EN SUCURSALES'!U20+'DISTRIBUCIÓN EN SUCURSALES'!U20</f>
        <v>0</v>
      </c>
      <c r="V20" s="131">
        <f>'EXISTENCIA EN SUCURSALES'!V20+'DISTRIBUCIÓN EN SUCURSALES'!V20</f>
        <v>4</v>
      </c>
      <c r="W20" s="131">
        <f>'EXISTENCIA EN SUCURSALES'!W20+'DISTRIBUCIÓN EN SUCURSALES'!W20</f>
        <v>3</v>
      </c>
      <c r="X20" s="131">
        <f>'EXISTENCIA EN SUCURSALES'!X20+'DISTRIBUCIÓN EN SUCURSALES'!X20</f>
        <v>1</v>
      </c>
      <c r="Y20" s="120">
        <f t="shared" si="12"/>
        <v>31</v>
      </c>
      <c r="Z20" s="120">
        <f t="shared" si="13"/>
        <v>56</v>
      </c>
      <c r="AB20" s="131">
        <f>IFERROR(VLOOKUP(A20,'GRAL. SUC. LOCALES'!$A:$N,14,0),0)</f>
        <v>16</v>
      </c>
      <c r="AD20" s="131">
        <f t="shared" si="10"/>
        <v>72</v>
      </c>
      <c r="AF20" s="131">
        <v>95</v>
      </c>
      <c r="AG20" s="131">
        <v>90</v>
      </c>
      <c r="AH20" s="116">
        <f t="shared" si="5"/>
        <v>-23</v>
      </c>
    </row>
    <row r="21" spans="1:34" ht="17.399999999999999" x14ac:dyDescent="0.35">
      <c r="A21" s="97" t="s">
        <v>344</v>
      </c>
      <c r="B21" s="131">
        <f>'EXISTENCIA EN SUCURSALES'!B21+'DISTRIBUCIÓN EN SUCURSALES'!B21</f>
        <v>2</v>
      </c>
      <c r="C21" s="131">
        <f>'EXISTENCIA EN SUCURSALES'!C21+'DISTRIBUCIÓN EN SUCURSALES'!C21</f>
        <v>2</v>
      </c>
      <c r="D21" s="120">
        <f>'EXISTENCIA EN SUCURSALES'!D21+'DISTRIBUCIÓN EN SUCURSALES'!D21</f>
        <v>2</v>
      </c>
      <c r="E21" s="120">
        <f>'EXISTENCIA EN SUCURSALES'!E21+'DISTRIBUCIÓN EN SUCURSALES'!E21</f>
        <v>1</v>
      </c>
      <c r="F21" s="120">
        <f>'EXISTENCIA EN SUCURSALES'!F21+'DISTRIBUCIÓN EN SUCURSALES'!F21</f>
        <v>2</v>
      </c>
      <c r="G21" s="120">
        <f>'EXISTENCIA EN SUCURSALES'!G21+'DISTRIBUCIÓN EN SUCURSALES'!G21</f>
        <v>0</v>
      </c>
      <c r="H21" s="120">
        <f>'EXISTENCIA EN SUCURSALES'!H21+'DISTRIBUCIÓN EN SUCURSALES'!H21</f>
        <v>1</v>
      </c>
      <c r="I21" s="120">
        <f>'EXISTENCIA EN SUCURSALES'!I21+'DISTRIBUCIÓN EN SUCURSALES'!I21</f>
        <v>1</v>
      </c>
      <c r="J21" s="120">
        <f>'EXISTENCIA EN SUCURSALES'!J21+'DISTRIBUCIÓN EN SUCURSALES'!J21</f>
        <v>2</v>
      </c>
      <c r="K21" s="120">
        <f>'EXISTENCIA EN SUCURSALES'!K21+'DISTRIBUCIÓN EN SUCURSALES'!K21</f>
        <v>1</v>
      </c>
      <c r="L21" s="120">
        <f t="shared" si="11"/>
        <v>14</v>
      </c>
      <c r="M21" s="131">
        <f>'EXISTENCIA EN SUCURSALES'!M21+'DISTRIBUCIÓN EN SUCURSALES'!M21</f>
        <v>3</v>
      </c>
      <c r="N21" s="131">
        <f>'EXISTENCIA EN SUCURSALES'!N21+'DISTRIBUCIÓN EN SUCURSALES'!N21</f>
        <v>1</v>
      </c>
      <c r="O21" s="131">
        <f>'EXISTENCIA EN SUCURSALES'!O21+'DISTRIBUCIÓN EN SUCURSALES'!O21</f>
        <v>3</v>
      </c>
      <c r="P21" s="131">
        <f>'EXISTENCIA EN SUCURSALES'!P21+'DISTRIBUCIÓN EN SUCURSALES'!P21</f>
        <v>3</v>
      </c>
      <c r="Q21" s="131">
        <f>'EXISTENCIA EN SUCURSALES'!Q21+'DISTRIBUCIÓN EN SUCURSALES'!Q21</f>
        <v>3</v>
      </c>
      <c r="R21" s="131">
        <f>'EXISTENCIA EN SUCURSALES'!R21+'DISTRIBUCIÓN EN SUCURSALES'!R21</f>
        <v>3</v>
      </c>
      <c r="S21" s="131">
        <f>'EXISTENCIA EN SUCURSALES'!S21+'DISTRIBUCIÓN EN SUCURSALES'!S21</f>
        <v>4</v>
      </c>
      <c r="T21" s="131">
        <f>'EXISTENCIA EN SUCURSALES'!T21+'DISTRIBUCIÓN EN SUCURSALES'!T21</f>
        <v>4</v>
      </c>
      <c r="U21" s="131">
        <f>'EXISTENCIA EN SUCURSALES'!U21+'DISTRIBUCIÓN EN SUCURSALES'!U21</f>
        <v>0</v>
      </c>
      <c r="V21" s="131">
        <f>'EXISTENCIA EN SUCURSALES'!V21+'DISTRIBUCIÓN EN SUCURSALES'!V21</f>
        <v>3</v>
      </c>
      <c r="W21" s="131">
        <f>'EXISTENCIA EN SUCURSALES'!W21+'DISTRIBUCIÓN EN SUCURSALES'!W21</f>
        <v>3</v>
      </c>
      <c r="X21" s="131">
        <f>'EXISTENCIA EN SUCURSALES'!X21+'DISTRIBUCIÓN EN SUCURSALES'!X21</f>
        <v>3</v>
      </c>
      <c r="Y21" s="120">
        <f t="shared" si="12"/>
        <v>33</v>
      </c>
      <c r="Z21" s="120">
        <f t="shared" si="13"/>
        <v>47</v>
      </c>
      <c r="AB21" s="131">
        <f>IFERROR(VLOOKUP(A21,'GRAL. SUC. LOCALES'!$A:$N,14,0),0)</f>
        <v>0</v>
      </c>
      <c r="AD21" s="131">
        <f t="shared" si="10"/>
        <v>47</v>
      </c>
      <c r="AF21" s="131">
        <v>65</v>
      </c>
      <c r="AG21" s="131">
        <v>60</v>
      </c>
      <c r="AH21" s="116">
        <f t="shared" si="5"/>
        <v>-18</v>
      </c>
    </row>
    <row r="22" spans="1:34" ht="17.399999999999999" x14ac:dyDescent="0.35">
      <c r="A22" s="97" t="s">
        <v>832</v>
      </c>
      <c r="B22" s="131">
        <f>'EXISTENCIA EN SUCURSALES'!B22+'DISTRIBUCIÓN EN SUCURSALES'!B22</f>
        <v>2</v>
      </c>
      <c r="C22" s="131">
        <f>'EXISTENCIA EN SUCURSALES'!C22+'DISTRIBUCIÓN EN SUCURSALES'!C22</f>
        <v>2</v>
      </c>
      <c r="D22" s="120">
        <f>'EXISTENCIA EN SUCURSALES'!D22+'DISTRIBUCIÓN EN SUCURSALES'!D22</f>
        <v>2</v>
      </c>
      <c r="E22" s="120">
        <f>'EXISTENCIA EN SUCURSALES'!E22+'DISTRIBUCIÓN EN SUCURSALES'!E22</f>
        <v>1</v>
      </c>
      <c r="F22" s="120">
        <f>'EXISTENCIA EN SUCURSALES'!F22+'DISTRIBUCIÓN EN SUCURSALES'!F22</f>
        <v>1</v>
      </c>
      <c r="G22" s="120">
        <f>'EXISTENCIA EN SUCURSALES'!G22+'DISTRIBUCIÓN EN SUCURSALES'!G22</f>
        <v>0</v>
      </c>
      <c r="H22" s="120">
        <f>'EXISTENCIA EN SUCURSALES'!H22+'DISTRIBUCIÓN EN SUCURSALES'!H22</f>
        <v>1</v>
      </c>
      <c r="I22" s="120">
        <f>'EXISTENCIA EN SUCURSALES'!I22+'DISTRIBUCIÓN EN SUCURSALES'!I22</f>
        <v>1</v>
      </c>
      <c r="J22" s="120">
        <f>'EXISTENCIA EN SUCURSALES'!J22+'DISTRIBUCIÓN EN SUCURSALES'!J22</f>
        <v>3</v>
      </c>
      <c r="K22" s="120">
        <f>'EXISTENCIA EN SUCURSALES'!K22+'DISTRIBUCIÓN EN SUCURSALES'!K22</f>
        <v>2</v>
      </c>
      <c r="L22" s="120">
        <f t="shared" si="11"/>
        <v>15</v>
      </c>
      <c r="M22" s="131">
        <f>'EXISTENCIA EN SUCURSALES'!M22+'DISTRIBUCIÓN EN SUCURSALES'!M22</f>
        <v>3</v>
      </c>
      <c r="N22" s="131">
        <f>'EXISTENCIA EN SUCURSALES'!N22+'DISTRIBUCIÓN EN SUCURSALES'!N22</f>
        <v>1</v>
      </c>
      <c r="O22" s="131">
        <f>'EXISTENCIA EN SUCURSALES'!O22+'DISTRIBUCIÓN EN SUCURSALES'!O22</f>
        <v>0</v>
      </c>
      <c r="P22" s="131">
        <f>'EXISTENCIA EN SUCURSALES'!P22+'DISTRIBUCIÓN EN SUCURSALES'!P22</f>
        <v>2</v>
      </c>
      <c r="Q22" s="131">
        <f>'EXISTENCIA EN SUCURSALES'!Q22+'DISTRIBUCIÓN EN SUCURSALES'!Q22</f>
        <v>1</v>
      </c>
      <c r="R22" s="131">
        <f>'EXISTENCIA EN SUCURSALES'!R22+'DISTRIBUCIÓN EN SUCURSALES'!R22</f>
        <v>1</v>
      </c>
      <c r="S22" s="131">
        <f>'EXISTENCIA EN SUCURSALES'!S22+'DISTRIBUCIÓN EN SUCURSALES'!S22</f>
        <v>5</v>
      </c>
      <c r="T22" s="131">
        <f>'EXISTENCIA EN SUCURSALES'!T22+'DISTRIBUCIÓN EN SUCURSALES'!T22</f>
        <v>2</v>
      </c>
      <c r="U22" s="131">
        <f>'EXISTENCIA EN SUCURSALES'!U22+'DISTRIBUCIÓN EN SUCURSALES'!U22</f>
        <v>0</v>
      </c>
      <c r="V22" s="131">
        <f>'EXISTENCIA EN SUCURSALES'!V22+'DISTRIBUCIÓN EN SUCURSALES'!V22</f>
        <v>0</v>
      </c>
      <c r="W22" s="131">
        <f>'EXISTENCIA EN SUCURSALES'!W22+'DISTRIBUCIÓN EN SUCURSALES'!W22</f>
        <v>2</v>
      </c>
      <c r="X22" s="131">
        <f>'EXISTENCIA EN SUCURSALES'!X22+'DISTRIBUCIÓN EN SUCURSALES'!X22</f>
        <v>1</v>
      </c>
      <c r="Y22" s="120">
        <f t="shared" si="12"/>
        <v>18</v>
      </c>
      <c r="Z22" s="120">
        <f t="shared" si="13"/>
        <v>33</v>
      </c>
      <c r="AB22" s="131">
        <f>IFERROR(VLOOKUP(A22,'GRAL. SUC. LOCALES'!$A:$N,14,0),0)</f>
        <v>19</v>
      </c>
      <c r="AD22" s="131">
        <f t="shared" si="10"/>
        <v>52</v>
      </c>
      <c r="AF22" s="131">
        <v>55</v>
      </c>
      <c r="AG22" s="131">
        <v>50</v>
      </c>
      <c r="AH22" s="116">
        <f t="shared" si="5"/>
        <v>-3</v>
      </c>
    </row>
    <row r="23" spans="1:34" ht="17.399999999999999" x14ac:dyDescent="0.35">
      <c r="A23" s="97" t="s">
        <v>12</v>
      </c>
      <c r="B23" s="131">
        <f>'EXISTENCIA EN SUCURSALES'!B23+'DISTRIBUCIÓN EN SUCURSALES'!B23</f>
        <v>2</v>
      </c>
      <c r="C23" s="131">
        <f>'EXISTENCIA EN SUCURSALES'!C23+'DISTRIBUCIÓN EN SUCURSALES'!C23</f>
        <v>3</v>
      </c>
      <c r="D23" s="120">
        <f>'EXISTENCIA EN SUCURSALES'!D23+'DISTRIBUCIÓN EN SUCURSALES'!D23</f>
        <v>2</v>
      </c>
      <c r="E23" s="120">
        <f>'EXISTENCIA EN SUCURSALES'!E23+'DISTRIBUCIÓN EN SUCURSALES'!E23</f>
        <v>2</v>
      </c>
      <c r="F23" s="120">
        <f>'EXISTENCIA EN SUCURSALES'!F23+'DISTRIBUCIÓN EN SUCURSALES'!F23</f>
        <v>2</v>
      </c>
      <c r="G23" s="120">
        <f>'EXISTENCIA EN SUCURSALES'!G23+'DISTRIBUCIÓN EN SUCURSALES'!G23</f>
        <v>0</v>
      </c>
      <c r="H23" s="120">
        <f>'EXISTENCIA EN SUCURSALES'!H23+'DISTRIBUCIÓN EN SUCURSALES'!H23</f>
        <v>2</v>
      </c>
      <c r="I23" s="120">
        <f>'EXISTENCIA EN SUCURSALES'!I23+'DISTRIBUCIÓN EN SUCURSALES'!I23</f>
        <v>1</v>
      </c>
      <c r="J23" s="120">
        <f>'EXISTENCIA EN SUCURSALES'!J23+'DISTRIBUCIÓN EN SUCURSALES'!J23</f>
        <v>4</v>
      </c>
      <c r="K23" s="120">
        <f>'EXISTENCIA EN SUCURSALES'!K23+'DISTRIBUCIÓN EN SUCURSALES'!K23</f>
        <v>3</v>
      </c>
      <c r="L23" s="120">
        <f t="shared" si="11"/>
        <v>21</v>
      </c>
      <c r="M23" s="131">
        <f>'EXISTENCIA EN SUCURSALES'!M23+'DISTRIBUCIÓN EN SUCURSALES'!M23</f>
        <v>2</v>
      </c>
      <c r="N23" s="131">
        <f>'EXISTENCIA EN SUCURSALES'!N23+'DISTRIBUCIÓN EN SUCURSALES'!N23</f>
        <v>1</v>
      </c>
      <c r="O23" s="131">
        <f>'EXISTENCIA EN SUCURSALES'!O23+'DISTRIBUCIÓN EN SUCURSALES'!O23</f>
        <v>3</v>
      </c>
      <c r="P23" s="131">
        <f>'EXISTENCIA EN SUCURSALES'!P23+'DISTRIBUCIÓN EN SUCURSALES'!P23</f>
        <v>2</v>
      </c>
      <c r="Q23" s="131">
        <f>'EXISTENCIA EN SUCURSALES'!Q23+'DISTRIBUCIÓN EN SUCURSALES'!Q23</f>
        <v>8</v>
      </c>
      <c r="R23" s="131">
        <f>'EXISTENCIA EN SUCURSALES'!R23+'DISTRIBUCIÓN EN SUCURSALES'!R23</f>
        <v>3</v>
      </c>
      <c r="S23" s="131">
        <f>'EXISTENCIA EN SUCURSALES'!S23+'DISTRIBUCIÓN EN SUCURSALES'!S23</f>
        <v>2</v>
      </c>
      <c r="T23" s="131">
        <f>'EXISTENCIA EN SUCURSALES'!T23+'DISTRIBUCIÓN EN SUCURSALES'!T23</f>
        <v>2</v>
      </c>
      <c r="U23" s="131">
        <f>'EXISTENCIA EN SUCURSALES'!U23+'DISTRIBUCIÓN EN SUCURSALES'!U23</f>
        <v>3</v>
      </c>
      <c r="V23" s="131">
        <f>'EXISTENCIA EN SUCURSALES'!V23+'DISTRIBUCIÓN EN SUCURSALES'!V23</f>
        <v>3</v>
      </c>
      <c r="W23" s="131">
        <f>'EXISTENCIA EN SUCURSALES'!W23+'DISTRIBUCIÓN EN SUCURSALES'!W23</f>
        <v>2</v>
      </c>
      <c r="X23" s="131">
        <f>'EXISTENCIA EN SUCURSALES'!X23+'DISTRIBUCIÓN EN SUCURSALES'!X23</f>
        <v>0</v>
      </c>
      <c r="Y23" s="120">
        <f t="shared" si="12"/>
        <v>31</v>
      </c>
      <c r="Z23" s="120">
        <f t="shared" si="13"/>
        <v>52</v>
      </c>
      <c r="AB23" s="131">
        <f>IFERROR(VLOOKUP(A23,'GRAL. SUC. LOCALES'!$A:$N,14,0),0)</f>
        <v>3</v>
      </c>
      <c r="AD23" s="131">
        <f t="shared" si="10"/>
        <v>55</v>
      </c>
      <c r="AF23" s="131">
        <v>85</v>
      </c>
      <c r="AG23" s="131">
        <v>75</v>
      </c>
      <c r="AH23" s="116">
        <f t="shared" si="5"/>
        <v>-30</v>
      </c>
    </row>
    <row r="24" spans="1:34" ht="17.399999999999999" x14ac:dyDescent="0.35">
      <c r="A24" s="97" t="s">
        <v>432</v>
      </c>
      <c r="B24" s="131">
        <f>'EXISTENCIA EN SUCURSALES'!B24+'DISTRIBUCIÓN EN SUCURSALES'!B24</f>
        <v>1</v>
      </c>
      <c r="C24" s="131">
        <f>'EXISTENCIA EN SUCURSALES'!C24+'DISTRIBUCIÓN EN SUCURSALES'!C24</f>
        <v>0</v>
      </c>
      <c r="D24" s="120">
        <f>'EXISTENCIA EN SUCURSALES'!D24+'DISTRIBUCIÓN EN SUCURSALES'!D24</f>
        <v>2</v>
      </c>
      <c r="E24" s="120">
        <f>'EXISTENCIA EN SUCURSALES'!E24+'DISTRIBUCIÓN EN SUCURSALES'!E24</f>
        <v>0</v>
      </c>
      <c r="F24" s="120">
        <f>'EXISTENCIA EN SUCURSALES'!F24+'DISTRIBUCIÓN EN SUCURSALES'!F24</f>
        <v>0</v>
      </c>
      <c r="G24" s="120">
        <f>'EXISTENCIA EN SUCURSALES'!G24+'DISTRIBUCIÓN EN SUCURSALES'!G24</f>
        <v>0</v>
      </c>
      <c r="H24" s="120">
        <f>'EXISTENCIA EN SUCURSALES'!H24+'DISTRIBUCIÓN EN SUCURSALES'!H24</f>
        <v>0</v>
      </c>
      <c r="I24" s="120">
        <f>'EXISTENCIA EN SUCURSALES'!I24+'DISTRIBUCIÓN EN SUCURSALES'!I24</f>
        <v>0</v>
      </c>
      <c r="J24" s="120">
        <f>'EXISTENCIA EN SUCURSALES'!J24+'DISTRIBUCIÓN EN SUCURSALES'!J24</f>
        <v>0</v>
      </c>
      <c r="K24" s="120">
        <f>'EXISTENCIA EN SUCURSALES'!K24+'DISTRIBUCIÓN EN SUCURSALES'!K24</f>
        <v>0</v>
      </c>
      <c r="L24" s="120">
        <f t="shared" si="11"/>
        <v>3</v>
      </c>
      <c r="M24" s="131">
        <f>'EXISTENCIA EN SUCURSALES'!M24+'DISTRIBUCIÓN EN SUCURSALES'!M24</f>
        <v>4</v>
      </c>
      <c r="N24" s="131">
        <f>'EXISTENCIA EN SUCURSALES'!N24+'DISTRIBUCIÓN EN SUCURSALES'!N24</f>
        <v>1</v>
      </c>
      <c r="O24" s="131">
        <f>'EXISTENCIA EN SUCURSALES'!O24+'DISTRIBUCIÓN EN SUCURSALES'!O24</f>
        <v>0</v>
      </c>
      <c r="P24" s="131">
        <f>'EXISTENCIA EN SUCURSALES'!P24+'DISTRIBUCIÓN EN SUCURSALES'!P24</f>
        <v>0</v>
      </c>
      <c r="Q24" s="131">
        <f>'EXISTENCIA EN SUCURSALES'!Q24+'DISTRIBUCIÓN EN SUCURSALES'!Q24</f>
        <v>1</v>
      </c>
      <c r="R24" s="131">
        <f>'EXISTENCIA EN SUCURSALES'!R24+'DISTRIBUCIÓN EN SUCURSALES'!R24</f>
        <v>3</v>
      </c>
      <c r="S24" s="131">
        <f>'EXISTENCIA EN SUCURSALES'!S24+'DISTRIBUCIÓN EN SUCURSALES'!S24</f>
        <v>3</v>
      </c>
      <c r="T24" s="131">
        <f>'EXISTENCIA EN SUCURSALES'!T24+'DISTRIBUCIÓN EN SUCURSALES'!T24</f>
        <v>0</v>
      </c>
      <c r="U24" s="131">
        <f>'EXISTENCIA EN SUCURSALES'!U24+'DISTRIBUCIÓN EN SUCURSALES'!U24</f>
        <v>1</v>
      </c>
      <c r="V24" s="131">
        <f>'EXISTENCIA EN SUCURSALES'!V24+'DISTRIBUCIÓN EN SUCURSALES'!V24</f>
        <v>0</v>
      </c>
      <c r="W24" s="131">
        <f>'EXISTENCIA EN SUCURSALES'!W24+'DISTRIBUCIÓN EN SUCURSALES'!W24</f>
        <v>0</v>
      </c>
      <c r="X24" s="131">
        <f>'EXISTENCIA EN SUCURSALES'!X24+'DISTRIBUCIÓN EN SUCURSALES'!X24</f>
        <v>2</v>
      </c>
      <c r="Y24" s="120">
        <f t="shared" si="12"/>
        <v>15</v>
      </c>
      <c r="Z24" s="120">
        <f t="shared" si="13"/>
        <v>18</v>
      </c>
      <c r="AB24" s="131">
        <f>IFERROR(VLOOKUP(A24,'GRAL. SUC. LOCALES'!$A:$N,14,0),0)</f>
        <v>0</v>
      </c>
      <c r="AD24" s="131">
        <f t="shared" si="10"/>
        <v>18</v>
      </c>
      <c r="AF24" s="131">
        <v>60</v>
      </c>
      <c r="AG24" s="131">
        <v>55</v>
      </c>
      <c r="AH24" s="116">
        <f t="shared" si="5"/>
        <v>-42</v>
      </c>
    </row>
    <row r="25" spans="1:34" ht="17.399999999999999" x14ac:dyDescent="0.35">
      <c r="A25" s="97" t="s">
        <v>468</v>
      </c>
      <c r="B25" s="131">
        <f>'EXISTENCIA EN SUCURSALES'!B25+'DISTRIBUCIÓN EN SUCURSALES'!B25</f>
        <v>4</v>
      </c>
      <c r="C25" s="131">
        <f>'EXISTENCIA EN SUCURSALES'!C25+'DISTRIBUCIÓN EN SUCURSALES'!C25</f>
        <v>4</v>
      </c>
      <c r="D25" s="120">
        <f>'EXISTENCIA EN SUCURSALES'!D25+'DISTRIBUCIÓN EN SUCURSALES'!D25</f>
        <v>4</v>
      </c>
      <c r="E25" s="120">
        <f>'EXISTENCIA EN SUCURSALES'!E25+'DISTRIBUCIÓN EN SUCURSALES'!E25</f>
        <v>3</v>
      </c>
      <c r="F25" s="120">
        <f>'EXISTENCIA EN SUCURSALES'!F25+'DISTRIBUCIÓN EN SUCURSALES'!F25</f>
        <v>2</v>
      </c>
      <c r="G25" s="120">
        <f>'EXISTENCIA EN SUCURSALES'!G25+'DISTRIBUCIÓN EN SUCURSALES'!G25</f>
        <v>0</v>
      </c>
      <c r="H25" s="120">
        <f>'EXISTENCIA EN SUCURSALES'!H25+'DISTRIBUCIÓN EN SUCURSALES'!H25</f>
        <v>3</v>
      </c>
      <c r="I25" s="120">
        <f>'EXISTENCIA EN SUCURSALES'!I25+'DISTRIBUCIÓN EN SUCURSALES'!I25</f>
        <v>1</v>
      </c>
      <c r="J25" s="120">
        <f>'EXISTENCIA EN SUCURSALES'!J25+'DISTRIBUCIÓN EN SUCURSALES'!J25</f>
        <v>4</v>
      </c>
      <c r="K25" s="120">
        <f>'EXISTENCIA EN SUCURSALES'!K25+'DISTRIBUCIÓN EN SUCURSALES'!K25</f>
        <v>3</v>
      </c>
      <c r="L25" s="120">
        <f t="shared" si="11"/>
        <v>28</v>
      </c>
      <c r="M25" s="131">
        <f>'EXISTENCIA EN SUCURSALES'!M25+'DISTRIBUCIÓN EN SUCURSALES'!M25</f>
        <v>1</v>
      </c>
      <c r="N25" s="131">
        <f>'EXISTENCIA EN SUCURSALES'!N25+'DISTRIBUCIÓN EN SUCURSALES'!N25</f>
        <v>2</v>
      </c>
      <c r="O25" s="131">
        <f>'EXISTENCIA EN SUCURSALES'!O25+'DISTRIBUCIÓN EN SUCURSALES'!O25</f>
        <v>2</v>
      </c>
      <c r="P25" s="131">
        <f>'EXISTENCIA EN SUCURSALES'!P25+'DISTRIBUCIÓN EN SUCURSALES'!P25</f>
        <v>3</v>
      </c>
      <c r="Q25" s="131">
        <f>'EXISTENCIA EN SUCURSALES'!Q25+'DISTRIBUCIÓN EN SUCURSALES'!Q25</f>
        <v>3</v>
      </c>
      <c r="R25" s="131">
        <f>'EXISTENCIA EN SUCURSALES'!R25+'DISTRIBUCIÓN EN SUCURSALES'!R25</f>
        <v>4</v>
      </c>
      <c r="S25" s="131">
        <f>'EXISTENCIA EN SUCURSALES'!S25+'DISTRIBUCIÓN EN SUCURSALES'!S25</f>
        <v>1</v>
      </c>
      <c r="T25" s="131">
        <f>'EXISTENCIA EN SUCURSALES'!T25+'DISTRIBUCIÓN EN SUCURSALES'!T25</f>
        <v>2</v>
      </c>
      <c r="U25" s="131">
        <f>'EXISTENCIA EN SUCURSALES'!U25+'DISTRIBUCIÓN EN SUCURSALES'!U25</f>
        <v>0</v>
      </c>
      <c r="V25" s="131">
        <f>'EXISTENCIA EN SUCURSALES'!V25+'DISTRIBUCIÓN EN SUCURSALES'!V25</f>
        <v>3</v>
      </c>
      <c r="W25" s="131">
        <f>'EXISTENCIA EN SUCURSALES'!W25+'DISTRIBUCIÓN EN SUCURSALES'!W25</f>
        <v>2</v>
      </c>
      <c r="X25" s="131">
        <f>'EXISTENCIA EN SUCURSALES'!X25+'DISTRIBUCIÓN EN SUCURSALES'!X25</f>
        <v>3</v>
      </c>
      <c r="Y25" s="120">
        <f t="shared" si="12"/>
        <v>26</v>
      </c>
      <c r="Z25" s="120">
        <f t="shared" si="13"/>
        <v>54</v>
      </c>
      <c r="AB25" s="131">
        <f>IFERROR(VLOOKUP(A25,'GRAL. SUC. LOCALES'!$A:$N,14,0),0)</f>
        <v>34</v>
      </c>
      <c r="AD25" s="131">
        <f t="shared" si="10"/>
        <v>88</v>
      </c>
      <c r="AF25" s="131">
        <v>110</v>
      </c>
      <c r="AG25" s="131">
        <v>100</v>
      </c>
      <c r="AH25" s="116">
        <f t="shared" si="5"/>
        <v>-22</v>
      </c>
    </row>
    <row r="26" spans="1:34" ht="17.399999999999999" x14ac:dyDescent="0.35">
      <c r="A26" s="97"/>
      <c r="B26" s="131">
        <f>'EXISTENCIA EN SUCURSALES'!B26+'DISTRIBUCIÓN EN SUCURSALES'!B26</f>
        <v>0</v>
      </c>
      <c r="C26" s="131">
        <f>'EXISTENCIA EN SUCURSALES'!C26+'DISTRIBUCIÓN EN SUCURSALES'!C26</f>
        <v>0</v>
      </c>
      <c r="D26" s="120">
        <f>'EXISTENCIA EN SUCURSALES'!D26+'DISTRIBUCIÓN EN SUCURSALES'!D26</f>
        <v>0</v>
      </c>
      <c r="E26" s="120">
        <f>'EXISTENCIA EN SUCURSALES'!E26+'DISTRIBUCIÓN EN SUCURSALES'!E26</f>
        <v>0</v>
      </c>
      <c r="F26" s="120">
        <f>'EXISTENCIA EN SUCURSALES'!F26+'DISTRIBUCIÓN EN SUCURSALES'!F26</f>
        <v>0</v>
      </c>
      <c r="G26" s="120">
        <f>'EXISTENCIA EN SUCURSALES'!G26+'DISTRIBUCIÓN EN SUCURSALES'!G26</f>
        <v>0</v>
      </c>
      <c r="H26" s="120">
        <f>'EXISTENCIA EN SUCURSALES'!H26+'DISTRIBUCIÓN EN SUCURSALES'!H26</f>
        <v>0</v>
      </c>
      <c r="I26" s="120">
        <f>'EXISTENCIA EN SUCURSALES'!I26+'DISTRIBUCIÓN EN SUCURSALES'!I26</f>
        <v>0</v>
      </c>
      <c r="J26" s="120">
        <f>'EXISTENCIA EN SUCURSALES'!J26+'DISTRIBUCIÓN EN SUCURSALES'!J26</f>
        <v>0</v>
      </c>
      <c r="K26" s="120">
        <f>'EXISTENCIA EN SUCURSALES'!K26+'DISTRIBUCIÓN EN SUCURSALES'!K26</f>
        <v>0</v>
      </c>
      <c r="L26" s="120">
        <f t="shared" si="11"/>
        <v>0</v>
      </c>
      <c r="M26" s="131">
        <f>'EXISTENCIA EN SUCURSALES'!M26+'DISTRIBUCIÓN EN SUCURSALES'!M26</f>
        <v>0</v>
      </c>
      <c r="N26" s="131">
        <f>'EXISTENCIA EN SUCURSALES'!N26+'DISTRIBUCIÓN EN SUCURSALES'!N26</f>
        <v>0</v>
      </c>
      <c r="O26" s="131">
        <f>'EXISTENCIA EN SUCURSALES'!O26+'DISTRIBUCIÓN EN SUCURSALES'!O26</f>
        <v>0</v>
      </c>
      <c r="P26" s="131">
        <f>'EXISTENCIA EN SUCURSALES'!P26+'DISTRIBUCIÓN EN SUCURSALES'!P26</f>
        <v>0</v>
      </c>
      <c r="Q26" s="131">
        <f>'EXISTENCIA EN SUCURSALES'!Q26+'DISTRIBUCIÓN EN SUCURSALES'!Q26</f>
        <v>0</v>
      </c>
      <c r="R26" s="131">
        <f>'EXISTENCIA EN SUCURSALES'!R26+'DISTRIBUCIÓN EN SUCURSALES'!R26</f>
        <v>0</v>
      </c>
      <c r="S26" s="131">
        <f>'EXISTENCIA EN SUCURSALES'!S26+'DISTRIBUCIÓN EN SUCURSALES'!S26</f>
        <v>0</v>
      </c>
      <c r="T26" s="131">
        <f>'EXISTENCIA EN SUCURSALES'!T26+'DISTRIBUCIÓN EN SUCURSALES'!T26</f>
        <v>0</v>
      </c>
      <c r="U26" s="131">
        <f>'EXISTENCIA EN SUCURSALES'!U26+'DISTRIBUCIÓN EN SUCURSALES'!U26</f>
        <v>0</v>
      </c>
      <c r="V26" s="131">
        <f>'EXISTENCIA EN SUCURSALES'!V26+'DISTRIBUCIÓN EN SUCURSALES'!V26</f>
        <v>0</v>
      </c>
      <c r="W26" s="131">
        <f>'EXISTENCIA EN SUCURSALES'!W26+'DISTRIBUCIÓN EN SUCURSALES'!W26</f>
        <v>0</v>
      </c>
      <c r="X26" s="131">
        <f>'EXISTENCIA EN SUCURSALES'!X26+'DISTRIBUCIÓN EN SUCURSALES'!X26</f>
        <v>0</v>
      </c>
      <c r="Y26" s="120">
        <f t="shared" si="12"/>
        <v>0</v>
      </c>
      <c r="Z26" s="120">
        <f t="shared" si="13"/>
        <v>0</v>
      </c>
      <c r="AB26" s="131">
        <f>IFERROR(VLOOKUP(A26,'GRAL. SUC. LOCALES'!$A:$N,14,0),0)</f>
        <v>0</v>
      </c>
      <c r="AD26" s="131">
        <f t="shared" si="10"/>
        <v>0</v>
      </c>
      <c r="AF26" s="131">
        <v>0</v>
      </c>
      <c r="AG26" s="131">
        <v>0</v>
      </c>
      <c r="AH26" s="116">
        <f t="shared" si="5"/>
        <v>0</v>
      </c>
    </row>
    <row r="27" spans="1:34" ht="17.399999999999999" x14ac:dyDescent="0.35">
      <c r="A27" s="97"/>
      <c r="B27" s="131">
        <f>'EXISTENCIA EN SUCURSALES'!B27+'DISTRIBUCIÓN EN SUCURSALES'!B27</f>
        <v>0</v>
      </c>
      <c r="C27" s="131">
        <f>'EXISTENCIA EN SUCURSALES'!C27+'DISTRIBUCIÓN EN SUCURSALES'!C27</f>
        <v>0</v>
      </c>
      <c r="D27" s="120">
        <f>'EXISTENCIA EN SUCURSALES'!D27+'DISTRIBUCIÓN EN SUCURSALES'!D27</f>
        <v>0</v>
      </c>
      <c r="E27" s="120">
        <f>'EXISTENCIA EN SUCURSALES'!E27+'DISTRIBUCIÓN EN SUCURSALES'!E27</f>
        <v>0</v>
      </c>
      <c r="F27" s="120">
        <f>'EXISTENCIA EN SUCURSALES'!F27+'DISTRIBUCIÓN EN SUCURSALES'!F27</f>
        <v>0</v>
      </c>
      <c r="G27" s="120">
        <f>'EXISTENCIA EN SUCURSALES'!G27+'DISTRIBUCIÓN EN SUCURSALES'!G27</f>
        <v>0</v>
      </c>
      <c r="H27" s="120">
        <f>'EXISTENCIA EN SUCURSALES'!H27+'DISTRIBUCIÓN EN SUCURSALES'!H27</f>
        <v>0</v>
      </c>
      <c r="I27" s="120">
        <f>'EXISTENCIA EN SUCURSALES'!I27+'DISTRIBUCIÓN EN SUCURSALES'!I27</f>
        <v>0</v>
      </c>
      <c r="J27" s="120">
        <f>'EXISTENCIA EN SUCURSALES'!J27+'DISTRIBUCIÓN EN SUCURSALES'!J27</f>
        <v>0</v>
      </c>
      <c r="K27" s="120">
        <f>'EXISTENCIA EN SUCURSALES'!K27+'DISTRIBUCIÓN EN SUCURSALES'!K27</f>
        <v>0</v>
      </c>
      <c r="L27" s="120">
        <f t="shared" si="11"/>
        <v>0</v>
      </c>
      <c r="M27" s="131">
        <f>'EXISTENCIA EN SUCURSALES'!M27+'DISTRIBUCIÓN EN SUCURSALES'!M27</f>
        <v>0</v>
      </c>
      <c r="N27" s="131">
        <f>'EXISTENCIA EN SUCURSALES'!N27+'DISTRIBUCIÓN EN SUCURSALES'!N27</f>
        <v>0</v>
      </c>
      <c r="O27" s="131">
        <f>'EXISTENCIA EN SUCURSALES'!O27+'DISTRIBUCIÓN EN SUCURSALES'!O27</f>
        <v>0</v>
      </c>
      <c r="P27" s="131">
        <f>'EXISTENCIA EN SUCURSALES'!P27+'DISTRIBUCIÓN EN SUCURSALES'!P27</f>
        <v>0</v>
      </c>
      <c r="Q27" s="131">
        <f>'EXISTENCIA EN SUCURSALES'!Q27+'DISTRIBUCIÓN EN SUCURSALES'!Q27</f>
        <v>0</v>
      </c>
      <c r="R27" s="131">
        <f>'EXISTENCIA EN SUCURSALES'!R27+'DISTRIBUCIÓN EN SUCURSALES'!R27</f>
        <v>0</v>
      </c>
      <c r="S27" s="131">
        <f>'EXISTENCIA EN SUCURSALES'!S27+'DISTRIBUCIÓN EN SUCURSALES'!S27</f>
        <v>0</v>
      </c>
      <c r="T27" s="131">
        <f>'EXISTENCIA EN SUCURSALES'!T27+'DISTRIBUCIÓN EN SUCURSALES'!T27</f>
        <v>0</v>
      </c>
      <c r="U27" s="131">
        <f>'EXISTENCIA EN SUCURSALES'!U27+'DISTRIBUCIÓN EN SUCURSALES'!U27</f>
        <v>0</v>
      </c>
      <c r="V27" s="131">
        <f>'EXISTENCIA EN SUCURSALES'!V27+'DISTRIBUCIÓN EN SUCURSALES'!V27</f>
        <v>0</v>
      </c>
      <c r="W27" s="131">
        <f>'EXISTENCIA EN SUCURSALES'!W27+'DISTRIBUCIÓN EN SUCURSALES'!W27</f>
        <v>0</v>
      </c>
      <c r="X27" s="131">
        <f>'EXISTENCIA EN SUCURSALES'!X27+'DISTRIBUCIÓN EN SUCURSALES'!X27</f>
        <v>0</v>
      </c>
      <c r="Y27" s="120">
        <f t="shared" si="12"/>
        <v>0</v>
      </c>
      <c r="Z27" s="120">
        <f t="shared" si="13"/>
        <v>0</v>
      </c>
      <c r="AB27" s="131">
        <f>IFERROR(VLOOKUP(A27,'GRAL. SUC. LOCALES'!$A:$N,14,0),0)</f>
        <v>0</v>
      </c>
      <c r="AD27" s="131">
        <f t="shared" si="10"/>
        <v>0</v>
      </c>
      <c r="AF27" s="131"/>
      <c r="AG27" s="131">
        <v>0</v>
      </c>
      <c r="AH27" s="116">
        <f t="shared" si="5"/>
        <v>0</v>
      </c>
    </row>
    <row r="28" spans="1:34" ht="17.399999999999999" x14ac:dyDescent="0.35">
      <c r="A28" s="97"/>
      <c r="B28" s="131">
        <f>'EXISTENCIA EN SUCURSALES'!B28+'DISTRIBUCIÓN EN SUCURSALES'!B28</f>
        <v>0</v>
      </c>
      <c r="C28" s="131">
        <f>'EXISTENCIA EN SUCURSALES'!C28+'DISTRIBUCIÓN EN SUCURSALES'!C28</f>
        <v>0</v>
      </c>
      <c r="D28" s="120">
        <f>'EXISTENCIA EN SUCURSALES'!D28+'DISTRIBUCIÓN EN SUCURSALES'!D28</f>
        <v>0</v>
      </c>
      <c r="E28" s="120">
        <f>'EXISTENCIA EN SUCURSALES'!E28+'DISTRIBUCIÓN EN SUCURSALES'!E28</f>
        <v>0</v>
      </c>
      <c r="F28" s="120">
        <f>'EXISTENCIA EN SUCURSALES'!F28+'DISTRIBUCIÓN EN SUCURSALES'!F28</f>
        <v>0</v>
      </c>
      <c r="G28" s="120">
        <f>'EXISTENCIA EN SUCURSALES'!G28+'DISTRIBUCIÓN EN SUCURSALES'!G28</f>
        <v>0</v>
      </c>
      <c r="H28" s="120">
        <f>'EXISTENCIA EN SUCURSALES'!H28+'DISTRIBUCIÓN EN SUCURSALES'!H28</f>
        <v>0</v>
      </c>
      <c r="I28" s="120">
        <f>'EXISTENCIA EN SUCURSALES'!I28+'DISTRIBUCIÓN EN SUCURSALES'!I28</f>
        <v>0</v>
      </c>
      <c r="J28" s="120">
        <f>'EXISTENCIA EN SUCURSALES'!J28+'DISTRIBUCIÓN EN SUCURSALES'!J28</f>
        <v>0</v>
      </c>
      <c r="K28" s="120">
        <f>'EXISTENCIA EN SUCURSALES'!K28+'DISTRIBUCIÓN EN SUCURSALES'!K28</f>
        <v>0</v>
      </c>
      <c r="L28" s="120">
        <f t="shared" si="11"/>
        <v>0</v>
      </c>
      <c r="M28" s="131">
        <f>'EXISTENCIA EN SUCURSALES'!M28+'DISTRIBUCIÓN EN SUCURSALES'!M28</f>
        <v>0</v>
      </c>
      <c r="N28" s="131">
        <f>'EXISTENCIA EN SUCURSALES'!N28+'DISTRIBUCIÓN EN SUCURSALES'!N28</f>
        <v>0</v>
      </c>
      <c r="O28" s="131">
        <f>'EXISTENCIA EN SUCURSALES'!O28+'DISTRIBUCIÓN EN SUCURSALES'!O28</f>
        <v>0</v>
      </c>
      <c r="P28" s="131">
        <f>'EXISTENCIA EN SUCURSALES'!P28+'DISTRIBUCIÓN EN SUCURSALES'!P28</f>
        <v>0</v>
      </c>
      <c r="Q28" s="131">
        <f>'EXISTENCIA EN SUCURSALES'!Q28+'DISTRIBUCIÓN EN SUCURSALES'!Q28</f>
        <v>0</v>
      </c>
      <c r="R28" s="131">
        <f>'EXISTENCIA EN SUCURSALES'!R28+'DISTRIBUCIÓN EN SUCURSALES'!R28</f>
        <v>0</v>
      </c>
      <c r="S28" s="131">
        <f>'EXISTENCIA EN SUCURSALES'!S28+'DISTRIBUCIÓN EN SUCURSALES'!S28</f>
        <v>0</v>
      </c>
      <c r="T28" s="131">
        <f>'EXISTENCIA EN SUCURSALES'!T28+'DISTRIBUCIÓN EN SUCURSALES'!T28</f>
        <v>0</v>
      </c>
      <c r="U28" s="131">
        <f>'EXISTENCIA EN SUCURSALES'!U28+'DISTRIBUCIÓN EN SUCURSALES'!U28</f>
        <v>0</v>
      </c>
      <c r="V28" s="131">
        <f>'EXISTENCIA EN SUCURSALES'!V28+'DISTRIBUCIÓN EN SUCURSALES'!V28</f>
        <v>0</v>
      </c>
      <c r="W28" s="131">
        <f>'EXISTENCIA EN SUCURSALES'!W28+'DISTRIBUCIÓN EN SUCURSALES'!W28</f>
        <v>0</v>
      </c>
      <c r="X28" s="131">
        <f>'EXISTENCIA EN SUCURSALES'!X28+'DISTRIBUCIÓN EN SUCURSALES'!X28</f>
        <v>0</v>
      </c>
      <c r="Y28" s="120">
        <f t="shared" si="12"/>
        <v>0</v>
      </c>
      <c r="Z28" s="120">
        <f t="shared" si="13"/>
        <v>0</v>
      </c>
      <c r="AB28" s="131">
        <f>IFERROR(VLOOKUP(A28,'GRAL. SUC. LOCALES'!$A:$N,14,0),0)</f>
        <v>0</v>
      </c>
      <c r="AD28" s="131">
        <f t="shared" si="10"/>
        <v>0</v>
      </c>
      <c r="AF28" s="131"/>
      <c r="AG28" s="131">
        <v>0</v>
      </c>
      <c r="AH28" s="116">
        <f t="shared" si="5"/>
        <v>0</v>
      </c>
    </row>
    <row r="29" spans="1:34" ht="17.399999999999999" x14ac:dyDescent="0.35">
      <c r="A29" s="97"/>
      <c r="B29" s="131">
        <f>'EXISTENCIA EN SUCURSALES'!B29+'DISTRIBUCIÓN EN SUCURSALES'!B29</f>
        <v>0</v>
      </c>
      <c r="C29" s="131">
        <f>'EXISTENCIA EN SUCURSALES'!C29+'DISTRIBUCIÓN EN SUCURSALES'!C29</f>
        <v>0</v>
      </c>
      <c r="D29" s="120">
        <f>'EXISTENCIA EN SUCURSALES'!D29+'DISTRIBUCIÓN EN SUCURSALES'!D29</f>
        <v>0</v>
      </c>
      <c r="E29" s="120">
        <f>'EXISTENCIA EN SUCURSALES'!E29+'DISTRIBUCIÓN EN SUCURSALES'!E29</f>
        <v>0</v>
      </c>
      <c r="F29" s="120">
        <f>'EXISTENCIA EN SUCURSALES'!F29+'DISTRIBUCIÓN EN SUCURSALES'!F29</f>
        <v>0</v>
      </c>
      <c r="G29" s="120">
        <f>'EXISTENCIA EN SUCURSALES'!G29+'DISTRIBUCIÓN EN SUCURSALES'!G29</f>
        <v>0</v>
      </c>
      <c r="H29" s="120">
        <f>'EXISTENCIA EN SUCURSALES'!H29+'DISTRIBUCIÓN EN SUCURSALES'!H29</f>
        <v>0</v>
      </c>
      <c r="I29" s="120">
        <f>'EXISTENCIA EN SUCURSALES'!I29+'DISTRIBUCIÓN EN SUCURSALES'!I29</f>
        <v>0</v>
      </c>
      <c r="J29" s="120">
        <f>'EXISTENCIA EN SUCURSALES'!J29+'DISTRIBUCIÓN EN SUCURSALES'!J29</f>
        <v>0</v>
      </c>
      <c r="K29" s="120">
        <f>'EXISTENCIA EN SUCURSALES'!K29+'DISTRIBUCIÓN EN SUCURSALES'!K29</f>
        <v>0</v>
      </c>
      <c r="L29" s="120">
        <f t="shared" si="11"/>
        <v>0</v>
      </c>
      <c r="M29" s="131">
        <f>'EXISTENCIA EN SUCURSALES'!M29+'DISTRIBUCIÓN EN SUCURSALES'!M29</f>
        <v>0</v>
      </c>
      <c r="N29" s="131">
        <f>'EXISTENCIA EN SUCURSALES'!N29+'DISTRIBUCIÓN EN SUCURSALES'!N29</f>
        <v>0</v>
      </c>
      <c r="O29" s="131">
        <f>'EXISTENCIA EN SUCURSALES'!O29+'DISTRIBUCIÓN EN SUCURSALES'!O29</f>
        <v>0</v>
      </c>
      <c r="P29" s="131">
        <f>'EXISTENCIA EN SUCURSALES'!P29+'DISTRIBUCIÓN EN SUCURSALES'!P29</f>
        <v>0</v>
      </c>
      <c r="Q29" s="131">
        <f>'EXISTENCIA EN SUCURSALES'!Q29+'DISTRIBUCIÓN EN SUCURSALES'!Q29</f>
        <v>0</v>
      </c>
      <c r="R29" s="131">
        <f>'EXISTENCIA EN SUCURSALES'!R29+'DISTRIBUCIÓN EN SUCURSALES'!R29</f>
        <v>0</v>
      </c>
      <c r="S29" s="131">
        <f>'EXISTENCIA EN SUCURSALES'!S29+'DISTRIBUCIÓN EN SUCURSALES'!S29</f>
        <v>0</v>
      </c>
      <c r="T29" s="131">
        <f>'EXISTENCIA EN SUCURSALES'!T29+'DISTRIBUCIÓN EN SUCURSALES'!T29</f>
        <v>0</v>
      </c>
      <c r="U29" s="131">
        <f>'EXISTENCIA EN SUCURSALES'!U29+'DISTRIBUCIÓN EN SUCURSALES'!U29</f>
        <v>0</v>
      </c>
      <c r="V29" s="131">
        <f>'EXISTENCIA EN SUCURSALES'!V29+'DISTRIBUCIÓN EN SUCURSALES'!V29</f>
        <v>0</v>
      </c>
      <c r="W29" s="131">
        <f>'EXISTENCIA EN SUCURSALES'!W29+'DISTRIBUCIÓN EN SUCURSALES'!W29</f>
        <v>0</v>
      </c>
      <c r="X29" s="131">
        <f>'EXISTENCIA EN SUCURSALES'!X29+'DISTRIBUCIÓN EN SUCURSALES'!X29</f>
        <v>0</v>
      </c>
      <c r="Y29" s="120">
        <f t="shared" si="12"/>
        <v>0</v>
      </c>
      <c r="Z29" s="120">
        <f t="shared" si="13"/>
        <v>0</v>
      </c>
      <c r="AB29" s="131">
        <f>IFERROR(VLOOKUP(A29,'GRAL. SUC. LOCALES'!$A:$N,14,0),0)</f>
        <v>0</v>
      </c>
      <c r="AD29" s="131">
        <f t="shared" si="10"/>
        <v>0</v>
      </c>
      <c r="AF29" s="131"/>
      <c r="AG29" s="131">
        <v>0</v>
      </c>
      <c r="AH29" s="116">
        <f t="shared" si="5"/>
        <v>0</v>
      </c>
    </row>
    <row r="30" spans="1:34" ht="17.399999999999999" x14ac:dyDescent="0.35">
      <c r="A30" s="97"/>
      <c r="B30" s="131">
        <f>'EXISTENCIA EN SUCURSALES'!B30+'DISTRIBUCIÓN EN SUCURSALES'!B30</f>
        <v>0</v>
      </c>
      <c r="C30" s="131">
        <f>'EXISTENCIA EN SUCURSALES'!C30+'DISTRIBUCIÓN EN SUCURSALES'!C30</f>
        <v>0</v>
      </c>
      <c r="D30" s="120">
        <f>'EXISTENCIA EN SUCURSALES'!D30+'DISTRIBUCIÓN EN SUCURSALES'!D30</f>
        <v>0</v>
      </c>
      <c r="E30" s="120">
        <f>'EXISTENCIA EN SUCURSALES'!E30+'DISTRIBUCIÓN EN SUCURSALES'!E30</f>
        <v>0</v>
      </c>
      <c r="F30" s="120">
        <f>'EXISTENCIA EN SUCURSALES'!F30+'DISTRIBUCIÓN EN SUCURSALES'!F30</f>
        <v>0</v>
      </c>
      <c r="G30" s="120">
        <f>'EXISTENCIA EN SUCURSALES'!G30+'DISTRIBUCIÓN EN SUCURSALES'!G30</f>
        <v>0</v>
      </c>
      <c r="H30" s="120">
        <f>'EXISTENCIA EN SUCURSALES'!H30+'DISTRIBUCIÓN EN SUCURSALES'!H30</f>
        <v>0</v>
      </c>
      <c r="I30" s="120">
        <f>'EXISTENCIA EN SUCURSALES'!I30+'DISTRIBUCIÓN EN SUCURSALES'!I30</f>
        <v>0</v>
      </c>
      <c r="J30" s="120">
        <f>'EXISTENCIA EN SUCURSALES'!J30+'DISTRIBUCIÓN EN SUCURSALES'!J30</f>
        <v>0</v>
      </c>
      <c r="K30" s="120">
        <f>'EXISTENCIA EN SUCURSALES'!K30+'DISTRIBUCIÓN EN SUCURSALES'!K30</f>
        <v>0</v>
      </c>
      <c r="L30" s="120">
        <f t="shared" si="11"/>
        <v>0</v>
      </c>
      <c r="M30" s="131">
        <f>'EXISTENCIA EN SUCURSALES'!M30+'DISTRIBUCIÓN EN SUCURSALES'!M30</f>
        <v>0</v>
      </c>
      <c r="N30" s="131">
        <f>'EXISTENCIA EN SUCURSALES'!N30+'DISTRIBUCIÓN EN SUCURSALES'!N30</f>
        <v>0</v>
      </c>
      <c r="O30" s="131">
        <f>'EXISTENCIA EN SUCURSALES'!O30+'DISTRIBUCIÓN EN SUCURSALES'!O30</f>
        <v>0</v>
      </c>
      <c r="P30" s="131">
        <f>'EXISTENCIA EN SUCURSALES'!P30+'DISTRIBUCIÓN EN SUCURSALES'!P30</f>
        <v>0</v>
      </c>
      <c r="Q30" s="131">
        <f>'EXISTENCIA EN SUCURSALES'!Q30+'DISTRIBUCIÓN EN SUCURSALES'!Q30</f>
        <v>0</v>
      </c>
      <c r="R30" s="131">
        <f>'EXISTENCIA EN SUCURSALES'!R30+'DISTRIBUCIÓN EN SUCURSALES'!R30</f>
        <v>0</v>
      </c>
      <c r="S30" s="131">
        <f>'EXISTENCIA EN SUCURSALES'!S30+'DISTRIBUCIÓN EN SUCURSALES'!S30</f>
        <v>0</v>
      </c>
      <c r="T30" s="131">
        <f>'EXISTENCIA EN SUCURSALES'!T30+'DISTRIBUCIÓN EN SUCURSALES'!T30</f>
        <v>0</v>
      </c>
      <c r="U30" s="131">
        <f>'EXISTENCIA EN SUCURSALES'!U30+'DISTRIBUCIÓN EN SUCURSALES'!U30</f>
        <v>0</v>
      </c>
      <c r="V30" s="131">
        <f>'EXISTENCIA EN SUCURSALES'!V30+'DISTRIBUCIÓN EN SUCURSALES'!V30</f>
        <v>0</v>
      </c>
      <c r="W30" s="131">
        <f>'EXISTENCIA EN SUCURSALES'!W30+'DISTRIBUCIÓN EN SUCURSALES'!W30</f>
        <v>0</v>
      </c>
      <c r="X30" s="131">
        <f>'EXISTENCIA EN SUCURSALES'!X30+'DISTRIBUCIÓN EN SUCURSALES'!X30</f>
        <v>0</v>
      </c>
      <c r="Y30" s="120">
        <f t="shared" si="12"/>
        <v>0</v>
      </c>
      <c r="Z30" s="120">
        <f t="shared" si="13"/>
        <v>0</v>
      </c>
      <c r="AB30" s="131">
        <f>IFERROR(VLOOKUP(A30,'GRAL. SUC. LOCALES'!$A:$N,14,0),0)</f>
        <v>0</v>
      </c>
      <c r="AD30" s="131">
        <f t="shared" si="10"/>
        <v>0</v>
      </c>
      <c r="AF30" s="131"/>
      <c r="AG30" s="131">
        <v>0</v>
      </c>
      <c r="AH30" s="116">
        <f t="shared" si="5"/>
        <v>0</v>
      </c>
    </row>
    <row r="31" spans="1:34" ht="18" thickBot="1" x14ac:dyDescent="0.4">
      <c r="A31" s="97"/>
      <c r="B31" s="131">
        <f>'EXISTENCIA EN SUCURSALES'!B31+'DISTRIBUCIÓN EN SUCURSALES'!B31</f>
        <v>0</v>
      </c>
      <c r="C31" s="131">
        <f>'EXISTENCIA EN SUCURSALES'!C31+'DISTRIBUCIÓN EN SUCURSALES'!C31</f>
        <v>0</v>
      </c>
      <c r="D31" s="120">
        <f>'EXISTENCIA EN SUCURSALES'!D31+'DISTRIBUCIÓN EN SUCURSALES'!D31</f>
        <v>0</v>
      </c>
      <c r="E31" s="120">
        <f>'EXISTENCIA EN SUCURSALES'!E31+'DISTRIBUCIÓN EN SUCURSALES'!E31</f>
        <v>0</v>
      </c>
      <c r="F31" s="120">
        <f>'EXISTENCIA EN SUCURSALES'!F31+'DISTRIBUCIÓN EN SUCURSALES'!F31</f>
        <v>0</v>
      </c>
      <c r="G31" s="120">
        <f>'EXISTENCIA EN SUCURSALES'!G31+'DISTRIBUCIÓN EN SUCURSALES'!G31</f>
        <v>0</v>
      </c>
      <c r="H31" s="120">
        <f>'EXISTENCIA EN SUCURSALES'!H31+'DISTRIBUCIÓN EN SUCURSALES'!H31</f>
        <v>0</v>
      </c>
      <c r="I31" s="120">
        <f>'EXISTENCIA EN SUCURSALES'!I31+'DISTRIBUCIÓN EN SUCURSALES'!I31</f>
        <v>0</v>
      </c>
      <c r="J31" s="120">
        <f>'EXISTENCIA EN SUCURSALES'!J31+'DISTRIBUCIÓN EN SUCURSALES'!J31</f>
        <v>0</v>
      </c>
      <c r="K31" s="120">
        <f>'EXISTENCIA EN SUCURSALES'!K31+'DISTRIBUCIÓN EN SUCURSALES'!K31</f>
        <v>0</v>
      </c>
      <c r="L31" s="120">
        <f t="shared" si="11"/>
        <v>0</v>
      </c>
      <c r="M31" s="131">
        <f>'EXISTENCIA EN SUCURSALES'!M31+'DISTRIBUCIÓN EN SUCURSALES'!M31</f>
        <v>0</v>
      </c>
      <c r="N31" s="131">
        <f>'EXISTENCIA EN SUCURSALES'!N31+'DISTRIBUCIÓN EN SUCURSALES'!N31</f>
        <v>0</v>
      </c>
      <c r="O31" s="131">
        <f>'EXISTENCIA EN SUCURSALES'!O31+'DISTRIBUCIÓN EN SUCURSALES'!O31</f>
        <v>0</v>
      </c>
      <c r="P31" s="131">
        <f>'EXISTENCIA EN SUCURSALES'!P31+'DISTRIBUCIÓN EN SUCURSALES'!P31</f>
        <v>0</v>
      </c>
      <c r="Q31" s="131">
        <f>'EXISTENCIA EN SUCURSALES'!Q31+'DISTRIBUCIÓN EN SUCURSALES'!Q31</f>
        <v>0</v>
      </c>
      <c r="R31" s="131">
        <f>'EXISTENCIA EN SUCURSALES'!R31+'DISTRIBUCIÓN EN SUCURSALES'!R31</f>
        <v>0</v>
      </c>
      <c r="S31" s="131">
        <f>'EXISTENCIA EN SUCURSALES'!S31+'DISTRIBUCIÓN EN SUCURSALES'!S31</f>
        <v>0</v>
      </c>
      <c r="T31" s="131">
        <f>'EXISTENCIA EN SUCURSALES'!T31+'DISTRIBUCIÓN EN SUCURSALES'!T31</f>
        <v>0</v>
      </c>
      <c r="U31" s="131">
        <f>'EXISTENCIA EN SUCURSALES'!U31+'DISTRIBUCIÓN EN SUCURSALES'!U31</f>
        <v>0</v>
      </c>
      <c r="V31" s="131">
        <f>'EXISTENCIA EN SUCURSALES'!V31+'DISTRIBUCIÓN EN SUCURSALES'!V31</f>
        <v>0</v>
      </c>
      <c r="W31" s="131">
        <f>'EXISTENCIA EN SUCURSALES'!W31+'DISTRIBUCIÓN EN SUCURSALES'!W31</f>
        <v>0</v>
      </c>
      <c r="X31" s="131">
        <f>'EXISTENCIA EN SUCURSALES'!X31+'DISTRIBUCIÓN EN SUCURSALES'!X31</f>
        <v>0</v>
      </c>
      <c r="Y31" s="120">
        <f t="shared" si="12"/>
        <v>0</v>
      </c>
      <c r="Z31" s="120">
        <f t="shared" si="13"/>
        <v>0</v>
      </c>
      <c r="AB31" s="131">
        <f>IFERROR(VLOOKUP(A31,'GRAL. SUC. LOCALES'!$A:$N,14,0),0)</f>
        <v>0</v>
      </c>
      <c r="AD31" s="131">
        <f t="shared" si="10"/>
        <v>0</v>
      </c>
      <c r="AF31" s="131"/>
      <c r="AG31" s="131">
        <v>0</v>
      </c>
      <c r="AH31" s="116">
        <f t="shared" si="5"/>
        <v>0</v>
      </c>
    </row>
    <row r="32" spans="1:34" ht="18" thickBot="1" x14ac:dyDescent="0.4">
      <c r="A32" s="98" t="s">
        <v>13</v>
      </c>
      <c r="B32" s="122">
        <f>SUM(B19:B31)</f>
        <v>15</v>
      </c>
      <c r="C32" s="122">
        <f t="shared" ref="C32:Z32" si="14">SUM(C19:C31)</f>
        <v>16</v>
      </c>
      <c r="D32" s="122">
        <f t="shared" si="14"/>
        <v>18</v>
      </c>
      <c r="E32" s="122">
        <f t="shared" si="14"/>
        <v>10</v>
      </c>
      <c r="F32" s="122">
        <f t="shared" si="14"/>
        <v>11</v>
      </c>
      <c r="G32" s="122">
        <f t="shared" si="14"/>
        <v>0</v>
      </c>
      <c r="H32" s="122">
        <f t="shared" si="14"/>
        <v>10</v>
      </c>
      <c r="I32" s="122">
        <f t="shared" si="14"/>
        <v>6</v>
      </c>
      <c r="J32" s="122">
        <f t="shared" si="14"/>
        <v>19</v>
      </c>
      <c r="K32" s="122">
        <f t="shared" si="14"/>
        <v>13</v>
      </c>
      <c r="L32" s="122">
        <f t="shared" si="14"/>
        <v>118</v>
      </c>
      <c r="M32" s="122">
        <f t="shared" si="14"/>
        <v>19</v>
      </c>
      <c r="N32" s="122">
        <f t="shared" si="14"/>
        <v>9</v>
      </c>
      <c r="O32" s="122">
        <f t="shared" si="14"/>
        <v>10</v>
      </c>
      <c r="P32" s="122">
        <f t="shared" si="14"/>
        <v>14</v>
      </c>
      <c r="Q32" s="122">
        <f t="shared" si="14"/>
        <v>26</v>
      </c>
      <c r="R32" s="122">
        <f t="shared" si="14"/>
        <v>23</v>
      </c>
      <c r="S32" s="122">
        <f t="shared" si="14"/>
        <v>20</v>
      </c>
      <c r="T32" s="122">
        <f t="shared" si="14"/>
        <v>15</v>
      </c>
      <c r="U32" s="122">
        <f t="shared" ref="U32:V32" si="15">SUM(U19:U31)</f>
        <v>4</v>
      </c>
      <c r="V32" s="122">
        <f t="shared" si="15"/>
        <v>16</v>
      </c>
      <c r="W32" s="122">
        <f t="shared" si="14"/>
        <v>14</v>
      </c>
      <c r="X32" s="122">
        <f t="shared" ref="X32" si="16">SUM(X19:X31)</f>
        <v>12</v>
      </c>
      <c r="Y32" s="122">
        <f t="shared" si="14"/>
        <v>182</v>
      </c>
      <c r="Z32" s="122">
        <f t="shared" si="14"/>
        <v>300</v>
      </c>
      <c r="AB32" s="122">
        <f t="shared" ref="AB32" si="17">SUM(AB19:AB31)</f>
        <v>79</v>
      </c>
      <c r="AD32" s="122">
        <f t="shared" si="10"/>
        <v>379</v>
      </c>
      <c r="AF32" s="122">
        <f>SUM(AF19:AF31)</f>
        <v>520</v>
      </c>
      <c r="AG32" s="122">
        <f>SUM(AG19:AG31)</f>
        <v>480</v>
      </c>
      <c r="AH32" s="116">
        <f t="shared" si="5"/>
        <v>-141</v>
      </c>
    </row>
    <row r="33" spans="1:34" ht="17.399999999999999" x14ac:dyDescent="0.35">
      <c r="A33" s="97" t="s">
        <v>14</v>
      </c>
      <c r="B33" s="131">
        <f>'EXISTENCIA EN SUCURSALES'!B33+'DISTRIBUCIÓN EN SUCURSALES'!B33</f>
        <v>3</v>
      </c>
      <c r="C33" s="131">
        <f>'EXISTENCIA EN SUCURSALES'!C33+'DISTRIBUCIÓN EN SUCURSALES'!C33</f>
        <v>3</v>
      </c>
      <c r="D33" s="120">
        <f>'EXISTENCIA EN SUCURSALES'!D33+'DISTRIBUCIÓN EN SUCURSALES'!D33</f>
        <v>2</v>
      </c>
      <c r="E33" s="120">
        <f>'EXISTENCIA EN SUCURSALES'!E33+'DISTRIBUCIÓN EN SUCURSALES'!E33</f>
        <v>2</v>
      </c>
      <c r="F33" s="120">
        <f>'EXISTENCIA EN SUCURSALES'!F33+'DISTRIBUCIÓN EN SUCURSALES'!F33</f>
        <v>2</v>
      </c>
      <c r="G33" s="120">
        <f>'EXISTENCIA EN SUCURSALES'!G33+'DISTRIBUCIÓN EN SUCURSALES'!G33</f>
        <v>0</v>
      </c>
      <c r="H33" s="120">
        <f>'EXISTENCIA EN SUCURSALES'!H33+'DISTRIBUCIÓN EN SUCURSALES'!H33</f>
        <v>2</v>
      </c>
      <c r="I33" s="120">
        <f>'EXISTENCIA EN SUCURSALES'!I33+'DISTRIBUCIÓN EN SUCURSALES'!I33</f>
        <v>1</v>
      </c>
      <c r="J33" s="120">
        <f>'EXISTENCIA EN SUCURSALES'!J33+'DISTRIBUCIÓN EN SUCURSALES'!J33</f>
        <v>2</v>
      </c>
      <c r="K33" s="120">
        <f>'EXISTENCIA EN SUCURSALES'!K33+'DISTRIBUCIÓN EN SUCURSALES'!K33</f>
        <v>2</v>
      </c>
      <c r="L33" s="120">
        <f t="shared" ref="L33:L48" si="18">SUM(B33:K33)</f>
        <v>19</v>
      </c>
      <c r="M33" s="131">
        <f>'EXISTENCIA EN SUCURSALES'!M33+'DISTRIBUCIÓN EN SUCURSALES'!M33</f>
        <v>3</v>
      </c>
      <c r="N33" s="131">
        <f>'EXISTENCIA EN SUCURSALES'!N33+'DISTRIBUCIÓN EN SUCURSALES'!N33</f>
        <v>1</v>
      </c>
      <c r="O33" s="131">
        <f>'EXISTENCIA EN SUCURSALES'!O33+'DISTRIBUCIÓN EN SUCURSALES'!O33</f>
        <v>0</v>
      </c>
      <c r="P33" s="131">
        <f>'EXISTENCIA EN SUCURSALES'!P33+'DISTRIBUCIÓN EN SUCURSALES'!P33</f>
        <v>0</v>
      </c>
      <c r="Q33" s="131">
        <f>'EXISTENCIA EN SUCURSALES'!Q33+'DISTRIBUCIÓN EN SUCURSALES'!Q33</f>
        <v>2</v>
      </c>
      <c r="R33" s="131">
        <f>'EXISTENCIA EN SUCURSALES'!R33+'DISTRIBUCIÓN EN SUCURSALES'!R33</f>
        <v>1</v>
      </c>
      <c r="S33" s="131">
        <f>'EXISTENCIA EN SUCURSALES'!S33+'DISTRIBUCIÓN EN SUCURSALES'!S33</f>
        <v>4</v>
      </c>
      <c r="T33" s="131">
        <f>'EXISTENCIA EN SUCURSALES'!T33+'DISTRIBUCIÓN EN SUCURSALES'!T33</f>
        <v>4</v>
      </c>
      <c r="U33" s="131">
        <f>'EXISTENCIA EN SUCURSALES'!U33+'DISTRIBUCIÓN EN SUCURSALES'!U33</f>
        <v>0</v>
      </c>
      <c r="V33" s="131">
        <f>'EXISTENCIA EN SUCURSALES'!V33+'DISTRIBUCIÓN EN SUCURSALES'!V33</f>
        <v>0</v>
      </c>
      <c r="W33" s="131">
        <f>'EXISTENCIA EN SUCURSALES'!W33+'DISTRIBUCIÓN EN SUCURSALES'!W33</f>
        <v>1</v>
      </c>
      <c r="X33" s="131">
        <f>'EXISTENCIA EN SUCURSALES'!X33+'DISTRIBUCIÓN EN SUCURSALES'!X33</f>
        <v>0</v>
      </c>
      <c r="Y33" s="120">
        <f t="shared" ref="Y33:Y48" si="19">SUM(M33:X33)</f>
        <v>16</v>
      </c>
      <c r="Z33" s="120">
        <f t="shared" ref="Z33:Z48" si="20">L33+Y33</f>
        <v>35</v>
      </c>
      <c r="AB33" s="131">
        <f>IFERROR(VLOOKUP(A33,'GRAL. SUC. LOCALES'!$A:$N,14,0),0)</f>
        <v>5</v>
      </c>
      <c r="AD33" s="131">
        <f t="shared" si="10"/>
        <v>40</v>
      </c>
      <c r="AF33" s="131">
        <v>55</v>
      </c>
      <c r="AG33" s="131">
        <v>50</v>
      </c>
      <c r="AH33" s="116">
        <f t="shared" si="5"/>
        <v>-15</v>
      </c>
    </row>
    <row r="34" spans="1:34" ht="17.399999999999999" x14ac:dyDescent="0.35">
      <c r="A34" s="97" t="s">
        <v>15</v>
      </c>
      <c r="B34" s="131">
        <f>'EXISTENCIA EN SUCURSALES'!B34+'DISTRIBUCIÓN EN SUCURSALES'!B34</f>
        <v>3</v>
      </c>
      <c r="C34" s="131">
        <f>'EXISTENCIA EN SUCURSALES'!C34+'DISTRIBUCIÓN EN SUCURSALES'!C34</f>
        <v>2</v>
      </c>
      <c r="D34" s="120">
        <f>'EXISTENCIA EN SUCURSALES'!D34+'DISTRIBUCIÓN EN SUCURSALES'!D34</f>
        <v>2</v>
      </c>
      <c r="E34" s="120">
        <f>'EXISTENCIA EN SUCURSALES'!E34+'DISTRIBUCIÓN EN SUCURSALES'!E34</f>
        <v>1</v>
      </c>
      <c r="F34" s="120">
        <f>'EXISTENCIA EN SUCURSALES'!F34+'DISTRIBUCIÓN EN SUCURSALES'!F34</f>
        <v>2</v>
      </c>
      <c r="G34" s="120">
        <f>'EXISTENCIA EN SUCURSALES'!G34+'DISTRIBUCIÓN EN SUCURSALES'!G34</f>
        <v>0</v>
      </c>
      <c r="H34" s="120">
        <f>'EXISTENCIA EN SUCURSALES'!H34+'DISTRIBUCIÓN EN SUCURSALES'!H34</f>
        <v>2</v>
      </c>
      <c r="I34" s="120">
        <f>'EXISTENCIA EN SUCURSALES'!I34+'DISTRIBUCIÓN EN SUCURSALES'!I34</f>
        <v>1</v>
      </c>
      <c r="J34" s="120">
        <f>'EXISTENCIA EN SUCURSALES'!J34+'DISTRIBUCIÓN EN SUCURSALES'!J34</f>
        <v>2</v>
      </c>
      <c r="K34" s="120">
        <f>'EXISTENCIA EN SUCURSALES'!K34+'DISTRIBUCIÓN EN SUCURSALES'!K34</f>
        <v>2</v>
      </c>
      <c r="L34" s="120">
        <f t="shared" si="18"/>
        <v>17</v>
      </c>
      <c r="M34" s="131">
        <f>'EXISTENCIA EN SUCURSALES'!M34+'DISTRIBUCIÓN EN SUCURSALES'!M34</f>
        <v>2</v>
      </c>
      <c r="N34" s="131">
        <f>'EXISTENCIA EN SUCURSALES'!N34+'DISTRIBUCIÓN EN SUCURSALES'!N34</f>
        <v>2</v>
      </c>
      <c r="O34" s="131">
        <f>'EXISTENCIA EN SUCURSALES'!O34+'DISTRIBUCIÓN EN SUCURSALES'!O34</f>
        <v>0</v>
      </c>
      <c r="P34" s="131">
        <f>'EXISTENCIA EN SUCURSALES'!P34+'DISTRIBUCIÓN EN SUCURSALES'!P34</f>
        <v>1</v>
      </c>
      <c r="Q34" s="131">
        <f>'EXISTENCIA EN SUCURSALES'!Q34+'DISTRIBUCIÓN EN SUCURSALES'!Q34</f>
        <v>3</v>
      </c>
      <c r="R34" s="131">
        <f>'EXISTENCIA EN SUCURSALES'!R34+'DISTRIBUCIÓN EN SUCURSALES'!R34</f>
        <v>2</v>
      </c>
      <c r="S34" s="131">
        <f>'EXISTENCIA EN SUCURSALES'!S34+'DISTRIBUCIÓN EN SUCURSALES'!S34</f>
        <v>4</v>
      </c>
      <c r="T34" s="131">
        <f>'EXISTENCIA EN SUCURSALES'!T34+'DISTRIBUCIÓN EN SUCURSALES'!T34</f>
        <v>4</v>
      </c>
      <c r="U34" s="131">
        <f>'EXISTENCIA EN SUCURSALES'!U34+'DISTRIBUCIÓN EN SUCURSALES'!U34</f>
        <v>2</v>
      </c>
      <c r="V34" s="131">
        <f>'EXISTENCIA EN SUCURSALES'!V34+'DISTRIBUCIÓN EN SUCURSALES'!V34</f>
        <v>3</v>
      </c>
      <c r="W34" s="131">
        <f>'EXISTENCIA EN SUCURSALES'!W34+'DISTRIBUCIÓN EN SUCURSALES'!W34</f>
        <v>2</v>
      </c>
      <c r="X34" s="131">
        <f>'EXISTENCIA EN SUCURSALES'!X34+'DISTRIBUCIÓN EN SUCURSALES'!X34</f>
        <v>2</v>
      </c>
      <c r="Y34" s="120">
        <f t="shared" si="19"/>
        <v>27</v>
      </c>
      <c r="Z34" s="120">
        <f t="shared" si="20"/>
        <v>44</v>
      </c>
      <c r="AB34" s="131">
        <f>IFERROR(VLOOKUP(A34,'GRAL. SUC. LOCALES'!$A:$N,14,0),0)</f>
        <v>6</v>
      </c>
      <c r="AD34" s="131">
        <f t="shared" si="10"/>
        <v>50</v>
      </c>
      <c r="AF34" s="131">
        <v>65</v>
      </c>
      <c r="AG34" s="131">
        <v>60</v>
      </c>
      <c r="AH34" s="116">
        <f t="shared" si="5"/>
        <v>-15</v>
      </c>
    </row>
    <row r="35" spans="1:34" ht="17.399999999999999" x14ac:dyDescent="0.35">
      <c r="A35" s="97" t="s">
        <v>16</v>
      </c>
      <c r="B35" s="131">
        <f>'EXISTENCIA EN SUCURSALES'!B35+'DISTRIBUCIÓN EN SUCURSALES'!B35</f>
        <v>2</v>
      </c>
      <c r="C35" s="131">
        <f>'EXISTENCIA EN SUCURSALES'!C35+'DISTRIBUCIÓN EN SUCURSALES'!C35</f>
        <v>2</v>
      </c>
      <c r="D35" s="120">
        <f>'EXISTENCIA EN SUCURSALES'!D35+'DISTRIBUCIÓN EN SUCURSALES'!D35</f>
        <v>1</v>
      </c>
      <c r="E35" s="120">
        <f>'EXISTENCIA EN SUCURSALES'!E35+'DISTRIBUCIÓN EN SUCURSALES'!E35</f>
        <v>1</v>
      </c>
      <c r="F35" s="120">
        <f>'EXISTENCIA EN SUCURSALES'!F35+'DISTRIBUCIÓN EN SUCURSALES'!F35</f>
        <v>1</v>
      </c>
      <c r="G35" s="120">
        <f>'EXISTENCIA EN SUCURSALES'!G35+'DISTRIBUCIÓN EN SUCURSALES'!G35</f>
        <v>0</v>
      </c>
      <c r="H35" s="120">
        <f>'EXISTENCIA EN SUCURSALES'!H35+'DISTRIBUCIÓN EN SUCURSALES'!H35</f>
        <v>2</v>
      </c>
      <c r="I35" s="120">
        <f>'EXISTENCIA EN SUCURSALES'!I35+'DISTRIBUCIÓN EN SUCURSALES'!I35</f>
        <v>1</v>
      </c>
      <c r="J35" s="120">
        <f>'EXISTENCIA EN SUCURSALES'!J35+'DISTRIBUCIÓN EN SUCURSALES'!J35</f>
        <v>2</v>
      </c>
      <c r="K35" s="120">
        <f>'EXISTENCIA EN SUCURSALES'!K35+'DISTRIBUCIÓN EN SUCURSALES'!K35</f>
        <v>2</v>
      </c>
      <c r="L35" s="120">
        <f t="shared" si="18"/>
        <v>14</v>
      </c>
      <c r="M35" s="131">
        <f>'EXISTENCIA EN SUCURSALES'!M35+'DISTRIBUCIÓN EN SUCURSALES'!M35</f>
        <v>3</v>
      </c>
      <c r="N35" s="131">
        <f>'EXISTENCIA EN SUCURSALES'!N35+'DISTRIBUCIÓN EN SUCURSALES'!N35</f>
        <v>1</v>
      </c>
      <c r="O35" s="131">
        <f>'EXISTENCIA EN SUCURSALES'!O35+'DISTRIBUCIÓN EN SUCURSALES'!O35</f>
        <v>1</v>
      </c>
      <c r="P35" s="131">
        <f>'EXISTENCIA EN SUCURSALES'!P35+'DISTRIBUCIÓN EN SUCURSALES'!P35</f>
        <v>3</v>
      </c>
      <c r="Q35" s="131">
        <f>'EXISTENCIA EN SUCURSALES'!Q35+'DISTRIBUCIÓN EN SUCURSALES'!Q35</f>
        <v>5</v>
      </c>
      <c r="R35" s="131">
        <f>'EXISTENCIA EN SUCURSALES'!R35+'DISTRIBUCIÓN EN SUCURSALES'!R35</f>
        <v>3</v>
      </c>
      <c r="S35" s="131">
        <f>'EXISTENCIA EN SUCURSALES'!S35+'DISTRIBUCIÓN EN SUCURSALES'!S35</f>
        <v>1</v>
      </c>
      <c r="T35" s="131">
        <f>'EXISTENCIA EN SUCURSALES'!T35+'DISTRIBUCIÓN EN SUCURSALES'!T35</f>
        <v>4</v>
      </c>
      <c r="U35" s="131">
        <f>'EXISTENCIA EN SUCURSALES'!U35+'DISTRIBUCIÓN EN SUCURSALES'!U35</f>
        <v>0</v>
      </c>
      <c r="V35" s="131">
        <f>'EXISTENCIA EN SUCURSALES'!V35+'DISTRIBUCIÓN EN SUCURSALES'!V35</f>
        <v>2</v>
      </c>
      <c r="W35" s="131">
        <f>'EXISTENCIA EN SUCURSALES'!W35+'DISTRIBUCIÓN EN SUCURSALES'!W35</f>
        <v>2</v>
      </c>
      <c r="X35" s="131">
        <f>'EXISTENCIA EN SUCURSALES'!X35+'DISTRIBUCIÓN EN SUCURSALES'!X35</f>
        <v>2</v>
      </c>
      <c r="Y35" s="120">
        <f t="shared" si="19"/>
        <v>27</v>
      </c>
      <c r="Z35" s="120">
        <f t="shared" si="20"/>
        <v>41</v>
      </c>
      <c r="AB35" s="131">
        <f>IFERROR(VLOOKUP(A35,'GRAL. SUC. LOCALES'!$A:$N,14,0),0)</f>
        <v>7</v>
      </c>
      <c r="AD35" s="131">
        <f t="shared" si="10"/>
        <v>48</v>
      </c>
      <c r="AF35" s="131">
        <v>55</v>
      </c>
      <c r="AG35" s="131">
        <v>45</v>
      </c>
      <c r="AH35" s="116">
        <f t="shared" si="5"/>
        <v>-7</v>
      </c>
    </row>
    <row r="36" spans="1:34" ht="17.399999999999999" x14ac:dyDescent="0.35">
      <c r="A36" s="97" t="s">
        <v>17</v>
      </c>
      <c r="B36" s="131">
        <f>'EXISTENCIA EN SUCURSALES'!B36+'DISTRIBUCIÓN EN SUCURSALES'!B36</f>
        <v>3</v>
      </c>
      <c r="C36" s="131">
        <f>'EXISTENCIA EN SUCURSALES'!C36+'DISTRIBUCIÓN EN SUCURSALES'!C36</f>
        <v>2</v>
      </c>
      <c r="D36" s="120">
        <f>'EXISTENCIA EN SUCURSALES'!D36+'DISTRIBUCIÓN EN SUCURSALES'!D36</f>
        <v>2</v>
      </c>
      <c r="E36" s="120">
        <f>'EXISTENCIA EN SUCURSALES'!E36+'DISTRIBUCIÓN EN SUCURSALES'!E36</f>
        <v>0</v>
      </c>
      <c r="F36" s="120">
        <f>'EXISTENCIA EN SUCURSALES'!F36+'DISTRIBUCIÓN EN SUCURSALES'!F36</f>
        <v>1</v>
      </c>
      <c r="G36" s="120">
        <f>'EXISTENCIA EN SUCURSALES'!G36+'DISTRIBUCIÓN EN SUCURSALES'!G36</f>
        <v>0</v>
      </c>
      <c r="H36" s="120">
        <f>'EXISTENCIA EN SUCURSALES'!H36+'DISTRIBUCIÓN EN SUCURSALES'!H36</f>
        <v>1</v>
      </c>
      <c r="I36" s="120">
        <f>'EXISTENCIA EN SUCURSALES'!I36+'DISTRIBUCIÓN EN SUCURSALES'!I36</f>
        <v>1</v>
      </c>
      <c r="J36" s="120">
        <f>'EXISTENCIA EN SUCURSALES'!J36+'DISTRIBUCIÓN EN SUCURSALES'!J36</f>
        <v>2</v>
      </c>
      <c r="K36" s="120">
        <f>'EXISTENCIA EN SUCURSALES'!K36+'DISTRIBUCIÓN EN SUCURSALES'!K36</f>
        <v>2</v>
      </c>
      <c r="L36" s="120">
        <f t="shared" si="18"/>
        <v>14</v>
      </c>
      <c r="M36" s="131">
        <f>'EXISTENCIA EN SUCURSALES'!M36+'DISTRIBUCIÓN EN SUCURSALES'!M36</f>
        <v>3</v>
      </c>
      <c r="N36" s="131">
        <f>'EXISTENCIA EN SUCURSALES'!N36+'DISTRIBUCIÓN EN SUCURSALES'!N36</f>
        <v>2</v>
      </c>
      <c r="O36" s="131">
        <f>'EXISTENCIA EN SUCURSALES'!O36+'DISTRIBUCIÓN EN SUCURSALES'!O36</f>
        <v>4</v>
      </c>
      <c r="P36" s="131">
        <f>'EXISTENCIA EN SUCURSALES'!P36+'DISTRIBUCIÓN EN SUCURSALES'!P36</f>
        <v>1</v>
      </c>
      <c r="Q36" s="131">
        <f>'EXISTENCIA EN SUCURSALES'!Q36+'DISTRIBUCIÓN EN SUCURSALES'!Q36</f>
        <v>5</v>
      </c>
      <c r="R36" s="131">
        <f>'EXISTENCIA EN SUCURSALES'!R36+'DISTRIBUCIÓN EN SUCURSALES'!R36</f>
        <v>3</v>
      </c>
      <c r="S36" s="131">
        <f>'EXISTENCIA EN SUCURSALES'!S36+'DISTRIBUCIÓN EN SUCURSALES'!S36</f>
        <v>0</v>
      </c>
      <c r="T36" s="131">
        <f>'EXISTENCIA EN SUCURSALES'!T36+'DISTRIBUCIÓN EN SUCURSALES'!T36</f>
        <v>2</v>
      </c>
      <c r="U36" s="131">
        <f>'EXISTENCIA EN SUCURSALES'!U36+'DISTRIBUCIÓN EN SUCURSALES'!U36</f>
        <v>1</v>
      </c>
      <c r="V36" s="131">
        <f>'EXISTENCIA EN SUCURSALES'!V36+'DISTRIBUCIÓN EN SUCURSALES'!V36</f>
        <v>2</v>
      </c>
      <c r="W36" s="131">
        <f>'EXISTENCIA EN SUCURSALES'!W36+'DISTRIBUCIÓN EN SUCURSALES'!W36</f>
        <v>2</v>
      </c>
      <c r="X36" s="131">
        <f>'EXISTENCIA EN SUCURSALES'!X36+'DISTRIBUCIÓN EN SUCURSALES'!X36</f>
        <v>1</v>
      </c>
      <c r="Y36" s="120">
        <f t="shared" si="19"/>
        <v>26</v>
      </c>
      <c r="Z36" s="120">
        <f t="shared" si="20"/>
        <v>40</v>
      </c>
      <c r="AB36" s="131">
        <f>IFERROR(VLOOKUP(A36,'GRAL. SUC. LOCALES'!$A:$N,14,0),0)</f>
        <v>6</v>
      </c>
      <c r="AD36" s="131">
        <f t="shared" si="10"/>
        <v>46</v>
      </c>
      <c r="AF36" s="131">
        <v>55</v>
      </c>
      <c r="AG36" s="131">
        <v>45</v>
      </c>
      <c r="AH36" s="116">
        <f t="shared" si="5"/>
        <v>-9</v>
      </c>
    </row>
    <row r="37" spans="1:34" ht="17.399999999999999" x14ac:dyDescent="0.35">
      <c r="A37" s="97" t="s">
        <v>18</v>
      </c>
      <c r="B37" s="131">
        <f>'EXISTENCIA EN SUCURSALES'!B37+'DISTRIBUCIÓN EN SUCURSALES'!B37</f>
        <v>3</v>
      </c>
      <c r="C37" s="131">
        <f>'EXISTENCIA EN SUCURSALES'!C37+'DISTRIBUCIÓN EN SUCURSALES'!C37</f>
        <v>3</v>
      </c>
      <c r="D37" s="120">
        <f>'EXISTENCIA EN SUCURSALES'!D37+'DISTRIBUCIÓN EN SUCURSALES'!D37</f>
        <v>3</v>
      </c>
      <c r="E37" s="120">
        <f>'EXISTENCIA EN SUCURSALES'!E37+'DISTRIBUCIÓN EN SUCURSALES'!E37</f>
        <v>3</v>
      </c>
      <c r="F37" s="120">
        <f>'EXISTENCIA EN SUCURSALES'!F37+'DISTRIBUCIÓN EN SUCURSALES'!F37</f>
        <v>2</v>
      </c>
      <c r="G37" s="120">
        <f>'EXISTENCIA EN SUCURSALES'!G37+'DISTRIBUCIÓN EN SUCURSALES'!G37</f>
        <v>0</v>
      </c>
      <c r="H37" s="120">
        <f>'EXISTENCIA EN SUCURSALES'!H37+'DISTRIBUCIÓN EN SUCURSALES'!H37</f>
        <v>2</v>
      </c>
      <c r="I37" s="120">
        <f>'EXISTENCIA EN SUCURSALES'!I37+'DISTRIBUCIÓN EN SUCURSALES'!I37</f>
        <v>1</v>
      </c>
      <c r="J37" s="120">
        <f>'EXISTENCIA EN SUCURSALES'!J37+'DISTRIBUCIÓN EN SUCURSALES'!J37</f>
        <v>4</v>
      </c>
      <c r="K37" s="120">
        <f>'EXISTENCIA EN SUCURSALES'!K37+'DISTRIBUCIÓN EN SUCURSALES'!K37</f>
        <v>3</v>
      </c>
      <c r="L37" s="120">
        <f t="shared" si="18"/>
        <v>24</v>
      </c>
      <c r="M37" s="131">
        <f>'EXISTENCIA EN SUCURSALES'!M37+'DISTRIBUCIÓN EN SUCURSALES'!M37</f>
        <v>2</v>
      </c>
      <c r="N37" s="131">
        <f>'EXISTENCIA EN SUCURSALES'!N37+'DISTRIBUCIÓN EN SUCURSALES'!N37</f>
        <v>2</v>
      </c>
      <c r="O37" s="131">
        <f>'EXISTENCIA EN SUCURSALES'!O37+'DISTRIBUCIÓN EN SUCURSALES'!O37</f>
        <v>3</v>
      </c>
      <c r="P37" s="131">
        <f>'EXISTENCIA EN SUCURSALES'!P37+'DISTRIBUCIÓN EN SUCURSALES'!P37</f>
        <v>3</v>
      </c>
      <c r="Q37" s="131">
        <f>'EXISTENCIA EN SUCURSALES'!Q37+'DISTRIBUCIÓN EN SUCURSALES'!Q37</f>
        <v>5</v>
      </c>
      <c r="R37" s="131">
        <f>'EXISTENCIA EN SUCURSALES'!R37+'DISTRIBUCIÓN EN SUCURSALES'!R37</f>
        <v>0</v>
      </c>
      <c r="S37" s="131">
        <f>'EXISTENCIA EN SUCURSALES'!S37+'DISTRIBUCIÓN EN SUCURSALES'!S37</f>
        <v>3</v>
      </c>
      <c r="T37" s="131">
        <f>'EXISTENCIA EN SUCURSALES'!T37+'DISTRIBUCIÓN EN SUCURSALES'!T37</f>
        <v>4</v>
      </c>
      <c r="U37" s="131">
        <f>'EXISTENCIA EN SUCURSALES'!U37+'DISTRIBUCIÓN EN SUCURSALES'!U37</f>
        <v>1</v>
      </c>
      <c r="V37" s="131">
        <f>'EXISTENCIA EN SUCURSALES'!V37+'DISTRIBUCIÓN EN SUCURSALES'!V37</f>
        <v>3</v>
      </c>
      <c r="W37" s="131">
        <f>'EXISTENCIA EN SUCURSALES'!W37+'DISTRIBUCIÓN EN SUCURSALES'!W37</f>
        <v>2</v>
      </c>
      <c r="X37" s="131">
        <f>'EXISTENCIA EN SUCURSALES'!X37+'DISTRIBUCIÓN EN SUCURSALES'!X37</f>
        <v>1</v>
      </c>
      <c r="Y37" s="120">
        <f t="shared" si="19"/>
        <v>29</v>
      </c>
      <c r="Z37" s="120">
        <f t="shared" si="20"/>
        <v>53</v>
      </c>
      <c r="AB37" s="131">
        <f>IFERROR(VLOOKUP(A37,'GRAL. SUC. LOCALES'!$A:$N,14,0),0)</f>
        <v>12</v>
      </c>
      <c r="AD37" s="131">
        <f t="shared" si="10"/>
        <v>65</v>
      </c>
      <c r="AF37" s="131">
        <v>90</v>
      </c>
      <c r="AG37" s="131">
        <v>90</v>
      </c>
      <c r="AH37" s="116">
        <f t="shared" si="5"/>
        <v>-25</v>
      </c>
    </row>
    <row r="38" spans="1:34" ht="17.399999999999999" x14ac:dyDescent="0.35">
      <c r="A38" s="97" t="s">
        <v>22</v>
      </c>
      <c r="B38" s="131">
        <f>'EXISTENCIA EN SUCURSALES'!B38+'DISTRIBUCIÓN EN SUCURSALES'!B38</f>
        <v>3</v>
      </c>
      <c r="C38" s="131">
        <f>'EXISTENCIA EN SUCURSALES'!C38+'DISTRIBUCIÓN EN SUCURSALES'!C38</f>
        <v>3</v>
      </c>
      <c r="D38" s="120">
        <f>'EXISTENCIA EN SUCURSALES'!D38+'DISTRIBUCIÓN EN SUCURSALES'!D38</f>
        <v>3</v>
      </c>
      <c r="E38" s="120">
        <f>'EXISTENCIA EN SUCURSALES'!E38+'DISTRIBUCIÓN EN SUCURSALES'!E38</f>
        <v>2</v>
      </c>
      <c r="F38" s="120">
        <f>'EXISTENCIA EN SUCURSALES'!F38+'DISTRIBUCIÓN EN SUCURSALES'!F38</f>
        <v>3</v>
      </c>
      <c r="G38" s="120">
        <f>'EXISTENCIA EN SUCURSALES'!G38+'DISTRIBUCIÓN EN SUCURSALES'!G38</f>
        <v>0</v>
      </c>
      <c r="H38" s="120">
        <f>'EXISTENCIA EN SUCURSALES'!H38+'DISTRIBUCIÓN EN SUCURSALES'!H38</f>
        <v>3</v>
      </c>
      <c r="I38" s="120">
        <f>'EXISTENCIA EN SUCURSALES'!I38+'DISTRIBUCIÓN EN SUCURSALES'!I38</f>
        <v>1</v>
      </c>
      <c r="J38" s="120">
        <f>'EXISTENCIA EN SUCURSALES'!J38+'DISTRIBUCIÓN EN SUCURSALES'!J38</f>
        <v>4</v>
      </c>
      <c r="K38" s="120">
        <f>'EXISTENCIA EN SUCURSALES'!K38+'DISTRIBUCIÓN EN SUCURSALES'!K38</f>
        <v>3</v>
      </c>
      <c r="L38" s="120">
        <f t="shared" si="18"/>
        <v>25</v>
      </c>
      <c r="M38" s="131">
        <f>'EXISTENCIA EN SUCURSALES'!M38+'DISTRIBUCIÓN EN SUCURSALES'!M38</f>
        <v>2</v>
      </c>
      <c r="N38" s="131">
        <f>'EXISTENCIA EN SUCURSALES'!N38+'DISTRIBUCIÓN EN SUCURSALES'!N38</f>
        <v>2</v>
      </c>
      <c r="O38" s="131">
        <f>'EXISTENCIA EN SUCURSALES'!O38+'DISTRIBUCIÓN EN SUCURSALES'!O38</f>
        <v>3</v>
      </c>
      <c r="P38" s="131">
        <f>'EXISTENCIA EN SUCURSALES'!P38+'DISTRIBUCIÓN EN SUCURSALES'!P38</f>
        <v>3</v>
      </c>
      <c r="Q38" s="131">
        <f>'EXISTENCIA EN SUCURSALES'!Q38+'DISTRIBUCIÓN EN SUCURSALES'!Q38</f>
        <v>6</v>
      </c>
      <c r="R38" s="131">
        <f>'EXISTENCIA EN SUCURSALES'!R38+'DISTRIBUCIÓN EN SUCURSALES'!R38</f>
        <v>3</v>
      </c>
      <c r="S38" s="131">
        <f>'EXISTENCIA EN SUCURSALES'!S38+'DISTRIBUCIÓN EN SUCURSALES'!S38</f>
        <v>3</v>
      </c>
      <c r="T38" s="131">
        <f>'EXISTENCIA EN SUCURSALES'!T38+'DISTRIBUCIÓN EN SUCURSALES'!T38</f>
        <v>2</v>
      </c>
      <c r="U38" s="131">
        <f>'EXISTENCIA EN SUCURSALES'!U38+'DISTRIBUCIÓN EN SUCURSALES'!U38</f>
        <v>3</v>
      </c>
      <c r="V38" s="131">
        <f>'EXISTENCIA EN SUCURSALES'!V38+'DISTRIBUCIÓN EN SUCURSALES'!V38</f>
        <v>4</v>
      </c>
      <c r="W38" s="131">
        <f>'EXISTENCIA EN SUCURSALES'!W38+'DISTRIBUCIÓN EN SUCURSALES'!W38</f>
        <v>2</v>
      </c>
      <c r="X38" s="131">
        <f>'EXISTENCIA EN SUCURSALES'!X38+'DISTRIBUCIÓN EN SUCURSALES'!X38</f>
        <v>2</v>
      </c>
      <c r="Y38" s="120">
        <f t="shared" si="19"/>
        <v>35</v>
      </c>
      <c r="Z38" s="120">
        <f t="shared" si="20"/>
        <v>60</v>
      </c>
      <c r="AB38" s="131">
        <f>IFERROR(VLOOKUP(A38,'GRAL. SUC. LOCALES'!$A:$N,14,0),0)</f>
        <v>10</v>
      </c>
      <c r="AD38" s="131">
        <f t="shared" si="10"/>
        <v>70</v>
      </c>
      <c r="AF38" s="131">
        <v>100</v>
      </c>
      <c r="AG38" s="131">
        <v>90</v>
      </c>
      <c r="AH38" s="116">
        <f t="shared" si="5"/>
        <v>-30</v>
      </c>
    </row>
    <row r="39" spans="1:34" ht="17.399999999999999" x14ac:dyDescent="0.35">
      <c r="A39" s="97" t="s">
        <v>23</v>
      </c>
      <c r="B39" s="131">
        <f>'EXISTENCIA EN SUCURSALES'!B39+'DISTRIBUCIÓN EN SUCURSALES'!B39</f>
        <v>2</v>
      </c>
      <c r="C39" s="131">
        <f>'EXISTENCIA EN SUCURSALES'!C39+'DISTRIBUCIÓN EN SUCURSALES'!C39</f>
        <v>2</v>
      </c>
      <c r="D39" s="120">
        <f>'EXISTENCIA EN SUCURSALES'!D39+'DISTRIBUCIÓN EN SUCURSALES'!D39</f>
        <v>2</v>
      </c>
      <c r="E39" s="120">
        <f>'EXISTENCIA EN SUCURSALES'!E39+'DISTRIBUCIÓN EN SUCURSALES'!E39</f>
        <v>1</v>
      </c>
      <c r="F39" s="120">
        <f>'EXISTENCIA EN SUCURSALES'!F39+'DISTRIBUCIÓN EN SUCURSALES'!F39</f>
        <v>2</v>
      </c>
      <c r="G39" s="120">
        <f>'EXISTENCIA EN SUCURSALES'!G39+'DISTRIBUCIÓN EN SUCURSALES'!G39</f>
        <v>0</v>
      </c>
      <c r="H39" s="120">
        <f>'EXISTENCIA EN SUCURSALES'!H39+'DISTRIBUCIÓN EN SUCURSALES'!H39</f>
        <v>2</v>
      </c>
      <c r="I39" s="120">
        <f>'EXISTENCIA EN SUCURSALES'!I39+'DISTRIBUCIÓN EN SUCURSALES'!I39</f>
        <v>1</v>
      </c>
      <c r="J39" s="120">
        <f>'EXISTENCIA EN SUCURSALES'!J39+'DISTRIBUCIÓN EN SUCURSALES'!J39</f>
        <v>2</v>
      </c>
      <c r="K39" s="120">
        <f>'EXISTENCIA EN SUCURSALES'!K39+'DISTRIBUCIÓN EN SUCURSALES'!K39</f>
        <v>2</v>
      </c>
      <c r="L39" s="120">
        <f t="shared" si="18"/>
        <v>16</v>
      </c>
      <c r="M39" s="131">
        <f>'EXISTENCIA EN SUCURSALES'!M39+'DISTRIBUCIÓN EN SUCURSALES'!M39</f>
        <v>2</v>
      </c>
      <c r="N39" s="131">
        <f>'EXISTENCIA EN SUCURSALES'!N39+'DISTRIBUCIÓN EN SUCURSALES'!N39</f>
        <v>2</v>
      </c>
      <c r="O39" s="131">
        <f>'EXISTENCIA EN SUCURSALES'!O39+'DISTRIBUCIÓN EN SUCURSALES'!O39</f>
        <v>2</v>
      </c>
      <c r="P39" s="131">
        <f>'EXISTENCIA EN SUCURSALES'!P39+'DISTRIBUCIÓN EN SUCURSALES'!P39</f>
        <v>1</v>
      </c>
      <c r="Q39" s="131">
        <f>'EXISTENCIA EN SUCURSALES'!Q39+'DISTRIBUCIÓN EN SUCURSALES'!Q39</f>
        <v>4</v>
      </c>
      <c r="R39" s="131">
        <f>'EXISTENCIA EN SUCURSALES'!R39+'DISTRIBUCIÓN EN SUCURSALES'!R39</f>
        <v>3</v>
      </c>
      <c r="S39" s="131">
        <f>'EXISTENCIA EN SUCURSALES'!S39+'DISTRIBUCIÓN EN SUCURSALES'!S39</f>
        <v>2</v>
      </c>
      <c r="T39" s="131">
        <f>'EXISTENCIA EN SUCURSALES'!T39+'DISTRIBUCIÓN EN SUCURSALES'!T39</f>
        <v>2</v>
      </c>
      <c r="U39" s="131">
        <f>'EXISTENCIA EN SUCURSALES'!U39+'DISTRIBUCIÓN EN SUCURSALES'!U39</f>
        <v>0</v>
      </c>
      <c r="V39" s="131">
        <f>'EXISTENCIA EN SUCURSALES'!V39+'DISTRIBUCIÓN EN SUCURSALES'!V39</f>
        <v>3</v>
      </c>
      <c r="W39" s="131">
        <f>'EXISTENCIA EN SUCURSALES'!W39+'DISTRIBUCIÓN EN SUCURSALES'!W39</f>
        <v>1</v>
      </c>
      <c r="X39" s="131">
        <f>'EXISTENCIA EN SUCURSALES'!X39+'DISTRIBUCIÓN EN SUCURSALES'!X39</f>
        <v>3</v>
      </c>
      <c r="Y39" s="120">
        <f t="shared" si="19"/>
        <v>25</v>
      </c>
      <c r="Z39" s="120">
        <f t="shared" si="20"/>
        <v>41</v>
      </c>
      <c r="AB39" s="131">
        <f>IFERROR(VLOOKUP(A39,'GRAL. SUC. LOCALES'!$A:$N,14,0),0)</f>
        <v>0</v>
      </c>
      <c r="AD39" s="131">
        <f t="shared" si="10"/>
        <v>41</v>
      </c>
      <c r="AF39" s="131">
        <v>55</v>
      </c>
      <c r="AG39" s="131">
        <v>50</v>
      </c>
      <c r="AH39" s="116">
        <f t="shared" si="5"/>
        <v>-14</v>
      </c>
    </row>
    <row r="40" spans="1:34" ht="17.399999999999999" x14ac:dyDescent="0.35">
      <c r="A40" s="97" t="s">
        <v>24</v>
      </c>
      <c r="B40" s="131">
        <f>'EXISTENCIA EN SUCURSALES'!B40+'DISTRIBUCIÓN EN SUCURSALES'!B40</f>
        <v>2</v>
      </c>
      <c r="C40" s="131">
        <f>'EXISTENCIA EN SUCURSALES'!C40+'DISTRIBUCIÓN EN SUCURSALES'!C40</f>
        <v>3</v>
      </c>
      <c r="D40" s="120">
        <f>'EXISTENCIA EN SUCURSALES'!D40+'DISTRIBUCIÓN EN SUCURSALES'!D40</f>
        <v>2</v>
      </c>
      <c r="E40" s="120">
        <f>'EXISTENCIA EN SUCURSALES'!E40+'DISTRIBUCIÓN EN SUCURSALES'!E40</f>
        <v>2</v>
      </c>
      <c r="F40" s="120">
        <f>'EXISTENCIA EN SUCURSALES'!F40+'DISTRIBUCIÓN EN SUCURSALES'!F40</f>
        <v>2</v>
      </c>
      <c r="G40" s="120">
        <f>'EXISTENCIA EN SUCURSALES'!G40+'DISTRIBUCIÓN EN SUCURSALES'!G40</f>
        <v>0</v>
      </c>
      <c r="H40" s="120">
        <f>'EXISTENCIA EN SUCURSALES'!H40+'DISTRIBUCIÓN EN SUCURSALES'!H40</f>
        <v>2</v>
      </c>
      <c r="I40" s="120">
        <f>'EXISTENCIA EN SUCURSALES'!I40+'DISTRIBUCIÓN EN SUCURSALES'!I40</f>
        <v>1</v>
      </c>
      <c r="J40" s="120">
        <f>'EXISTENCIA EN SUCURSALES'!J40+'DISTRIBUCIÓN EN SUCURSALES'!J40</f>
        <v>4</v>
      </c>
      <c r="K40" s="120">
        <f>'EXISTENCIA EN SUCURSALES'!K40+'DISTRIBUCIÓN EN SUCURSALES'!K40</f>
        <v>1</v>
      </c>
      <c r="L40" s="120">
        <f t="shared" si="18"/>
        <v>19</v>
      </c>
      <c r="M40" s="131">
        <f>'EXISTENCIA EN SUCURSALES'!M40+'DISTRIBUCIÓN EN SUCURSALES'!M40</f>
        <v>1</v>
      </c>
      <c r="N40" s="131">
        <f>'EXISTENCIA EN SUCURSALES'!N40+'DISTRIBUCIÓN EN SUCURSALES'!N40</f>
        <v>2</v>
      </c>
      <c r="O40" s="131">
        <f>'EXISTENCIA EN SUCURSALES'!O40+'DISTRIBUCIÓN EN SUCURSALES'!O40</f>
        <v>2</v>
      </c>
      <c r="P40" s="131">
        <f>'EXISTENCIA EN SUCURSALES'!P40+'DISTRIBUCIÓN EN SUCURSALES'!P40</f>
        <v>3</v>
      </c>
      <c r="Q40" s="131">
        <f>'EXISTENCIA EN SUCURSALES'!Q40+'DISTRIBUCIÓN EN SUCURSALES'!Q40</f>
        <v>5</v>
      </c>
      <c r="R40" s="131">
        <f>'EXISTENCIA EN SUCURSALES'!R40+'DISTRIBUCIÓN EN SUCURSALES'!R40</f>
        <v>3</v>
      </c>
      <c r="S40" s="131">
        <f>'EXISTENCIA EN SUCURSALES'!S40+'DISTRIBUCIÓN EN SUCURSALES'!S40</f>
        <v>1</v>
      </c>
      <c r="T40" s="131">
        <f>'EXISTENCIA EN SUCURSALES'!T40+'DISTRIBUCIÓN EN SUCURSALES'!T40</f>
        <v>2</v>
      </c>
      <c r="U40" s="131">
        <f>'EXISTENCIA EN SUCURSALES'!U40+'DISTRIBUCIÓN EN SUCURSALES'!U40</f>
        <v>2</v>
      </c>
      <c r="V40" s="131">
        <f>'EXISTENCIA EN SUCURSALES'!V40+'DISTRIBUCIÓN EN SUCURSALES'!V40</f>
        <v>3</v>
      </c>
      <c r="W40" s="131">
        <f>'EXISTENCIA EN SUCURSALES'!W40+'DISTRIBUCIÓN EN SUCURSALES'!W40</f>
        <v>2</v>
      </c>
      <c r="X40" s="131">
        <f>'EXISTENCIA EN SUCURSALES'!X40+'DISTRIBUCIÓN EN SUCURSALES'!X40</f>
        <v>1</v>
      </c>
      <c r="Y40" s="120">
        <f t="shared" si="19"/>
        <v>27</v>
      </c>
      <c r="Z40" s="120">
        <f t="shared" si="20"/>
        <v>46</v>
      </c>
      <c r="AB40" s="131">
        <f>IFERROR(VLOOKUP(A40,'GRAL. SUC. LOCALES'!$A:$N,14,0),0)</f>
        <v>12</v>
      </c>
      <c r="AD40" s="131">
        <f t="shared" si="10"/>
        <v>58</v>
      </c>
      <c r="AF40" s="131">
        <v>80</v>
      </c>
      <c r="AG40" s="131">
        <v>70</v>
      </c>
      <c r="AH40" s="116">
        <f t="shared" si="5"/>
        <v>-22</v>
      </c>
    </row>
    <row r="41" spans="1:34" ht="17.399999999999999" x14ac:dyDescent="0.35">
      <c r="A41" s="97" t="s">
        <v>25</v>
      </c>
      <c r="B41" s="131">
        <f>'EXISTENCIA EN SUCURSALES'!B41+'DISTRIBUCIÓN EN SUCURSALES'!B41</f>
        <v>2</v>
      </c>
      <c r="C41" s="131">
        <f>'EXISTENCIA EN SUCURSALES'!C41+'DISTRIBUCIÓN EN SUCURSALES'!C41</f>
        <v>2</v>
      </c>
      <c r="D41" s="120">
        <f>'EXISTENCIA EN SUCURSALES'!D41+'DISTRIBUCIÓN EN SUCURSALES'!D41</f>
        <v>2</v>
      </c>
      <c r="E41" s="120">
        <f>'EXISTENCIA EN SUCURSALES'!E41+'DISTRIBUCIÓN EN SUCURSALES'!E41</f>
        <v>1</v>
      </c>
      <c r="F41" s="120">
        <f>'EXISTENCIA EN SUCURSALES'!F41+'DISTRIBUCIÓN EN SUCURSALES'!F41</f>
        <v>2</v>
      </c>
      <c r="G41" s="120">
        <f>'EXISTENCIA EN SUCURSALES'!G41+'DISTRIBUCIÓN EN SUCURSALES'!G41</f>
        <v>0</v>
      </c>
      <c r="H41" s="120">
        <f>'EXISTENCIA EN SUCURSALES'!H41+'DISTRIBUCIÓN EN SUCURSALES'!H41</f>
        <v>2</v>
      </c>
      <c r="I41" s="120">
        <f>'EXISTENCIA EN SUCURSALES'!I41+'DISTRIBUCIÓN EN SUCURSALES'!I41</f>
        <v>1</v>
      </c>
      <c r="J41" s="120">
        <f>'EXISTENCIA EN SUCURSALES'!J41+'DISTRIBUCIÓN EN SUCURSALES'!J41</f>
        <v>2</v>
      </c>
      <c r="K41" s="120">
        <f>'EXISTENCIA EN SUCURSALES'!K41+'DISTRIBUCIÓN EN SUCURSALES'!K41</f>
        <v>1</v>
      </c>
      <c r="L41" s="120">
        <f t="shared" si="18"/>
        <v>15</v>
      </c>
      <c r="M41" s="131">
        <f>'EXISTENCIA EN SUCURSALES'!M41+'DISTRIBUCIÓN EN SUCURSALES'!M41</f>
        <v>3</v>
      </c>
      <c r="N41" s="131">
        <f>'EXISTENCIA EN SUCURSALES'!N41+'DISTRIBUCIÓN EN SUCURSALES'!N41</f>
        <v>2</v>
      </c>
      <c r="O41" s="131">
        <f>'EXISTENCIA EN SUCURSALES'!O41+'DISTRIBUCIÓN EN SUCURSALES'!O41</f>
        <v>1</v>
      </c>
      <c r="P41" s="131">
        <f>'EXISTENCIA EN SUCURSALES'!P41+'DISTRIBUCIÓN EN SUCURSALES'!P41</f>
        <v>2</v>
      </c>
      <c r="Q41" s="131">
        <f>'EXISTENCIA EN SUCURSALES'!Q41+'DISTRIBUCIÓN EN SUCURSALES'!Q41</f>
        <v>2</v>
      </c>
      <c r="R41" s="131">
        <f>'EXISTENCIA EN SUCURSALES'!R41+'DISTRIBUCIÓN EN SUCURSALES'!R41</f>
        <v>3</v>
      </c>
      <c r="S41" s="131">
        <f>'EXISTENCIA EN SUCURSALES'!S41+'DISTRIBUCIÓN EN SUCURSALES'!S41</f>
        <v>1</v>
      </c>
      <c r="T41" s="131">
        <f>'EXISTENCIA EN SUCURSALES'!T41+'DISTRIBUCIÓN EN SUCURSALES'!T41</f>
        <v>3</v>
      </c>
      <c r="U41" s="131">
        <f>'EXISTENCIA EN SUCURSALES'!U41+'DISTRIBUCIÓN EN SUCURSALES'!U41</f>
        <v>1</v>
      </c>
      <c r="V41" s="131">
        <f>'EXISTENCIA EN SUCURSALES'!V41+'DISTRIBUCIÓN EN SUCURSALES'!V41</f>
        <v>1</v>
      </c>
      <c r="W41" s="131">
        <f>'EXISTENCIA EN SUCURSALES'!W41+'DISTRIBUCIÓN EN SUCURSALES'!W41</f>
        <v>2</v>
      </c>
      <c r="X41" s="131">
        <f>'EXISTENCIA EN SUCURSALES'!X41+'DISTRIBUCIÓN EN SUCURSALES'!X41</f>
        <v>2</v>
      </c>
      <c r="Y41" s="120">
        <f t="shared" si="19"/>
        <v>23</v>
      </c>
      <c r="Z41" s="120">
        <f t="shared" si="20"/>
        <v>38</v>
      </c>
      <c r="AB41" s="131">
        <f>IFERROR(VLOOKUP(A41,'GRAL. SUC. LOCALES'!$A:$N,14,0),0)</f>
        <v>5</v>
      </c>
      <c r="AD41" s="131">
        <f t="shared" si="10"/>
        <v>43</v>
      </c>
      <c r="AF41" s="131">
        <v>60</v>
      </c>
      <c r="AG41" s="131">
        <v>50</v>
      </c>
      <c r="AH41" s="116">
        <f t="shared" si="5"/>
        <v>-17</v>
      </c>
    </row>
    <row r="42" spans="1:34" ht="17.399999999999999" x14ac:dyDescent="0.35">
      <c r="A42" s="97"/>
      <c r="B42" s="131">
        <f>'EXISTENCIA EN SUCURSALES'!B42+'DISTRIBUCIÓN EN SUCURSALES'!B42</f>
        <v>0</v>
      </c>
      <c r="C42" s="131">
        <f>'EXISTENCIA EN SUCURSALES'!C42+'DISTRIBUCIÓN EN SUCURSALES'!C42</f>
        <v>0</v>
      </c>
      <c r="D42" s="120">
        <f>'EXISTENCIA EN SUCURSALES'!D42+'DISTRIBUCIÓN EN SUCURSALES'!D42</f>
        <v>0</v>
      </c>
      <c r="E42" s="120">
        <f>'EXISTENCIA EN SUCURSALES'!E42+'DISTRIBUCIÓN EN SUCURSALES'!E42</f>
        <v>0</v>
      </c>
      <c r="F42" s="120">
        <f>'EXISTENCIA EN SUCURSALES'!F42+'DISTRIBUCIÓN EN SUCURSALES'!F42</f>
        <v>0</v>
      </c>
      <c r="G42" s="120">
        <f>'EXISTENCIA EN SUCURSALES'!G42+'DISTRIBUCIÓN EN SUCURSALES'!G42</f>
        <v>0</v>
      </c>
      <c r="H42" s="120">
        <f>'EXISTENCIA EN SUCURSALES'!H42+'DISTRIBUCIÓN EN SUCURSALES'!H42</f>
        <v>0</v>
      </c>
      <c r="I42" s="120">
        <f>'EXISTENCIA EN SUCURSALES'!I42+'DISTRIBUCIÓN EN SUCURSALES'!I42</f>
        <v>0</v>
      </c>
      <c r="J42" s="120">
        <f>'EXISTENCIA EN SUCURSALES'!J42+'DISTRIBUCIÓN EN SUCURSALES'!J42</f>
        <v>0</v>
      </c>
      <c r="K42" s="120">
        <f>'EXISTENCIA EN SUCURSALES'!K42+'DISTRIBUCIÓN EN SUCURSALES'!K42</f>
        <v>0</v>
      </c>
      <c r="L42" s="120">
        <f t="shared" si="18"/>
        <v>0</v>
      </c>
      <c r="M42" s="131">
        <f>'EXISTENCIA EN SUCURSALES'!M42+'DISTRIBUCIÓN EN SUCURSALES'!M42</f>
        <v>0</v>
      </c>
      <c r="N42" s="131">
        <f>'EXISTENCIA EN SUCURSALES'!N42+'DISTRIBUCIÓN EN SUCURSALES'!N42</f>
        <v>0</v>
      </c>
      <c r="O42" s="131">
        <f>'EXISTENCIA EN SUCURSALES'!O42+'DISTRIBUCIÓN EN SUCURSALES'!O42</f>
        <v>0</v>
      </c>
      <c r="P42" s="131">
        <f>'EXISTENCIA EN SUCURSALES'!P42+'DISTRIBUCIÓN EN SUCURSALES'!P42</f>
        <v>0</v>
      </c>
      <c r="Q42" s="131">
        <f>'EXISTENCIA EN SUCURSALES'!Q42+'DISTRIBUCIÓN EN SUCURSALES'!Q42</f>
        <v>0</v>
      </c>
      <c r="R42" s="131">
        <f>'EXISTENCIA EN SUCURSALES'!R42+'DISTRIBUCIÓN EN SUCURSALES'!R42</f>
        <v>0</v>
      </c>
      <c r="S42" s="131">
        <f>'EXISTENCIA EN SUCURSALES'!S42+'DISTRIBUCIÓN EN SUCURSALES'!S42</f>
        <v>0</v>
      </c>
      <c r="T42" s="131">
        <f>'EXISTENCIA EN SUCURSALES'!T42+'DISTRIBUCIÓN EN SUCURSALES'!T42</f>
        <v>0</v>
      </c>
      <c r="U42" s="131">
        <f>'EXISTENCIA EN SUCURSALES'!U42+'DISTRIBUCIÓN EN SUCURSALES'!U42</f>
        <v>0</v>
      </c>
      <c r="V42" s="131">
        <f>'EXISTENCIA EN SUCURSALES'!V42+'DISTRIBUCIÓN EN SUCURSALES'!V42</f>
        <v>0</v>
      </c>
      <c r="W42" s="131">
        <f>'EXISTENCIA EN SUCURSALES'!W42+'DISTRIBUCIÓN EN SUCURSALES'!W42</f>
        <v>0</v>
      </c>
      <c r="X42" s="131">
        <f>'EXISTENCIA EN SUCURSALES'!X42+'DISTRIBUCIÓN EN SUCURSALES'!X42</f>
        <v>0</v>
      </c>
      <c r="Y42" s="120">
        <f t="shared" si="19"/>
        <v>0</v>
      </c>
      <c r="Z42" s="120">
        <f t="shared" si="20"/>
        <v>0</v>
      </c>
      <c r="AB42" s="131">
        <f>IFERROR(VLOOKUP(A42,'GRAL. SUC. LOCALES'!$A:$N,14,0),0)</f>
        <v>0</v>
      </c>
      <c r="AD42" s="131">
        <f t="shared" si="10"/>
        <v>0</v>
      </c>
      <c r="AF42" s="131">
        <v>0</v>
      </c>
      <c r="AG42" s="131"/>
      <c r="AH42" s="116">
        <f t="shared" si="5"/>
        <v>0</v>
      </c>
    </row>
    <row r="43" spans="1:34" ht="17.399999999999999" x14ac:dyDescent="0.35">
      <c r="A43" s="97"/>
      <c r="B43" s="131">
        <f>'EXISTENCIA EN SUCURSALES'!B43+'DISTRIBUCIÓN EN SUCURSALES'!B43</f>
        <v>0</v>
      </c>
      <c r="C43" s="131">
        <f>'EXISTENCIA EN SUCURSALES'!C43+'DISTRIBUCIÓN EN SUCURSALES'!C43</f>
        <v>0</v>
      </c>
      <c r="D43" s="120">
        <f>'EXISTENCIA EN SUCURSALES'!D43+'DISTRIBUCIÓN EN SUCURSALES'!D43</f>
        <v>0</v>
      </c>
      <c r="E43" s="120">
        <f>'EXISTENCIA EN SUCURSALES'!E43+'DISTRIBUCIÓN EN SUCURSALES'!E43</f>
        <v>0</v>
      </c>
      <c r="F43" s="120">
        <f>'EXISTENCIA EN SUCURSALES'!F43+'DISTRIBUCIÓN EN SUCURSALES'!F43</f>
        <v>0</v>
      </c>
      <c r="G43" s="120">
        <f>'EXISTENCIA EN SUCURSALES'!G43+'DISTRIBUCIÓN EN SUCURSALES'!G43</f>
        <v>0</v>
      </c>
      <c r="H43" s="120">
        <f>'EXISTENCIA EN SUCURSALES'!H43+'DISTRIBUCIÓN EN SUCURSALES'!H43</f>
        <v>0</v>
      </c>
      <c r="I43" s="120">
        <f>'EXISTENCIA EN SUCURSALES'!I43+'DISTRIBUCIÓN EN SUCURSALES'!I43</f>
        <v>0</v>
      </c>
      <c r="J43" s="120">
        <f>'EXISTENCIA EN SUCURSALES'!J43+'DISTRIBUCIÓN EN SUCURSALES'!J43</f>
        <v>0</v>
      </c>
      <c r="K43" s="120">
        <f>'EXISTENCIA EN SUCURSALES'!K43+'DISTRIBUCIÓN EN SUCURSALES'!K43</f>
        <v>0</v>
      </c>
      <c r="L43" s="120">
        <f t="shared" si="18"/>
        <v>0</v>
      </c>
      <c r="M43" s="131">
        <f>'EXISTENCIA EN SUCURSALES'!M43+'DISTRIBUCIÓN EN SUCURSALES'!M43</f>
        <v>0</v>
      </c>
      <c r="N43" s="131">
        <f>'EXISTENCIA EN SUCURSALES'!N43+'DISTRIBUCIÓN EN SUCURSALES'!N43</f>
        <v>0</v>
      </c>
      <c r="O43" s="131">
        <f>'EXISTENCIA EN SUCURSALES'!O43+'DISTRIBUCIÓN EN SUCURSALES'!O43</f>
        <v>0</v>
      </c>
      <c r="P43" s="131">
        <f>'EXISTENCIA EN SUCURSALES'!P43+'DISTRIBUCIÓN EN SUCURSALES'!P43</f>
        <v>0</v>
      </c>
      <c r="Q43" s="131">
        <f>'EXISTENCIA EN SUCURSALES'!Q43+'DISTRIBUCIÓN EN SUCURSALES'!Q43</f>
        <v>0</v>
      </c>
      <c r="R43" s="131">
        <f>'EXISTENCIA EN SUCURSALES'!R43+'DISTRIBUCIÓN EN SUCURSALES'!R43</f>
        <v>0</v>
      </c>
      <c r="S43" s="131">
        <f>'EXISTENCIA EN SUCURSALES'!S43+'DISTRIBUCIÓN EN SUCURSALES'!S43</f>
        <v>0</v>
      </c>
      <c r="T43" s="131">
        <f>'EXISTENCIA EN SUCURSALES'!T43+'DISTRIBUCIÓN EN SUCURSALES'!T43</f>
        <v>0</v>
      </c>
      <c r="U43" s="131">
        <f>'EXISTENCIA EN SUCURSALES'!U43+'DISTRIBUCIÓN EN SUCURSALES'!U43</f>
        <v>0</v>
      </c>
      <c r="V43" s="131">
        <f>'EXISTENCIA EN SUCURSALES'!V43+'DISTRIBUCIÓN EN SUCURSALES'!V43</f>
        <v>0</v>
      </c>
      <c r="W43" s="131">
        <f>'EXISTENCIA EN SUCURSALES'!W43+'DISTRIBUCIÓN EN SUCURSALES'!W43</f>
        <v>0</v>
      </c>
      <c r="X43" s="131">
        <f>'EXISTENCIA EN SUCURSALES'!X43+'DISTRIBUCIÓN EN SUCURSALES'!X43</f>
        <v>0</v>
      </c>
      <c r="Y43" s="120">
        <f t="shared" si="19"/>
        <v>0</v>
      </c>
      <c r="Z43" s="120">
        <f t="shared" si="20"/>
        <v>0</v>
      </c>
      <c r="AB43" s="131">
        <f>IFERROR(VLOOKUP(A43,'GRAL. SUC. LOCALES'!$A:$N,14,0),0)</f>
        <v>0</v>
      </c>
      <c r="AD43" s="131">
        <f t="shared" si="10"/>
        <v>0</v>
      </c>
      <c r="AF43" s="131">
        <v>0</v>
      </c>
      <c r="AG43" s="131"/>
      <c r="AH43" s="116">
        <f t="shared" si="5"/>
        <v>0</v>
      </c>
    </row>
    <row r="44" spans="1:34" ht="17.399999999999999" x14ac:dyDescent="0.35">
      <c r="A44" s="97"/>
      <c r="B44" s="131">
        <f>'EXISTENCIA EN SUCURSALES'!B44+'DISTRIBUCIÓN EN SUCURSALES'!B44</f>
        <v>0</v>
      </c>
      <c r="C44" s="131">
        <f>'EXISTENCIA EN SUCURSALES'!C44+'DISTRIBUCIÓN EN SUCURSALES'!C44</f>
        <v>0</v>
      </c>
      <c r="D44" s="120">
        <f>'EXISTENCIA EN SUCURSALES'!D44+'DISTRIBUCIÓN EN SUCURSALES'!D44</f>
        <v>0</v>
      </c>
      <c r="E44" s="120">
        <f>'EXISTENCIA EN SUCURSALES'!E44+'DISTRIBUCIÓN EN SUCURSALES'!E44</f>
        <v>0</v>
      </c>
      <c r="F44" s="120">
        <f>'EXISTENCIA EN SUCURSALES'!F44+'DISTRIBUCIÓN EN SUCURSALES'!F44</f>
        <v>0</v>
      </c>
      <c r="G44" s="120">
        <f>'EXISTENCIA EN SUCURSALES'!G44+'DISTRIBUCIÓN EN SUCURSALES'!G44</f>
        <v>0</v>
      </c>
      <c r="H44" s="120">
        <f>'EXISTENCIA EN SUCURSALES'!H44+'DISTRIBUCIÓN EN SUCURSALES'!H44</f>
        <v>0</v>
      </c>
      <c r="I44" s="120">
        <f>'EXISTENCIA EN SUCURSALES'!I44+'DISTRIBUCIÓN EN SUCURSALES'!I44</f>
        <v>0</v>
      </c>
      <c r="J44" s="120">
        <f>'EXISTENCIA EN SUCURSALES'!J44+'DISTRIBUCIÓN EN SUCURSALES'!J44</f>
        <v>0</v>
      </c>
      <c r="K44" s="120">
        <f>'EXISTENCIA EN SUCURSALES'!K44+'DISTRIBUCIÓN EN SUCURSALES'!K44</f>
        <v>0</v>
      </c>
      <c r="L44" s="120">
        <f t="shared" si="18"/>
        <v>0</v>
      </c>
      <c r="M44" s="131">
        <f>'EXISTENCIA EN SUCURSALES'!M44+'DISTRIBUCIÓN EN SUCURSALES'!M44</f>
        <v>0</v>
      </c>
      <c r="N44" s="131">
        <f>'EXISTENCIA EN SUCURSALES'!N44+'DISTRIBUCIÓN EN SUCURSALES'!N44</f>
        <v>0</v>
      </c>
      <c r="O44" s="131">
        <f>'EXISTENCIA EN SUCURSALES'!O44+'DISTRIBUCIÓN EN SUCURSALES'!O44</f>
        <v>0</v>
      </c>
      <c r="P44" s="131">
        <f>'EXISTENCIA EN SUCURSALES'!P44+'DISTRIBUCIÓN EN SUCURSALES'!P44</f>
        <v>0</v>
      </c>
      <c r="Q44" s="131">
        <f>'EXISTENCIA EN SUCURSALES'!Q44+'DISTRIBUCIÓN EN SUCURSALES'!Q44</f>
        <v>0</v>
      </c>
      <c r="R44" s="131">
        <f>'EXISTENCIA EN SUCURSALES'!R44+'DISTRIBUCIÓN EN SUCURSALES'!R44</f>
        <v>0</v>
      </c>
      <c r="S44" s="131">
        <f>'EXISTENCIA EN SUCURSALES'!S44+'DISTRIBUCIÓN EN SUCURSALES'!S44</f>
        <v>0</v>
      </c>
      <c r="T44" s="131">
        <f>'EXISTENCIA EN SUCURSALES'!T44+'DISTRIBUCIÓN EN SUCURSALES'!T44</f>
        <v>0</v>
      </c>
      <c r="U44" s="131">
        <f>'EXISTENCIA EN SUCURSALES'!U44+'DISTRIBUCIÓN EN SUCURSALES'!U44</f>
        <v>0</v>
      </c>
      <c r="V44" s="131">
        <f>'EXISTENCIA EN SUCURSALES'!V44+'DISTRIBUCIÓN EN SUCURSALES'!V44</f>
        <v>0</v>
      </c>
      <c r="W44" s="131">
        <f>'EXISTENCIA EN SUCURSALES'!W44+'DISTRIBUCIÓN EN SUCURSALES'!W44</f>
        <v>0</v>
      </c>
      <c r="X44" s="131">
        <f>'EXISTENCIA EN SUCURSALES'!X44+'DISTRIBUCIÓN EN SUCURSALES'!X44</f>
        <v>0</v>
      </c>
      <c r="Y44" s="120">
        <f t="shared" si="19"/>
        <v>0</v>
      </c>
      <c r="Z44" s="120">
        <f t="shared" si="20"/>
        <v>0</v>
      </c>
      <c r="AB44" s="131">
        <f>IFERROR(VLOOKUP(A44,'GRAL. SUC. LOCALES'!$A:$N,14,0),0)</f>
        <v>0</v>
      </c>
      <c r="AD44" s="131">
        <f t="shared" si="10"/>
        <v>0</v>
      </c>
      <c r="AF44" s="131"/>
      <c r="AG44" s="131"/>
      <c r="AH44" s="116">
        <f t="shared" si="5"/>
        <v>0</v>
      </c>
    </row>
    <row r="45" spans="1:34" ht="17.399999999999999" x14ac:dyDescent="0.35">
      <c r="A45" s="97"/>
      <c r="B45" s="131">
        <f>'EXISTENCIA EN SUCURSALES'!B45+'DISTRIBUCIÓN EN SUCURSALES'!B45</f>
        <v>0</v>
      </c>
      <c r="C45" s="131">
        <f>'EXISTENCIA EN SUCURSALES'!C45+'DISTRIBUCIÓN EN SUCURSALES'!C45</f>
        <v>0</v>
      </c>
      <c r="D45" s="120">
        <f>'EXISTENCIA EN SUCURSALES'!D45+'DISTRIBUCIÓN EN SUCURSALES'!D45</f>
        <v>0</v>
      </c>
      <c r="E45" s="120">
        <f>'EXISTENCIA EN SUCURSALES'!E45+'DISTRIBUCIÓN EN SUCURSALES'!E45</f>
        <v>0</v>
      </c>
      <c r="F45" s="120">
        <f>'EXISTENCIA EN SUCURSALES'!F45+'DISTRIBUCIÓN EN SUCURSALES'!F45</f>
        <v>0</v>
      </c>
      <c r="G45" s="120">
        <f>'EXISTENCIA EN SUCURSALES'!G45+'DISTRIBUCIÓN EN SUCURSALES'!G45</f>
        <v>0</v>
      </c>
      <c r="H45" s="120">
        <f>'EXISTENCIA EN SUCURSALES'!H45+'DISTRIBUCIÓN EN SUCURSALES'!H45</f>
        <v>0</v>
      </c>
      <c r="I45" s="120">
        <f>'EXISTENCIA EN SUCURSALES'!I45+'DISTRIBUCIÓN EN SUCURSALES'!I45</f>
        <v>0</v>
      </c>
      <c r="J45" s="120">
        <f>'EXISTENCIA EN SUCURSALES'!J45+'DISTRIBUCIÓN EN SUCURSALES'!J45</f>
        <v>0</v>
      </c>
      <c r="K45" s="120">
        <f>'EXISTENCIA EN SUCURSALES'!K45+'DISTRIBUCIÓN EN SUCURSALES'!K45</f>
        <v>0</v>
      </c>
      <c r="L45" s="120">
        <f t="shared" si="18"/>
        <v>0</v>
      </c>
      <c r="M45" s="131">
        <f>'EXISTENCIA EN SUCURSALES'!M45+'DISTRIBUCIÓN EN SUCURSALES'!M45</f>
        <v>0</v>
      </c>
      <c r="N45" s="131">
        <f>'EXISTENCIA EN SUCURSALES'!N45+'DISTRIBUCIÓN EN SUCURSALES'!N45</f>
        <v>0</v>
      </c>
      <c r="O45" s="131">
        <f>'EXISTENCIA EN SUCURSALES'!O45+'DISTRIBUCIÓN EN SUCURSALES'!O45</f>
        <v>0</v>
      </c>
      <c r="P45" s="131">
        <f>'EXISTENCIA EN SUCURSALES'!P45+'DISTRIBUCIÓN EN SUCURSALES'!P45</f>
        <v>0</v>
      </c>
      <c r="Q45" s="131">
        <f>'EXISTENCIA EN SUCURSALES'!Q45+'DISTRIBUCIÓN EN SUCURSALES'!Q45</f>
        <v>0</v>
      </c>
      <c r="R45" s="131">
        <f>'EXISTENCIA EN SUCURSALES'!R45+'DISTRIBUCIÓN EN SUCURSALES'!R45</f>
        <v>0</v>
      </c>
      <c r="S45" s="131">
        <f>'EXISTENCIA EN SUCURSALES'!S45+'DISTRIBUCIÓN EN SUCURSALES'!S45</f>
        <v>0</v>
      </c>
      <c r="T45" s="131">
        <f>'EXISTENCIA EN SUCURSALES'!T45+'DISTRIBUCIÓN EN SUCURSALES'!T45</f>
        <v>0</v>
      </c>
      <c r="U45" s="131">
        <f>'EXISTENCIA EN SUCURSALES'!U45+'DISTRIBUCIÓN EN SUCURSALES'!U45</f>
        <v>0</v>
      </c>
      <c r="V45" s="131">
        <f>'EXISTENCIA EN SUCURSALES'!V45+'DISTRIBUCIÓN EN SUCURSALES'!V45</f>
        <v>0</v>
      </c>
      <c r="W45" s="131">
        <f>'EXISTENCIA EN SUCURSALES'!W45+'DISTRIBUCIÓN EN SUCURSALES'!W45</f>
        <v>0</v>
      </c>
      <c r="X45" s="131">
        <f>'EXISTENCIA EN SUCURSALES'!X45+'DISTRIBUCIÓN EN SUCURSALES'!X45</f>
        <v>0</v>
      </c>
      <c r="Y45" s="120">
        <f t="shared" si="19"/>
        <v>0</v>
      </c>
      <c r="Z45" s="120">
        <f t="shared" si="20"/>
        <v>0</v>
      </c>
      <c r="AB45" s="131">
        <f>IFERROR(VLOOKUP(A45,'GRAL. SUC. LOCALES'!$A:$N,14,0),0)</f>
        <v>0</v>
      </c>
      <c r="AD45" s="131">
        <f t="shared" si="10"/>
        <v>0</v>
      </c>
      <c r="AF45" s="131"/>
      <c r="AG45" s="131"/>
      <c r="AH45" s="116">
        <f t="shared" si="5"/>
        <v>0</v>
      </c>
    </row>
    <row r="46" spans="1:34" ht="17.399999999999999" x14ac:dyDescent="0.35">
      <c r="A46" s="97"/>
      <c r="B46" s="131">
        <f>'EXISTENCIA EN SUCURSALES'!B46+'DISTRIBUCIÓN EN SUCURSALES'!B46</f>
        <v>0</v>
      </c>
      <c r="C46" s="131">
        <f>'EXISTENCIA EN SUCURSALES'!C46+'DISTRIBUCIÓN EN SUCURSALES'!C46</f>
        <v>0</v>
      </c>
      <c r="D46" s="120">
        <f>'EXISTENCIA EN SUCURSALES'!D46+'DISTRIBUCIÓN EN SUCURSALES'!D46</f>
        <v>0</v>
      </c>
      <c r="E46" s="120">
        <f>'EXISTENCIA EN SUCURSALES'!E46+'DISTRIBUCIÓN EN SUCURSALES'!E46</f>
        <v>0</v>
      </c>
      <c r="F46" s="120">
        <f>'EXISTENCIA EN SUCURSALES'!F46+'DISTRIBUCIÓN EN SUCURSALES'!F46</f>
        <v>0</v>
      </c>
      <c r="G46" s="120">
        <f>'EXISTENCIA EN SUCURSALES'!G46+'DISTRIBUCIÓN EN SUCURSALES'!G46</f>
        <v>0</v>
      </c>
      <c r="H46" s="120">
        <f>'EXISTENCIA EN SUCURSALES'!H46+'DISTRIBUCIÓN EN SUCURSALES'!H46</f>
        <v>0</v>
      </c>
      <c r="I46" s="120">
        <f>'EXISTENCIA EN SUCURSALES'!I46+'DISTRIBUCIÓN EN SUCURSALES'!I46</f>
        <v>0</v>
      </c>
      <c r="J46" s="120">
        <f>'EXISTENCIA EN SUCURSALES'!J46+'DISTRIBUCIÓN EN SUCURSALES'!J46</f>
        <v>0</v>
      </c>
      <c r="K46" s="120">
        <f>'EXISTENCIA EN SUCURSALES'!K46+'DISTRIBUCIÓN EN SUCURSALES'!K46</f>
        <v>0</v>
      </c>
      <c r="L46" s="120">
        <f t="shared" si="18"/>
        <v>0</v>
      </c>
      <c r="M46" s="131">
        <f>'EXISTENCIA EN SUCURSALES'!M46+'DISTRIBUCIÓN EN SUCURSALES'!M46</f>
        <v>0</v>
      </c>
      <c r="N46" s="131">
        <f>'EXISTENCIA EN SUCURSALES'!N46+'DISTRIBUCIÓN EN SUCURSALES'!N46</f>
        <v>0</v>
      </c>
      <c r="O46" s="131">
        <f>'EXISTENCIA EN SUCURSALES'!O46+'DISTRIBUCIÓN EN SUCURSALES'!O46</f>
        <v>0</v>
      </c>
      <c r="P46" s="131">
        <f>'EXISTENCIA EN SUCURSALES'!P46+'DISTRIBUCIÓN EN SUCURSALES'!P46</f>
        <v>0</v>
      </c>
      <c r="Q46" s="131">
        <f>'EXISTENCIA EN SUCURSALES'!Q46+'DISTRIBUCIÓN EN SUCURSALES'!Q46</f>
        <v>0</v>
      </c>
      <c r="R46" s="131">
        <f>'EXISTENCIA EN SUCURSALES'!R46+'DISTRIBUCIÓN EN SUCURSALES'!R46</f>
        <v>0</v>
      </c>
      <c r="S46" s="131">
        <f>'EXISTENCIA EN SUCURSALES'!S46+'DISTRIBUCIÓN EN SUCURSALES'!S46</f>
        <v>0</v>
      </c>
      <c r="T46" s="131">
        <f>'EXISTENCIA EN SUCURSALES'!T46+'DISTRIBUCIÓN EN SUCURSALES'!T46</f>
        <v>0</v>
      </c>
      <c r="U46" s="131">
        <f>'EXISTENCIA EN SUCURSALES'!U46+'DISTRIBUCIÓN EN SUCURSALES'!U46</f>
        <v>0</v>
      </c>
      <c r="V46" s="131">
        <f>'EXISTENCIA EN SUCURSALES'!V46+'DISTRIBUCIÓN EN SUCURSALES'!V46</f>
        <v>0</v>
      </c>
      <c r="W46" s="131">
        <f>'EXISTENCIA EN SUCURSALES'!W46+'DISTRIBUCIÓN EN SUCURSALES'!W46</f>
        <v>0</v>
      </c>
      <c r="X46" s="131">
        <f>'EXISTENCIA EN SUCURSALES'!X46+'DISTRIBUCIÓN EN SUCURSALES'!X46</f>
        <v>0</v>
      </c>
      <c r="Y46" s="120">
        <f t="shared" si="19"/>
        <v>0</v>
      </c>
      <c r="Z46" s="120">
        <f t="shared" si="20"/>
        <v>0</v>
      </c>
      <c r="AB46" s="131">
        <f>IFERROR(VLOOKUP(A46,'GRAL. SUC. LOCALES'!$A:$N,14,0),0)</f>
        <v>0</v>
      </c>
      <c r="AD46" s="131">
        <f t="shared" si="10"/>
        <v>0</v>
      </c>
      <c r="AF46" s="131"/>
      <c r="AG46" s="131"/>
      <c r="AH46" s="116">
        <f t="shared" si="5"/>
        <v>0</v>
      </c>
    </row>
    <row r="47" spans="1:34" ht="17.399999999999999" x14ac:dyDescent="0.35">
      <c r="A47" s="97"/>
      <c r="B47" s="131">
        <f>'EXISTENCIA EN SUCURSALES'!B47+'DISTRIBUCIÓN EN SUCURSALES'!B47</f>
        <v>0</v>
      </c>
      <c r="C47" s="131">
        <f>'EXISTENCIA EN SUCURSALES'!C47+'DISTRIBUCIÓN EN SUCURSALES'!C47</f>
        <v>0</v>
      </c>
      <c r="D47" s="120">
        <f>'EXISTENCIA EN SUCURSALES'!D47+'DISTRIBUCIÓN EN SUCURSALES'!D47</f>
        <v>0</v>
      </c>
      <c r="E47" s="120">
        <f>'EXISTENCIA EN SUCURSALES'!E47+'DISTRIBUCIÓN EN SUCURSALES'!E47</f>
        <v>0</v>
      </c>
      <c r="F47" s="120">
        <f>'EXISTENCIA EN SUCURSALES'!F47+'DISTRIBUCIÓN EN SUCURSALES'!F47</f>
        <v>0</v>
      </c>
      <c r="G47" s="120">
        <f>'EXISTENCIA EN SUCURSALES'!G47+'DISTRIBUCIÓN EN SUCURSALES'!G47</f>
        <v>0</v>
      </c>
      <c r="H47" s="120">
        <f>'EXISTENCIA EN SUCURSALES'!H47+'DISTRIBUCIÓN EN SUCURSALES'!H47</f>
        <v>0</v>
      </c>
      <c r="I47" s="120">
        <f>'EXISTENCIA EN SUCURSALES'!I47+'DISTRIBUCIÓN EN SUCURSALES'!I47</f>
        <v>0</v>
      </c>
      <c r="J47" s="120">
        <f>'EXISTENCIA EN SUCURSALES'!J47+'DISTRIBUCIÓN EN SUCURSALES'!J47</f>
        <v>0</v>
      </c>
      <c r="K47" s="120">
        <f>'EXISTENCIA EN SUCURSALES'!K47+'DISTRIBUCIÓN EN SUCURSALES'!K47</f>
        <v>0</v>
      </c>
      <c r="L47" s="120">
        <f t="shared" si="18"/>
        <v>0</v>
      </c>
      <c r="M47" s="131">
        <f>'EXISTENCIA EN SUCURSALES'!M47+'DISTRIBUCIÓN EN SUCURSALES'!M47</f>
        <v>0</v>
      </c>
      <c r="N47" s="131">
        <f>'EXISTENCIA EN SUCURSALES'!N47+'DISTRIBUCIÓN EN SUCURSALES'!N47</f>
        <v>0</v>
      </c>
      <c r="O47" s="131">
        <f>'EXISTENCIA EN SUCURSALES'!O47+'DISTRIBUCIÓN EN SUCURSALES'!O47</f>
        <v>0</v>
      </c>
      <c r="P47" s="131">
        <f>'EXISTENCIA EN SUCURSALES'!P47+'DISTRIBUCIÓN EN SUCURSALES'!P47</f>
        <v>0</v>
      </c>
      <c r="Q47" s="131">
        <f>'EXISTENCIA EN SUCURSALES'!Q47+'DISTRIBUCIÓN EN SUCURSALES'!Q47</f>
        <v>0</v>
      </c>
      <c r="R47" s="131">
        <f>'EXISTENCIA EN SUCURSALES'!R47+'DISTRIBUCIÓN EN SUCURSALES'!R47</f>
        <v>0</v>
      </c>
      <c r="S47" s="131">
        <f>'EXISTENCIA EN SUCURSALES'!S47+'DISTRIBUCIÓN EN SUCURSALES'!S47</f>
        <v>0</v>
      </c>
      <c r="T47" s="131">
        <f>'EXISTENCIA EN SUCURSALES'!T47+'DISTRIBUCIÓN EN SUCURSALES'!T47</f>
        <v>0</v>
      </c>
      <c r="U47" s="131">
        <f>'EXISTENCIA EN SUCURSALES'!U47+'DISTRIBUCIÓN EN SUCURSALES'!U47</f>
        <v>0</v>
      </c>
      <c r="V47" s="131">
        <f>'EXISTENCIA EN SUCURSALES'!V47+'DISTRIBUCIÓN EN SUCURSALES'!V47</f>
        <v>0</v>
      </c>
      <c r="W47" s="131">
        <f>'EXISTENCIA EN SUCURSALES'!W47+'DISTRIBUCIÓN EN SUCURSALES'!W47</f>
        <v>0</v>
      </c>
      <c r="X47" s="131">
        <f>'EXISTENCIA EN SUCURSALES'!X47+'DISTRIBUCIÓN EN SUCURSALES'!X47</f>
        <v>0</v>
      </c>
      <c r="Y47" s="120">
        <f t="shared" si="19"/>
        <v>0</v>
      </c>
      <c r="Z47" s="120">
        <f t="shared" si="20"/>
        <v>0</v>
      </c>
      <c r="AB47" s="131">
        <f>IFERROR(VLOOKUP(A47,'GRAL. SUC. LOCALES'!$A:$N,14,0),0)</f>
        <v>0</v>
      </c>
      <c r="AD47" s="131">
        <f t="shared" si="10"/>
        <v>0</v>
      </c>
      <c r="AF47" s="131"/>
      <c r="AG47" s="131"/>
      <c r="AH47" s="116">
        <f t="shared" si="5"/>
        <v>0</v>
      </c>
    </row>
    <row r="48" spans="1:34" ht="18" thickBot="1" x14ac:dyDescent="0.4">
      <c r="A48" s="97"/>
      <c r="B48" s="131">
        <f>'EXISTENCIA EN SUCURSALES'!B48+'DISTRIBUCIÓN EN SUCURSALES'!B48</f>
        <v>0</v>
      </c>
      <c r="C48" s="131">
        <f>'EXISTENCIA EN SUCURSALES'!C48+'DISTRIBUCIÓN EN SUCURSALES'!C48</f>
        <v>0</v>
      </c>
      <c r="D48" s="120">
        <f>'EXISTENCIA EN SUCURSALES'!D48+'DISTRIBUCIÓN EN SUCURSALES'!D48</f>
        <v>0</v>
      </c>
      <c r="E48" s="120">
        <f>'EXISTENCIA EN SUCURSALES'!E48+'DISTRIBUCIÓN EN SUCURSALES'!E48</f>
        <v>0</v>
      </c>
      <c r="F48" s="120">
        <f>'EXISTENCIA EN SUCURSALES'!F48+'DISTRIBUCIÓN EN SUCURSALES'!F48</f>
        <v>0</v>
      </c>
      <c r="G48" s="120">
        <f>'EXISTENCIA EN SUCURSALES'!G48+'DISTRIBUCIÓN EN SUCURSALES'!G48</f>
        <v>0</v>
      </c>
      <c r="H48" s="120">
        <f>'EXISTENCIA EN SUCURSALES'!H48+'DISTRIBUCIÓN EN SUCURSALES'!H48</f>
        <v>0</v>
      </c>
      <c r="I48" s="120">
        <f>'EXISTENCIA EN SUCURSALES'!I48+'DISTRIBUCIÓN EN SUCURSALES'!I48</f>
        <v>0</v>
      </c>
      <c r="J48" s="120">
        <f>'EXISTENCIA EN SUCURSALES'!J48+'DISTRIBUCIÓN EN SUCURSALES'!J48</f>
        <v>0</v>
      </c>
      <c r="K48" s="120">
        <f>'EXISTENCIA EN SUCURSALES'!K48+'DISTRIBUCIÓN EN SUCURSALES'!K48</f>
        <v>0</v>
      </c>
      <c r="L48" s="120">
        <f t="shared" si="18"/>
        <v>0</v>
      </c>
      <c r="M48" s="131">
        <f>'EXISTENCIA EN SUCURSALES'!M48+'DISTRIBUCIÓN EN SUCURSALES'!M48</f>
        <v>0</v>
      </c>
      <c r="N48" s="131">
        <f>'EXISTENCIA EN SUCURSALES'!N48+'DISTRIBUCIÓN EN SUCURSALES'!N48</f>
        <v>0</v>
      </c>
      <c r="O48" s="131">
        <f>'EXISTENCIA EN SUCURSALES'!O48+'DISTRIBUCIÓN EN SUCURSALES'!O48</f>
        <v>0</v>
      </c>
      <c r="P48" s="131">
        <f>'EXISTENCIA EN SUCURSALES'!P48+'DISTRIBUCIÓN EN SUCURSALES'!P48</f>
        <v>0</v>
      </c>
      <c r="Q48" s="131">
        <f>'EXISTENCIA EN SUCURSALES'!Q48+'DISTRIBUCIÓN EN SUCURSALES'!Q48</f>
        <v>0</v>
      </c>
      <c r="R48" s="131">
        <f>'EXISTENCIA EN SUCURSALES'!R48+'DISTRIBUCIÓN EN SUCURSALES'!R48</f>
        <v>0</v>
      </c>
      <c r="S48" s="131">
        <f>'EXISTENCIA EN SUCURSALES'!S48+'DISTRIBUCIÓN EN SUCURSALES'!S48</f>
        <v>0</v>
      </c>
      <c r="T48" s="131">
        <f>'EXISTENCIA EN SUCURSALES'!T48+'DISTRIBUCIÓN EN SUCURSALES'!T48</f>
        <v>0</v>
      </c>
      <c r="U48" s="131">
        <f>'EXISTENCIA EN SUCURSALES'!U48+'DISTRIBUCIÓN EN SUCURSALES'!U48</f>
        <v>0</v>
      </c>
      <c r="V48" s="131">
        <f>'EXISTENCIA EN SUCURSALES'!V48+'DISTRIBUCIÓN EN SUCURSALES'!V48</f>
        <v>0</v>
      </c>
      <c r="W48" s="131">
        <f>'EXISTENCIA EN SUCURSALES'!W48+'DISTRIBUCIÓN EN SUCURSALES'!W48</f>
        <v>0</v>
      </c>
      <c r="X48" s="131">
        <f>'EXISTENCIA EN SUCURSALES'!X48+'DISTRIBUCIÓN EN SUCURSALES'!X48</f>
        <v>0</v>
      </c>
      <c r="Y48" s="120">
        <f t="shared" si="19"/>
        <v>0</v>
      </c>
      <c r="Z48" s="120">
        <f t="shared" si="20"/>
        <v>0</v>
      </c>
      <c r="AB48" s="131">
        <f>IFERROR(VLOOKUP(A48,'GRAL. SUC. LOCALES'!$A:$N,14,0),0)</f>
        <v>0</v>
      </c>
      <c r="AD48" s="131">
        <f t="shared" si="10"/>
        <v>0</v>
      </c>
      <c r="AF48" s="131"/>
      <c r="AG48" s="131"/>
      <c r="AH48" s="116">
        <f t="shared" si="5"/>
        <v>0</v>
      </c>
    </row>
    <row r="49" spans="1:34" ht="18" thickBot="1" x14ac:dyDescent="0.4">
      <c r="A49" s="99" t="s">
        <v>29</v>
      </c>
      <c r="B49" s="123">
        <f>SUM(B33:B48)</f>
        <v>23</v>
      </c>
      <c r="C49" s="123">
        <f t="shared" ref="C49:Z49" si="21">SUM(C33:C48)</f>
        <v>22</v>
      </c>
      <c r="D49" s="123">
        <f t="shared" si="21"/>
        <v>19</v>
      </c>
      <c r="E49" s="123">
        <f t="shared" si="21"/>
        <v>13</v>
      </c>
      <c r="F49" s="123">
        <f t="shared" si="21"/>
        <v>17</v>
      </c>
      <c r="G49" s="123">
        <f t="shared" si="21"/>
        <v>0</v>
      </c>
      <c r="H49" s="123">
        <f t="shared" si="21"/>
        <v>18</v>
      </c>
      <c r="I49" s="123">
        <f t="shared" si="21"/>
        <v>9</v>
      </c>
      <c r="J49" s="123">
        <f t="shared" si="21"/>
        <v>24</v>
      </c>
      <c r="K49" s="123">
        <f t="shared" si="21"/>
        <v>18</v>
      </c>
      <c r="L49" s="123">
        <f t="shared" si="21"/>
        <v>163</v>
      </c>
      <c r="M49" s="123">
        <f t="shared" si="21"/>
        <v>21</v>
      </c>
      <c r="N49" s="123">
        <f t="shared" si="21"/>
        <v>16</v>
      </c>
      <c r="O49" s="123">
        <f t="shared" si="21"/>
        <v>16</v>
      </c>
      <c r="P49" s="123">
        <f t="shared" si="21"/>
        <v>17</v>
      </c>
      <c r="Q49" s="123">
        <f t="shared" si="21"/>
        <v>37</v>
      </c>
      <c r="R49" s="123">
        <f t="shared" si="21"/>
        <v>21</v>
      </c>
      <c r="S49" s="123">
        <f t="shared" si="21"/>
        <v>19</v>
      </c>
      <c r="T49" s="123">
        <f t="shared" si="21"/>
        <v>27</v>
      </c>
      <c r="U49" s="123">
        <f t="shared" ref="U49:V49" si="22">SUM(U33:U48)</f>
        <v>10</v>
      </c>
      <c r="V49" s="123">
        <f t="shared" si="22"/>
        <v>21</v>
      </c>
      <c r="W49" s="123">
        <f t="shared" si="21"/>
        <v>16</v>
      </c>
      <c r="X49" s="123">
        <f t="shared" ref="X49" si="23">SUM(X33:X48)</f>
        <v>14</v>
      </c>
      <c r="Y49" s="123">
        <f t="shared" si="21"/>
        <v>235</v>
      </c>
      <c r="Z49" s="123">
        <f t="shared" si="21"/>
        <v>398</v>
      </c>
      <c r="AB49" s="123">
        <f t="shared" ref="AB49" si="24">SUM(AB33:AB48)</f>
        <v>63</v>
      </c>
      <c r="AD49" s="123">
        <f t="shared" si="10"/>
        <v>461</v>
      </c>
      <c r="AF49" s="123">
        <f>SUM(AF33:AF48)</f>
        <v>615</v>
      </c>
      <c r="AG49" s="123">
        <f>SUM(AG33:AG48)</f>
        <v>550</v>
      </c>
      <c r="AH49" s="116">
        <f t="shared" si="5"/>
        <v>-154</v>
      </c>
    </row>
    <row r="50" spans="1:34" ht="17.399999999999999" x14ac:dyDescent="0.35">
      <c r="A50" s="93" t="s">
        <v>30</v>
      </c>
      <c r="B50" s="131">
        <f>'EXISTENCIA EN SUCURSALES'!B50+'DISTRIBUCIÓN EN SUCURSALES'!B50</f>
        <v>6</v>
      </c>
      <c r="C50" s="131">
        <f>'EXISTENCIA EN SUCURSALES'!C50+'DISTRIBUCIÓN EN SUCURSALES'!C50</f>
        <v>7</v>
      </c>
      <c r="D50" s="120">
        <f>'EXISTENCIA EN SUCURSALES'!D50+'DISTRIBUCIÓN EN SUCURSALES'!D50</f>
        <v>6</v>
      </c>
      <c r="E50" s="120">
        <f>'EXISTENCIA EN SUCURSALES'!E50+'DISTRIBUCIÓN EN SUCURSALES'!E50</f>
        <v>3</v>
      </c>
      <c r="F50" s="120">
        <f>'EXISTENCIA EN SUCURSALES'!F50+'DISTRIBUCIÓN EN SUCURSALES'!F50</f>
        <v>6</v>
      </c>
      <c r="G50" s="120">
        <f>'EXISTENCIA EN SUCURSALES'!G50+'DISTRIBUCIÓN EN SUCURSALES'!G50</f>
        <v>0</v>
      </c>
      <c r="H50" s="120">
        <f>'EXISTENCIA EN SUCURSALES'!H50+'DISTRIBUCIÓN EN SUCURSALES'!H50</f>
        <v>5</v>
      </c>
      <c r="I50" s="120">
        <f>'EXISTENCIA EN SUCURSALES'!I50+'DISTRIBUCIÓN EN SUCURSALES'!I50</f>
        <v>5</v>
      </c>
      <c r="J50" s="120">
        <f>'EXISTENCIA EN SUCURSALES'!J50+'DISTRIBUCIÓN EN SUCURSALES'!J50</f>
        <v>8</v>
      </c>
      <c r="K50" s="120">
        <f>'EXISTENCIA EN SUCURSALES'!K50+'DISTRIBUCIÓN EN SUCURSALES'!K50</f>
        <v>3</v>
      </c>
      <c r="L50" s="120">
        <f t="shared" ref="L50:L51" si="25">SUM(B50:K50)</f>
        <v>49</v>
      </c>
      <c r="M50" s="131">
        <f>'EXISTENCIA EN SUCURSALES'!M50+'DISTRIBUCIÓN EN SUCURSALES'!M50</f>
        <v>9</v>
      </c>
      <c r="N50" s="131">
        <f>'EXISTENCIA EN SUCURSALES'!N50+'DISTRIBUCIÓN EN SUCURSALES'!N50</f>
        <v>5</v>
      </c>
      <c r="O50" s="131">
        <f>'EXISTENCIA EN SUCURSALES'!O50+'DISTRIBUCIÓN EN SUCURSALES'!O50</f>
        <v>3</v>
      </c>
      <c r="P50" s="131">
        <f>'EXISTENCIA EN SUCURSALES'!P50+'DISTRIBUCIÓN EN SUCURSALES'!P50</f>
        <v>8</v>
      </c>
      <c r="Q50" s="131">
        <f>'EXISTENCIA EN SUCURSALES'!Q50+'DISTRIBUCIÓN EN SUCURSALES'!Q50</f>
        <v>5</v>
      </c>
      <c r="R50" s="131">
        <f>'EXISTENCIA EN SUCURSALES'!R50+'DISTRIBUCIÓN EN SUCURSALES'!R50</f>
        <v>9</v>
      </c>
      <c r="S50" s="131">
        <f>'EXISTENCIA EN SUCURSALES'!S50+'DISTRIBUCIÓN EN SUCURSALES'!S50</f>
        <v>3</v>
      </c>
      <c r="T50" s="131">
        <f>'EXISTENCIA EN SUCURSALES'!T50+'DISTRIBUCIÓN EN SUCURSALES'!T50</f>
        <v>8</v>
      </c>
      <c r="U50" s="131">
        <f>'EXISTENCIA EN SUCURSALES'!U50+'DISTRIBUCIÓN EN SUCURSALES'!U50</f>
        <v>0</v>
      </c>
      <c r="V50" s="131">
        <f>'EXISTENCIA EN SUCURSALES'!V50+'DISTRIBUCIÓN EN SUCURSALES'!V50</f>
        <v>6</v>
      </c>
      <c r="W50" s="131">
        <f>'EXISTENCIA EN SUCURSALES'!W50+'DISTRIBUCIÓN EN SUCURSALES'!W50</f>
        <v>6</v>
      </c>
      <c r="X50" s="131">
        <f>'EXISTENCIA EN SUCURSALES'!X50+'DISTRIBUCIÓN EN SUCURSALES'!X50</f>
        <v>2</v>
      </c>
      <c r="Y50" s="120">
        <f t="shared" ref="Y50:Y51" si="26">SUM(M50:X50)</f>
        <v>64</v>
      </c>
      <c r="Z50" s="120">
        <f t="shared" ref="Z50:Z51" si="27">L50+Y50</f>
        <v>113</v>
      </c>
      <c r="AB50" s="131">
        <f>IFERROR(VLOOKUP(A50,'GRAL. SUC. LOCALES'!$A:$N,14,0),0)</f>
        <v>22</v>
      </c>
      <c r="AD50" s="131">
        <f t="shared" si="10"/>
        <v>135</v>
      </c>
      <c r="AF50" s="131">
        <v>180</v>
      </c>
      <c r="AG50" s="131">
        <v>180</v>
      </c>
      <c r="AH50" s="116">
        <f t="shared" si="5"/>
        <v>-45</v>
      </c>
    </row>
    <row r="51" spans="1:34" ht="18" thickBot="1" x14ac:dyDescent="0.4">
      <c r="A51" s="95" t="s">
        <v>31</v>
      </c>
      <c r="B51" s="131">
        <f>'EXISTENCIA EN SUCURSALES'!B51+'DISTRIBUCIÓN EN SUCURSALES'!B51</f>
        <v>6</v>
      </c>
      <c r="C51" s="131">
        <f>'EXISTENCIA EN SUCURSALES'!C51+'DISTRIBUCIÓN EN SUCURSALES'!C51</f>
        <v>7</v>
      </c>
      <c r="D51" s="120">
        <f>'EXISTENCIA EN SUCURSALES'!D51+'DISTRIBUCIÓN EN SUCURSALES'!D51</f>
        <v>6</v>
      </c>
      <c r="E51" s="120">
        <f>'EXISTENCIA EN SUCURSALES'!E51+'DISTRIBUCIÓN EN SUCURSALES'!E51</f>
        <v>4</v>
      </c>
      <c r="F51" s="120">
        <f>'EXISTENCIA EN SUCURSALES'!F51+'DISTRIBUCIÓN EN SUCURSALES'!F51</f>
        <v>6</v>
      </c>
      <c r="G51" s="120">
        <f>'EXISTENCIA EN SUCURSALES'!G51+'DISTRIBUCIÓN EN SUCURSALES'!G51</f>
        <v>0</v>
      </c>
      <c r="H51" s="120">
        <f>'EXISTENCIA EN SUCURSALES'!H51+'DISTRIBUCIÓN EN SUCURSALES'!H51</f>
        <v>5</v>
      </c>
      <c r="I51" s="120">
        <f>'EXISTENCIA EN SUCURSALES'!I51+'DISTRIBUCIÓN EN SUCURSALES'!I51</f>
        <v>5</v>
      </c>
      <c r="J51" s="120">
        <f>'EXISTENCIA EN SUCURSALES'!J51+'DISTRIBUCIÓN EN SUCURSALES'!J51</f>
        <v>8</v>
      </c>
      <c r="K51" s="120">
        <f>'EXISTENCIA EN SUCURSALES'!K51+'DISTRIBUCIÓN EN SUCURSALES'!K51</f>
        <v>3</v>
      </c>
      <c r="L51" s="120">
        <f t="shared" si="25"/>
        <v>50</v>
      </c>
      <c r="M51" s="131">
        <f>'EXISTENCIA EN SUCURSALES'!M51+'DISTRIBUCIÓN EN SUCURSALES'!M51</f>
        <v>11</v>
      </c>
      <c r="N51" s="131">
        <f>'EXISTENCIA EN SUCURSALES'!N51+'DISTRIBUCIÓN EN SUCURSALES'!N51</f>
        <v>5</v>
      </c>
      <c r="O51" s="131">
        <f>'EXISTENCIA EN SUCURSALES'!O51+'DISTRIBUCIÓN EN SUCURSALES'!O51</f>
        <v>5</v>
      </c>
      <c r="P51" s="131">
        <f>'EXISTENCIA EN SUCURSALES'!P51+'DISTRIBUCIÓN EN SUCURSALES'!P51</f>
        <v>8</v>
      </c>
      <c r="Q51" s="131">
        <f>'EXISTENCIA EN SUCURSALES'!Q51+'DISTRIBUCIÓN EN SUCURSALES'!Q51</f>
        <v>7</v>
      </c>
      <c r="R51" s="131">
        <f>'EXISTENCIA EN SUCURSALES'!R51+'DISTRIBUCIÓN EN SUCURSALES'!R51</f>
        <v>9</v>
      </c>
      <c r="S51" s="131">
        <f>'EXISTENCIA EN SUCURSALES'!S51+'DISTRIBUCIÓN EN SUCURSALES'!S51</f>
        <v>5</v>
      </c>
      <c r="T51" s="131">
        <f>'EXISTENCIA EN SUCURSALES'!T51+'DISTRIBUCIÓN EN SUCURSALES'!T51</f>
        <v>8</v>
      </c>
      <c r="U51" s="131">
        <f>'EXISTENCIA EN SUCURSALES'!U51+'DISTRIBUCIÓN EN SUCURSALES'!U51</f>
        <v>3</v>
      </c>
      <c r="V51" s="131">
        <f>'EXISTENCIA EN SUCURSALES'!V51+'DISTRIBUCIÓN EN SUCURSALES'!V51</f>
        <v>5</v>
      </c>
      <c r="W51" s="131">
        <f>'EXISTENCIA EN SUCURSALES'!W51+'DISTRIBUCIÓN EN SUCURSALES'!W51</f>
        <v>3</v>
      </c>
      <c r="X51" s="131">
        <f>'EXISTENCIA EN SUCURSALES'!X51+'DISTRIBUCIÓN EN SUCURSALES'!X51</f>
        <v>0</v>
      </c>
      <c r="Y51" s="120">
        <f t="shared" si="26"/>
        <v>69</v>
      </c>
      <c r="Z51" s="120">
        <f t="shared" si="27"/>
        <v>119</v>
      </c>
      <c r="AB51" s="131">
        <f>IFERROR(VLOOKUP(A51,'GRAL. SUC. LOCALES'!$A:$N,14,0),0)</f>
        <v>39</v>
      </c>
      <c r="AD51" s="131">
        <f t="shared" si="10"/>
        <v>158</v>
      </c>
      <c r="AF51" s="131">
        <v>200</v>
      </c>
      <c r="AG51" s="131">
        <v>200</v>
      </c>
      <c r="AH51" s="116">
        <f t="shared" si="5"/>
        <v>-42</v>
      </c>
    </row>
    <row r="52" spans="1:34" ht="18" thickBot="1" x14ac:dyDescent="0.4">
      <c r="A52" s="100" t="s">
        <v>32</v>
      </c>
      <c r="B52" s="124">
        <f>SUM(B50:B51)</f>
        <v>12</v>
      </c>
      <c r="C52" s="124">
        <f t="shared" ref="C52:L52" si="28">SUM(C50:C51)</f>
        <v>14</v>
      </c>
      <c r="D52" s="124">
        <f t="shared" si="28"/>
        <v>12</v>
      </c>
      <c r="E52" s="124">
        <f t="shared" si="28"/>
        <v>7</v>
      </c>
      <c r="F52" s="124">
        <f t="shared" si="28"/>
        <v>12</v>
      </c>
      <c r="G52" s="124">
        <f t="shared" si="28"/>
        <v>0</v>
      </c>
      <c r="H52" s="124">
        <f t="shared" si="28"/>
        <v>10</v>
      </c>
      <c r="I52" s="124">
        <f t="shared" si="28"/>
        <v>10</v>
      </c>
      <c r="J52" s="124">
        <f t="shared" si="28"/>
        <v>16</v>
      </c>
      <c r="K52" s="124">
        <f t="shared" si="28"/>
        <v>6</v>
      </c>
      <c r="L52" s="124">
        <f t="shared" si="28"/>
        <v>99</v>
      </c>
      <c r="M52" s="124">
        <f>SUM(M50:M51)</f>
        <v>20</v>
      </c>
      <c r="N52" s="124">
        <f t="shared" ref="N52:Z52" si="29">SUM(N50:N51)</f>
        <v>10</v>
      </c>
      <c r="O52" s="124">
        <f t="shared" si="29"/>
        <v>8</v>
      </c>
      <c r="P52" s="124">
        <f t="shared" si="29"/>
        <v>16</v>
      </c>
      <c r="Q52" s="124">
        <f t="shared" si="29"/>
        <v>12</v>
      </c>
      <c r="R52" s="124">
        <f t="shared" si="29"/>
        <v>18</v>
      </c>
      <c r="S52" s="124">
        <f t="shared" si="29"/>
        <v>8</v>
      </c>
      <c r="T52" s="124">
        <f t="shared" si="29"/>
        <v>16</v>
      </c>
      <c r="U52" s="124">
        <f t="shared" ref="U52:V52" si="30">SUM(U50:U51)</f>
        <v>3</v>
      </c>
      <c r="V52" s="124">
        <f t="shared" si="30"/>
        <v>11</v>
      </c>
      <c r="W52" s="124">
        <f t="shared" si="29"/>
        <v>9</v>
      </c>
      <c r="X52" s="124">
        <f t="shared" ref="X52" si="31">SUM(X50:X51)</f>
        <v>2</v>
      </c>
      <c r="Y52" s="124">
        <f t="shared" si="29"/>
        <v>133</v>
      </c>
      <c r="Z52" s="124">
        <f t="shared" si="29"/>
        <v>232</v>
      </c>
      <c r="AB52" s="124">
        <f t="shared" ref="AB52" si="32">SUM(AB50:AB51)</f>
        <v>61</v>
      </c>
      <c r="AD52" s="124">
        <f t="shared" si="10"/>
        <v>293</v>
      </c>
      <c r="AF52" s="124">
        <f>SUM(AF50:AF51)</f>
        <v>380</v>
      </c>
      <c r="AG52" s="124">
        <f>SUM(AG50:AG51)</f>
        <v>380</v>
      </c>
      <c r="AH52" s="116">
        <f t="shared" si="5"/>
        <v>-87</v>
      </c>
    </row>
    <row r="53" spans="1:34" ht="17.399999999999999" x14ac:dyDescent="0.35">
      <c r="A53" s="93" t="s">
        <v>33</v>
      </c>
      <c r="B53" s="131">
        <f>'EXISTENCIA EN SUCURSALES'!B53+'DISTRIBUCIÓN EN SUCURSALES'!B53</f>
        <v>6</v>
      </c>
      <c r="C53" s="131">
        <f>'EXISTENCIA EN SUCURSALES'!C53+'DISTRIBUCIÓN EN SUCURSALES'!C53</f>
        <v>7</v>
      </c>
      <c r="D53" s="120">
        <f>'EXISTENCIA EN SUCURSALES'!D53+'DISTRIBUCIÓN EN SUCURSALES'!D53</f>
        <v>6</v>
      </c>
      <c r="E53" s="120">
        <f>'EXISTENCIA EN SUCURSALES'!E53+'DISTRIBUCIÓN EN SUCURSALES'!E53</f>
        <v>3</v>
      </c>
      <c r="F53" s="120">
        <f>'EXISTENCIA EN SUCURSALES'!F53+'DISTRIBUCIÓN EN SUCURSALES'!F53</f>
        <v>8</v>
      </c>
      <c r="G53" s="120">
        <f>'EXISTENCIA EN SUCURSALES'!G53+'DISTRIBUCIÓN EN SUCURSALES'!G53</f>
        <v>0</v>
      </c>
      <c r="H53" s="120">
        <f>'EXISTENCIA EN SUCURSALES'!H53+'DISTRIBUCIÓN EN SUCURSALES'!H53</f>
        <v>6</v>
      </c>
      <c r="I53" s="120">
        <f>'EXISTENCIA EN SUCURSALES'!I53+'DISTRIBUCIÓN EN SUCURSALES'!I53</f>
        <v>2</v>
      </c>
      <c r="J53" s="120">
        <f>'EXISTENCIA EN SUCURSALES'!J53+'DISTRIBUCIÓN EN SUCURSALES'!J53</f>
        <v>10</v>
      </c>
      <c r="K53" s="120">
        <f>'EXISTENCIA EN SUCURSALES'!K53+'DISTRIBUCIÓN EN SUCURSALES'!K53</f>
        <v>3</v>
      </c>
      <c r="L53" s="120">
        <f t="shared" ref="L53:L54" si="33">SUM(B53:K53)</f>
        <v>51</v>
      </c>
      <c r="M53" s="131">
        <f>'EXISTENCIA EN SUCURSALES'!M53+'DISTRIBUCIÓN EN SUCURSALES'!M53</f>
        <v>1</v>
      </c>
      <c r="N53" s="131">
        <f>'EXISTENCIA EN SUCURSALES'!N53+'DISTRIBUCIÓN EN SUCURSALES'!N53</f>
        <v>5</v>
      </c>
      <c r="O53" s="131">
        <f>'EXISTENCIA EN SUCURSALES'!O53+'DISTRIBUCIÓN EN SUCURSALES'!O53</f>
        <v>4</v>
      </c>
      <c r="P53" s="131">
        <f>'EXISTENCIA EN SUCURSALES'!P53+'DISTRIBUCIÓN EN SUCURSALES'!P53</f>
        <v>10</v>
      </c>
      <c r="Q53" s="131">
        <f>'EXISTENCIA EN SUCURSALES'!Q53+'DISTRIBUCIÓN EN SUCURSALES'!Q53</f>
        <v>13</v>
      </c>
      <c r="R53" s="131">
        <f>'EXISTENCIA EN SUCURSALES'!R53+'DISTRIBUCIÓN EN SUCURSALES'!R53</f>
        <v>9</v>
      </c>
      <c r="S53" s="131">
        <f>'EXISTENCIA EN SUCURSALES'!S53+'DISTRIBUCIÓN EN SUCURSALES'!S53</f>
        <v>5</v>
      </c>
      <c r="T53" s="131">
        <f>'EXISTENCIA EN SUCURSALES'!T53+'DISTRIBUCIÓN EN SUCURSALES'!T53</f>
        <v>5</v>
      </c>
      <c r="U53" s="131">
        <f>'EXISTENCIA EN SUCURSALES'!U53+'DISTRIBUCIÓN EN SUCURSALES'!U53</f>
        <v>2</v>
      </c>
      <c r="V53" s="131">
        <f>'EXISTENCIA EN SUCURSALES'!V53+'DISTRIBUCIÓN EN SUCURSALES'!V53</f>
        <v>5</v>
      </c>
      <c r="W53" s="131">
        <f>'EXISTENCIA EN SUCURSALES'!W53+'DISTRIBUCIÓN EN SUCURSALES'!W53</f>
        <v>4</v>
      </c>
      <c r="X53" s="131">
        <f>'EXISTENCIA EN SUCURSALES'!X53+'DISTRIBUCIÓN EN SUCURSALES'!X53</f>
        <v>3</v>
      </c>
      <c r="Y53" s="120">
        <f t="shared" ref="Y53:Y54" si="34">SUM(M53:X53)</f>
        <v>66</v>
      </c>
      <c r="Z53" s="120">
        <f t="shared" ref="Z53:Z54" si="35">L53+Y53</f>
        <v>117</v>
      </c>
      <c r="AB53" s="131">
        <f>IFERROR(VLOOKUP(A53,'GRAL. SUC. LOCALES'!$A:$N,14,0),0)</f>
        <v>19</v>
      </c>
      <c r="AD53" s="131">
        <f t="shared" si="10"/>
        <v>136</v>
      </c>
      <c r="AF53" s="131">
        <v>180</v>
      </c>
      <c r="AG53" s="131">
        <v>180</v>
      </c>
      <c r="AH53" s="116">
        <f t="shared" si="5"/>
        <v>-44</v>
      </c>
    </row>
    <row r="54" spans="1:34" ht="18" thickBot="1" x14ac:dyDescent="0.4">
      <c r="A54" s="95" t="s">
        <v>34</v>
      </c>
      <c r="B54" s="131">
        <f>'EXISTENCIA EN SUCURSALES'!B54+'DISTRIBUCIÓN EN SUCURSALES'!B54</f>
        <v>6</v>
      </c>
      <c r="C54" s="131">
        <f>'EXISTENCIA EN SUCURSALES'!C54+'DISTRIBUCIÓN EN SUCURSALES'!C54</f>
        <v>7</v>
      </c>
      <c r="D54" s="120">
        <f>'EXISTENCIA EN SUCURSALES'!D54+'DISTRIBUCIÓN EN SUCURSALES'!D54</f>
        <v>6</v>
      </c>
      <c r="E54" s="120">
        <f>'EXISTENCIA EN SUCURSALES'!E54+'DISTRIBUCIÓN EN SUCURSALES'!E54</f>
        <v>3</v>
      </c>
      <c r="F54" s="120">
        <f>'EXISTENCIA EN SUCURSALES'!F54+'DISTRIBUCIÓN EN SUCURSALES'!F54</f>
        <v>8</v>
      </c>
      <c r="G54" s="120">
        <f>'EXISTENCIA EN SUCURSALES'!G54+'DISTRIBUCIÓN EN SUCURSALES'!G54</f>
        <v>0</v>
      </c>
      <c r="H54" s="120">
        <f>'EXISTENCIA EN SUCURSALES'!H54+'DISTRIBUCIÓN EN SUCURSALES'!H54</f>
        <v>6</v>
      </c>
      <c r="I54" s="120">
        <f>'EXISTENCIA EN SUCURSALES'!I54+'DISTRIBUCIÓN EN SUCURSALES'!I54</f>
        <v>2</v>
      </c>
      <c r="J54" s="120">
        <f>'EXISTENCIA EN SUCURSALES'!J54+'DISTRIBUCIÓN EN SUCURSALES'!J54</f>
        <v>10</v>
      </c>
      <c r="K54" s="120">
        <f>'EXISTENCIA EN SUCURSALES'!K54+'DISTRIBUCIÓN EN SUCURSALES'!K54</f>
        <v>3</v>
      </c>
      <c r="L54" s="120">
        <f t="shared" si="33"/>
        <v>51</v>
      </c>
      <c r="M54" s="131">
        <f>'EXISTENCIA EN SUCURSALES'!M54+'DISTRIBUCIÓN EN SUCURSALES'!M54</f>
        <v>1</v>
      </c>
      <c r="N54" s="131">
        <f>'EXISTENCIA EN SUCURSALES'!N54+'DISTRIBUCIÓN EN SUCURSALES'!N54</f>
        <v>8</v>
      </c>
      <c r="O54" s="131">
        <f>'EXISTENCIA EN SUCURSALES'!O54+'DISTRIBUCIÓN EN SUCURSALES'!O54</f>
        <v>4</v>
      </c>
      <c r="P54" s="131">
        <f>'EXISTENCIA EN SUCURSALES'!P54+'DISTRIBUCIÓN EN SUCURSALES'!P54</f>
        <v>8</v>
      </c>
      <c r="Q54" s="131">
        <f>'EXISTENCIA EN SUCURSALES'!Q54+'DISTRIBUCIÓN EN SUCURSALES'!Q54</f>
        <v>10</v>
      </c>
      <c r="R54" s="131">
        <f>'EXISTENCIA EN SUCURSALES'!R54+'DISTRIBUCIÓN EN SUCURSALES'!R54</f>
        <v>9</v>
      </c>
      <c r="S54" s="131">
        <f>'EXISTENCIA EN SUCURSALES'!S54+'DISTRIBUCIÓN EN SUCURSALES'!S54</f>
        <v>3</v>
      </c>
      <c r="T54" s="131">
        <f>'EXISTENCIA EN SUCURSALES'!T54+'DISTRIBUCIÓN EN SUCURSALES'!T54</f>
        <v>3</v>
      </c>
      <c r="U54" s="131">
        <f>'EXISTENCIA EN SUCURSALES'!U54+'DISTRIBUCIÓN EN SUCURSALES'!U54</f>
        <v>2</v>
      </c>
      <c r="V54" s="131">
        <f>'EXISTENCIA EN SUCURSALES'!V54+'DISTRIBUCIÓN EN SUCURSALES'!V54</f>
        <v>5</v>
      </c>
      <c r="W54" s="131">
        <f>'EXISTENCIA EN SUCURSALES'!W54+'DISTRIBUCIÓN EN SUCURSALES'!W54</f>
        <v>5</v>
      </c>
      <c r="X54" s="131">
        <f>'EXISTENCIA EN SUCURSALES'!X54+'DISTRIBUCIÓN EN SUCURSALES'!X54</f>
        <v>3</v>
      </c>
      <c r="Y54" s="120">
        <f t="shared" si="34"/>
        <v>61</v>
      </c>
      <c r="Z54" s="120">
        <f t="shared" si="35"/>
        <v>112</v>
      </c>
      <c r="AB54" s="131">
        <f>IFERROR(VLOOKUP(A54,'GRAL. SUC. LOCALES'!$A:$N,14,0),0)</f>
        <v>31</v>
      </c>
      <c r="AD54" s="131">
        <f t="shared" si="10"/>
        <v>143</v>
      </c>
      <c r="AF54" s="131">
        <v>200</v>
      </c>
      <c r="AG54" s="131">
        <v>190</v>
      </c>
      <c r="AH54" s="116">
        <f t="shared" si="5"/>
        <v>-57</v>
      </c>
    </row>
    <row r="55" spans="1:34" ht="18" thickBot="1" x14ac:dyDescent="0.4">
      <c r="A55" s="99" t="s">
        <v>35</v>
      </c>
      <c r="B55" s="123">
        <f>SUM(B53:B54)</f>
        <v>12</v>
      </c>
      <c r="C55" s="123">
        <f t="shared" ref="C55:L55" si="36">SUM(C53:C54)</f>
        <v>14</v>
      </c>
      <c r="D55" s="123">
        <f t="shared" si="36"/>
        <v>12</v>
      </c>
      <c r="E55" s="123">
        <f t="shared" si="36"/>
        <v>6</v>
      </c>
      <c r="F55" s="123">
        <f t="shared" si="36"/>
        <v>16</v>
      </c>
      <c r="G55" s="123">
        <f t="shared" si="36"/>
        <v>0</v>
      </c>
      <c r="H55" s="123">
        <f t="shared" si="36"/>
        <v>12</v>
      </c>
      <c r="I55" s="123">
        <f t="shared" si="36"/>
        <v>4</v>
      </c>
      <c r="J55" s="123">
        <f t="shared" si="36"/>
        <v>20</v>
      </c>
      <c r="K55" s="123">
        <f t="shared" si="36"/>
        <v>6</v>
      </c>
      <c r="L55" s="123">
        <f t="shared" si="36"/>
        <v>102</v>
      </c>
      <c r="M55" s="123">
        <f>SUM(M53:M54)</f>
        <v>2</v>
      </c>
      <c r="N55" s="123">
        <f t="shared" ref="N55:Z55" si="37">SUM(N53:N54)</f>
        <v>13</v>
      </c>
      <c r="O55" s="123">
        <f t="shared" si="37"/>
        <v>8</v>
      </c>
      <c r="P55" s="123">
        <f t="shared" si="37"/>
        <v>18</v>
      </c>
      <c r="Q55" s="123">
        <f t="shared" si="37"/>
        <v>23</v>
      </c>
      <c r="R55" s="123">
        <f t="shared" si="37"/>
        <v>18</v>
      </c>
      <c r="S55" s="123">
        <f t="shared" si="37"/>
        <v>8</v>
      </c>
      <c r="T55" s="123">
        <f t="shared" si="37"/>
        <v>8</v>
      </c>
      <c r="U55" s="123">
        <f t="shared" ref="U55:V55" si="38">SUM(U53:U54)</f>
        <v>4</v>
      </c>
      <c r="V55" s="123">
        <f t="shared" si="38"/>
        <v>10</v>
      </c>
      <c r="W55" s="123">
        <f t="shared" si="37"/>
        <v>9</v>
      </c>
      <c r="X55" s="123">
        <f t="shared" ref="X55" si="39">SUM(X53:X54)</f>
        <v>6</v>
      </c>
      <c r="Y55" s="123">
        <f t="shared" si="37"/>
        <v>127</v>
      </c>
      <c r="Z55" s="123">
        <f t="shared" si="37"/>
        <v>229</v>
      </c>
      <c r="AB55" s="123">
        <f t="shared" ref="AB55" si="40">SUM(AB53:AB54)</f>
        <v>50</v>
      </c>
      <c r="AD55" s="123">
        <f t="shared" si="10"/>
        <v>279</v>
      </c>
      <c r="AF55" s="123">
        <f>SUM(AF53:AF54)</f>
        <v>380</v>
      </c>
      <c r="AG55" s="123">
        <f>SUM(AG53:AG54)</f>
        <v>370</v>
      </c>
      <c r="AH55" s="116">
        <f t="shared" si="5"/>
        <v>-101</v>
      </c>
    </row>
    <row r="56" spans="1:34" ht="17.399999999999999" x14ac:dyDescent="0.35">
      <c r="A56" s="93" t="s">
        <v>36</v>
      </c>
      <c r="B56" s="131">
        <f>'EXISTENCIA EN SUCURSALES'!B56+'DISTRIBUCIÓN EN SUCURSALES'!B56</f>
        <v>2</v>
      </c>
      <c r="C56" s="131">
        <f>'EXISTENCIA EN SUCURSALES'!C56+'DISTRIBUCIÓN EN SUCURSALES'!C56</f>
        <v>2</v>
      </c>
      <c r="D56" s="120">
        <f>'EXISTENCIA EN SUCURSALES'!D56+'DISTRIBUCIÓN EN SUCURSALES'!D56</f>
        <v>1</v>
      </c>
      <c r="E56" s="120">
        <f>'EXISTENCIA EN SUCURSALES'!E56+'DISTRIBUCIÓN EN SUCURSALES'!E56</f>
        <v>1</v>
      </c>
      <c r="F56" s="120">
        <f>'EXISTENCIA EN SUCURSALES'!F56+'DISTRIBUCIÓN EN SUCURSALES'!F56</f>
        <v>1</v>
      </c>
      <c r="G56" s="120">
        <f>'EXISTENCIA EN SUCURSALES'!G56+'DISTRIBUCIÓN EN SUCURSALES'!G56</f>
        <v>0</v>
      </c>
      <c r="H56" s="120">
        <f>'EXISTENCIA EN SUCURSALES'!H56+'DISTRIBUCIÓN EN SUCURSALES'!H56</f>
        <v>1</v>
      </c>
      <c r="I56" s="120">
        <f>'EXISTENCIA EN SUCURSALES'!I56+'DISTRIBUCIÓN EN SUCURSALES'!I56</f>
        <v>1</v>
      </c>
      <c r="J56" s="120">
        <f>'EXISTENCIA EN SUCURSALES'!J56+'DISTRIBUCIÓN EN SUCURSALES'!J56</f>
        <v>2</v>
      </c>
      <c r="K56" s="120">
        <f>'EXISTENCIA EN SUCURSALES'!K56+'DISTRIBUCIÓN EN SUCURSALES'!K56</f>
        <v>1</v>
      </c>
      <c r="L56" s="120">
        <f t="shared" ref="L56:L77" si="41">SUM(B56:K56)</f>
        <v>12</v>
      </c>
      <c r="M56" s="131">
        <f>'EXISTENCIA EN SUCURSALES'!M56+'DISTRIBUCIÓN EN SUCURSALES'!M56</f>
        <v>3</v>
      </c>
      <c r="N56" s="131">
        <f>'EXISTENCIA EN SUCURSALES'!N56+'DISTRIBUCIÓN EN SUCURSALES'!N56</f>
        <v>1</v>
      </c>
      <c r="O56" s="131">
        <f>'EXISTENCIA EN SUCURSALES'!O56+'DISTRIBUCIÓN EN SUCURSALES'!O56</f>
        <v>0</v>
      </c>
      <c r="P56" s="131">
        <f>'EXISTENCIA EN SUCURSALES'!P56+'DISTRIBUCIÓN EN SUCURSALES'!P56</f>
        <v>1</v>
      </c>
      <c r="Q56" s="131">
        <f>'EXISTENCIA EN SUCURSALES'!Q56+'DISTRIBUCIÓN EN SUCURSALES'!Q56</f>
        <v>2</v>
      </c>
      <c r="R56" s="131">
        <f>'EXISTENCIA EN SUCURSALES'!R56+'DISTRIBUCIÓN EN SUCURSALES'!R56</f>
        <v>2</v>
      </c>
      <c r="S56" s="131">
        <f>'EXISTENCIA EN SUCURSALES'!S56+'DISTRIBUCIÓN EN SUCURSALES'!S56</f>
        <v>1</v>
      </c>
      <c r="T56" s="131">
        <f>'EXISTENCIA EN SUCURSALES'!T56+'DISTRIBUCIÓN EN SUCURSALES'!T56</f>
        <v>1</v>
      </c>
      <c r="U56" s="131">
        <f>'EXISTENCIA EN SUCURSALES'!U56+'DISTRIBUCIÓN EN SUCURSALES'!U56</f>
        <v>1</v>
      </c>
      <c r="V56" s="131">
        <f>'EXISTENCIA EN SUCURSALES'!V56+'DISTRIBUCIÓN EN SUCURSALES'!V56</f>
        <v>0</v>
      </c>
      <c r="W56" s="131">
        <f>'EXISTENCIA EN SUCURSALES'!W56+'DISTRIBUCIÓN EN SUCURSALES'!W56</f>
        <v>1</v>
      </c>
      <c r="X56" s="131">
        <f>'EXISTENCIA EN SUCURSALES'!X56+'DISTRIBUCIÓN EN SUCURSALES'!X56</f>
        <v>1</v>
      </c>
      <c r="Y56" s="120">
        <f t="shared" ref="Y56:Y77" si="42">SUM(M56:X56)</f>
        <v>14</v>
      </c>
      <c r="Z56" s="120">
        <f t="shared" ref="Z56:Z77" si="43">L56+Y56</f>
        <v>26</v>
      </c>
      <c r="AB56" s="131">
        <f>IFERROR(VLOOKUP(A56,'GRAL. SUC. LOCALES'!$A:$N,14,0),0)</f>
        <v>12</v>
      </c>
      <c r="AD56" s="131">
        <f t="shared" si="10"/>
        <v>38</v>
      </c>
      <c r="AF56" s="131">
        <v>45</v>
      </c>
      <c r="AG56" s="131">
        <v>45</v>
      </c>
      <c r="AH56" s="116">
        <f t="shared" si="5"/>
        <v>-7</v>
      </c>
    </row>
    <row r="57" spans="1:34" ht="17.399999999999999" x14ac:dyDescent="0.35">
      <c r="A57" s="93" t="s">
        <v>37</v>
      </c>
      <c r="B57" s="131">
        <f>'EXISTENCIA EN SUCURSALES'!B57+'DISTRIBUCIÓN EN SUCURSALES'!B57</f>
        <v>2</v>
      </c>
      <c r="C57" s="131">
        <f>'EXISTENCIA EN SUCURSALES'!C57+'DISTRIBUCIÓN EN SUCURSALES'!C57</f>
        <v>2</v>
      </c>
      <c r="D57" s="120">
        <f>'EXISTENCIA EN SUCURSALES'!D57+'DISTRIBUCIÓN EN SUCURSALES'!D57</f>
        <v>1</v>
      </c>
      <c r="E57" s="120">
        <f>'EXISTENCIA EN SUCURSALES'!E57+'DISTRIBUCIÓN EN SUCURSALES'!E57</f>
        <v>2</v>
      </c>
      <c r="F57" s="120">
        <f>'EXISTENCIA EN SUCURSALES'!F57+'DISTRIBUCIÓN EN SUCURSALES'!F57</f>
        <v>1</v>
      </c>
      <c r="G57" s="120">
        <f>'EXISTENCIA EN SUCURSALES'!G57+'DISTRIBUCIÓN EN SUCURSALES'!G57</f>
        <v>0</v>
      </c>
      <c r="H57" s="120">
        <f>'EXISTENCIA EN SUCURSALES'!H57+'DISTRIBUCIÓN EN SUCURSALES'!H57</f>
        <v>1</v>
      </c>
      <c r="I57" s="120">
        <f>'EXISTENCIA EN SUCURSALES'!I57+'DISTRIBUCIÓN EN SUCURSALES'!I57</f>
        <v>2</v>
      </c>
      <c r="J57" s="120">
        <f>'EXISTENCIA EN SUCURSALES'!J57+'DISTRIBUCIÓN EN SUCURSALES'!J57</f>
        <v>2</v>
      </c>
      <c r="K57" s="120">
        <f>'EXISTENCIA EN SUCURSALES'!K57+'DISTRIBUCIÓN EN SUCURSALES'!K57</f>
        <v>1</v>
      </c>
      <c r="L57" s="120">
        <f t="shared" si="41"/>
        <v>14</v>
      </c>
      <c r="M57" s="131">
        <f>'EXISTENCIA EN SUCURSALES'!M57+'DISTRIBUCIÓN EN SUCURSALES'!M57</f>
        <v>2</v>
      </c>
      <c r="N57" s="131">
        <f>'EXISTENCIA EN SUCURSALES'!N57+'DISTRIBUCIÓN EN SUCURSALES'!N57</f>
        <v>1</v>
      </c>
      <c r="O57" s="131">
        <f>'EXISTENCIA EN SUCURSALES'!O57+'DISTRIBUCIÓN EN SUCURSALES'!O57</f>
        <v>0</v>
      </c>
      <c r="P57" s="131">
        <f>'EXISTENCIA EN SUCURSALES'!P57+'DISTRIBUCIÓN EN SUCURSALES'!P57</f>
        <v>1</v>
      </c>
      <c r="Q57" s="131">
        <f>'EXISTENCIA EN SUCURSALES'!Q57+'DISTRIBUCIÓN EN SUCURSALES'!Q57</f>
        <v>1</v>
      </c>
      <c r="R57" s="131">
        <f>'EXISTENCIA EN SUCURSALES'!R57+'DISTRIBUCIÓN EN SUCURSALES'!R57</f>
        <v>2</v>
      </c>
      <c r="S57" s="131">
        <f>'EXISTENCIA EN SUCURSALES'!S57+'DISTRIBUCIÓN EN SUCURSALES'!S57</f>
        <v>4</v>
      </c>
      <c r="T57" s="131">
        <f>'EXISTENCIA EN SUCURSALES'!T57+'DISTRIBUCIÓN EN SUCURSALES'!T57</f>
        <v>0</v>
      </c>
      <c r="U57" s="131">
        <f>'EXISTENCIA EN SUCURSALES'!U57+'DISTRIBUCIÓN EN SUCURSALES'!U57</f>
        <v>1</v>
      </c>
      <c r="V57" s="131">
        <f>'EXISTENCIA EN SUCURSALES'!V57+'DISTRIBUCIÓN EN SUCURSALES'!V57</f>
        <v>1</v>
      </c>
      <c r="W57" s="131">
        <f>'EXISTENCIA EN SUCURSALES'!W57+'DISTRIBUCIÓN EN SUCURSALES'!W57</f>
        <v>1</v>
      </c>
      <c r="X57" s="131">
        <f>'EXISTENCIA EN SUCURSALES'!X57+'DISTRIBUCIÓN EN SUCURSALES'!X57</f>
        <v>0</v>
      </c>
      <c r="Y57" s="120">
        <f t="shared" si="42"/>
        <v>14</v>
      </c>
      <c r="Z57" s="120">
        <f t="shared" si="43"/>
        <v>28</v>
      </c>
      <c r="AB57" s="131">
        <f>IFERROR(VLOOKUP(A57,'GRAL. SUC. LOCALES'!$A:$N,14,0),0)</f>
        <v>8</v>
      </c>
      <c r="AD57" s="131">
        <f t="shared" si="10"/>
        <v>36</v>
      </c>
      <c r="AF57" s="131">
        <v>40</v>
      </c>
      <c r="AG57" s="131">
        <v>45</v>
      </c>
      <c r="AH57" s="116">
        <f t="shared" si="5"/>
        <v>-4</v>
      </c>
    </row>
    <row r="58" spans="1:34" ht="17.399999999999999" x14ac:dyDescent="0.35">
      <c r="A58" s="93" t="s">
        <v>39</v>
      </c>
      <c r="B58" s="131">
        <f>'EXISTENCIA EN SUCURSALES'!B58+'DISTRIBUCIÓN EN SUCURSALES'!B58</f>
        <v>2</v>
      </c>
      <c r="C58" s="131">
        <f>'EXISTENCIA EN SUCURSALES'!C58+'DISTRIBUCIÓN EN SUCURSALES'!C58</f>
        <v>2</v>
      </c>
      <c r="D58" s="120">
        <f>'EXISTENCIA EN SUCURSALES'!D58+'DISTRIBUCIÓN EN SUCURSALES'!D58</f>
        <v>1</v>
      </c>
      <c r="E58" s="120">
        <f>'EXISTENCIA EN SUCURSALES'!E58+'DISTRIBUCIÓN EN SUCURSALES'!E58</f>
        <v>1</v>
      </c>
      <c r="F58" s="120">
        <f>'EXISTENCIA EN SUCURSALES'!F58+'DISTRIBUCIÓN EN SUCURSALES'!F58</f>
        <v>1</v>
      </c>
      <c r="G58" s="120">
        <f>'EXISTENCIA EN SUCURSALES'!G58+'DISTRIBUCIÓN EN SUCURSALES'!G58</f>
        <v>0</v>
      </c>
      <c r="H58" s="120">
        <f>'EXISTENCIA EN SUCURSALES'!H58+'DISTRIBUCIÓN EN SUCURSALES'!H58</f>
        <v>1</v>
      </c>
      <c r="I58" s="120">
        <f>'EXISTENCIA EN SUCURSALES'!I58+'DISTRIBUCIÓN EN SUCURSALES'!I58</f>
        <v>1</v>
      </c>
      <c r="J58" s="120">
        <f>'EXISTENCIA EN SUCURSALES'!J58+'DISTRIBUCIÓN EN SUCURSALES'!J58</f>
        <v>1</v>
      </c>
      <c r="K58" s="120">
        <f>'EXISTENCIA EN SUCURSALES'!K58+'DISTRIBUCIÓN EN SUCURSALES'!K58</f>
        <v>0</v>
      </c>
      <c r="L58" s="120">
        <f t="shared" si="41"/>
        <v>10</v>
      </c>
      <c r="M58" s="131">
        <f>'EXISTENCIA EN SUCURSALES'!M58+'DISTRIBUCIÓN EN SUCURSALES'!M58</f>
        <v>2</v>
      </c>
      <c r="N58" s="131">
        <f>'EXISTENCIA EN SUCURSALES'!N58+'DISTRIBUCIÓN EN SUCURSALES'!N58</f>
        <v>1</v>
      </c>
      <c r="O58" s="131">
        <f>'EXISTENCIA EN SUCURSALES'!O58+'DISTRIBUCIÓN EN SUCURSALES'!O58</f>
        <v>0</v>
      </c>
      <c r="P58" s="131">
        <f>'EXISTENCIA EN SUCURSALES'!P58+'DISTRIBUCIÓN EN SUCURSALES'!P58</f>
        <v>1</v>
      </c>
      <c r="Q58" s="131">
        <f>'EXISTENCIA EN SUCURSALES'!Q58+'DISTRIBUCIÓN EN SUCURSALES'!Q58</f>
        <v>2</v>
      </c>
      <c r="R58" s="131">
        <f>'EXISTENCIA EN SUCURSALES'!R58+'DISTRIBUCIÓN EN SUCURSALES'!R58</f>
        <v>1</v>
      </c>
      <c r="S58" s="131">
        <f>'EXISTENCIA EN SUCURSALES'!S58+'DISTRIBUCIÓN EN SUCURSALES'!S58</f>
        <v>1</v>
      </c>
      <c r="T58" s="131">
        <f>'EXISTENCIA EN SUCURSALES'!T58+'DISTRIBUCIÓN EN SUCURSALES'!T58</f>
        <v>0</v>
      </c>
      <c r="U58" s="131">
        <f>'EXISTENCIA EN SUCURSALES'!U58+'DISTRIBUCIÓN EN SUCURSALES'!U58</f>
        <v>0</v>
      </c>
      <c r="V58" s="131">
        <f>'EXISTENCIA EN SUCURSALES'!V58+'DISTRIBUCIÓN EN SUCURSALES'!V58</f>
        <v>1</v>
      </c>
      <c r="W58" s="131">
        <f>'EXISTENCIA EN SUCURSALES'!W58+'DISTRIBUCIÓN EN SUCURSALES'!W58</f>
        <v>0</v>
      </c>
      <c r="X58" s="131">
        <f>'EXISTENCIA EN SUCURSALES'!X58+'DISTRIBUCIÓN EN SUCURSALES'!X58</f>
        <v>1</v>
      </c>
      <c r="Y58" s="120">
        <f t="shared" si="42"/>
        <v>10</v>
      </c>
      <c r="Z58" s="120">
        <f t="shared" si="43"/>
        <v>20</v>
      </c>
      <c r="AB58" s="131">
        <f>IFERROR(VLOOKUP(A58,'GRAL. SUC. LOCALES'!$A:$N,14,0),0)</f>
        <v>5</v>
      </c>
      <c r="AD58" s="131">
        <f t="shared" si="10"/>
        <v>25</v>
      </c>
      <c r="AF58" s="131">
        <v>25</v>
      </c>
      <c r="AG58" s="131">
        <v>20</v>
      </c>
      <c r="AH58" s="116">
        <f t="shared" si="5"/>
        <v>0</v>
      </c>
    </row>
    <row r="59" spans="1:34" ht="17.399999999999999" x14ac:dyDescent="0.35">
      <c r="A59" s="93" t="s">
        <v>40</v>
      </c>
      <c r="B59" s="131">
        <f>'EXISTENCIA EN SUCURSALES'!B59+'DISTRIBUCIÓN EN SUCURSALES'!B59</f>
        <v>2</v>
      </c>
      <c r="C59" s="131">
        <f>'EXISTENCIA EN SUCURSALES'!C59+'DISTRIBUCIÓN EN SUCURSALES'!C59</f>
        <v>2</v>
      </c>
      <c r="D59" s="120">
        <f>'EXISTENCIA EN SUCURSALES'!D59+'DISTRIBUCIÓN EN SUCURSALES'!D59</f>
        <v>1</v>
      </c>
      <c r="E59" s="120">
        <f>'EXISTENCIA EN SUCURSALES'!E59+'DISTRIBUCIÓN EN SUCURSALES'!E59</f>
        <v>1</v>
      </c>
      <c r="F59" s="120">
        <f>'EXISTENCIA EN SUCURSALES'!F59+'DISTRIBUCIÓN EN SUCURSALES'!F59</f>
        <v>1</v>
      </c>
      <c r="G59" s="120">
        <f>'EXISTENCIA EN SUCURSALES'!G59+'DISTRIBUCIÓN EN SUCURSALES'!G59</f>
        <v>0</v>
      </c>
      <c r="H59" s="120">
        <f>'EXISTENCIA EN SUCURSALES'!H59+'DISTRIBUCIÓN EN SUCURSALES'!H59</f>
        <v>1</v>
      </c>
      <c r="I59" s="120">
        <f>'EXISTENCIA EN SUCURSALES'!I59+'DISTRIBUCIÓN EN SUCURSALES'!I59</f>
        <v>1</v>
      </c>
      <c r="J59" s="120">
        <f>'EXISTENCIA EN SUCURSALES'!J59+'DISTRIBUCIÓN EN SUCURSALES'!J59</f>
        <v>1</v>
      </c>
      <c r="K59" s="120">
        <f>'EXISTENCIA EN SUCURSALES'!K59+'DISTRIBUCIÓN EN SUCURSALES'!K59</f>
        <v>0</v>
      </c>
      <c r="L59" s="120">
        <f t="shared" si="41"/>
        <v>10</v>
      </c>
      <c r="M59" s="131">
        <f>'EXISTENCIA EN SUCURSALES'!M59+'DISTRIBUCIÓN EN SUCURSALES'!M59</f>
        <v>2</v>
      </c>
      <c r="N59" s="131">
        <f>'EXISTENCIA EN SUCURSALES'!N59+'DISTRIBUCIÓN EN SUCURSALES'!N59</f>
        <v>1</v>
      </c>
      <c r="O59" s="131">
        <f>'EXISTENCIA EN SUCURSALES'!O59+'DISTRIBUCIÓN EN SUCURSALES'!O59</f>
        <v>0</v>
      </c>
      <c r="P59" s="131">
        <f>'EXISTENCIA EN SUCURSALES'!P59+'DISTRIBUCIÓN EN SUCURSALES'!P59</f>
        <v>0</v>
      </c>
      <c r="Q59" s="131">
        <f>'EXISTENCIA EN SUCURSALES'!Q59+'DISTRIBUCIÓN EN SUCURSALES'!Q59</f>
        <v>1</v>
      </c>
      <c r="R59" s="131">
        <f>'EXISTENCIA EN SUCURSALES'!R59+'DISTRIBUCIÓN EN SUCURSALES'!R59</f>
        <v>1</v>
      </c>
      <c r="S59" s="131">
        <f>'EXISTENCIA EN SUCURSALES'!S59+'DISTRIBUCIÓN EN SUCURSALES'!S59</f>
        <v>0</v>
      </c>
      <c r="T59" s="131">
        <f>'EXISTENCIA EN SUCURSALES'!T59+'DISTRIBUCIÓN EN SUCURSALES'!T59</f>
        <v>1</v>
      </c>
      <c r="U59" s="131">
        <f>'EXISTENCIA EN SUCURSALES'!U59+'DISTRIBUCIÓN EN SUCURSALES'!U59</f>
        <v>0</v>
      </c>
      <c r="V59" s="131">
        <f>'EXISTENCIA EN SUCURSALES'!V59+'DISTRIBUCIÓN EN SUCURSALES'!V59</f>
        <v>0</v>
      </c>
      <c r="W59" s="131">
        <f>'EXISTENCIA EN SUCURSALES'!W59+'DISTRIBUCIÓN EN SUCURSALES'!W59</f>
        <v>1</v>
      </c>
      <c r="X59" s="131">
        <f>'EXISTENCIA EN SUCURSALES'!X59+'DISTRIBUCIÓN EN SUCURSALES'!X59</f>
        <v>1</v>
      </c>
      <c r="Y59" s="120">
        <f t="shared" si="42"/>
        <v>8</v>
      </c>
      <c r="Z59" s="120">
        <f t="shared" si="43"/>
        <v>18</v>
      </c>
      <c r="AB59" s="131">
        <f>IFERROR(VLOOKUP(A59,'GRAL. SUC. LOCALES'!$A:$N,14,0),0)</f>
        <v>0</v>
      </c>
      <c r="AD59" s="131">
        <f t="shared" si="10"/>
        <v>18</v>
      </c>
      <c r="AF59" s="131">
        <v>20</v>
      </c>
      <c r="AG59" s="131">
        <v>20</v>
      </c>
      <c r="AH59" s="116">
        <f t="shared" si="5"/>
        <v>-2</v>
      </c>
    </row>
    <row r="60" spans="1:34" ht="17.399999999999999" x14ac:dyDescent="0.35">
      <c r="A60" s="93" t="s">
        <v>41</v>
      </c>
      <c r="B60" s="131">
        <f>'EXISTENCIA EN SUCURSALES'!B60+'DISTRIBUCIÓN EN SUCURSALES'!B60</f>
        <v>2</v>
      </c>
      <c r="C60" s="131">
        <f>'EXISTENCIA EN SUCURSALES'!C60+'DISTRIBUCIÓN EN SUCURSALES'!C60</f>
        <v>1</v>
      </c>
      <c r="D60" s="120">
        <f>'EXISTENCIA EN SUCURSALES'!D60+'DISTRIBUCIÓN EN SUCURSALES'!D60</f>
        <v>1</v>
      </c>
      <c r="E60" s="120">
        <f>'EXISTENCIA EN SUCURSALES'!E60+'DISTRIBUCIÓN EN SUCURSALES'!E60</f>
        <v>1</v>
      </c>
      <c r="F60" s="120">
        <f>'EXISTENCIA EN SUCURSALES'!F60+'DISTRIBUCIÓN EN SUCURSALES'!F60</f>
        <v>0</v>
      </c>
      <c r="G60" s="120">
        <f>'EXISTENCIA EN SUCURSALES'!G60+'DISTRIBUCIÓN EN SUCURSALES'!G60</f>
        <v>0</v>
      </c>
      <c r="H60" s="120">
        <f>'EXISTENCIA EN SUCURSALES'!H60+'DISTRIBUCIÓN EN SUCURSALES'!H60</f>
        <v>1</v>
      </c>
      <c r="I60" s="120">
        <f>'EXISTENCIA EN SUCURSALES'!I60+'DISTRIBUCIÓN EN SUCURSALES'!I60</f>
        <v>1</v>
      </c>
      <c r="J60" s="120">
        <f>'EXISTENCIA EN SUCURSALES'!J60+'DISTRIBUCIÓN EN SUCURSALES'!J60</f>
        <v>1</v>
      </c>
      <c r="K60" s="120">
        <f>'EXISTENCIA EN SUCURSALES'!K60+'DISTRIBUCIÓN EN SUCURSALES'!K60</f>
        <v>1</v>
      </c>
      <c r="L60" s="120">
        <f t="shared" si="41"/>
        <v>9</v>
      </c>
      <c r="M60" s="131">
        <f>'EXISTENCIA EN SUCURSALES'!M60+'DISTRIBUCIÓN EN SUCURSALES'!M60</f>
        <v>2</v>
      </c>
      <c r="N60" s="131">
        <f>'EXISTENCIA EN SUCURSALES'!N60+'DISTRIBUCIÓN EN SUCURSALES'!N60</f>
        <v>1</v>
      </c>
      <c r="O60" s="131">
        <f>'EXISTENCIA EN SUCURSALES'!O60+'DISTRIBUCIÓN EN SUCURSALES'!O60</f>
        <v>0</v>
      </c>
      <c r="P60" s="131">
        <f>'EXISTENCIA EN SUCURSALES'!P60+'DISTRIBUCIÓN EN SUCURSALES'!P60</f>
        <v>1</v>
      </c>
      <c r="Q60" s="131">
        <f>'EXISTENCIA EN SUCURSALES'!Q60+'DISTRIBUCIÓN EN SUCURSALES'!Q60</f>
        <v>0</v>
      </c>
      <c r="R60" s="131">
        <f>'EXISTENCIA EN SUCURSALES'!R60+'DISTRIBUCIÓN EN SUCURSALES'!R60</f>
        <v>1</v>
      </c>
      <c r="S60" s="131">
        <f>'EXISTENCIA EN SUCURSALES'!S60+'DISTRIBUCIÓN EN SUCURSALES'!S60</f>
        <v>2</v>
      </c>
      <c r="T60" s="131">
        <f>'EXISTENCIA EN SUCURSALES'!T60+'DISTRIBUCIÓN EN SUCURSALES'!T60</f>
        <v>0</v>
      </c>
      <c r="U60" s="131">
        <f>'EXISTENCIA EN SUCURSALES'!U60+'DISTRIBUCIÓN EN SUCURSALES'!U60</f>
        <v>1</v>
      </c>
      <c r="V60" s="131">
        <f>'EXISTENCIA EN SUCURSALES'!V60+'DISTRIBUCIÓN EN SUCURSALES'!V60</f>
        <v>0</v>
      </c>
      <c r="W60" s="131">
        <f>'EXISTENCIA EN SUCURSALES'!W60+'DISTRIBUCIÓN EN SUCURSALES'!W60</f>
        <v>0</v>
      </c>
      <c r="X60" s="131">
        <f>'EXISTENCIA EN SUCURSALES'!X60+'DISTRIBUCIÓN EN SUCURSALES'!X60</f>
        <v>1</v>
      </c>
      <c r="Y60" s="120">
        <f t="shared" si="42"/>
        <v>9</v>
      </c>
      <c r="Z60" s="120">
        <f t="shared" si="43"/>
        <v>18</v>
      </c>
      <c r="AB60" s="131">
        <f>IFERROR(VLOOKUP(A60,'GRAL. SUC. LOCALES'!$A:$N,14,0),0)</f>
        <v>0</v>
      </c>
      <c r="AD60" s="131">
        <f t="shared" si="10"/>
        <v>18</v>
      </c>
      <c r="AF60" s="131">
        <v>25</v>
      </c>
      <c r="AG60" s="131">
        <v>20</v>
      </c>
      <c r="AH60" s="116">
        <f t="shared" si="5"/>
        <v>-7</v>
      </c>
    </row>
    <row r="61" spans="1:34" ht="17.399999999999999" x14ac:dyDescent="0.35">
      <c r="A61" s="101" t="s">
        <v>42</v>
      </c>
      <c r="B61" s="131">
        <f>'EXISTENCIA EN SUCURSALES'!B61+'DISTRIBUCIÓN EN SUCURSALES'!B61</f>
        <v>2</v>
      </c>
      <c r="C61" s="131">
        <f>'EXISTENCIA EN SUCURSALES'!C61+'DISTRIBUCIÓN EN SUCURSALES'!C61</f>
        <v>2</v>
      </c>
      <c r="D61" s="120">
        <f>'EXISTENCIA EN SUCURSALES'!D61+'DISTRIBUCIÓN EN SUCURSALES'!D61</f>
        <v>1</v>
      </c>
      <c r="E61" s="120">
        <f>'EXISTENCIA EN SUCURSALES'!E61+'DISTRIBUCIÓN EN SUCURSALES'!E61</f>
        <v>1</v>
      </c>
      <c r="F61" s="120">
        <f>'EXISTENCIA EN SUCURSALES'!F61+'DISTRIBUCIÓN EN SUCURSALES'!F61</f>
        <v>1</v>
      </c>
      <c r="G61" s="120">
        <f>'EXISTENCIA EN SUCURSALES'!G61+'DISTRIBUCIÓN EN SUCURSALES'!G61</f>
        <v>0</v>
      </c>
      <c r="H61" s="120">
        <f>'EXISTENCIA EN SUCURSALES'!H61+'DISTRIBUCIÓN EN SUCURSALES'!H61</f>
        <v>1</v>
      </c>
      <c r="I61" s="120">
        <f>'EXISTENCIA EN SUCURSALES'!I61+'DISTRIBUCIÓN EN SUCURSALES'!I61</f>
        <v>0</v>
      </c>
      <c r="J61" s="120">
        <f>'EXISTENCIA EN SUCURSALES'!J61+'DISTRIBUCIÓN EN SUCURSALES'!J61</f>
        <v>1</v>
      </c>
      <c r="K61" s="120">
        <f>'EXISTENCIA EN SUCURSALES'!K61+'DISTRIBUCIÓN EN SUCURSALES'!K61</f>
        <v>0</v>
      </c>
      <c r="L61" s="120">
        <f t="shared" si="41"/>
        <v>9</v>
      </c>
      <c r="M61" s="131">
        <f>'EXISTENCIA EN SUCURSALES'!M61+'DISTRIBUCIÓN EN SUCURSALES'!M61</f>
        <v>2</v>
      </c>
      <c r="N61" s="131">
        <f>'EXISTENCIA EN SUCURSALES'!N61+'DISTRIBUCIÓN EN SUCURSALES'!N61</f>
        <v>0</v>
      </c>
      <c r="O61" s="131">
        <f>'EXISTENCIA EN SUCURSALES'!O61+'DISTRIBUCIÓN EN SUCURSALES'!O61</f>
        <v>0</v>
      </c>
      <c r="P61" s="131">
        <f>'EXISTENCIA EN SUCURSALES'!P61+'DISTRIBUCIÓN EN SUCURSALES'!P61</f>
        <v>3</v>
      </c>
      <c r="Q61" s="131">
        <f>'EXISTENCIA EN SUCURSALES'!Q61+'DISTRIBUCIÓN EN SUCURSALES'!Q61</f>
        <v>1</v>
      </c>
      <c r="R61" s="131">
        <f>'EXISTENCIA EN SUCURSALES'!R61+'DISTRIBUCIÓN EN SUCURSALES'!R61</f>
        <v>2</v>
      </c>
      <c r="S61" s="131">
        <f>'EXISTENCIA EN SUCURSALES'!S61+'DISTRIBUCIÓN EN SUCURSALES'!S61</f>
        <v>2</v>
      </c>
      <c r="T61" s="131">
        <f>'EXISTENCIA EN SUCURSALES'!T61+'DISTRIBUCIÓN EN SUCURSALES'!T61</f>
        <v>2</v>
      </c>
      <c r="U61" s="131">
        <f>'EXISTENCIA EN SUCURSALES'!U61+'DISTRIBUCIÓN EN SUCURSALES'!U61</f>
        <v>0</v>
      </c>
      <c r="V61" s="131">
        <f>'EXISTENCIA EN SUCURSALES'!V61+'DISTRIBUCIÓN EN SUCURSALES'!V61</f>
        <v>1</v>
      </c>
      <c r="W61" s="131">
        <f>'EXISTENCIA EN SUCURSALES'!W61+'DISTRIBUCIÓN EN SUCURSALES'!W61</f>
        <v>1</v>
      </c>
      <c r="X61" s="131">
        <f>'EXISTENCIA EN SUCURSALES'!X61+'DISTRIBUCIÓN EN SUCURSALES'!X61</f>
        <v>1</v>
      </c>
      <c r="Y61" s="120">
        <f t="shared" si="42"/>
        <v>15</v>
      </c>
      <c r="Z61" s="120">
        <f t="shared" si="43"/>
        <v>24</v>
      </c>
      <c r="AB61" s="131">
        <f>IFERROR(VLOOKUP(A61,'GRAL. SUC. LOCALES'!$A:$N,14,0),0)</f>
        <v>0</v>
      </c>
      <c r="AD61" s="131">
        <f t="shared" si="10"/>
        <v>24</v>
      </c>
      <c r="AF61" s="131">
        <v>30</v>
      </c>
      <c r="AG61" s="131">
        <v>30</v>
      </c>
      <c r="AH61" s="116">
        <f t="shared" si="5"/>
        <v>-6</v>
      </c>
    </row>
    <row r="62" spans="1:34" ht="17.399999999999999" x14ac:dyDescent="0.35">
      <c r="A62" s="102" t="s">
        <v>43</v>
      </c>
      <c r="B62" s="131">
        <f>'EXISTENCIA EN SUCURSALES'!B62+'DISTRIBUCIÓN EN SUCURSALES'!B62</f>
        <v>2</v>
      </c>
      <c r="C62" s="131">
        <f>'EXISTENCIA EN SUCURSALES'!C62+'DISTRIBUCIÓN EN SUCURSALES'!C62</f>
        <v>2</v>
      </c>
      <c r="D62" s="120">
        <f>'EXISTENCIA EN SUCURSALES'!D62+'DISTRIBUCIÓN EN SUCURSALES'!D62</f>
        <v>1</v>
      </c>
      <c r="E62" s="120">
        <f>'EXISTENCIA EN SUCURSALES'!E62+'DISTRIBUCIÓN EN SUCURSALES'!E62</f>
        <v>1</v>
      </c>
      <c r="F62" s="120">
        <f>'EXISTENCIA EN SUCURSALES'!F62+'DISTRIBUCIÓN EN SUCURSALES'!F62</f>
        <v>1</v>
      </c>
      <c r="G62" s="120">
        <f>'EXISTENCIA EN SUCURSALES'!G62+'DISTRIBUCIÓN EN SUCURSALES'!G62</f>
        <v>0</v>
      </c>
      <c r="H62" s="120">
        <f>'EXISTENCIA EN SUCURSALES'!H62+'DISTRIBUCIÓN EN SUCURSALES'!H62</f>
        <v>1</v>
      </c>
      <c r="I62" s="120">
        <f>'EXISTENCIA EN SUCURSALES'!I62+'DISTRIBUCIÓN EN SUCURSALES'!I62</f>
        <v>1</v>
      </c>
      <c r="J62" s="120">
        <f>'EXISTENCIA EN SUCURSALES'!J62+'DISTRIBUCIÓN EN SUCURSALES'!J62</f>
        <v>1</v>
      </c>
      <c r="K62" s="120">
        <f>'EXISTENCIA EN SUCURSALES'!K62+'DISTRIBUCIÓN EN SUCURSALES'!K62</f>
        <v>0</v>
      </c>
      <c r="L62" s="120">
        <f t="shared" si="41"/>
        <v>10</v>
      </c>
      <c r="M62" s="131">
        <f>'EXISTENCIA EN SUCURSALES'!M62+'DISTRIBUCIÓN EN SUCURSALES'!M62</f>
        <v>0</v>
      </c>
      <c r="N62" s="131">
        <f>'EXISTENCIA EN SUCURSALES'!N62+'DISTRIBUCIÓN EN SUCURSALES'!N62</f>
        <v>1</v>
      </c>
      <c r="O62" s="131">
        <f>'EXISTENCIA EN SUCURSALES'!O62+'DISTRIBUCIÓN EN SUCURSALES'!O62</f>
        <v>0</v>
      </c>
      <c r="P62" s="131">
        <f>'EXISTENCIA EN SUCURSALES'!P62+'DISTRIBUCIÓN EN SUCURSALES'!P62</f>
        <v>0</v>
      </c>
      <c r="Q62" s="131">
        <f>'EXISTENCIA EN SUCURSALES'!Q62+'DISTRIBUCIÓN EN SUCURSALES'!Q62</f>
        <v>2</v>
      </c>
      <c r="R62" s="131">
        <f>'EXISTENCIA EN SUCURSALES'!R62+'DISTRIBUCIÓN EN SUCURSALES'!R62</f>
        <v>2</v>
      </c>
      <c r="S62" s="131">
        <f>'EXISTENCIA EN SUCURSALES'!S62+'DISTRIBUCIÓN EN SUCURSALES'!S62</f>
        <v>2</v>
      </c>
      <c r="T62" s="131">
        <f>'EXISTENCIA EN SUCURSALES'!T62+'DISTRIBUCIÓN EN SUCURSALES'!T62</f>
        <v>1</v>
      </c>
      <c r="U62" s="131">
        <f>'EXISTENCIA EN SUCURSALES'!U62+'DISTRIBUCIÓN EN SUCURSALES'!U62</f>
        <v>1</v>
      </c>
      <c r="V62" s="131">
        <f>'EXISTENCIA EN SUCURSALES'!V62+'DISTRIBUCIÓN EN SUCURSALES'!V62</f>
        <v>3</v>
      </c>
      <c r="W62" s="131">
        <f>'EXISTENCIA EN SUCURSALES'!W62+'DISTRIBUCIÓN EN SUCURSALES'!W62</f>
        <v>1</v>
      </c>
      <c r="X62" s="131">
        <f>'EXISTENCIA EN SUCURSALES'!X62+'DISTRIBUCIÓN EN SUCURSALES'!X62</f>
        <v>0</v>
      </c>
      <c r="Y62" s="120">
        <f t="shared" si="42"/>
        <v>13</v>
      </c>
      <c r="Z62" s="120">
        <f t="shared" si="43"/>
        <v>23</v>
      </c>
      <c r="AB62" s="131">
        <f>IFERROR(VLOOKUP(A62,'GRAL. SUC. LOCALES'!$A:$N,14,0),0)</f>
        <v>4</v>
      </c>
      <c r="AD62" s="131">
        <f t="shared" si="10"/>
        <v>27</v>
      </c>
      <c r="AF62" s="131">
        <v>40</v>
      </c>
      <c r="AG62" s="131">
        <v>35</v>
      </c>
      <c r="AH62" s="116">
        <f t="shared" si="5"/>
        <v>-13</v>
      </c>
    </row>
    <row r="63" spans="1:34" ht="17.399999999999999" x14ac:dyDescent="0.35">
      <c r="A63" s="93" t="s">
        <v>44</v>
      </c>
      <c r="B63" s="131">
        <f>'EXISTENCIA EN SUCURSALES'!B63+'DISTRIBUCIÓN EN SUCURSALES'!B63</f>
        <v>2</v>
      </c>
      <c r="C63" s="131">
        <f>'EXISTENCIA EN SUCURSALES'!C63+'DISTRIBUCIÓN EN SUCURSALES'!C63</f>
        <v>2</v>
      </c>
      <c r="D63" s="120">
        <f>'EXISTENCIA EN SUCURSALES'!D63+'DISTRIBUCIÓN EN SUCURSALES'!D63</f>
        <v>2</v>
      </c>
      <c r="E63" s="120">
        <f>'EXISTENCIA EN SUCURSALES'!E63+'DISTRIBUCIÓN EN SUCURSALES'!E63</f>
        <v>1</v>
      </c>
      <c r="F63" s="120">
        <f>'EXISTENCIA EN SUCURSALES'!F63+'DISTRIBUCIÓN EN SUCURSALES'!F63</f>
        <v>1</v>
      </c>
      <c r="G63" s="120">
        <f>'EXISTENCIA EN SUCURSALES'!G63+'DISTRIBUCIÓN EN SUCURSALES'!G63</f>
        <v>0</v>
      </c>
      <c r="H63" s="120">
        <f>'EXISTENCIA EN SUCURSALES'!H63+'DISTRIBUCIÓN EN SUCURSALES'!H63</f>
        <v>1</v>
      </c>
      <c r="I63" s="120">
        <f>'EXISTENCIA EN SUCURSALES'!I63+'DISTRIBUCIÓN EN SUCURSALES'!I63</f>
        <v>0</v>
      </c>
      <c r="J63" s="120">
        <f>'EXISTENCIA EN SUCURSALES'!J63+'DISTRIBUCIÓN EN SUCURSALES'!J63</f>
        <v>1</v>
      </c>
      <c r="K63" s="120">
        <f>'EXISTENCIA EN SUCURSALES'!K63+'DISTRIBUCIÓN EN SUCURSALES'!K63</f>
        <v>1</v>
      </c>
      <c r="L63" s="120">
        <f t="shared" si="41"/>
        <v>11</v>
      </c>
      <c r="M63" s="131">
        <f>'EXISTENCIA EN SUCURSALES'!M63+'DISTRIBUCIÓN EN SUCURSALES'!M63</f>
        <v>2</v>
      </c>
      <c r="N63" s="131">
        <f>'EXISTENCIA EN SUCURSALES'!N63+'DISTRIBUCIÓN EN SUCURSALES'!N63</f>
        <v>1</v>
      </c>
      <c r="O63" s="131">
        <f>'EXISTENCIA EN SUCURSALES'!O63+'DISTRIBUCIÓN EN SUCURSALES'!O63</f>
        <v>1</v>
      </c>
      <c r="P63" s="131">
        <f>'EXISTENCIA EN SUCURSALES'!P63+'DISTRIBUCIÓN EN SUCURSALES'!P63</f>
        <v>1</v>
      </c>
      <c r="Q63" s="131">
        <f>'EXISTENCIA EN SUCURSALES'!Q63+'DISTRIBUCIÓN EN SUCURSALES'!Q63</f>
        <v>0</v>
      </c>
      <c r="R63" s="131">
        <f>'EXISTENCIA EN SUCURSALES'!R63+'DISTRIBUCIÓN EN SUCURSALES'!R63</f>
        <v>2</v>
      </c>
      <c r="S63" s="131">
        <f>'EXISTENCIA EN SUCURSALES'!S63+'DISTRIBUCIÓN EN SUCURSALES'!S63</f>
        <v>1</v>
      </c>
      <c r="T63" s="131">
        <f>'EXISTENCIA EN SUCURSALES'!T63+'DISTRIBUCIÓN EN SUCURSALES'!T63</f>
        <v>0</v>
      </c>
      <c r="U63" s="131">
        <f>'EXISTENCIA EN SUCURSALES'!U63+'DISTRIBUCIÓN EN SUCURSALES'!U63</f>
        <v>2</v>
      </c>
      <c r="V63" s="131">
        <f>'EXISTENCIA EN SUCURSALES'!V63+'DISTRIBUCIÓN EN SUCURSALES'!V63</f>
        <v>0</v>
      </c>
      <c r="W63" s="131">
        <f>'EXISTENCIA EN SUCURSALES'!W63+'DISTRIBUCIÓN EN SUCURSALES'!W63</f>
        <v>1</v>
      </c>
      <c r="X63" s="131">
        <f>'EXISTENCIA EN SUCURSALES'!X63+'DISTRIBUCIÓN EN SUCURSALES'!X63</f>
        <v>1</v>
      </c>
      <c r="Y63" s="120">
        <f t="shared" si="42"/>
        <v>12</v>
      </c>
      <c r="Z63" s="120">
        <f t="shared" si="43"/>
        <v>23</v>
      </c>
      <c r="AB63" s="131">
        <f>IFERROR(VLOOKUP(A63,'GRAL. SUC. LOCALES'!$A:$N,14,0),0)</f>
        <v>5</v>
      </c>
      <c r="AD63" s="131">
        <f t="shared" si="10"/>
        <v>28</v>
      </c>
      <c r="AF63" s="131">
        <v>35</v>
      </c>
      <c r="AG63" s="131">
        <v>35</v>
      </c>
      <c r="AH63" s="116">
        <f t="shared" si="5"/>
        <v>-7</v>
      </c>
    </row>
    <row r="64" spans="1:34" ht="17.399999999999999" x14ac:dyDescent="0.35">
      <c r="A64" s="93" t="s">
        <v>45</v>
      </c>
      <c r="B64" s="131">
        <f>'EXISTENCIA EN SUCURSALES'!B64+'DISTRIBUCIÓN EN SUCURSALES'!B64</f>
        <v>1</v>
      </c>
      <c r="C64" s="131">
        <f>'EXISTENCIA EN SUCURSALES'!C64+'DISTRIBUCIÓN EN SUCURSALES'!C64</f>
        <v>2</v>
      </c>
      <c r="D64" s="120">
        <f>'EXISTENCIA EN SUCURSALES'!D64+'DISTRIBUCIÓN EN SUCURSALES'!D64</f>
        <v>1</v>
      </c>
      <c r="E64" s="120">
        <f>'EXISTENCIA EN SUCURSALES'!E64+'DISTRIBUCIÓN EN SUCURSALES'!E64</f>
        <v>1</v>
      </c>
      <c r="F64" s="120">
        <f>'EXISTENCIA EN SUCURSALES'!F64+'DISTRIBUCIÓN EN SUCURSALES'!F64</f>
        <v>1</v>
      </c>
      <c r="G64" s="120">
        <f>'EXISTENCIA EN SUCURSALES'!G64+'DISTRIBUCIÓN EN SUCURSALES'!G64</f>
        <v>0</v>
      </c>
      <c r="H64" s="120">
        <f>'EXISTENCIA EN SUCURSALES'!H64+'DISTRIBUCIÓN EN SUCURSALES'!H64</f>
        <v>2</v>
      </c>
      <c r="I64" s="120">
        <f>'EXISTENCIA EN SUCURSALES'!I64+'DISTRIBUCIÓN EN SUCURSALES'!I64</f>
        <v>3</v>
      </c>
      <c r="J64" s="120">
        <f>'EXISTENCIA EN SUCURSALES'!J64+'DISTRIBUCIÓN EN SUCURSALES'!J64</f>
        <v>2</v>
      </c>
      <c r="K64" s="120">
        <f>'EXISTENCIA EN SUCURSALES'!K64+'DISTRIBUCIÓN EN SUCURSALES'!K64</f>
        <v>1</v>
      </c>
      <c r="L64" s="120">
        <f t="shared" si="41"/>
        <v>14</v>
      </c>
      <c r="M64" s="131">
        <f>'EXISTENCIA EN SUCURSALES'!M64+'DISTRIBUCIÓN EN SUCURSALES'!M64</f>
        <v>2</v>
      </c>
      <c r="N64" s="131">
        <f>'EXISTENCIA EN SUCURSALES'!N64+'DISTRIBUCIÓN EN SUCURSALES'!N64</f>
        <v>1</v>
      </c>
      <c r="O64" s="131">
        <f>'EXISTENCIA EN SUCURSALES'!O64+'DISTRIBUCIÓN EN SUCURSALES'!O64</f>
        <v>2</v>
      </c>
      <c r="P64" s="131">
        <f>'EXISTENCIA EN SUCURSALES'!P64+'DISTRIBUCIÓN EN SUCURSALES'!P64</f>
        <v>2</v>
      </c>
      <c r="Q64" s="131">
        <f>'EXISTENCIA EN SUCURSALES'!Q64+'DISTRIBUCIÓN EN SUCURSALES'!Q64</f>
        <v>1</v>
      </c>
      <c r="R64" s="131">
        <f>'EXISTENCIA EN SUCURSALES'!R64+'DISTRIBUCIÓN EN SUCURSALES'!R64</f>
        <v>2</v>
      </c>
      <c r="S64" s="131">
        <f>'EXISTENCIA EN SUCURSALES'!S64+'DISTRIBUCIÓN EN SUCURSALES'!S64</f>
        <v>1</v>
      </c>
      <c r="T64" s="131">
        <f>'EXISTENCIA EN SUCURSALES'!T64+'DISTRIBUCIÓN EN SUCURSALES'!T64</f>
        <v>0</v>
      </c>
      <c r="U64" s="131">
        <f>'EXISTENCIA EN SUCURSALES'!U64+'DISTRIBUCIÓN EN SUCURSALES'!U64</f>
        <v>4</v>
      </c>
      <c r="V64" s="131">
        <f>'EXISTENCIA EN SUCURSALES'!V64+'DISTRIBUCIÓN EN SUCURSALES'!V64</f>
        <v>3</v>
      </c>
      <c r="W64" s="131">
        <f>'EXISTENCIA EN SUCURSALES'!W64+'DISTRIBUCIÓN EN SUCURSALES'!W64</f>
        <v>1</v>
      </c>
      <c r="X64" s="131">
        <f>'EXISTENCIA EN SUCURSALES'!X64+'DISTRIBUCIÓN EN SUCURSALES'!X64</f>
        <v>0</v>
      </c>
      <c r="Y64" s="120">
        <f t="shared" si="42"/>
        <v>19</v>
      </c>
      <c r="Z64" s="120">
        <f t="shared" si="43"/>
        <v>33</v>
      </c>
      <c r="AB64" s="131">
        <f>IFERROR(VLOOKUP(A64,'GRAL. SUC. LOCALES'!$A:$N,14,0),0)</f>
        <v>7</v>
      </c>
      <c r="AD64" s="131">
        <f t="shared" si="10"/>
        <v>40</v>
      </c>
      <c r="AF64" s="131">
        <v>45</v>
      </c>
      <c r="AG64" s="131">
        <v>45</v>
      </c>
      <c r="AH64" s="116">
        <f t="shared" si="5"/>
        <v>-5</v>
      </c>
    </row>
    <row r="65" spans="1:34" ht="17.399999999999999" x14ac:dyDescent="0.35">
      <c r="A65" s="93" t="s">
        <v>46</v>
      </c>
      <c r="B65" s="131">
        <f>'EXISTENCIA EN SUCURSALES'!B65+'DISTRIBUCIÓN EN SUCURSALES'!B65</f>
        <v>3</v>
      </c>
      <c r="C65" s="131">
        <f>'EXISTENCIA EN SUCURSALES'!C65+'DISTRIBUCIÓN EN SUCURSALES'!C65</f>
        <v>3</v>
      </c>
      <c r="D65" s="120">
        <f>'EXISTENCIA EN SUCURSALES'!D65+'DISTRIBUCIÓN EN SUCURSALES'!D65</f>
        <v>3</v>
      </c>
      <c r="E65" s="120">
        <f>'EXISTENCIA EN SUCURSALES'!E65+'DISTRIBUCIÓN EN SUCURSALES'!E65</f>
        <v>2</v>
      </c>
      <c r="F65" s="120">
        <f>'EXISTENCIA EN SUCURSALES'!F65+'DISTRIBUCIÓN EN SUCURSALES'!F65</f>
        <v>2</v>
      </c>
      <c r="G65" s="120">
        <f>'EXISTENCIA EN SUCURSALES'!G65+'DISTRIBUCIÓN EN SUCURSALES'!G65</f>
        <v>0</v>
      </c>
      <c r="H65" s="120">
        <f>'EXISTENCIA EN SUCURSALES'!H65+'DISTRIBUCIÓN EN SUCURSALES'!H65</f>
        <v>2</v>
      </c>
      <c r="I65" s="120">
        <f>'EXISTENCIA EN SUCURSALES'!I65+'DISTRIBUCIÓN EN SUCURSALES'!I65</f>
        <v>4</v>
      </c>
      <c r="J65" s="120">
        <f>'EXISTENCIA EN SUCURSALES'!J65+'DISTRIBUCIÓN EN SUCURSALES'!J65</f>
        <v>3</v>
      </c>
      <c r="K65" s="120">
        <f>'EXISTENCIA EN SUCURSALES'!K65+'DISTRIBUCIÓN EN SUCURSALES'!K65</f>
        <v>3</v>
      </c>
      <c r="L65" s="120">
        <f t="shared" si="41"/>
        <v>25</v>
      </c>
      <c r="M65" s="131">
        <f>'EXISTENCIA EN SUCURSALES'!M65+'DISTRIBUCIÓN EN SUCURSALES'!M65</f>
        <v>2</v>
      </c>
      <c r="N65" s="131">
        <f>'EXISTENCIA EN SUCURSALES'!N65+'DISTRIBUCIÓN EN SUCURSALES'!N65</f>
        <v>3</v>
      </c>
      <c r="O65" s="131">
        <f>'EXISTENCIA EN SUCURSALES'!O65+'DISTRIBUCIÓN EN SUCURSALES'!O65</f>
        <v>2</v>
      </c>
      <c r="P65" s="131">
        <f>'EXISTENCIA EN SUCURSALES'!P65+'DISTRIBUCIÓN EN SUCURSALES'!P65</f>
        <v>3</v>
      </c>
      <c r="Q65" s="131">
        <f>'EXISTENCIA EN SUCURSALES'!Q65+'DISTRIBUCIÓN EN SUCURSALES'!Q65</f>
        <v>2</v>
      </c>
      <c r="R65" s="131">
        <f>'EXISTENCIA EN SUCURSALES'!R65+'DISTRIBUCIÓN EN SUCURSALES'!R65</f>
        <v>3</v>
      </c>
      <c r="S65" s="131">
        <f>'EXISTENCIA EN SUCURSALES'!S65+'DISTRIBUCIÓN EN SUCURSALES'!S65</f>
        <v>2</v>
      </c>
      <c r="T65" s="131">
        <f>'EXISTENCIA EN SUCURSALES'!T65+'DISTRIBUCIÓN EN SUCURSALES'!T65</f>
        <v>3</v>
      </c>
      <c r="U65" s="131">
        <f>'EXISTENCIA EN SUCURSALES'!U65+'DISTRIBUCIÓN EN SUCURSALES'!U65</f>
        <v>3</v>
      </c>
      <c r="V65" s="131">
        <f>'EXISTENCIA EN SUCURSALES'!V65+'DISTRIBUCIÓN EN SUCURSALES'!V65</f>
        <v>2</v>
      </c>
      <c r="W65" s="131">
        <f>'EXISTENCIA EN SUCURSALES'!W65+'DISTRIBUCIÓN EN SUCURSALES'!W65</f>
        <v>4</v>
      </c>
      <c r="X65" s="131">
        <f>'EXISTENCIA EN SUCURSALES'!X65+'DISTRIBUCIÓN EN SUCURSALES'!X65</f>
        <v>1</v>
      </c>
      <c r="Y65" s="120">
        <f t="shared" si="42"/>
        <v>30</v>
      </c>
      <c r="Z65" s="120">
        <f t="shared" si="43"/>
        <v>55</v>
      </c>
      <c r="AB65" s="131">
        <f>IFERROR(VLOOKUP(A65,'GRAL. SUC. LOCALES'!$A:$N,14,0),0)</f>
        <v>14</v>
      </c>
      <c r="AD65" s="131">
        <f t="shared" si="10"/>
        <v>69</v>
      </c>
      <c r="AF65" s="131">
        <v>90</v>
      </c>
      <c r="AG65" s="131">
        <v>90</v>
      </c>
      <c r="AH65" s="116">
        <f t="shared" si="5"/>
        <v>-21</v>
      </c>
    </row>
    <row r="66" spans="1:34" ht="17.399999999999999" x14ac:dyDescent="0.35">
      <c r="A66" s="93" t="s">
        <v>48</v>
      </c>
      <c r="B66" s="131">
        <f>'EXISTENCIA EN SUCURSALES'!B66+'DISTRIBUCIÓN EN SUCURSALES'!B66</f>
        <v>2</v>
      </c>
      <c r="C66" s="131">
        <f>'EXISTENCIA EN SUCURSALES'!C66+'DISTRIBUCIÓN EN SUCURSALES'!C66</f>
        <v>2</v>
      </c>
      <c r="D66" s="120">
        <f>'EXISTENCIA EN SUCURSALES'!D66+'DISTRIBUCIÓN EN SUCURSALES'!D66</f>
        <v>1</v>
      </c>
      <c r="E66" s="120">
        <f>'EXISTENCIA EN SUCURSALES'!E66+'DISTRIBUCIÓN EN SUCURSALES'!E66</f>
        <v>1</v>
      </c>
      <c r="F66" s="120">
        <f>'EXISTENCIA EN SUCURSALES'!F66+'DISTRIBUCIÓN EN SUCURSALES'!F66</f>
        <v>1</v>
      </c>
      <c r="G66" s="120">
        <f>'EXISTENCIA EN SUCURSALES'!G66+'DISTRIBUCIÓN EN SUCURSALES'!G66</f>
        <v>0</v>
      </c>
      <c r="H66" s="120">
        <f>'EXISTENCIA EN SUCURSALES'!H66+'DISTRIBUCIÓN EN SUCURSALES'!H66</f>
        <v>1</v>
      </c>
      <c r="I66" s="120">
        <f>'EXISTENCIA EN SUCURSALES'!I66+'DISTRIBUCIÓN EN SUCURSALES'!I66</f>
        <v>1</v>
      </c>
      <c r="J66" s="120">
        <f>'EXISTENCIA EN SUCURSALES'!J66+'DISTRIBUCIÓN EN SUCURSALES'!J66</f>
        <v>1</v>
      </c>
      <c r="K66" s="120">
        <f>'EXISTENCIA EN SUCURSALES'!K66+'DISTRIBUCIÓN EN SUCURSALES'!K66</f>
        <v>1</v>
      </c>
      <c r="L66" s="120">
        <f t="shared" si="41"/>
        <v>11</v>
      </c>
      <c r="M66" s="131">
        <f>'EXISTENCIA EN SUCURSALES'!M66+'DISTRIBUCIÓN EN SUCURSALES'!M66</f>
        <v>2</v>
      </c>
      <c r="N66" s="131">
        <f>'EXISTENCIA EN SUCURSALES'!N66+'DISTRIBUCIÓN EN SUCURSALES'!N66</f>
        <v>1</v>
      </c>
      <c r="O66" s="131">
        <f>'EXISTENCIA EN SUCURSALES'!O66+'DISTRIBUCIÓN EN SUCURSALES'!O66</f>
        <v>0</v>
      </c>
      <c r="P66" s="131">
        <f>'EXISTENCIA EN SUCURSALES'!P66+'DISTRIBUCIÓN EN SUCURSALES'!P66</f>
        <v>0</v>
      </c>
      <c r="Q66" s="131">
        <f>'EXISTENCIA EN SUCURSALES'!Q66+'DISTRIBUCIÓN EN SUCURSALES'!Q66</f>
        <v>2</v>
      </c>
      <c r="R66" s="131">
        <f>'EXISTENCIA EN SUCURSALES'!R66+'DISTRIBUCIÓN EN SUCURSALES'!R66</f>
        <v>1</v>
      </c>
      <c r="S66" s="131">
        <f>'EXISTENCIA EN SUCURSALES'!S66+'DISTRIBUCIÓN EN SUCURSALES'!S66</f>
        <v>3</v>
      </c>
      <c r="T66" s="131">
        <f>'EXISTENCIA EN SUCURSALES'!T66+'DISTRIBUCIÓN EN SUCURSALES'!T66</f>
        <v>2</v>
      </c>
      <c r="U66" s="131">
        <f>'EXISTENCIA EN SUCURSALES'!U66+'DISTRIBUCIÓN EN SUCURSALES'!U66</f>
        <v>0</v>
      </c>
      <c r="V66" s="131">
        <f>'EXISTENCIA EN SUCURSALES'!V66+'DISTRIBUCIÓN EN SUCURSALES'!V66</f>
        <v>1</v>
      </c>
      <c r="W66" s="131">
        <f>'EXISTENCIA EN SUCURSALES'!W66+'DISTRIBUCIÓN EN SUCURSALES'!W66</f>
        <v>2</v>
      </c>
      <c r="X66" s="131">
        <f>'EXISTENCIA EN SUCURSALES'!X66+'DISTRIBUCIÓN EN SUCURSALES'!X66</f>
        <v>2</v>
      </c>
      <c r="Y66" s="120">
        <f t="shared" si="42"/>
        <v>16</v>
      </c>
      <c r="Z66" s="120">
        <f t="shared" si="43"/>
        <v>27</v>
      </c>
      <c r="AB66" s="131">
        <f>IFERROR(VLOOKUP(A66,'GRAL. SUC. LOCALES'!$A:$N,14,0),0)</f>
        <v>5</v>
      </c>
      <c r="AD66" s="131">
        <f t="shared" si="10"/>
        <v>32</v>
      </c>
      <c r="AF66" s="131">
        <v>30</v>
      </c>
      <c r="AG66" s="131">
        <v>30</v>
      </c>
      <c r="AH66" s="116">
        <f t="shared" si="5"/>
        <v>2</v>
      </c>
    </row>
    <row r="67" spans="1:34" ht="17.399999999999999" x14ac:dyDescent="0.35">
      <c r="A67" s="93" t="s">
        <v>49</v>
      </c>
      <c r="B67" s="131">
        <f>'EXISTENCIA EN SUCURSALES'!B67+'DISTRIBUCIÓN EN SUCURSALES'!B67</f>
        <v>2</v>
      </c>
      <c r="C67" s="131">
        <f>'EXISTENCIA EN SUCURSALES'!C67+'DISTRIBUCIÓN EN SUCURSALES'!C67</f>
        <v>2</v>
      </c>
      <c r="D67" s="120">
        <f>'EXISTENCIA EN SUCURSALES'!D67+'DISTRIBUCIÓN EN SUCURSALES'!D67</f>
        <v>1</v>
      </c>
      <c r="E67" s="120">
        <f>'EXISTENCIA EN SUCURSALES'!E67+'DISTRIBUCIÓN EN SUCURSALES'!E67</f>
        <v>1</v>
      </c>
      <c r="F67" s="120">
        <f>'EXISTENCIA EN SUCURSALES'!F67+'DISTRIBUCIÓN EN SUCURSALES'!F67</f>
        <v>1</v>
      </c>
      <c r="G67" s="120">
        <f>'EXISTENCIA EN SUCURSALES'!G67+'DISTRIBUCIÓN EN SUCURSALES'!G67</f>
        <v>0</v>
      </c>
      <c r="H67" s="120">
        <f>'EXISTENCIA EN SUCURSALES'!H67+'DISTRIBUCIÓN EN SUCURSALES'!H67</f>
        <v>1</v>
      </c>
      <c r="I67" s="120">
        <f>'EXISTENCIA EN SUCURSALES'!I67+'DISTRIBUCIÓN EN SUCURSALES'!I67</f>
        <v>1</v>
      </c>
      <c r="J67" s="120">
        <f>'EXISTENCIA EN SUCURSALES'!J67+'DISTRIBUCIÓN EN SUCURSALES'!J67</f>
        <v>1</v>
      </c>
      <c r="K67" s="120">
        <f>'EXISTENCIA EN SUCURSALES'!K67+'DISTRIBUCIÓN EN SUCURSALES'!K67</f>
        <v>1</v>
      </c>
      <c r="L67" s="120">
        <f t="shared" si="41"/>
        <v>11</v>
      </c>
      <c r="M67" s="131">
        <f>'EXISTENCIA EN SUCURSALES'!M67+'DISTRIBUCIÓN EN SUCURSALES'!M67</f>
        <v>2</v>
      </c>
      <c r="N67" s="131">
        <f>'EXISTENCIA EN SUCURSALES'!N67+'DISTRIBUCIÓN EN SUCURSALES'!N67</f>
        <v>1</v>
      </c>
      <c r="O67" s="131">
        <f>'EXISTENCIA EN SUCURSALES'!O67+'DISTRIBUCIÓN EN SUCURSALES'!O67</f>
        <v>1</v>
      </c>
      <c r="P67" s="131">
        <f>'EXISTENCIA EN SUCURSALES'!P67+'DISTRIBUCIÓN EN SUCURSALES'!P67</f>
        <v>0</v>
      </c>
      <c r="Q67" s="131">
        <f>'EXISTENCIA EN SUCURSALES'!Q67+'DISTRIBUCIÓN EN SUCURSALES'!Q67</f>
        <v>3</v>
      </c>
      <c r="R67" s="131">
        <f>'EXISTENCIA EN SUCURSALES'!R67+'DISTRIBUCIÓN EN SUCURSALES'!R67</f>
        <v>2</v>
      </c>
      <c r="S67" s="131">
        <f>'EXISTENCIA EN SUCURSALES'!S67+'DISTRIBUCIÓN EN SUCURSALES'!S67</f>
        <v>0</v>
      </c>
      <c r="T67" s="131">
        <f>'EXISTENCIA EN SUCURSALES'!T67+'DISTRIBUCIÓN EN SUCURSALES'!T67</f>
        <v>0</v>
      </c>
      <c r="U67" s="131">
        <f>'EXISTENCIA EN SUCURSALES'!U67+'DISTRIBUCIÓN EN SUCURSALES'!U67</f>
        <v>0</v>
      </c>
      <c r="V67" s="131">
        <f>'EXISTENCIA EN SUCURSALES'!V67+'DISTRIBUCIÓN EN SUCURSALES'!V67</f>
        <v>2</v>
      </c>
      <c r="W67" s="131">
        <f>'EXISTENCIA EN SUCURSALES'!W67+'DISTRIBUCIÓN EN SUCURSALES'!W67</f>
        <v>0</v>
      </c>
      <c r="X67" s="131">
        <f>'EXISTENCIA EN SUCURSALES'!X67+'DISTRIBUCIÓN EN SUCURSALES'!X67</f>
        <v>1</v>
      </c>
      <c r="Y67" s="120">
        <f t="shared" si="42"/>
        <v>12</v>
      </c>
      <c r="Z67" s="120">
        <f t="shared" si="43"/>
        <v>23</v>
      </c>
      <c r="AB67" s="131">
        <f>IFERROR(VLOOKUP(A67,'GRAL. SUC. LOCALES'!$A:$N,14,0),0)</f>
        <v>14</v>
      </c>
      <c r="AD67" s="131">
        <f t="shared" si="10"/>
        <v>37</v>
      </c>
      <c r="AF67" s="131">
        <v>45</v>
      </c>
      <c r="AG67" s="131">
        <v>45</v>
      </c>
      <c r="AH67" s="116">
        <f t="shared" si="5"/>
        <v>-8</v>
      </c>
    </row>
    <row r="68" spans="1:34" ht="17.399999999999999" x14ac:dyDescent="0.35">
      <c r="A68" s="93" t="s">
        <v>50</v>
      </c>
      <c r="B68" s="131">
        <f>'EXISTENCIA EN SUCURSALES'!B68+'DISTRIBUCIÓN EN SUCURSALES'!B68</f>
        <v>4</v>
      </c>
      <c r="C68" s="131">
        <f>'EXISTENCIA EN SUCURSALES'!C68+'DISTRIBUCIÓN EN SUCURSALES'!C68</f>
        <v>4</v>
      </c>
      <c r="D68" s="120">
        <f>'EXISTENCIA EN SUCURSALES'!D68+'DISTRIBUCIÓN EN SUCURSALES'!D68</f>
        <v>3</v>
      </c>
      <c r="E68" s="120">
        <f>'EXISTENCIA EN SUCURSALES'!E68+'DISTRIBUCIÓN EN SUCURSALES'!E68</f>
        <v>2</v>
      </c>
      <c r="F68" s="120">
        <f>'EXISTENCIA EN SUCURSALES'!F68+'DISTRIBUCIÓN EN SUCURSALES'!F68</f>
        <v>1</v>
      </c>
      <c r="G68" s="120">
        <f>'EXISTENCIA EN SUCURSALES'!G68+'DISTRIBUCIÓN EN SUCURSALES'!G68</f>
        <v>0</v>
      </c>
      <c r="H68" s="120">
        <f>'EXISTENCIA EN SUCURSALES'!H68+'DISTRIBUCIÓN EN SUCURSALES'!H68</f>
        <v>2</v>
      </c>
      <c r="I68" s="120">
        <f>'EXISTENCIA EN SUCURSALES'!I68+'DISTRIBUCIÓN EN SUCURSALES'!I68</f>
        <v>3</v>
      </c>
      <c r="J68" s="120">
        <f>'EXISTENCIA EN SUCURSALES'!J68+'DISTRIBUCIÓN EN SUCURSALES'!J68</f>
        <v>2</v>
      </c>
      <c r="K68" s="120">
        <f>'EXISTENCIA EN SUCURSALES'!K68+'DISTRIBUCIÓN EN SUCURSALES'!K68</f>
        <v>0</v>
      </c>
      <c r="L68" s="120">
        <f t="shared" si="41"/>
        <v>21</v>
      </c>
      <c r="M68" s="131">
        <f>'EXISTENCIA EN SUCURSALES'!M68+'DISTRIBUCIÓN EN SUCURSALES'!M68</f>
        <v>3</v>
      </c>
      <c r="N68" s="131">
        <f>'EXISTENCIA EN SUCURSALES'!N68+'DISTRIBUCIÓN EN SUCURSALES'!N68</f>
        <v>2</v>
      </c>
      <c r="O68" s="131">
        <f>'EXISTENCIA EN SUCURSALES'!O68+'DISTRIBUCIÓN EN SUCURSALES'!O68</f>
        <v>1</v>
      </c>
      <c r="P68" s="131">
        <f>'EXISTENCIA EN SUCURSALES'!P68+'DISTRIBUCIÓN EN SUCURSALES'!P68</f>
        <v>3</v>
      </c>
      <c r="Q68" s="131">
        <f>'EXISTENCIA EN SUCURSALES'!Q68+'DISTRIBUCIÓN EN SUCURSALES'!Q68</f>
        <v>2</v>
      </c>
      <c r="R68" s="131">
        <f>'EXISTENCIA EN SUCURSALES'!R68+'DISTRIBUCIÓN EN SUCURSALES'!R68</f>
        <v>2</v>
      </c>
      <c r="S68" s="131">
        <f>'EXISTENCIA EN SUCURSALES'!S68+'DISTRIBUCIÓN EN SUCURSALES'!S68</f>
        <v>2</v>
      </c>
      <c r="T68" s="131">
        <f>'EXISTENCIA EN SUCURSALES'!T68+'DISTRIBUCIÓN EN SUCURSALES'!T68</f>
        <v>0</v>
      </c>
      <c r="U68" s="131">
        <f>'EXISTENCIA EN SUCURSALES'!U68+'DISTRIBUCIÓN EN SUCURSALES'!U68</f>
        <v>1</v>
      </c>
      <c r="V68" s="131">
        <f>'EXISTENCIA EN SUCURSALES'!V68+'DISTRIBUCIÓN EN SUCURSALES'!V68</f>
        <v>1</v>
      </c>
      <c r="W68" s="131">
        <f>'EXISTENCIA EN SUCURSALES'!W68+'DISTRIBUCIÓN EN SUCURSALES'!W68</f>
        <v>4</v>
      </c>
      <c r="X68" s="131">
        <f>'EXISTENCIA EN SUCURSALES'!X68+'DISTRIBUCIÓN EN SUCURSALES'!X68</f>
        <v>2</v>
      </c>
      <c r="Y68" s="120">
        <f t="shared" si="42"/>
        <v>23</v>
      </c>
      <c r="Z68" s="120">
        <f t="shared" si="43"/>
        <v>44</v>
      </c>
      <c r="AB68" s="131">
        <f>IFERROR(VLOOKUP(A68,'GRAL. SUC. LOCALES'!$A:$N,14,0),0)</f>
        <v>4</v>
      </c>
      <c r="AD68" s="131">
        <f t="shared" si="10"/>
        <v>48</v>
      </c>
      <c r="AF68" s="131">
        <v>60</v>
      </c>
      <c r="AG68" s="131">
        <v>60</v>
      </c>
      <c r="AH68" s="116">
        <f t="shared" ref="AH68:AH131" si="44">AD68-AF68</f>
        <v>-12</v>
      </c>
    </row>
    <row r="69" spans="1:34" ht="17.399999999999999" x14ac:dyDescent="0.35">
      <c r="A69" s="93" t="s">
        <v>51</v>
      </c>
      <c r="B69" s="131">
        <f>'EXISTENCIA EN SUCURSALES'!B69+'DISTRIBUCIÓN EN SUCURSALES'!B69</f>
        <v>2</v>
      </c>
      <c r="C69" s="131">
        <f>'EXISTENCIA EN SUCURSALES'!C69+'DISTRIBUCIÓN EN SUCURSALES'!C69</f>
        <v>0</v>
      </c>
      <c r="D69" s="120">
        <f>'EXISTENCIA EN SUCURSALES'!D69+'DISTRIBUCIÓN EN SUCURSALES'!D69</f>
        <v>1</v>
      </c>
      <c r="E69" s="120">
        <f>'EXISTENCIA EN SUCURSALES'!E69+'DISTRIBUCIÓN EN SUCURSALES'!E69</f>
        <v>1</v>
      </c>
      <c r="F69" s="120">
        <f>'EXISTENCIA EN SUCURSALES'!F69+'DISTRIBUCIÓN EN SUCURSALES'!F69</f>
        <v>1</v>
      </c>
      <c r="G69" s="120">
        <f>'EXISTENCIA EN SUCURSALES'!G69+'DISTRIBUCIÓN EN SUCURSALES'!G69</f>
        <v>0</v>
      </c>
      <c r="H69" s="120">
        <f>'EXISTENCIA EN SUCURSALES'!H69+'DISTRIBUCIÓN EN SUCURSALES'!H69</f>
        <v>1</v>
      </c>
      <c r="I69" s="120">
        <f>'EXISTENCIA EN SUCURSALES'!I69+'DISTRIBUCIÓN EN SUCURSALES'!I69</f>
        <v>0</v>
      </c>
      <c r="J69" s="120">
        <f>'EXISTENCIA EN SUCURSALES'!J69+'DISTRIBUCIÓN EN SUCURSALES'!J69</f>
        <v>1</v>
      </c>
      <c r="K69" s="120">
        <f>'EXISTENCIA EN SUCURSALES'!K69+'DISTRIBUCIÓN EN SUCURSALES'!K69</f>
        <v>1</v>
      </c>
      <c r="L69" s="120">
        <f t="shared" si="41"/>
        <v>8</v>
      </c>
      <c r="M69" s="131">
        <f>'EXISTENCIA EN SUCURSALES'!M69+'DISTRIBUCIÓN EN SUCURSALES'!M69</f>
        <v>3</v>
      </c>
      <c r="N69" s="131">
        <f>'EXISTENCIA EN SUCURSALES'!N69+'DISTRIBUCIÓN EN SUCURSALES'!N69</f>
        <v>1</v>
      </c>
      <c r="O69" s="131">
        <f>'EXISTENCIA EN SUCURSALES'!O69+'DISTRIBUCIÓN EN SUCURSALES'!O69</f>
        <v>1</v>
      </c>
      <c r="P69" s="131">
        <f>'EXISTENCIA EN SUCURSALES'!P69+'DISTRIBUCIÓN EN SUCURSALES'!P69</f>
        <v>0</v>
      </c>
      <c r="Q69" s="131">
        <f>'EXISTENCIA EN SUCURSALES'!Q69+'DISTRIBUCIÓN EN SUCURSALES'!Q69</f>
        <v>0</v>
      </c>
      <c r="R69" s="131">
        <f>'EXISTENCIA EN SUCURSALES'!R69+'DISTRIBUCIÓN EN SUCURSALES'!R69</f>
        <v>0</v>
      </c>
      <c r="S69" s="131">
        <f>'EXISTENCIA EN SUCURSALES'!S69+'DISTRIBUCIÓN EN SUCURSALES'!S69</f>
        <v>0</v>
      </c>
      <c r="T69" s="131">
        <f>'EXISTENCIA EN SUCURSALES'!T69+'DISTRIBUCIÓN EN SUCURSALES'!T69</f>
        <v>1</v>
      </c>
      <c r="U69" s="131">
        <f>'EXISTENCIA EN SUCURSALES'!U69+'DISTRIBUCIÓN EN SUCURSALES'!U69</f>
        <v>0</v>
      </c>
      <c r="V69" s="131">
        <f>'EXISTENCIA EN SUCURSALES'!V69+'DISTRIBUCIÓN EN SUCURSALES'!V69</f>
        <v>1</v>
      </c>
      <c r="W69" s="131">
        <f>'EXISTENCIA EN SUCURSALES'!W69+'DISTRIBUCIÓN EN SUCURSALES'!W69</f>
        <v>1</v>
      </c>
      <c r="X69" s="131">
        <f>'EXISTENCIA EN SUCURSALES'!X69+'DISTRIBUCIÓN EN SUCURSALES'!X69</f>
        <v>0</v>
      </c>
      <c r="Y69" s="120">
        <f t="shared" si="42"/>
        <v>8</v>
      </c>
      <c r="Z69" s="120">
        <f t="shared" si="43"/>
        <v>16</v>
      </c>
      <c r="AB69" s="131">
        <v>0</v>
      </c>
      <c r="AD69" s="131">
        <f t="shared" si="10"/>
        <v>16</v>
      </c>
      <c r="AF69" s="131">
        <v>20</v>
      </c>
      <c r="AG69" s="131">
        <v>15</v>
      </c>
      <c r="AH69" s="116">
        <f t="shared" si="44"/>
        <v>-4</v>
      </c>
    </row>
    <row r="70" spans="1:34" ht="17.399999999999999" x14ac:dyDescent="0.35">
      <c r="A70" s="93" t="s">
        <v>53</v>
      </c>
      <c r="B70" s="131">
        <f>'EXISTENCIA EN SUCURSALES'!B70+'DISTRIBUCIÓN EN SUCURSALES'!B70</f>
        <v>2</v>
      </c>
      <c r="C70" s="131">
        <f>'EXISTENCIA EN SUCURSALES'!C70+'DISTRIBUCIÓN EN SUCURSALES'!C70</f>
        <v>3</v>
      </c>
      <c r="D70" s="120">
        <f>'EXISTENCIA EN SUCURSALES'!D70+'DISTRIBUCIÓN EN SUCURSALES'!D70</f>
        <v>3</v>
      </c>
      <c r="E70" s="120">
        <f>'EXISTENCIA EN SUCURSALES'!E70+'DISTRIBUCIÓN EN SUCURSALES'!E70</f>
        <v>1</v>
      </c>
      <c r="F70" s="120">
        <f>'EXISTENCIA EN SUCURSALES'!F70+'DISTRIBUCIÓN EN SUCURSALES'!F70</f>
        <v>3</v>
      </c>
      <c r="G70" s="120">
        <f>'EXISTENCIA EN SUCURSALES'!G70+'DISTRIBUCIÓN EN SUCURSALES'!G70</f>
        <v>0</v>
      </c>
      <c r="H70" s="120">
        <f>'EXISTENCIA EN SUCURSALES'!H70+'DISTRIBUCIÓN EN SUCURSALES'!H70</f>
        <v>2</v>
      </c>
      <c r="I70" s="120">
        <f>'EXISTENCIA EN SUCURSALES'!I70+'DISTRIBUCIÓN EN SUCURSALES'!I70</f>
        <v>3</v>
      </c>
      <c r="J70" s="120">
        <f>'EXISTENCIA EN SUCURSALES'!J70+'DISTRIBUCIÓN EN SUCURSALES'!J70</f>
        <v>3</v>
      </c>
      <c r="K70" s="120">
        <f>'EXISTENCIA EN SUCURSALES'!K70+'DISTRIBUCIÓN EN SUCURSALES'!K70</f>
        <v>3</v>
      </c>
      <c r="L70" s="120">
        <f t="shared" si="41"/>
        <v>23</v>
      </c>
      <c r="M70" s="131">
        <f>'EXISTENCIA EN SUCURSALES'!M70+'DISTRIBUCIÓN EN SUCURSALES'!M70</f>
        <v>5</v>
      </c>
      <c r="N70" s="131">
        <f>'EXISTENCIA EN SUCURSALES'!N70+'DISTRIBUCIÓN EN SUCURSALES'!N70</f>
        <v>2</v>
      </c>
      <c r="O70" s="131">
        <f>'EXISTENCIA EN SUCURSALES'!O70+'DISTRIBUCIÓN EN SUCURSALES'!O70</f>
        <v>1</v>
      </c>
      <c r="P70" s="131">
        <f>'EXISTENCIA EN SUCURSALES'!P70+'DISTRIBUCIÓN EN SUCURSALES'!P70</f>
        <v>3</v>
      </c>
      <c r="Q70" s="131">
        <f>'EXISTENCIA EN SUCURSALES'!Q70+'DISTRIBUCIÓN EN SUCURSALES'!Q70</f>
        <v>4</v>
      </c>
      <c r="R70" s="131">
        <f>'EXISTENCIA EN SUCURSALES'!R70+'DISTRIBUCIÓN EN SUCURSALES'!R70</f>
        <v>6</v>
      </c>
      <c r="S70" s="131">
        <f>'EXISTENCIA EN SUCURSALES'!S70+'DISTRIBUCIÓN EN SUCURSALES'!S70</f>
        <v>5</v>
      </c>
      <c r="T70" s="131">
        <f>'EXISTENCIA EN SUCURSALES'!T70+'DISTRIBUCIÓN EN SUCURSALES'!T70</f>
        <v>6</v>
      </c>
      <c r="U70" s="131">
        <f>'EXISTENCIA EN SUCURSALES'!U70+'DISTRIBUCIÓN EN SUCURSALES'!U70</f>
        <v>1</v>
      </c>
      <c r="V70" s="131">
        <f>'EXISTENCIA EN SUCURSALES'!V70+'DISTRIBUCIÓN EN SUCURSALES'!V70</f>
        <v>5</v>
      </c>
      <c r="W70" s="131">
        <f>'EXISTENCIA EN SUCURSALES'!W70+'DISTRIBUCIÓN EN SUCURSALES'!W70</f>
        <v>7</v>
      </c>
      <c r="X70" s="131">
        <f>'EXISTENCIA EN SUCURSALES'!X70+'DISTRIBUCIÓN EN SUCURSALES'!X70</f>
        <v>0</v>
      </c>
      <c r="Y70" s="120">
        <f t="shared" si="42"/>
        <v>45</v>
      </c>
      <c r="Z70" s="120">
        <f t="shared" si="43"/>
        <v>68</v>
      </c>
      <c r="AB70" s="131">
        <f>IFERROR(VLOOKUP(A70,'GRAL. SUC. LOCALES'!$A:$N,14,0),0)</f>
        <v>8</v>
      </c>
      <c r="AD70" s="131">
        <f t="shared" si="10"/>
        <v>76</v>
      </c>
      <c r="AF70" s="131">
        <v>90</v>
      </c>
      <c r="AG70" s="131">
        <v>100</v>
      </c>
      <c r="AH70" s="116">
        <f t="shared" si="44"/>
        <v>-14</v>
      </c>
    </row>
    <row r="71" spans="1:34" ht="17.399999999999999" x14ac:dyDescent="0.35">
      <c r="A71" s="93" t="s">
        <v>47</v>
      </c>
      <c r="B71" s="131">
        <f>'EXISTENCIA EN SUCURSALES'!B71+'DISTRIBUCIÓN EN SUCURSALES'!B71</f>
        <v>2</v>
      </c>
      <c r="C71" s="131">
        <f>'EXISTENCIA EN SUCURSALES'!C71+'DISTRIBUCIÓN EN SUCURSALES'!C71</f>
        <v>2</v>
      </c>
      <c r="D71" s="120">
        <f>'EXISTENCIA EN SUCURSALES'!D71+'DISTRIBUCIÓN EN SUCURSALES'!D71</f>
        <v>1</v>
      </c>
      <c r="E71" s="120">
        <f>'EXISTENCIA EN SUCURSALES'!E71+'DISTRIBUCIÓN EN SUCURSALES'!E71</f>
        <v>2</v>
      </c>
      <c r="F71" s="120">
        <f>'EXISTENCIA EN SUCURSALES'!F71+'DISTRIBUCIÓN EN SUCURSALES'!F71</f>
        <v>1</v>
      </c>
      <c r="G71" s="120">
        <f>'EXISTENCIA EN SUCURSALES'!G71+'DISTRIBUCIÓN EN SUCURSALES'!G71</f>
        <v>0</v>
      </c>
      <c r="H71" s="120">
        <f>'EXISTENCIA EN SUCURSALES'!H71+'DISTRIBUCIÓN EN SUCURSALES'!H71</f>
        <v>1</v>
      </c>
      <c r="I71" s="120">
        <f>'EXISTENCIA EN SUCURSALES'!I71+'DISTRIBUCIÓN EN SUCURSALES'!I71</f>
        <v>2</v>
      </c>
      <c r="J71" s="120">
        <f>'EXISTENCIA EN SUCURSALES'!J71+'DISTRIBUCIÓN EN SUCURSALES'!J71</f>
        <v>2</v>
      </c>
      <c r="K71" s="120">
        <f>'EXISTENCIA EN SUCURSALES'!K71+'DISTRIBUCIÓN EN SUCURSALES'!K71</f>
        <v>1</v>
      </c>
      <c r="L71" s="120">
        <f t="shared" si="41"/>
        <v>14</v>
      </c>
      <c r="M71" s="131">
        <f>'EXISTENCIA EN SUCURSALES'!M71+'DISTRIBUCIÓN EN SUCURSALES'!M71</f>
        <v>2</v>
      </c>
      <c r="N71" s="131">
        <f>'EXISTENCIA EN SUCURSALES'!N71+'DISTRIBUCIÓN EN SUCURSALES'!N71</f>
        <v>1</v>
      </c>
      <c r="O71" s="131">
        <f>'EXISTENCIA EN SUCURSALES'!O71+'DISTRIBUCIÓN EN SUCURSALES'!O71</f>
        <v>1</v>
      </c>
      <c r="P71" s="131">
        <f>'EXISTENCIA EN SUCURSALES'!P71+'DISTRIBUCIÓN EN SUCURSALES'!P71</f>
        <v>0</v>
      </c>
      <c r="Q71" s="131">
        <f>'EXISTENCIA EN SUCURSALES'!Q71+'DISTRIBUCIÓN EN SUCURSALES'!Q71</f>
        <v>0</v>
      </c>
      <c r="R71" s="131">
        <f>'EXISTENCIA EN SUCURSALES'!R71+'DISTRIBUCIÓN EN SUCURSALES'!R71</f>
        <v>1</v>
      </c>
      <c r="S71" s="131">
        <f>'EXISTENCIA EN SUCURSALES'!S71+'DISTRIBUCIÓN EN SUCURSALES'!S71</f>
        <v>1</v>
      </c>
      <c r="T71" s="131">
        <f>'EXISTENCIA EN SUCURSALES'!T71+'DISTRIBUCIÓN EN SUCURSALES'!T71</f>
        <v>0</v>
      </c>
      <c r="U71" s="131">
        <f>'EXISTENCIA EN SUCURSALES'!U71+'DISTRIBUCIÓN EN SUCURSALES'!U71</f>
        <v>2</v>
      </c>
      <c r="V71" s="131">
        <f>'EXISTENCIA EN SUCURSALES'!V71+'DISTRIBUCIÓN EN SUCURSALES'!V71</f>
        <v>2</v>
      </c>
      <c r="W71" s="131">
        <f>'EXISTENCIA EN SUCURSALES'!W71+'DISTRIBUCIÓN EN SUCURSALES'!W71</f>
        <v>1</v>
      </c>
      <c r="X71" s="131">
        <f>'EXISTENCIA EN SUCURSALES'!X71+'DISTRIBUCIÓN EN SUCURSALES'!X71</f>
        <v>0</v>
      </c>
      <c r="Y71" s="120">
        <f t="shared" si="42"/>
        <v>11</v>
      </c>
      <c r="Z71" s="120">
        <f t="shared" si="43"/>
        <v>25</v>
      </c>
      <c r="AB71" s="131">
        <f>IFERROR(VLOOKUP(A71,'GRAL. SUC. LOCALES'!$A:$N,14,0),0)</f>
        <v>1</v>
      </c>
      <c r="AD71" s="131">
        <f t="shared" si="10"/>
        <v>26</v>
      </c>
      <c r="AF71" s="131">
        <v>25</v>
      </c>
      <c r="AG71" s="131">
        <v>25</v>
      </c>
      <c r="AH71" s="116">
        <f t="shared" si="44"/>
        <v>1</v>
      </c>
    </row>
    <row r="72" spans="1:34" ht="17.399999999999999" hidden="1" x14ac:dyDescent="0.35">
      <c r="A72" s="86" t="s">
        <v>1089</v>
      </c>
      <c r="B72" s="131">
        <f>'EXISTENCIA EN SUCURSALES'!B72+'DISTRIBUCIÓN EN SUCURSALES'!B72</f>
        <v>0</v>
      </c>
      <c r="C72" s="131">
        <f>'EXISTENCIA EN SUCURSALES'!C72+'DISTRIBUCIÓN EN SUCURSALES'!C72</f>
        <v>0</v>
      </c>
      <c r="D72" s="120">
        <f>'EXISTENCIA EN SUCURSALES'!D72+'DISTRIBUCIÓN EN SUCURSALES'!D72</f>
        <v>0</v>
      </c>
      <c r="E72" s="120">
        <f>'EXISTENCIA EN SUCURSALES'!E72+'DISTRIBUCIÓN EN SUCURSALES'!E72</f>
        <v>0</v>
      </c>
      <c r="F72" s="120">
        <f>'EXISTENCIA EN SUCURSALES'!F72+'DISTRIBUCIÓN EN SUCURSALES'!F72</f>
        <v>0</v>
      </c>
      <c r="G72" s="120">
        <f>'EXISTENCIA EN SUCURSALES'!G72+'DISTRIBUCIÓN EN SUCURSALES'!G72</f>
        <v>0</v>
      </c>
      <c r="H72" s="120">
        <f>'EXISTENCIA EN SUCURSALES'!H72+'DISTRIBUCIÓN EN SUCURSALES'!H72</f>
        <v>0</v>
      </c>
      <c r="I72" s="120">
        <f>'EXISTENCIA EN SUCURSALES'!I72+'DISTRIBUCIÓN EN SUCURSALES'!I72</f>
        <v>0</v>
      </c>
      <c r="J72" s="120">
        <f>'EXISTENCIA EN SUCURSALES'!J72+'DISTRIBUCIÓN EN SUCURSALES'!J72</f>
        <v>0</v>
      </c>
      <c r="K72" s="120">
        <f>'EXISTENCIA EN SUCURSALES'!K72+'DISTRIBUCIÓN EN SUCURSALES'!K72</f>
        <v>0</v>
      </c>
      <c r="L72" s="120">
        <f t="shared" si="41"/>
        <v>0</v>
      </c>
      <c r="M72" s="131">
        <f>'EXISTENCIA EN SUCURSALES'!M72+'DISTRIBUCIÓN EN SUCURSALES'!M72</f>
        <v>0</v>
      </c>
      <c r="N72" s="131">
        <f>'EXISTENCIA EN SUCURSALES'!N72+'DISTRIBUCIÓN EN SUCURSALES'!N72</f>
        <v>0</v>
      </c>
      <c r="O72" s="131">
        <f>'EXISTENCIA EN SUCURSALES'!O72+'DISTRIBUCIÓN EN SUCURSALES'!O72</f>
        <v>0</v>
      </c>
      <c r="P72" s="131">
        <f>'EXISTENCIA EN SUCURSALES'!P72+'DISTRIBUCIÓN EN SUCURSALES'!P72</f>
        <v>0</v>
      </c>
      <c r="Q72" s="131">
        <f>'EXISTENCIA EN SUCURSALES'!Q72+'DISTRIBUCIÓN EN SUCURSALES'!Q72</f>
        <v>0</v>
      </c>
      <c r="R72" s="131">
        <f>'EXISTENCIA EN SUCURSALES'!R72+'DISTRIBUCIÓN EN SUCURSALES'!R72</f>
        <v>0</v>
      </c>
      <c r="S72" s="131">
        <f>'EXISTENCIA EN SUCURSALES'!S72+'DISTRIBUCIÓN EN SUCURSALES'!S72</f>
        <v>0</v>
      </c>
      <c r="T72" s="131">
        <f>'EXISTENCIA EN SUCURSALES'!T72+'DISTRIBUCIÓN EN SUCURSALES'!T72</f>
        <v>0</v>
      </c>
      <c r="U72" s="131">
        <f>'EXISTENCIA EN SUCURSALES'!U72+'DISTRIBUCIÓN EN SUCURSALES'!U72</f>
        <v>0</v>
      </c>
      <c r="V72" s="131">
        <f>'EXISTENCIA EN SUCURSALES'!V72+'DISTRIBUCIÓN EN SUCURSALES'!V72</f>
        <v>0</v>
      </c>
      <c r="W72" s="131">
        <f>'EXISTENCIA EN SUCURSALES'!W72+'DISTRIBUCIÓN EN SUCURSALES'!W72</f>
        <v>0</v>
      </c>
      <c r="X72" s="131">
        <f>'EXISTENCIA EN SUCURSALES'!X72+'DISTRIBUCIÓN EN SUCURSALES'!X72</f>
        <v>0</v>
      </c>
      <c r="Y72" s="120">
        <f t="shared" si="42"/>
        <v>0</v>
      </c>
      <c r="Z72" s="120">
        <f t="shared" si="43"/>
        <v>0</v>
      </c>
      <c r="AB72" s="131">
        <f>IFERROR(VLOOKUP(A72,'GRAL. SUC. LOCALES'!$A:$N,14,0),0)</f>
        <v>0</v>
      </c>
      <c r="AD72" s="131">
        <f t="shared" si="10"/>
        <v>0</v>
      </c>
      <c r="AF72" s="131"/>
      <c r="AG72" s="131">
        <v>0</v>
      </c>
      <c r="AH72" s="116">
        <f t="shared" si="44"/>
        <v>0</v>
      </c>
    </row>
    <row r="73" spans="1:34" ht="17.399999999999999" x14ac:dyDescent="0.35">
      <c r="A73" s="93"/>
      <c r="B73" s="131">
        <f>'EXISTENCIA EN SUCURSALES'!B73+'DISTRIBUCIÓN EN SUCURSALES'!B73</f>
        <v>0</v>
      </c>
      <c r="C73" s="131">
        <f>'EXISTENCIA EN SUCURSALES'!C73+'DISTRIBUCIÓN EN SUCURSALES'!C73</f>
        <v>0</v>
      </c>
      <c r="D73" s="120">
        <f>'EXISTENCIA EN SUCURSALES'!D73+'DISTRIBUCIÓN EN SUCURSALES'!D73</f>
        <v>0</v>
      </c>
      <c r="E73" s="120">
        <f>'EXISTENCIA EN SUCURSALES'!E73+'DISTRIBUCIÓN EN SUCURSALES'!E73</f>
        <v>0</v>
      </c>
      <c r="F73" s="120">
        <f>'EXISTENCIA EN SUCURSALES'!F73+'DISTRIBUCIÓN EN SUCURSALES'!F73</f>
        <v>0</v>
      </c>
      <c r="G73" s="120">
        <f>'EXISTENCIA EN SUCURSALES'!G73+'DISTRIBUCIÓN EN SUCURSALES'!G73</f>
        <v>0</v>
      </c>
      <c r="H73" s="120">
        <f>'EXISTENCIA EN SUCURSALES'!H73+'DISTRIBUCIÓN EN SUCURSALES'!H73</f>
        <v>0</v>
      </c>
      <c r="I73" s="120">
        <f>'EXISTENCIA EN SUCURSALES'!I73+'DISTRIBUCIÓN EN SUCURSALES'!I73</f>
        <v>0</v>
      </c>
      <c r="J73" s="120">
        <f>'EXISTENCIA EN SUCURSALES'!J73+'DISTRIBUCIÓN EN SUCURSALES'!J73</f>
        <v>0</v>
      </c>
      <c r="K73" s="120">
        <f>'EXISTENCIA EN SUCURSALES'!K73+'DISTRIBUCIÓN EN SUCURSALES'!K73</f>
        <v>0</v>
      </c>
      <c r="L73" s="120">
        <f t="shared" si="41"/>
        <v>0</v>
      </c>
      <c r="M73" s="131">
        <f>'EXISTENCIA EN SUCURSALES'!M73+'DISTRIBUCIÓN EN SUCURSALES'!M73</f>
        <v>0</v>
      </c>
      <c r="N73" s="131">
        <f>'EXISTENCIA EN SUCURSALES'!N73+'DISTRIBUCIÓN EN SUCURSALES'!N73</f>
        <v>0</v>
      </c>
      <c r="O73" s="131">
        <f>'EXISTENCIA EN SUCURSALES'!O73+'DISTRIBUCIÓN EN SUCURSALES'!O73</f>
        <v>0</v>
      </c>
      <c r="P73" s="131">
        <f>'EXISTENCIA EN SUCURSALES'!P73+'DISTRIBUCIÓN EN SUCURSALES'!P73</f>
        <v>0</v>
      </c>
      <c r="Q73" s="131">
        <f>'EXISTENCIA EN SUCURSALES'!Q73+'DISTRIBUCIÓN EN SUCURSALES'!Q73</f>
        <v>0</v>
      </c>
      <c r="R73" s="131">
        <f>'EXISTENCIA EN SUCURSALES'!R73+'DISTRIBUCIÓN EN SUCURSALES'!R73</f>
        <v>0</v>
      </c>
      <c r="S73" s="131">
        <f>'EXISTENCIA EN SUCURSALES'!S73+'DISTRIBUCIÓN EN SUCURSALES'!S73</f>
        <v>0</v>
      </c>
      <c r="T73" s="131">
        <f>'EXISTENCIA EN SUCURSALES'!T73+'DISTRIBUCIÓN EN SUCURSALES'!T73</f>
        <v>0</v>
      </c>
      <c r="U73" s="131">
        <f>'EXISTENCIA EN SUCURSALES'!U73+'DISTRIBUCIÓN EN SUCURSALES'!U73</f>
        <v>0</v>
      </c>
      <c r="V73" s="131">
        <f>'EXISTENCIA EN SUCURSALES'!V73+'DISTRIBUCIÓN EN SUCURSALES'!V73</f>
        <v>0</v>
      </c>
      <c r="W73" s="131">
        <f>'EXISTENCIA EN SUCURSALES'!W73+'DISTRIBUCIÓN EN SUCURSALES'!W73</f>
        <v>0</v>
      </c>
      <c r="X73" s="131">
        <f>'EXISTENCIA EN SUCURSALES'!X73+'DISTRIBUCIÓN EN SUCURSALES'!X73</f>
        <v>0</v>
      </c>
      <c r="Y73" s="120">
        <f t="shared" si="42"/>
        <v>0</v>
      </c>
      <c r="Z73" s="120">
        <f t="shared" si="43"/>
        <v>0</v>
      </c>
      <c r="AB73" s="131">
        <f>IFERROR(VLOOKUP(A73,'GRAL. SUC. LOCALES'!$A:$N,14,0),0)</f>
        <v>0</v>
      </c>
      <c r="AD73" s="131">
        <f t="shared" si="10"/>
        <v>0</v>
      </c>
      <c r="AF73" s="131"/>
      <c r="AG73" s="131"/>
      <c r="AH73" s="116">
        <f t="shared" si="44"/>
        <v>0</v>
      </c>
    </row>
    <row r="74" spans="1:34" ht="17.399999999999999" x14ac:dyDescent="0.35">
      <c r="A74" s="93"/>
      <c r="B74" s="131">
        <f>'EXISTENCIA EN SUCURSALES'!B74+'DISTRIBUCIÓN EN SUCURSALES'!B74</f>
        <v>0</v>
      </c>
      <c r="C74" s="131">
        <f>'EXISTENCIA EN SUCURSALES'!C74+'DISTRIBUCIÓN EN SUCURSALES'!C74</f>
        <v>0</v>
      </c>
      <c r="D74" s="120">
        <f>'EXISTENCIA EN SUCURSALES'!D74+'DISTRIBUCIÓN EN SUCURSALES'!D74</f>
        <v>0</v>
      </c>
      <c r="E74" s="120">
        <f>'EXISTENCIA EN SUCURSALES'!E74+'DISTRIBUCIÓN EN SUCURSALES'!E74</f>
        <v>0</v>
      </c>
      <c r="F74" s="120">
        <f>'EXISTENCIA EN SUCURSALES'!F74+'DISTRIBUCIÓN EN SUCURSALES'!F74</f>
        <v>0</v>
      </c>
      <c r="G74" s="120">
        <f>'EXISTENCIA EN SUCURSALES'!G74+'DISTRIBUCIÓN EN SUCURSALES'!G74</f>
        <v>0</v>
      </c>
      <c r="H74" s="120">
        <f>'EXISTENCIA EN SUCURSALES'!H74+'DISTRIBUCIÓN EN SUCURSALES'!H74</f>
        <v>0</v>
      </c>
      <c r="I74" s="120">
        <f>'EXISTENCIA EN SUCURSALES'!I74+'DISTRIBUCIÓN EN SUCURSALES'!I74</f>
        <v>0</v>
      </c>
      <c r="J74" s="120">
        <f>'EXISTENCIA EN SUCURSALES'!J74+'DISTRIBUCIÓN EN SUCURSALES'!J74</f>
        <v>0</v>
      </c>
      <c r="K74" s="120">
        <f>'EXISTENCIA EN SUCURSALES'!K74+'DISTRIBUCIÓN EN SUCURSALES'!K74</f>
        <v>0</v>
      </c>
      <c r="L74" s="120">
        <f t="shared" si="41"/>
        <v>0</v>
      </c>
      <c r="M74" s="131">
        <f>'EXISTENCIA EN SUCURSALES'!M74+'DISTRIBUCIÓN EN SUCURSALES'!M74</f>
        <v>0</v>
      </c>
      <c r="N74" s="131">
        <f>'EXISTENCIA EN SUCURSALES'!N74+'DISTRIBUCIÓN EN SUCURSALES'!N74</f>
        <v>0</v>
      </c>
      <c r="O74" s="131">
        <f>'EXISTENCIA EN SUCURSALES'!O74+'DISTRIBUCIÓN EN SUCURSALES'!O74</f>
        <v>0</v>
      </c>
      <c r="P74" s="131">
        <f>'EXISTENCIA EN SUCURSALES'!P74+'DISTRIBUCIÓN EN SUCURSALES'!P74</f>
        <v>0</v>
      </c>
      <c r="Q74" s="131">
        <f>'EXISTENCIA EN SUCURSALES'!Q74+'DISTRIBUCIÓN EN SUCURSALES'!Q74</f>
        <v>0</v>
      </c>
      <c r="R74" s="131">
        <f>'EXISTENCIA EN SUCURSALES'!R74+'DISTRIBUCIÓN EN SUCURSALES'!R74</f>
        <v>0</v>
      </c>
      <c r="S74" s="131">
        <f>'EXISTENCIA EN SUCURSALES'!S74+'DISTRIBUCIÓN EN SUCURSALES'!S74</f>
        <v>0</v>
      </c>
      <c r="T74" s="131">
        <f>'EXISTENCIA EN SUCURSALES'!T74+'DISTRIBUCIÓN EN SUCURSALES'!T74</f>
        <v>0</v>
      </c>
      <c r="U74" s="131">
        <f>'EXISTENCIA EN SUCURSALES'!U74+'DISTRIBUCIÓN EN SUCURSALES'!U74</f>
        <v>0</v>
      </c>
      <c r="V74" s="131">
        <f>'EXISTENCIA EN SUCURSALES'!V74+'DISTRIBUCIÓN EN SUCURSALES'!V74</f>
        <v>0</v>
      </c>
      <c r="W74" s="131">
        <f>'EXISTENCIA EN SUCURSALES'!W74+'DISTRIBUCIÓN EN SUCURSALES'!W74</f>
        <v>0</v>
      </c>
      <c r="X74" s="131">
        <f>'EXISTENCIA EN SUCURSALES'!X74+'DISTRIBUCIÓN EN SUCURSALES'!X74</f>
        <v>0</v>
      </c>
      <c r="Y74" s="120">
        <f t="shared" si="42"/>
        <v>0</v>
      </c>
      <c r="Z74" s="120">
        <f t="shared" si="43"/>
        <v>0</v>
      </c>
      <c r="AB74" s="131">
        <f>IFERROR(VLOOKUP(A74,'GRAL. SUC. LOCALES'!$A:$N,14,0),0)</f>
        <v>0</v>
      </c>
      <c r="AD74" s="131">
        <f t="shared" si="10"/>
        <v>0</v>
      </c>
      <c r="AF74" s="131"/>
      <c r="AG74" s="131"/>
      <c r="AH74" s="116">
        <f t="shared" si="44"/>
        <v>0</v>
      </c>
    </row>
    <row r="75" spans="1:34" ht="17.399999999999999" x14ac:dyDescent="0.35">
      <c r="A75" s="93"/>
      <c r="B75" s="131">
        <f>'EXISTENCIA EN SUCURSALES'!B75+'DISTRIBUCIÓN EN SUCURSALES'!B75</f>
        <v>0</v>
      </c>
      <c r="C75" s="131">
        <f>'EXISTENCIA EN SUCURSALES'!C75+'DISTRIBUCIÓN EN SUCURSALES'!C75</f>
        <v>0</v>
      </c>
      <c r="D75" s="120">
        <f>'EXISTENCIA EN SUCURSALES'!D75+'DISTRIBUCIÓN EN SUCURSALES'!D75</f>
        <v>0</v>
      </c>
      <c r="E75" s="120">
        <f>'EXISTENCIA EN SUCURSALES'!E75+'DISTRIBUCIÓN EN SUCURSALES'!E75</f>
        <v>0</v>
      </c>
      <c r="F75" s="120">
        <f>'EXISTENCIA EN SUCURSALES'!F75+'DISTRIBUCIÓN EN SUCURSALES'!F75</f>
        <v>0</v>
      </c>
      <c r="G75" s="120">
        <f>'EXISTENCIA EN SUCURSALES'!G75+'DISTRIBUCIÓN EN SUCURSALES'!G75</f>
        <v>0</v>
      </c>
      <c r="H75" s="120">
        <f>'EXISTENCIA EN SUCURSALES'!H75+'DISTRIBUCIÓN EN SUCURSALES'!H75</f>
        <v>0</v>
      </c>
      <c r="I75" s="120">
        <f>'EXISTENCIA EN SUCURSALES'!I75+'DISTRIBUCIÓN EN SUCURSALES'!I75</f>
        <v>0</v>
      </c>
      <c r="J75" s="120">
        <f>'EXISTENCIA EN SUCURSALES'!J75+'DISTRIBUCIÓN EN SUCURSALES'!J75</f>
        <v>0</v>
      </c>
      <c r="K75" s="120">
        <f>'EXISTENCIA EN SUCURSALES'!K75+'DISTRIBUCIÓN EN SUCURSALES'!K75</f>
        <v>0</v>
      </c>
      <c r="L75" s="120">
        <f t="shared" si="41"/>
        <v>0</v>
      </c>
      <c r="M75" s="131">
        <f>'EXISTENCIA EN SUCURSALES'!M75+'DISTRIBUCIÓN EN SUCURSALES'!M75</f>
        <v>0</v>
      </c>
      <c r="N75" s="131">
        <f>'EXISTENCIA EN SUCURSALES'!N75+'DISTRIBUCIÓN EN SUCURSALES'!N75</f>
        <v>0</v>
      </c>
      <c r="O75" s="131">
        <f>'EXISTENCIA EN SUCURSALES'!O75+'DISTRIBUCIÓN EN SUCURSALES'!O75</f>
        <v>0</v>
      </c>
      <c r="P75" s="131">
        <f>'EXISTENCIA EN SUCURSALES'!P75+'DISTRIBUCIÓN EN SUCURSALES'!P75</f>
        <v>0</v>
      </c>
      <c r="Q75" s="131">
        <f>'EXISTENCIA EN SUCURSALES'!Q75+'DISTRIBUCIÓN EN SUCURSALES'!Q75</f>
        <v>0</v>
      </c>
      <c r="R75" s="131">
        <f>'EXISTENCIA EN SUCURSALES'!R75+'DISTRIBUCIÓN EN SUCURSALES'!R75</f>
        <v>0</v>
      </c>
      <c r="S75" s="131">
        <f>'EXISTENCIA EN SUCURSALES'!S75+'DISTRIBUCIÓN EN SUCURSALES'!S75</f>
        <v>0</v>
      </c>
      <c r="T75" s="131">
        <f>'EXISTENCIA EN SUCURSALES'!T75+'DISTRIBUCIÓN EN SUCURSALES'!T75</f>
        <v>0</v>
      </c>
      <c r="U75" s="131">
        <f>'EXISTENCIA EN SUCURSALES'!U75+'DISTRIBUCIÓN EN SUCURSALES'!U75</f>
        <v>0</v>
      </c>
      <c r="V75" s="131">
        <f>'EXISTENCIA EN SUCURSALES'!V75+'DISTRIBUCIÓN EN SUCURSALES'!V75</f>
        <v>0</v>
      </c>
      <c r="W75" s="131">
        <f>'EXISTENCIA EN SUCURSALES'!W75+'DISTRIBUCIÓN EN SUCURSALES'!W75</f>
        <v>0</v>
      </c>
      <c r="X75" s="131">
        <f>'EXISTENCIA EN SUCURSALES'!X75+'DISTRIBUCIÓN EN SUCURSALES'!X75</f>
        <v>0</v>
      </c>
      <c r="Y75" s="120">
        <f t="shared" si="42"/>
        <v>0</v>
      </c>
      <c r="Z75" s="120">
        <f t="shared" si="43"/>
        <v>0</v>
      </c>
      <c r="AB75" s="131">
        <f>IFERROR(VLOOKUP(A75,'GRAL. SUC. LOCALES'!$A:$N,14,0),0)</f>
        <v>0</v>
      </c>
      <c r="AD75" s="131">
        <f t="shared" si="10"/>
        <v>0</v>
      </c>
      <c r="AF75" s="131"/>
      <c r="AG75" s="131"/>
      <c r="AH75" s="116">
        <f t="shared" si="44"/>
        <v>0</v>
      </c>
    </row>
    <row r="76" spans="1:34" ht="17.399999999999999" x14ac:dyDescent="0.35">
      <c r="A76" s="93"/>
      <c r="B76" s="131">
        <f>'EXISTENCIA EN SUCURSALES'!B76+'DISTRIBUCIÓN EN SUCURSALES'!B76</f>
        <v>0</v>
      </c>
      <c r="C76" s="131">
        <f>'EXISTENCIA EN SUCURSALES'!C76+'DISTRIBUCIÓN EN SUCURSALES'!C76</f>
        <v>0</v>
      </c>
      <c r="D76" s="120">
        <f>'EXISTENCIA EN SUCURSALES'!D76+'DISTRIBUCIÓN EN SUCURSALES'!D76</f>
        <v>0</v>
      </c>
      <c r="E76" s="120">
        <f>'EXISTENCIA EN SUCURSALES'!E76+'DISTRIBUCIÓN EN SUCURSALES'!E76</f>
        <v>0</v>
      </c>
      <c r="F76" s="120">
        <f>'EXISTENCIA EN SUCURSALES'!F76+'DISTRIBUCIÓN EN SUCURSALES'!F76</f>
        <v>0</v>
      </c>
      <c r="G76" s="120">
        <f>'EXISTENCIA EN SUCURSALES'!G76+'DISTRIBUCIÓN EN SUCURSALES'!G76</f>
        <v>0</v>
      </c>
      <c r="H76" s="120">
        <f>'EXISTENCIA EN SUCURSALES'!H76+'DISTRIBUCIÓN EN SUCURSALES'!H76</f>
        <v>0</v>
      </c>
      <c r="I76" s="120">
        <f>'EXISTENCIA EN SUCURSALES'!I76+'DISTRIBUCIÓN EN SUCURSALES'!I76</f>
        <v>0</v>
      </c>
      <c r="J76" s="120">
        <f>'EXISTENCIA EN SUCURSALES'!J76+'DISTRIBUCIÓN EN SUCURSALES'!J76</f>
        <v>0</v>
      </c>
      <c r="K76" s="120">
        <f>'EXISTENCIA EN SUCURSALES'!K76+'DISTRIBUCIÓN EN SUCURSALES'!K76</f>
        <v>0</v>
      </c>
      <c r="L76" s="120">
        <f t="shared" si="41"/>
        <v>0</v>
      </c>
      <c r="M76" s="131">
        <f>'EXISTENCIA EN SUCURSALES'!M76+'DISTRIBUCIÓN EN SUCURSALES'!M76</f>
        <v>0</v>
      </c>
      <c r="N76" s="131">
        <f>'EXISTENCIA EN SUCURSALES'!N76+'DISTRIBUCIÓN EN SUCURSALES'!N76</f>
        <v>0</v>
      </c>
      <c r="O76" s="131">
        <f>'EXISTENCIA EN SUCURSALES'!O76+'DISTRIBUCIÓN EN SUCURSALES'!O76</f>
        <v>0</v>
      </c>
      <c r="P76" s="131">
        <f>'EXISTENCIA EN SUCURSALES'!P76+'DISTRIBUCIÓN EN SUCURSALES'!P76</f>
        <v>0</v>
      </c>
      <c r="Q76" s="131">
        <f>'EXISTENCIA EN SUCURSALES'!Q76+'DISTRIBUCIÓN EN SUCURSALES'!Q76</f>
        <v>0</v>
      </c>
      <c r="R76" s="131">
        <f>'EXISTENCIA EN SUCURSALES'!R76+'DISTRIBUCIÓN EN SUCURSALES'!R76</f>
        <v>0</v>
      </c>
      <c r="S76" s="131">
        <f>'EXISTENCIA EN SUCURSALES'!S76+'DISTRIBUCIÓN EN SUCURSALES'!S76</f>
        <v>0</v>
      </c>
      <c r="T76" s="131">
        <f>'EXISTENCIA EN SUCURSALES'!T76+'DISTRIBUCIÓN EN SUCURSALES'!T76</f>
        <v>0</v>
      </c>
      <c r="U76" s="131">
        <f>'EXISTENCIA EN SUCURSALES'!U76+'DISTRIBUCIÓN EN SUCURSALES'!U76</f>
        <v>0</v>
      </c>
      <c r="V76" s="131">
        <f>'EXISTENCIA EN SUCURSALES'!V76+'DISTRIBUCIÓN EN SUCURSALES'!V76</f>
        <v>0</v>
      </c>
      <c r="W76" s="131">
        <f>'EXISTENCIA EN SUCURSALES'!W76+'DISTRIBUCIÓN EN SUCURSALES'!W76</f>
        <v>0</v>
      </c>
      <c r="X76" s="131">
        <f>'EXISTENCIA EN SUCURSALES'!X76+'DISTRIBUCIÓN EN SUCURSALES'!X76</f>
        <v>0</v>
      </c>
      <c r="Y76" s="120">
        <f t="shared" si="42"/>
        <v>0</v>
      </c>
      <c r="Z76" s="120">
        <f t="shared" si="43"/>
        <v>0</v>
      </c>
      <c r="AB76" s="131">
        <f>IFERROR(VLOOKUP(A76,'GRAL. SUC. LOCALES'!$A:$N,14,0),0)</f>
        <v>0</v>
      </c>
      <c r="AD76" s="131">
        <f t="shared" si="10"/>
        <v>0</v>
      </c>
      <c r="AF76" s="131"/>
      <c r="AG76" s="131"/>
      <c r="AH76" s="116">
        <f t="shared" si="44"/>
        <v>0</v>
      </c>
    </row>
    <row r="77" spans="1:34" ht="18" thickBot="1" x14ac:dyDescent="0.4">
      <c r="A77" s="93"/>
      <c r="B77" s="131">
        <f>'EXISTENCIA EN SUCURSALES'!B77+'DISTRIBUCIÓN EN SUCURSALES'!B77</f>
        <v>0</v>
      </c>
      <c r="C77" s="131">
        <f>'EXISTENCIA EN SUCURSALES'!C77+'DISTRIBUCIÓN EN SUCURSALES'!C77</f>
        <v>0</v>
      </c>
      <c r="D77" s="120">
        <f>'EXISTENCIA EN SUCURSALES'!D77+'DISTRIBUCIÓN EN SUCURSALES'!D77</f>
        <v>0</v>
      </c>
      <c r="E77" s="120">
        <f>'EXISTENCIA EN SUCURSALES'!E77+'DISTRIBUCIÓN EN SUCURSALES'!E77</f>
        <v>0</v>
      </c>
      <c r="F77" s="120">
        <f>'EXISTENCIA EN SUCURSALES'!F77+'DISTRIBUCIÓN EN SUCURSALES'!F77</f>
        <v>0</v>
      </c>
      <c r="G77" s="120">
        <f>'EXISTENCIA EN SUCURSALES'!G77+'DISTRIBUCIÓN EN SUCURSALES'!G77</f>
        <v>0</v>
      </c>
      <c r="H77" s="120">
        <f>'EXISTENCIA EN SUCURSALES'!H77+'DISTRIBUCIÓN EN SUCURSALES'!H77</f>
        <v>0</v>
      </c>
      <c r="I77" s="120">
        <f>'EXISTENCIA EN SUCURSALES'!I77+'DISTRIBUCIÓN EN SUCURSALES'!I77</f>
        <v>0</v>
      </c>
      <c r="J77" s="120">
        <f>'EXISTENCIA EN SUCURSALES'!J77+'DISTRIBUCIÓN EN SUCURSALES'!J77</f>
        <v>0</v>
      </c>
      <c r="K77" s="120">
        <f>'EXISTENCIA EN SUCURSALES'!K77+'DISTRIBUCIÓN EN SUCURSALES'!K77</f>
        <v>0</v>
      </c>
      <c r="L77" s="120">
        <f t="shared" si="41"/>
        <v>0</v>
      </c>
      <c r="M77" s="131">
        <f>'EXISTENCIA EN SUCURSALES'!M77+'DISTRIBUCIÓN EN SUCURSALES'!M77</f>
        <v>0</v>
      </c>
      <c r="N77" s="131">
        <f>'EXISTENCIA EN SUCURSALES'!N77+'DISTRIBUCIÓN EN SUCURSALES'!N77</f>
        <v>0</v>
      </c>
      <c r="O77" s="131">
        <f>'EXISTENCIA EN SUCURSALES'!O77+'DISTRIBUCIÓN EN SUCURSALES'!O77</f>
        <v>0</v>
      </c>
      <c r="P77" s="131">
        <f>'EXISTENCIA EN SUCURSALES'!P77+'DISTRIBUCIÓN EN SUCURSALES'!P77</f>
        <v>0</v>
      </c>
      <c r="Q77" s="131">
        <f>'EXISTENCIA EN SUCURSALES'!Q77+'DISTRIBUCIÓN EN SUCURSALES'!Q77</f>
        <v>0</v>
      </c>
      <c r="R77" s="131">
        <f>'EXISTENCIA EN SUCURSALES'!R77+'DISTRIBUCIÓN EN SUCURSALES'!R77</f>
        <v>0</v>
      </c>
      <c r="S77" s="131">
        <f>'EXISTENCIA EN SUCURSALES'!S77+'DISTRIBUCIÓN EN SUCURSALES'!S77</f>
        <v>0</v>
      </c>
      <c r="T77" s="131">
        <f>'EXISTENCIA EN SUCURSALES'!T77+'DISTRIBUCIÓN EN SUCURSALES'!T77</f>
        <v>0</v>
      </c>
      <c r="U77" s="131">
        <f>'EXISTENCIA EN SUCURSALES'!U77+'DISTRIBUCIÓN EN SUCURSALES'!U77</f>
        <v>0</v>
      </c>
      <c r="V77" s="131">
        <f>'EXISTENCIA EN SUCURSALES'!V77+'DISTRIBUCIÓN EN SUCURSALES'!V77</f>
        <v>0</v>
      </c>
      <c r="W77" s="131">
        <f>'EXISTENCIA EN SUCURSALES'!W77+'DISTRIBUCIÓN EN SUCURSALES'!W77</f>
        <v>0</v>
      </c>
      <c r="X77" s="131">
        <f>'EXISTENCIA EN SUCURSALES'!X77+'DISTRIBUCIÓN EN SUCURSALES'!X77</f>
        <v>0</v>
      </c>
      <c r="Y77" s="120">
        <f t="shared" si="42"/>
        <v>0</v>
      </c>
      <c r="Z77" s="120">
        <f t="shared" si="43"/>
        <v>0</v>
      </c>
      <c r="AB77" s="131">
        <f>IFERROR(VLOOKUP(A77,'GRAL. SUC. LOCALES'!$A:$N,14,0),0)</f>
        <v>0</v>
      </c>
      <c r="AD77" s="131">
        <f t="shared" si="10"/>
        <v>0</v>
      </c>
      <c r="AF77" s="131"/>
      <c r="AG77" s="131"/>
      <c r="AH77" s="116">
        <f t="shared" si="44"/>
        <v>0</v>
      </c>
    </row>
    <row r="78" spans="1:34" ht="18" thickBot="1" x14ac:dyDescent="0.4">
      <c r="A78" s="99" t="s">
        <v>54</v>
      </c>
      <c r="B78" s="123">
        <f>SUM(B56:B77)</f>
        <v>34</v>
      </c>
      <c r="C78" s="123">
        <f t="shared" ref="C78:Z78" si="45">SUM(C56:C77)</f>
        <v>33</v>
      </c>
      <c r="D78" s="123">
        <f t="shared" si="45"/>
        <v>23</v>
      </c>
      <c r="E78" s="123">
        <f t="shared" si="45"/>
        <v>20</v>
      </c>
      <c r="F78" s="123">
        <f t="shared" si="45"/>
        <v>18</v>
      </c>
      <c r="G78" s="123">
        <f t="shared" si="45"/>
        <v>0</v>
      </c>
      <c r="H78" s="123">
        <f t="shared" si="45"/>
        <v>20</v>
      </c>
      <c r="I78" s="123">
        <f t="shared" si="45"/>
        <v>24</v>
      </c>
      <c r="J78" s="123">
        <f t="shared" si="45"/>
        <v>25</v>
      </c>
      <c r="K78" s="123">
        <f t="shared" si="45"/>
        <v>15</v>
      </c>
      <c r="L78" s="123">
        <f t="shared" si="45"/>
        <v>212</v>
      </c>
      <c r="M78" s="123">
        <f t="shared" si="45"/>
        <v>36</v>
      </c>
      <c r="N78" s="123">
        <f t="shared" si="45"/>
        <v>19</v>
      </c>
      <c r="O78" s="123">
        <f t="shared" si="45"/>
        <v>10</v>
      </c>
      <c r="P78" s="123">
        <f t="shared" si="45"/>
        <v>19</v>
      </c>
      <c r="Q78" s="123">
        <f t="shared" si="45"/>
        <v>23</v>
      </c>
      <c r="R78" s="123">
        <f t="shared" si="45"/>
        <v>30</v>
      </c>
      <c r="S78" s="123">
        <f t="shared" si="45"/>
        <v>27</v>
      </c>
      <c r="T78" s="123">
        <f t="shared" si="45"/>
        <v>17</v>
      </c>
      <c r="U78" s="123">
        <f t="shared" ref="U78:V78" si="46">SUM(U56:U77)</f>
        <v>17</v>
      </c>
      <c r="V78" s="123">
        <f t="shared" si="46"/>
        <v>23</v>
      </c>
      <c r="W78" s="123">
        <f t="shared" si="45"/>
        <v>26</v>
      </c>
      <c r="X78" s="123">
        <f t="shared" ref="X78" si="47">SUM(X56:X77)</f>
        <v>12</v>
      </c>
      <c r="Y78" s="123">
        <f t="shared" si="45"/>
        <v>259</v>
      </c>
      <c r="Z78" s="123">
        <f t="shared" si="45"/>
        <v>471</v>
      </c>
      <c r="AB78" s="123">
        <f t="shared" ref="AB78" si="48">SUM(AB56:AB77)</f>
        <v>87</v>
      </c>
      <c r="AD78" s="123">
        <f t="shared" si="10"/>
        <v>558</v>
      </c>
      <c r="AF78" s="123">
        <f>SUM(AF56:AF77)</f>
        <v>665</v>
      </c>
      <c r="AG78" s="123">
        <f>SUM(AG56:AG77)</f>
        <v>660</v>
      </c>
      <c r="AH78" s="116">
        <f t="shared" si="44"/>
        <v>-107</v>
      </c>
    </row>
    <row r="79" spans="1:34" ht="18.600000000000001" thickBot="1" x14ac:dyDescent="0.4">
      <c r="A79" s="103" t="s">
        <v>55</v>
      </c>
      <c r="B79" s="125">
        <f>B18+B32+B49+B52+B55+B78</f>
        <v>120</v>
      </c>
      <c r="C79" s="125">
        <f t="shared" ref="C79:Z79" si="49">C18+C32+C49+C52+C55+C78</f>
        <v>122</v>
      </c>
      <c r="D79" s="125">
        <f t="shared" si="49"/>
        <v>105</v>
      </c>
      <c r="E79" s="125">
        <f t="shared" si="49"/>
        <v>73</v>
      </c>
      <c r="F79" s="125">
        <f t="shared" si="49"/>
        <v>88</v>
      </c>
      <c r="G79" s="125">
        <f t="shared" si="49"/>
        <v>0</v>
      </c>
      <c r="H79" s="125">
        <f t="shared" si="49"/>
        <v>84</v>
      </c>
      <c r="I79" s="125">
        <f t="shared" si="49"/>
        <v>63</v>
      </c>
      <c r="J79" s="125">
        <f t="shared" si="49"/>
        <v>128</v>
      </c>
      <c r="K79" s="125">
        <f t="shared" si="49"/>
        <v>78</v>
      </c>
      <c r="L79" s="125">
        <f t="shared" si="49"/>
        <v>861</v>
      </c>
      <c r="M79" s="125">
        <f t="shared" si="49"/>
        <v>120</v>
      </c>
      <c r="N79" s="125">
        <f t="shared" si="49"/>
        <v>82</v>
      </c>
      <c r="O79" s="125">
        <f t="shared" si="49"/>
        <v>58</v>
      </c>
      <c r="P79" s="125">
        <f t="shared" si="49"/>
        <v>98</v>
      </c>
      <c r="Q79" s="125">
        <f t="shared" si="49"/>
        <v>157</v>
      </c>
      <c r="R79" s="125">
        <f t="shared" si="49"/>
        <v>134</v>
      </c>
      <c r="S79" s="125">
        <f t="shared" si="49"/>
        <v>104</v>
      </c>
      <c r="T79" s="125">
        <f t="shared" si="49"/>
        <v>103</v>
      </c>
      <c r="U79" s="125">
        <f t="shared" ref="U79:V79" si="50">U18+U32+U49+U52+U55+U78</f>
        <v>47</v>
      </c>
      <c r="V79" s="125">
        <f t="shared" si="50"/>
        <v>91</v>
      </c>
      <c r="W79" s="125">
        <f t="shared" si="49"/>
        <v>87</v>
      </c>
      <c r="X79" s="125">
        <f t="shared" ref="X79" si="51">X18+X32+X49+X52+X55+X78</f>
        <v>57</v>
      </c>
      <c r="Y79" s="125">
        <f t="shared" si="49"/>
        <v>1138</v>
      </c>
      <c r="Z79" s="125">
        <f t="shared" si="49"/>
        <v>1999</v>
      </c>
      <c r="AB79" s="125">
        <f t="shared" ref="AB79" si="52">AB18+AB32+AB49+AB52+AB55+AB78</f>
        <v>419</v>
      </c>
      <c r="AD79" s="125">
        <f t="shared" si="10"/>
        <v>2418</v>
      </c>
      <c r="AF79" s="125">
        <f>AF18+AF32+AF49+AF52+AF55+AF78</f>
        <v>3190</v>
      </c>
      <c r="AG79" s="125">
        <f>AG18+AG32+AG49+AG52+AG55+AG78</f>
        <v>2995</v>
      </c>
      <c r="AH79" s="116">
        <f t="shared" si="44"/>
        <v>-772</v>
      </c>
    </row>
    <row r="80" spans="1:34" ht="17.399999999999999" x14ac:dyDescent="0.35">
      <c r="A80" s="104" t="s">
        <v>56</v>
      </c>
      <c r="B80" s="132"/>
      <c r="C80" s="132"/>
      <c r="D80" s="126"/>
      <c r="E80" s="126"/>
      <c r="F80" s="126"/>
      <c r="G80" s="126"/>
      <c r="H80" s="126"/>
      <c r="I80" s="126"/>
      <c r="J80" s="126"/>
      <c r="K80" s="126"/>
      <c r="L80" s="126"/>
      <c r="M80" s="132"/>
      <c r="N80" s="132"/>
      <c r="O80" s="132"/>
      <c r="P80" s="132"/>
      <c r="Q80" s="132"/>
      <c r="R80" s="132"/>
      <c r="S80" s="132"/>
      <c r="T80" s="132"/>
      <c r="U80" s="132"/>
      <c r="V80" s="132"/>
      <c r="W80" s="132"/>
      <c r="X80" s="132"/>
      <c r="Y80" s="126"/>
      <c r="Z80" s="126"/>
      <c r="AB80" s="132"/>
      <c r="AD80" s="132">
        <f t="shared" si="10"/>
        <v>0</v>
      </c>
      <c r="AF80" s="132"/>
      <c r="AG80" s="132"/>
      <c r="AH80" s="116">
        <f t="shared" si="44"/>
        <v>0</v>
      </c>
    </row>
    <row r="81" spans="1:34" ht="17.399999999999999" x14ac:dyDescent="0.35">
      <c r="A81" s="94" t="s">
        <v>57</v>
      </c>
      <c r="B81" s="131">
        <f>'EXISTENCIA EN SUCURSALES'!B81+'DISTRIBUCIÓN EN SUCURSALES'!B81</f>
        <v>3</v>
      </c>
      <c r="C81" s="131">
        <f>'EXISTENCIA EN SUCURSALES'!C81+'DISTRIBUCIÓN EN SUCURSALES'!C81</f>
        <v>3</v>
      </c>
      <c r="D81" s="120">
        <f>'EXISTENCIA EN SUCURSALES'!D81+'DISTRIBUCIÓN EN SUCURSALES'!D81</f>
        <v>1</v>
      </c>
      <c r="E81" s="120">
        <f>'EXISTENCIA EN SUCURSALES'!E81+'DISTRIBUCIÓN EN SUCURSALES'!E81</f>
        <v>1</v>
      </c>
      <c r="F81" s="120">
        <f>'EXISTENCIA EN SUCURSALES'!F81+'DISTRIBUCIÓN EN SUCURSALES'!F81</f>
        <v>2</v>
      </c>
      <c r="G81" s="120">
        <f>'EXISTENCIA EN SUCURSALES'!G81+'DISTRIBUCIÓN EN SUCURSALES'!G81</f>
        <v>0</v>
      </c>
      <c r="H81" s="120">
        <f>'EXISTENCIA EN SUCURSALES'!H81+'DISTRIBUCIÓN EN SUCURSALES'!H81</f>
        <v>1</v>
      </c>
      <c r="I81" s="120">
        <f>'EXISTENCIA EN SUCURSALES'!I81+'DISTRIBUCIÓN EN SUCURSALES'!I81</f>
        <v>1</v>
      </c>
      <c r="J81" s="120">
        <f>'EXISTENCIA EN SUCURSALES'!J81+'DISTRIBUCIÓN EN SUCURSALES'!J81</f>
        <v>1</v>
      </c>
      <c r="K81" s="120">
        <f>'EXISTENCIA EN SUCURSALES'!K81+'DISTRIBUCIÓN EN SUCURSALES'!K81</f>
        <v>1</v>
      </c>
      <c r="L81" s="120">
        <f t="shared" ref="L81:L90" si="53">SUM(B81:K81)</f>
        <v>14</v>
      </c>
      <c r="M81" s="131">
        <f>'EXISTENCIA EN SUCURSALES'!M81+'DISTRIBUCIÓN EN SUCURSALES'!M81</f>
        <v>0</v>
      </c>
      <c r="N81" s="131">
        <f>'EXISTENCIA EN SUCURSALES'!N81+'DISTRIBUCIÓN EN SUCURSALES'!N81</f>
        <v>1</v>
      </c>
      <c r="O81" s="131">
        <f>'EXISTENCIA EN SUCURSALES'!O81+'DISTRIBUCIÓN EN SUCURSALES'!O81</f>
        <v>0</v>
      </c>
      <c r="P81" s="131">
        <f>'EXISTENCIA EN SUCURSALES'!P81+'DISTRIBUCIÓN EN SUCURSALES'!P81</f>
        <v>0</v>
      </c>
      <c r="Q81" s="131">
        <f>'EXISTENCIA EN SUCURSALES'!Q81+'DISTRIBUCIÓN EN SUCURSALES'!Q81</f>
        <v>0</v>
      </c>
      <c r="R81" s="131">
        <f>'EXISTENCIA EN SUCURSALES'!R81+'DISTRIBUCIÓN EN SUCURSALES'!R81</f>
        <v>0</v>
      </c>
      <c r="S81" s="131">
        <f>'EXISTENCIA EN SUCURSALES'!S81+'DISTRIBUCIÓN EN SUCURSALES'!S81</f>
        <v>0</v>
      </c>
      <c r="T81" s="131">
        <f>'EXISTENCIA EN SUCURSALES'!T81+'DISTRIBUCIÓN EN SUCURSALES'!T81</f>
        <v>1</v>
      </c>
      <c r="U81" s="131">
        <f>'EXISTENCIA EN SUCURSALES'!U81+'DISTRIBUCIÓN EN SUCURSALES'!U81</f>
        <v>0</v>
      </c>
      <c r="V81" s="131">
        <f>'EXISTENCIA EN SUCURSALES'!V81+'DISTRIBUCIÓN EN SUCURSALES'!V81</f>
        <v>0</v>
      </c>
      <c r="W81" s="131">
        <f>'EXISTENCIA EN SUCURSALES'!W81+'DISTRIBUCIÓN EN SUCURSALES'!W81</f>
        <v>0</v>
      </c>
      <c r="X81" s="131">
        <f>'EXISTENCIA EN SUCURSALES'!X81+'DISTRIBUCIÓN EN SUCURSALES'!X81</f>
        <v>0</v>
      </c>
      <c r="Y81" s="120">
        <f t="shared" ref="Y81:Y90" si="54">SUM(M81:X81)</f>
        <v>2</v>
      </c>
      <c r="Z81" s="120">
        <f t="shared" ref="Z81:Z90" si="55">L81+Y81</f>
        <v>16</v>
      </c>
      <c r="AB81" s="131">
        <f>IFERROR(VLOOKUP(A81,'GRAL. SUC. LOCALES'!$A:$N,14,0),0)</f>
        <v>4</v>
      </c>
      <c r="AD81" s="131">
        <f t="shared" si="10"/>
        <v>20</v>
      </c>
      <c r="AF81" s="131">
        <v>30</v>
      </c>
      <c r="AG81" s="131">
        <v>35</v>
      </c>
      <c r="AH81" s="116">
        <f t="shared" si="44"/>
        <v>-10</v>
      </c>
    </row>
    <row r="82" spans="1:34" ht="17.399999999999999" x14ac:dyDescent="0.35">
      <c r="A82" s="94" t="s">
        <v>58</v>
      </c>
      <c r="B82" s="131">
        <f>'EXISTENCIA EN SUCURSALES'!B82+'DISTRIBUCIÓN EN SUCURSALES'!B82</f>
        <v>1</v>
      </c>
      <c r="C82" s="131">
        <f>'EXISTENCIA EN SUCURSALES'!C82+'DISTRIBUCIÓN EN SUCURSALES'!C82</f>
        <v>2</v>
      </c>
      <c r="D82" s="120">
        <f>'EXISTENCIA EN SUCURSALES'!D82+'DISTRIBUCIÓN EN SUCURSALES'!D82</f>
        <v>1</v>
      </c>
      <c r="E82" s="120">
        <f>'EXISTENCIA EN SUCURSALES'!E82+'DISTRIBUCIÓN EN SUCURSALES'!E82</f>
        <v>1</v>
      </c>
      <c r="F82" s="120">
        <f>'EXISTENCIA EN SUCURSALES'!F82+'DISTRIBUCIÓN EN SUCURSALES'!F82</f>
        <v>1</v>
      </c>
      <c r="G82" s="120">
        <f>'EXISTENCIA EN SUCURSALES'!G82+'DISTRIBUCIÓN EN SUCURSALES'!G82</f>
        <v>0</v>
      </c>
      <c r="H82" s="120">
        <f>'EXISTENCIA EN SUCURSALES'!H82+'DISTRIBUCIÓN EN SUCURSALES'!H82</f>
        <v>1</v>
      </c>
      <c r="I82" s="120">
        <f>'EXISTENCIA EN SUCURSALES'!I82+'DISTRIBUCIÓN EN SUCURSALES'!I82</f>
        <v>1</v>
      </c>
      <c r="J82" s="120">
        <f>'EXISTENCIA EN SUCURSALES'!J82+'DISTRIBUCIÓN EN SUCURSALES'!J82</f>
        <v>1</v>
      </c>
      <c r="K82" s="120">
        <f>'EXISTENCIA EN SUCURSALES'!K82+'DISTRIBUCIÓN EN SUCURSALES'!K82</f>
        <v>1</v>
      </c>
      <c r="L82" s="120">
        <f t="shared" si="53"/>
        <v>10</v>
      </c>
      <c r="M82" s="131">
        <f>'EXISTENCIA EN SUCURSALES'!M82+'DISTRIBUCIÓN EN SUCURSALES'!M82</f>
        <v>2</v>
      </c>
      <c r="N82" s="131">
        <f>'EXISTENCIA EN SUCURSALES'!N82+'DISTRIBUCIÓN EN SUCURSALES'!N82</f>
        <v>0</v>
      </c>
      <c r="O82" s="131">
        <f>'EXISTENCIA EN SUCURSALES'!O82+'DISTRIBUCIÓN EN SUCURSALES'!O82</f>
        <v>1</v>
      </c>
      <c r="P82" s="131">
        <f>'EXISTENCIA EN SUCURSALES'!P82+'DISTRIBUCIÓN EN SUCURSALES'!P82</f>
        <v>0</v>
      </c>
      <c r="Q82" s="131">
        <f>'EXISTENCIA EN SUCURSALES'!Q82+'DISTRIBUCIÓN EN SUCURSALES'!Q82</f>
        <v>1</v>
      </c>
      <c r="R82" s="131">
        <f>'EXISTENCIA EN SUCURSALES'!R82+'DISTRIBUCIÓN EN SUCURSALES'!R82</f>
        <v>0</v>
      </c>
      <c r="S82" s="131">
        <f>'EXISTENCIA EN SUCURSALES'!S82+'DISTRIBUCIÓN EN SUCURSALES'!S82</f>
        <v>0</v>
      </c>
      <c r="T82" s="131">
        <f>'EXISTENCIA EN SUCURSALES'!T82+'DISTRIBUCIÓN EN SUCURSALES'!T82</f>
        <v>0</v>
      </c>
      <c r="U82" s="131">
        <f>'EXISTENCIA EN SUCURSALES'!U82+'DISTRIBUCIÓN EN SUCURSALES'!U82</f>
        <v>0</v>
      </c>
      <c r="V82" s="131">
        <f>'EXISTENCIA EN SUCURSALES'!V82+'DISTRIBUCIÓN EN SUCURSALES'!V82</f>
        <v>0</v>
      </c>
      <c r="W82" s="131">
        <f>'EXISTENCIA EN SUCURSALES'!W82+'DISTRIBUCIÓN EN SUCURSALES'!W82</f>
        <v>1</v>
      </c>
      <c r="X82" s="131">
        <f>'EXISTENCIA EN SUCURSALES'!X82+'DISTRIBUCIÓN EN SUCURSALES'!X82</f>
        <v>0</v>
      </c>
      <c r="Y82" s="120">
        <f t="shared" si="54"/>
        <v>5</v>
      </c>
      <c r="Z82" s="120">
        <f t="shared" si="55"/>
        <v>15</v>
      </c>
      <c r="AB82" s="131">
        <f>IFERROR(VLOOKUP(A82,'GRAL. SUC. LOCALES'!$A:$N,14,0),0)</f>
        <v>0</v>
      </c>
      <c r="AD82" s="131">
        <f t="shared" si="10"/>
        <v>15</v>
      </c>
      <c r="AF82" s="131">
        <v>20</v>
      </c>
      <c r="AG82" s="131">
        <v>20</v>
      </c>
      <c r="AH82" s="116">
        <f t="shared" si="44"/>
        <v>-5</v>
      </c>
    </row>
    <row r="83" spans="1:34" ht="17.399999999999999" x14ac:dyDescent="0.35">
      <c r="A83" s="94" t="s">
        <v>59</v>
      </c>
      <c r="B83" s="131">
        <f>'EXISTENCIA EN SUCURSALES'!B83+'DISTRIBUCIÓN EN SUCURSALES'!B83</f>
        <v>2</v>
      </c>
      <c r="C83" s="131">
        <f>'EXISTENCIA EN SUCURSALES'!C83+'DISTRIBUCIÓN EN SUCURSALES'!C83</f>
        <v>2</v>
      </c>
      <c r="D83" s="120">
        <f>'EXISTENCIA EN SUCURSALES'!D83+'DISTRIBUCIÓN EN SUCURSALES'!D83</f>
        <v>1</v>
      </c>
      <c r="E83" s="120">
        <f>'EXISTENCIA EN SUCURSALES'!E83+'DISTRIBUCIÓN EN SUCURSALES'!E83</f>
        <v>1</v>
      </c>
      <c r="F83" s="120">
        <f>'EXISTENCIA EN SUCURSALES'!F83+'DISTRIBUCIÓN EN SUCURSALES'!F83</f>
        <v>1</v>
      </c>
      <c r="G83" s="120">
        <f>'EXISTENCIA EN SUCURSALES'!G83+'DISTRIBUCIÓN EN SUCURSALES'!G83</f>
        <v>0</v>
      </c>
      <c r="H83" s="120">
        <f>'EXISTENCIA EN SUCURSALES'!H83+'DISTRIBUCIÓN EN SUCURSALES'!H83</f>
        <v>1</v>
      </c>
      <c r="I83" s="120">
        <f>'EXISTENCIA EN SUCURSALES'!I83+'DISTRIBUCIÓN EN SUCURSALES'!I83</f>
        <v>1</v>
      </c>
      <c r="J83" s="120">
        <f>'EXISTENCIA EN SUCURSALES'!J83+'DISTRIBUCIÓN EN SUCURSALES'!J83</f>
        <v>0</v>
      </c>
      <c r="K83" s="120">
        <f>'EXISTENCIA EN SUCURSALES'!K83+'DISTRIBUCIÓN EN SUCURSALES'!K83</f>
        <v>1</v>
      </c>
      <c r="L83" s="120">
        <f t="shared" si="53"/>
        <v>10</v>
      </c>
      <c r="M83" s="131">
        <f>'EXISTENCIA EN SUCURSALES'!M83+'DISTRIBUCIÓN EN SUCURSALES'!M83</f>
        <v>3</v>
      </c>
      <c r="N83" s="131">
        <f>'EXISTENCIA EN SUCURSALES'!N83+'DISTRIBUCIÓN EN SUCURSALES'!N83</f>
        <v>0</v>
      </c>
      <c r="O83" s="131">
        <f>'EXISTENCIA EN SUCURSALES'!O83+'DISTRIBUCIÓN EN SUCURSALES'!O83</f>
        <v>0</v>
      </c>
      <c r="P83" s="131">
        <f>'EXISTENCIA EN SUCURSALES'!P83+'DISTRIBUCIÓN EN SUCURSALES'!P83</f>
        <v>0</v>
      </c>
      <c r="Q83" s="131">
        <f>'EXISTENCIA EN SUCURSALES'!Q83+'DISTRIBUCIÓN EN SUCURSALES'!Q83</f>
        <v>1</v>
      </c>
      <c r="R83" s="131">
        <f>'EXISTENCIA EN SUCURSALES'!R83+'DISTRIBUCIÓN EN SUCURSALES'!R83</f>
        <v>1</v>
      </c>
      <c r="S83" s="131">
        <f>'EXISTENCIA EN SUCURSALES'!S83+'DISTRIBUCIÓN EN SUCURSALES'!S83</f>
        <v>0</v>
      </c>
      <c r="T83" s="131">
        <f>'EXISTENCIA EN SUCURSALES'!T83+'DISTRIBUCIÓN EN SUCURSALES'!T83</f>
        <v>0</v>
      </c>
      <c r="U83" s="131">
        <f>'EXISTENCIA EN SUCURSALES'!U83+'DISTRIBUCIÓN EN SUCURSALES'!U83</f>
        <v>0</v>
      </c>
      <c r="V83" s="131">
        <f>'EXISTENCIA EN SUCURSALES'!V83+'DISTRIBUCIÓN EN SUCURSALES'!V83</f>
        <v>0</v>
      </c>
      <c r="W83" s="131">
        <f>'EXISTENCIA EN SUCURSALES'!W83+'DISTRIBUCIÓN EN SUCURSALES'!W83</f>
        <v>0</v>
      </c>
      <c r="X83" s="131">
        <f>'EXISTENCIA EN SUCURSALES'!X83+'DISTRIBUCIÓN EN SUCURSALES'!X83</f>
        <v>0</v>
      </c>
      <c r="Y83" s="120">
        <f t="shared" si="54"/>
        <v>5</v>
      </c>
      <c r="Z83" s="120">
        <f t="shared" si="55"/>
        <v>15</v>
      </c>
      <c r="AB83" s="131">
        <f>IFERROR(VLOOKUP(A83,'GRAL. SUC. LOCALES'!$A:$N,14,0),0)</f>
        <v>5</v>
      </c>
      <c r="AD83" s="131">
        <f t="shared" si="10"/>
        <v>20</v>
      </c>
      <c r="AF83" s="131">
        <v>20</v>
      </c>
      <c r="AG83" s="131">
        <v>20</v>
      </c>
      <c r="AH83" s="116">
        <f t="shared" si="44"/>
        <v>0</v>
      </c>
    </row>
    <row r="84" spans="1:34" ht="17.399999999999999" x14ac:dyDescent="0.35">
      <c r="A84" s="94" t="s">
        <v>60</v>
      </c>
      <c r="B84" s="131">
        <f>'EXISTENCIA EN SUCURSALES'!B84+'DISTRIBUCIÓN EN SUCURSALES'!B84</f>
        <v>3</v>
      </c>
      <c r="C84" s="131">
        <f>'EXISTENCIA EN SUCURSALES'!C84+'DISTRIBUCIÓN EN SUCURSALES'!C84</f>
        <v>4</v>
      </c>
      <c r="D84" s="120">
        <f>'EXISTENCIA EN SUCURSALES'!D84+'DISTRIBUCIÓN EN SUCURSALES'!D84</f>
        <v>1</v>
      </c>
      <c r="E84" s="120">
        <f>'EXISTENCIA EN SUCURSALES'!E84+'DISTRIBUCIÓN EN SUCURSALES'!E84</f>
        <v>1</v>
      </c>
      <c r="F84" s="120">
        <f>'EXISTENCIA EN SUCURSALES'!F84+'DISTRIBUCIÓN EN SUCURSALES'!F84</f>
        <v>1</v>
      </c>
      <c r="G84" s="120">
        <f>'EXISTENCIA EN SUCURSALES'!G84+'DISTRIBUCIÓN EN SUCURSALES'!G84</f>
        <v>0</v>
      </c>
      <c r="H84" s="120">
        <f>'EXISTENCIA EN SUCURSALES'!H84+'DISTRIBUCIÓN EN SUCURSALES'!H84</f>
        <v>1</v>
      </c>
      <c r="I84" s="120">
        <f>'EXISTENCIA EN SUCURSALES'!I84+'DISTRIBUCIÓN EN SUCURSALES'!I84</f>
        <v>0</v>
      </c>
      <c r="J84" s="120">
        <f>'EXISTENCIA EN SUCURSALES'!J84+'DISTRIBUCIÓN EN SUCURSALES'!J84</f>
        <v>1</v>
      </c>
      <c r="K84" s="120">
        <f>'EXISTENCIA EN SUCURSALES'!K84+'DISTRIBUCIÓN EN SUCURSALES'!K84</f>
        <v>1</v>
      </c>
      <c r="L84" s="120">
        <f t="shared" si="53"/>
        <v>13</v>
      </c>
      <c r="M84" s="131">
        <f>'EXISTENCIA EN SUCURSALES'!M84+'DISTRIBUCIÓN EN SUCURSALES'!M84</f>
        <v>1</v>
      </c>
      <c r="N84" s="131">
        <f>'EXISTENCIA EN SUCURSALES'!N84+'DISTRIBUCIÓN EN SUCURSALES'!N84</f>
        <v>0</v>
      </c>
      <c r="O84" s="131">
        <f>'EXISTENCIA EN SUCURSALES'!O84+'DISTRIBUCIÓN EN SUCURSALES'!O84</f>
        <v>0</v>
      </c>
      <c r="P84" s="131">
        <f>'EXISTENCIA EN SUCURSALES'!P84+'DISTRIBUCIÓN EN SUCURSALES'!P84</f>
        <v>0</v>
      </c>
      <c r="Q84" s="131">
        <f>'EXISTENCIA EN SUCURSALES'!Q84+'DISTRIBUCIÓN EN SUCURSALES'!Q84</f>
        <v>1</v>
      </c>
      <c r="R84" s="131">
        <f>'EXISTENCIA EN SUCURSALES'!R84+'DISTRIBUCIÓN EN SUCURSALES'!R84</f>
        <v>1</v>
      </c>
      <c r="S84" s="131">
        <f>'EXISTENCIA EN SUCURSALES'!S84+'DISTRIBUCIÓN EN SUCURSALES'!S84</f>
        <v>1</v>
      </c>
      <c r="T84" s="131">
        <f>'EXISTENCIA EN SUCURSALES'!T84+'DISTRIBUCIÓN EN SUCURSALES'!T84</f>
        <v>0</v>
      </c>
      <c r="U84" s="131">
        <f>'EXISTENCIA EN SUCURSALES'!U84+'DISTRIBUCIÓN EN SUCURSALES'!U84</f>
        <v>0</v>
      </c>
      <c r="V84" s="131">
        <f>'EXISTENCIA EN SUCURSALES'!V84+'DISTRIBUCIÓN EN SUCURSALES'!V84</f>
        <v>0</v>
      </c>
      <c r="W84" s="131">
        <f>'EXISTENCIA EN SUCURSALES'!W84+'DISTRIBUCIÓN EN SUCURSALES'!W84</f>
        <v>0</v>
      </c>
      <c r="X84" s="131">
        <f>'EXISTENCIA EN SUCURSALES'!X84+'DISTRIBUCIÓN EN SUCURSALES'!X84</f>
        <v>0</v>
      </c>
      <c r="Y84" s="120">
        <f t="shared" si="54"/>
        <v>4</v>
      </c>
      <c r="Z84" s="120">
        <f t="shared" si="55"/>
        <v>17</v>
      </c>
      <c r="AB84" s="131">
        <f>IFERROR(VLOOKUP(A84,'GRAL. SUC. LOCALES'!$A:$N,14,0),0)</f>
        <v>5</v>
      </c>
      <c r="AD84" s="131">
        <f t="shared" si="10"/>
        <v>22</v>
      </c>
      <c r="AF84" s="131">
        <v>25</v>
      </c>
      <c r="AG84" s="131">
        <v>30</v>
      </c>
      <c r="AH84" s="116">
        <f t="shared" si="44"/>
        <v>-3</v>
      </c>
    </row>
    <row r="85" spans="1:34" ht="17.399999999999999" x14ac:dyDescent="0.35">
      <c r="A85" s="94" t="s">
        <v>61</v>
      </c>
      <c r="B85" s="131">
        <f>'EXISTENCIA EN SUCURSALES'!B85+'DISTRIBUCIÓN EN SUCURSALES'!B85</f>
        <v>3</v>
      </c>
      <c r="C85" s="131">
        <f>'EXISTENCIA EN SUCURSALES'!C85+'DISTRIBUCIÓN EN SUCURSALES'!C85</f>
        <v>3</v>
      </c>
      <c r="D85" s="120">
        <f>'EXISTENCIA EN SUCURSALES'!D85+'DISTRIBUCIÓN EN SUCURSALES'!D85</f>
        <v>1</v>
      </c>
      <c r="E85" s="120">
        <f>'EXISTENCIA EN SUCURSALES'!E85+'DISTRIBUCIÓN EN SUCURSALES'!E85</f>
        <v>1</v>
      </c>
      <c r="F85" s="120">
        <f>'EXISTENCIA EN SUCURSALES'!F85+'DISTRIBUCIÓN EN SUCURSALES'!F85</f>
        <v>1</v>
      </c>
      <c r="G85" s="120">
        <f>'EXISTENCIA EN SUCURSALES'!G85+'DISTRIBUCIÓN EN SUCURSALES'!G85</f>
        <v>0</v>
      </c>
      <c r="H85" s="120">
        <f>'EXISTENCIA EN SUCURSALES'!H85+'DISTRIBUCIÓN EN SUCURSALES'!H85</f>
        <v>1</v>
      </c>
      <c r="I85" s="120">
        <f>'EXISTENCIA EN SUCURSALES'!I85+'DISTRIBUCIÓN EN SUCURSALES'!I85</f>
        <v>1</v>
      </c>
      <c r="J85" s="120">
        <f>'EXISTENCIA EN SUCURSALES'!J85+'DISTRIBUCIÓN EN SUCURSALES'!J85</f>
        <v>1</v>
      </c>
      <c r="K85" s="120">
        <f>'EXISTENCIA EN SUCURSALES'!K85+'DISTRIBUCIÓN EN SUCURSALES'!K85</f>
        <v>1</v>
      </c>
      <c r="L85" s="120">
        <f t="shared" si="53"/>
        <v>13</v>
      </c>
      <c r="M85" s="131">
        <f>'EXISTENCIA EN SUCURSALES'!M85+'DISTRIBUCIÓN EN SUCURSALES'!M85</f>
        <v>3</v>
      </c>
      <c r="N85" s="131">
        <f>'EXISTENCIA EN SUCURSALES'!N85+'DISTRIBUCIÓN EN SUCURSALES'!N85</f>
        <v>1</v>
      </c>
      <c r="O85" s="131">
        <f>'EXISTENCIA EN SUCURSALES'!O85+'DISTRIBUCIÓN EN SUCURSALES'!O85</f>
        <v>0</v>
      </c>
      <c r="P85" s="131">
        <f>'EXISTENCIA EN SUCURSALES'!P85+'DISTRIBUCIÓN EN SUCURSALES'!P85</f>
        <v>0</v>
      </c>
      <c r="Q85" s="131">
        <f>'EXISTENCIA EN SUCURSALES'!Q85+'DISTRIBUCIÓN EN SUCURSALES'!Q85</f>
        <v>1</v>
      </c>
      <c r="R85" s="131">
        <f>'EXISTENCIA EN SUCURSALES'!R85+'DISTRIBUCIÓN EN SUCURSALES'!R85</f>
        <v>0</v>
      </c>
      <c r="S85" s="131">
        <f>'EXISTENCIA EN SUCURSALES'!S85+'DISTRIBUCIÓN EN SUCURSALES'!S85</f>
        <v>2</v>
      </c>
      <c r="T85" s="131">
        <f>'EXISTENCIA EN SUCURSALES'!T85+'DISTRIBUCIÓN EN SUCURSALES'!T85</f>
        <v>0</v>
      </c>
      <c r="U85" s="131">
        <f>'EXISTENCIA EN SUCURSALES'!U85+'DISTRIBUCIÓN EN SUCURSALES'!U85</f>
        <v>0</v>
      </c>
      <c r="V85" s="131">
        <f>'EXISTENCIA EN SUCURSALES'!V85+'DISTRIBUCIÓN EN SUCURSALES'!V85</f>
        <v>0</v>
      </c>
      <c r="W85" s="131">
        <f>'EXISTENCIA EN SUCURSALES'!W85+'DISTRIBUCIÓN EN SUCURSALES'!W85</f>
        <v>1</v>
      </c>
      <c r="X85" s="131">
        <f>'EXISTENCIA EN SUCURSALES'!X85+'DISTRIBUCIÓN EN SUCURSALES'!X85</f>
        <v>1</v>
      </c>
      <c r="Y85" s="120">
        <f t="shared" si="54"/>
        <v>9</v>
      </c>
      <c r="Z85" s="120">
        <f t="shared" si="55"/>
        <v>22</v>
      </c>
      <c r="AB85" s="131">
        <f>IFERROR(VLOOKUP(A85,'GRAL. SUC. LOCALES'!$A:$N,14,0),0)</f>
        <v>7</v>
      </c>
      <c r="AD85" s="131">
        <f t="shared" si="10"/>
        <v>29</v>
      </c>
      <c r="AF85" s="131">
        <v>40</v>
      </c>
      <c r="AG85" s="131">
        <v>45</v>
      </c>
      <c r="AH85" s="116">
        <f t="shared" si="44"/>
        <v>-11</v>
      </c>
    </row>
    <row r="86" spans="1:34" ht="17.399999999999999" x14ac:dyDescent="0.35">
      <c r="A86" s="94" t="s">
        <v>63</v>
      </c>
      <c r="B86" s="131">
        <f>'EXISTENCIA EN SUCURSALES'!B86+'DISTRIBUCIÓN EN SUCURSALES'!B86</f>
        <v>3</v>
      </c>
      <c r="C86" s="131">
        <f>'EXISTENCIA EN SUCURSALES'!C86+'DISTRIBUCIÓN EN SUCURSALES'!C86</f>
        <v>5</v>
      </c>
      <c r="D86" s="120">
        <f>'EXISTENCIA EN SUCURSALES'!D86+'DISTRIBUCIÓN EN SUCURSALES'!D86</f>
        <v>2</v>
      </c>
      <c r="E86" s="120">
        <f>'EXISTENCIA EN SUCURSALES'!E86+'DISTRIBUCIÓN EN SUCURSALES'!E86</f>
        <v>3</v>
      </c>
      <c r="F86" s="120">
        <f>'EXISTENCIA EN SUCURSALES'!F86+'DISTRIBUCIÓN EN SUCURSALES'!F86</f>
        <v>2</v>
      </c>
      <c r="G86" s="120">
        <f>'EXISTENCIA EN SUCURSALES'!G86+'DISTRIBUCIÓN EN SUCURSALES'!G86</f>
        <v>0</v>
      </c>
      <c r="H86" s="120">
        <f>'EXISTENCIA EN SUCURSALES'!H86+'DISTRIBUCIÓN EN SUCURSALES'!H86</f>
        <v>3</v>
      </c>
      <c r="I86" s="120">
        <f>'EXISTENCIA EN SUCURSALES'!I86+'DISTRIBUCIÓN EN SUCURSALES'!I86</f>
        <v>2</v>
      </c>
      <c r="J86" s="120">
        <f>'EXISTENCIA EN SUCURSALES'!J86+'DISTRIBUCIÓN EN SUCURSALES'!J86</f>
        <v>3</v>
      </c>
      <c r="K86" s="120">
        <f>'EXISTENCIA EN SUCURSALES'!K86+'DISTRIBUCIÓN EN SUCURSALES'!K86</f>
        <v>2</v>
      </c>
      <c r="L86" s="120">
        <f t="shared" si="53"/>
        <v>25</v>
      </c>
      <c r="M86" s="131">
        <f>'EXISTENCIA EN SUCURSALES'!M86+'DISTRIBUCIÓN EN SUCURSALES'!M86</f>
        <v>1</v>
      </c>
      <c r="N86" s="131">
        <f>'EXISTENCIA EN SUCURSALES'!N86+'DISTRIBUCIÓN EN SUCURSALES'!N86</f>
        <v>3</v>
      </c>
      <c r="O86" s="131">
        <f>'EXISTENCIA EN SUCURSALES'!O86+'DISTRIBUCIÓN EN SUCURSALES'!O86</f>
        <v>0</v>
      </c>
      <c r="P86" s="131">
        <f>'EXISTENCIA EN SUCURSALES'!P86+'DISTRIBUCIÓN EN SUCURSALES'!P86</f>
        <v>6</v>
      </c>
      <c r="Q86" s="131">
        <f>'EXISTENCIA EN SUCURSALES'!Q86+'DISTRIBUCIÓN EN SUCURSALES'!Q86</f>
        <v>3</v>
      </c>
      <c r="R86" s="131">
        <f>'EXISTENCIA EN SUCURSALES'!R86+'DISTRIBUCIÓN EN SUCURSALES'!R86</f>
        <v>3</v>
      </c>
      <c r="S86" s="131">
        <f>'EXISTENCIA EN SUCURSALES'!S86+'DISTRIBUCIÓN EN SUCURSALES'!S86</f>
        <v>1</v>
      </c>
      <c r="T86" s="131">
        <f>'EXISTENCIA EN SUCURSALES'!T86+'DISTRIBUCIÓN EN SUCURSALES'!T86</f>
        <v>0</v>
      </c>
      <c r="U86" s="131">
        <f>'EXISTENCIA EN SUCURSALES'!U86+'DISTRIBUCIÓN EN SUCURSALES'!U86</f>
        <v>0</v>
      </c>
      <c r="V86" s="131">
        <f>'EXISTENCIA EN SUCURSALES'!V86+'DISTRIBUCIÓN EN SUCURSALES'!V86</f>
        <v>0</v>
      </c>
      <c r="W86" s="131">
        <f>'EXISTENCIA EN SUCURSALES'!W86+'DISTRIBUCIÓN EN SUCURSALES'!W86</f>
        <v>2</v>
      </c>
      <c r="X86" s="131">
        <f>'EXISTENCIA EN SUCURSALES'!X86+'DISTRIBUCIÓN EN SUCURSALES'!X86</f>
        <v>0</v>
      </c>
      <c r="Y86" s="120">
        <f t="shared" si="54"/>
        <v>19</v>
      </c>
      <c r="Z86" s="120">
        <f t="shared" si="55"/>
        <v>44</v>
      </c>
      <c r="AB86" s="131">
        <f>IFERROR(VLOOKUP(A86,'GRAL. SUC. LOCALES'!$A:$N,14,0),0)</f>
        <v>4</v>
      </c>
      <c r="AD86" s="131">
        <f t="shared" si="10"/>
        <v>48</v>
      </c>
      <c r="AF86" s="131">
        <v>70</v>
      </c>
      <c r="AG86" s="131">
        <v>80</v>
      </c>
      <c r="AH86" s="116">
        <f t="shared" si="44"/>
        <v>-22</v>
      </c>
    </row>
    <row r="87" spans="1:34" ht="17.399999999999999" x14ac:dyDescent="0.35">
      <c r="A87" s="94"/>
      <c r="B87" s="131">
        <f>'EXISTENCIA EN SUCURSALES'!B87+'DISTRIBUCIÓN EN SUCURSALES'!B87</f>
        <v>0</v>
      </c>
      <c r="C87" s="131">
        <f>'EXISTENCIA EN SUCURSALES'!C87+'DISTRIBUCIÓN EN SUCURSALES'!C87</f>
        <v>0</v>
      </c>
      <c r="D87" s="120">
        <f>'EXISTENCIA EN SUCURSALES'!D87+'DISTRIBUCIÓN EN SUCURSALES'!D87</f>
        <v>0</v>
      </c>
      <c r="E87" s="120">
        <f>'EXISTENCIA EN SUCURSALES'!E87+'DISTRIBUCIÓN EN SUCURSALES'!E87</f>
        <v>0</v>
      </c>
      <c r="F87" s="120">
        <f>'EXISTENCIA EN SUCURSALES'!F87+'DISTRIBUCIÓN EN SUCURSALES'!F87</f>
        <v>0</v>
      </c>
      <c r="G87" s="120">
        <f>'EXISTENCIA EN SUCURSALES'!G87+'DISTRIBUCIÓN EN SUCURSALES'!G87</f>
        <v>0</v>
      </c>
      <c r="H87" s="120">
        <f>'EXISTENCIA EN SUCURSALES'!H87+'DISTRIBUCIÓN EN SUCURSALES'!H87</f>
        <v>0</v>
      </c>
      <c r="I87" s="120">
        <f>'EXISTENCIA EN SUCURSALES'!I87+'DISTRIBUCIÓN EN SUCURSALES'!I87</f>
        <v>0</v>
      </c>
      <c r="J87" s="120">
        <f>'EXISTENCIA EN SUCURSALES'!J87+'DISTRIBUCIÓN EN SUCURSALES'!J87</f>
        <v>0</v>
      </c>
      <c r="K87" s="120">
        <f>'EXISTENCIA EN SUCURSALES'!K87+'DISTRIBUCIÓN EN SUCURSALES'!K87</f>
        <v>0</v>
      </c>
      <c r="L87" s="120">
        <f t="shared" si="53"/>
        <v>0</v>
      </c>
      <c r="M87" s="131">
        <f>'EXISTENCIA EN SUCURSALES'!M87+'DISTRIBUCIÓN EN SUCURSALES'!M87</f>
        <v>0</v>
      </c>
      <c r="N87" s="131">
        <f>'EXISTENCIA EN SUCURSALES'!N87+'DISTRIBUCIÓN EN SUCURSALES'!N87</f>
        <v>0</v>
      </c>
      <c r="O87" s="131">
        <f>'EXISTENCIA EN SUCURSALES'!O87+'DISTRIBUCIÓN EN SUCURSALES'!O87</f>
        <v>0</v>
      </c>
      <c r="P87" s="131">
        <f>'EXISTENCIA EN SUCURSALES'!P87+'DISTRIBUCIÓN EN SUCURSALES'!P87</f>
        <v>0</v>
      </c>
      <c r="Q87" s="131">
        <f>'EXISTENCIA EN SUCURSALES'!Q87+'DISTRIBUCIÓN EN SUCURSALES'!Q87</f>
        <v>0</v>
      </c>
      <c r="R87" s="131">
        <f>'EXISTENCIA EN SUCURSALES'!R87+'DISTRIBUCIÓN EN SUCURSALES'!R87</f>
        <v>0</v>
      </c>
      <c r="S87" s="131">
        <f>'EXISTENCIA EN SUCURSALES'!S87+'DISTRIBUCIÓN EN SUCURSALES'!S87</f>
        <v>0</v>
      </c>
      <c r="T87" s="131">
        <f>'EXISTENCIA EN SUCURSALES'!T87+'DISTRIBUCIÓN EN SUCURSALES'!T87</f>
        <v>0</v>
      </c>
      <c r="U87" s="131">
        <f>'EXISTENCIA EN SUCURSALES'!U87+'DISTRIBUCIÓN EN SUCURSALES'!U87</f>
        <v>0</v>
      </c>
      <c r="V87" s="131">
        <f>'EXISTENCIA EN SUCURSALES'!V87+'DISTRIBUCIÓN EN SUCURSALES'!V87</f>
        <v>0</v>
      </c>
      <c r="W87" s="131">
        <f>'EXISTENCIA EN SUCURSALES'!W87+'DISTRIBUCIÓN EN SUCURSALES'!W87</f>
        <v>0</v>
      </c>
      <c r="X87" s="131">
        <f>'EXISTENCIA EN SUCURSALES'!X87+'DISTRIBUCIÓN EN SUCURSALES'!X87</f>
        <v>0</v>
      </c>
      <c r="Y87" s="120">
        <f t="shared" si="54"/>
        <v>0</v>
      </c>
      <c r="Z87" s="120">
        <f t="shared" si="55"/>
        <v>0</v>
      </c>
      <c r="AB87" s="131">
        <f>IFERROR(VLOOKUP(A87,'GRAL. SUC. LOCALES'!$A:$N,14,0),0)</f>
        <v>0</v>
      </c>
      <c r="AD87" s="131">
        <f t="shared" si="10"/>
        <v>0</v>
      </c>
      <c r="AF87" s="131"/>
      <c r="AG87" s="131"/>
      <c r="AH87" s="116">
        <f t="shared" si="44"/>
        <v>0</v>
      </c>
    </row>
    <row r="88" spans="1:34" ht="17.399999999999999" x14ac:dyDescent="0.35">
      <c r="A88" s="94"/>
      <c r="B88" s="131">
        <f>'EXISTENCIA EN SUCURSALES'!B88+'DISTRIBUCIÓN EN SUCURSALES'!B88</f>
        <v>0</v>
      </c>
      <c r="C88" s="131">
        <f>'EXISTENCIA EN SUCURSALES'!C88+'DISTRIBUCIÓN EN SUCURSALES'!C88</f>
        <v>0</v>
      </c>
      <c r="D88" s="120">
        <f>'EXISTENCIA EN SUCURSALES'!D88+'DISTRIBUCIÓN EN SUCURSALES'!D88</f>
        <v>0</v>
      </c>
      <c r="E88" s="120">
        <f>'EXISTENCIA EN SUCURSALES'!E88+'DISTRIBUCIÓN EN SUCURSALES'!E88</f>
        <v>0</v>
      </c>
      <c r="F88" s="120">
        <f>'EXISTENCIA EN SUCURSALES'!F88+'DISTRIBUCIÓN EN SUCURSALES'!F88</f>
        <v>0</v>
      </c>
      <c r="G88" s="120">
        <f>'EXISTENCIA EN SUCURSALES'!G88+'DISTRIBUCIÓN EN SUCURSALES'!G88</f>
        <v>0</v>
      </c>
      <c r="H88" s="120">
        <f>'EXISTENCIA EN SUCURSALES'!H88+'DISTRIBUCIÓN EN SUCURSALES'!H88</f>
        <v>0</v>
      </c>
      <c r="I88" s="120">
        <f>'EXISTENCIA EN SUCURSALES'!I88+'DISTRIBUCIÓN EN SUCURSALES'!I88</f>
        <v>0</v>
      </c>
      <c r="J88" s="120">
        <f>'EXISTENCIA EN SUCURSALES'!J88+'DISTRIBUCIÓN EN SUCURSALES'!J88</f>
        <v>0</v>
      </c>
      <c r="K88" s="120">
        <f>'EXISTENCIA EN SUCURSALES'!K88+'DISTRIBUCIÓN EN SUCURSALES'!K88</f>
        <v>0</v>
      </c>
      <c r="L88" s="120">
        <f t="shared" si="53"/>
        <v>0</v>
      </c>
      <c r="M88" s="131">
        <f>'EXISTENCIA EN SUCURSALES'!M88+'DISTRIBUCIÓN EN SUCURSALES'!M88</f>
        <v>0</v>
      </c>
      <c r="N88" s="131">
        <f>'EXISTENCIA EN SUCURSALES'!N88+'DISTRIBUCIÓN EN SUCURSALES'!N88</f>
        <v>0</v>
      </c>
      <c r="O88" s="131">
        <f>'EXISTENCIA EN SUCURSALES'!O88+'DISTRIBUCIÓN EN SUCURSALES'!O88</f>
        <v>0</v>
      </c>
      <c r="P88" s="131">
        <f>'EXISTENCIA EN SUCURSALES'!P88+'DISTRIBUCIÓN EN SUCURSALES'!P88</f>
        <v>0</v>
      </c>
      <c r="Q88" s="131">
        <f>'EXISTENCIA EN SUCURSALES'!Q88+'DISTRIBUCIÓN EN SUCURSALES'!Q88</f>
        <v>0</v>
      </c>
      <c r="R88" s="131">
        <f>'EXISTENCIA EN SUCURSALES'!R88+'DISTRIBUCIÓN EN SUCURSALES'!R88</f>
        <v>0</v>
      </c>
      <c r="S88" s="131">
        <f>'EXISTENCIA EN SUCURSALES'!S88+'DISTRIBUCIÓN EN SUCURSALES'!S88</f>
        <v>0</v>
      </c>
      <c r="T88" s="131">
        <f>'EXISTENCIA EN SUCURSALES'!T88+'DISTRIBUCIÓN EN SUCURSALES'!T88</f>
        <v>0</v>
      </c>
      <c r="U88" s="131">
        <f>'EXISTENCIA EN SUCURSALES'!U88+'DISTRIBUCIÓN EN SUCURSALES'!U88</f>
        <v>0</v>
      </c>
      <c r="V88" s="131">
        <f>'EXISTENCIA EN SUCURSALES'!V88+'DISTRIBUCIÓN EN SUCURSALES'!V88</f>
        <v>0</v>
      </c>
      <c r="W88" s="131">
        <f>'EXISTENCIA EN SUCURSALES'!W88+'DISTRIBUCIÓN EN SUCURSALES'!W88</f>
        <v>0</v>
      </c>
      <c r="X88" s="131">
        <f>'EXISTENCIA EN SUCURSALES'!X88+'DISTRIBUCIÓN EN SUCURSALES'!X88</f>
        <v>0</v>
      </c>
      <c r="Y88" s="120">
        <f t="shared" si="54"/>
        <v>0</v>
      </c>
      <c r="Z88" s="120">
        <f t="shared" si="55"/>
        <v>0</v>
      </c>
      <c r="AB88" s="131">
        <f>IFERROR(VLOOKUP(A88,'GRAL. SUC. LOCALES'!$A:$N,14,0),0)</f>
        <v>0</v>
      </c>
      <c r="AD88" s="131">
        <f t="shared" si="10"/>
        <v>0</v>
      </c>
      <c r="AF88" s="131"/>
      <c r="AG88" s="131"/>
      <c r="AH88" s="116">
        <f t="shared" si="44"/>
        <v>0</v>
      </c>
    </row>
    <row r="89" spans="1:34" ht="17.399999999999999" x14ac:dyDescent="0.35">
      <c r="A89" s="94"/>
      <c r="B89" s="131">
        <f>'EXISTENCIA EN SUCURSALES'!B89+'DISTRIBUCIÓN EN SUCURSALES'!B89</f>
        <v>0</v>
      </c>
      <c r="C89" s="131">
        <f>'EXISTENCIA EN SUCURSALES'!C89+'DISTRIBUCIÓN EN SUCURSALES'!C89</f>
        <v>0</v>
      </c>
      <c r="D89" s="120">
        <f>'EXISTENCIA EN SUCURSALES'!D89+'DISTRIBUCIÓN EN SUCURSALES'!D89</f>
        <v>0</v>
      </c>
      <c r="E89" s="120">
        <f>'EXISTENCIA EN SUCURSALES'!E89+'DISTRIBUCIÓN EN SUCURSALES'!E89</f>
        <v>0</v>
      </c>
      <c r="F89" s="120">
        <f>'EXISTENCIA EN SUCURSALES'!F89+'DISTRIBUCIÓN EN SUCURSALES'!F89</f>
        <v>0</v>
      </c>
      <c r="G89" s="120">
        <f>'EXISTENCIA EN SUCURSALES'!G89+'DISTRIBUCIÓN EN SUCURSALES'!G89</f>
        <v>0</v>
      </c>
      <c r="H89" s="120">
        <f>'EXISTENCIA EN SUCURSALES'!H89+'DISTRIBUCIÓN EN SUCURSALES'!H89</f>
        <v>0</v>
      </c>
      <c r="I89" s="120">
        <f>'EXISTENCIA EN SUCURSALES'!I89+'DISTRIBUCIÓN EN SUCURSALES'!I89</f>
        <v>0</v>
      </c>
      <c r="J89" s="120">
        <f>'EXISTENCIA EN SUCURSALES'!J89+'DISTRIBUCIÓN EN SUCURSALES'!J89</f>
        <v>0</v>
      </c>
      <c r="K89" s="120">
        <f>'EXISTENCIA EN SUCURSALES'!K89+'DISTRIBUCIÓN EN SUCURSALES'!K89</f>
        <v>0</v>
      </c>
      <c r="L89" s="120">
        <f t="shared" si="53"/>
        <v>0</v>
      </c>
      <c r="M89" s="131">
        <f>'EXISTENCIA EN SUCURSALES'!M89+'DISTRIBUCIÓN EN SUCURSALES'!M89</f>
        <v>0</v>
      </c>
      <c r="N89" s="131">
        <f>'EXISTENCIA EN SUCURSALES'!N89+'DISTRIBUCIÓN EN SUCURSALES'!N89</f>
        <v>0</v>
      </c>
      <c r="O89" s="131">
        <f>'EXISTENCIA EN SUCURSALES'!O89+'DISTRIBUCIÓN EN SUCURSALES'!O89</f>
        <v>0</v>
      </c>
      <c r="P89" s="131">
        <f>'EXISTENCIA EN SUCURSALES'!P89+'DISTRIBUCIÓN EN SUCURSALES'!P89</f>
        <v>0</v>
      </c>
      <c r="Q89" s="131">
        <f>'EXISTENCIA EN SUCURSALES'!Q89+'DISTRIBUCIÓN EN SUCURSALES'!Q89</f>
        <v>0</v>
      </c>
      <c r="R89" s="131">
        <f>'EXISTENCIA EN SUCURSALES'!R89+'DISTRIBUCIÓN EN SUCURSALES'!R89</f>
        <v>0</v>
      </c>
      <c r="S89" s="131">
        <f>'EXISTENCIA EN SUCURSALES'!S89+'DISTRIBUCIÓN EN SUCURSALES'!S89</f>
        <v>0</v>
      </c>
      <c r="T89" s="131">
        <f>'EXISTENCIA EN SUCURSALES'!T89+'DISTRIBUCIÓN EN SUCURSALES'!T89</f>
        <v>0</v>
      </c>
      <c r="U89" s="131">
        <f>'EXISTENCIA EN SUCURSALES'!U89+'DISTRIBUCIÓN EN SUCURSALES'!U89</f>
        <v>0</v>
      </c>
      <c r="V89" s="131">
        <f>'EXISTENCIA EN SUCURSALES'!V89+'DISTRIBUCIÓN EN SUCURSALES'!V89</f>
        <v>0</v>
      </c>
      <c r="W89" s="131">
        <f>'EXISTENCIA EN SUCURSALES'!W89+'DISTRIBUCIÓN EN SUCURSALES'!W89</f>
        <v>0</v>
      </c>
      <c r="X89" s="131">
        <f>'EXISTENCIA EN SUCURSALES'!X89+'DISTRIBUCIÓN EN SUCURSALES'!X89</f>
        <v>0</v>
      </c>
      <c r="Y89" s="120">
        <f t="shared" si="54"/>
        <v>0</v>
      </c>
      <c r="Z89" s="120">
        <f t="shared" si="55"/>
        <v>0</v>
      </c>
      <c r="AB89" s="131">
        <f>IFERROR(VLOOKUP(A89,'GRAL. SUC. LOCALES'!$A:$N,14,0),0)</f>
        <v>0</v>
      </c>
      <c r="AD89" s="131">
        <f t="shared" si="10"/>
        <v>0</v>
      </c>
      <c r="AF89" s="131"/>
      <c r="AG89" s="131"/>
      <c r="AH89" s="116">
        <f t="shared" si="44"/>
        <v>0</v>
      </c>
    </row>
    <row r="90" spans="1:34" ht="18" thickBot="1" x14ac:dyDescent="0.4">
      <c r="A90" s="94"/>
      <c r="B90" s="131">
        <f>'EXISTENCIA EN SUCURSALES'!B90+'DISTRIBUCIÓN EN SUCURSALES'!B90</f>
        <v>0</v>
      </c>
      <c r="C90" s="131">
        <f>'EXISTENCIA EN SUCURSALES'!C90+'DISTRIBUCIÓN EN SUCURSALES'!C90</f>
        <v>0</v>
      </c>
      <c r="D90" s="120">
        <f>'EXISTENCIA EN SUCURSALES'!D90+'DISTRIBUCIÓN EN SUCURSALES'!D90</f>
        <v>0</v>
      </c>
      <c r="E90" s="120">
        <f>'EXISTENCIA EN SUCURSALES'!E90+'DISTRIBUCIÓN EN SUCURSALES'!E90</f>
        <v>0</v>
      </c>
      <c r="F90" s="120">
        <f>'EXISTENCIA EN SUCURSALES'!F90+'DISTRIBUCIÓN EN SUCURSALES'!F90</f>
        <v>0</v>
      </c>
      <c r="G90" s="120">
        <f>'EXISTENCIA EN SUCURSALES'!G90+'DISTRIBUCIÓN EN SUCURSALES'!G90</f>
        <v>0</v>
      </c>
      <c r="H90" s="120">
        <f>'EXISTENCIA EN SUCURSALES'!H90+'DISTRIBUCIÓN EN SUCURSALES'!H90</f>
        <v>0</v>
      </c>
      <c r="I90" s="120">
        <f>'EXISTENCIA EN SUCURSALES'!I90+'DISTRIBUCIÓN EN SUCURSALES'!I90</f>
        <v>0</v>
      </c>
      <c r="J90" s="120">
        <f>'EXISTENCIA EN SUCURSALES'!J90+'DISTRIBUCIÓN EN SUCURSALES'!J90</f>
        <v>0</v>
      </c>
      <c r="K90" s="120">
        <f>'EXISTENCIA EN SUCURSALES'!K90+'DISTRIBUCIÓN EN SUCURSALES'!K90</f>
        <v>0</v>
      </c>
      <c r="L90" s="120">
        <f t="shared" si="53"/>
        <v>0</v>
      </c>
      <c r="M90" s="131">
        <f>'EXISTENCIA EN SUCURSALES'!M90+'DISTRIBUCIÓN EN SUCURSALES'!M90</f>
        <v>0</v>
      </c>
      <c r="N90" s="131">
        <f>'EXISTENCIA EN SUCURSALES'!N90+'DISTRIBUCIÓN EN SUCURSALES'!N90</f>
        <v>0</v>
      </c>
      <c r="O90" s="131">
        <f>'EXISTENCIA EN SUCURSALES'!O90+'DISTRIBUCIÓN EN SUCURSALES'!O90</f>
        <v>0</v>
      </c>
      <c r="P90" s="131">
        <f>'EXISTENCIA EN SUCURSALES'!P90+'DISTRIBUCIÓN EN SUCURSALES'!P90</f>
        <v>0</v>
      </c>
      <c r="Q90" s="131">
        <f>'EXISTENCIA EN SUCURSALES'!Q90+'DISTRIBUCIÓN EN SUCURSALES'!Q90</f>
        <v>0</v>
      </c>
      <c r="R90" s="131">
        <f>'EXISTENCIA EN SUCURSALES'!R90+'DISTRIBUCIÓN EN SUCURSALES'!R90</f>
        <v>0</v>
      </c>
      <c r="S90" s="131">
        <f>'EXISTENCIA EN SUCURSALES'!S90+'DISTRIBUCIÓN EN SUCURSALES'!S90</f>
        <v>0</v>
      </c>
      <c r="T90" s="131">
        <f>'EXISTENCIA EN SUCURSALES'!T90+'DISTRIBUCIÓN EN SUCURSALES'!T90</f>
        <v>0</v>
      </c>
      <c r="U90" s="131">
        <f>'EXISTENCIA EN SUCURSALES'!U90+'DISTRIBUCIÓN EN SUCURSALES'!U90</f>
        <v>0</v>
      </c>
      <c r="V90" s="131">
        <f>'EXISTENCIA EN SUCURSALES'!V90+'DISTRIBUCIÓN EN SUCURSALES'!V90</f>
        <v>0</v>
      </c>
      <c r="W90" s="131">
        <f>'EXISTENCIA EN SUCURSALES'!W90+'DISTRIBUCIÓN EN SUCURSALES'!W90</f>
        <v>0</v>
      </c>
      <c r="X90" s="131">
        <f>'EXISTENCIA EN SUCURSALES'!X90+'DISTRIBUCIÓN EN SUCURSALES'!X90</f>
        <v>0</v>
      </c>
      <c r="Y90" s="120">
        <f t="shared" si="54"/>
        <v>0</v>
      </c>
      <c r="Z90" s="120">
        <f t="shared" si="55"/>
        <v>0</v>
      </c>
      <c r="AB90" s="131">
        <f>IFERROR(VLOOKUP(A90,'GRAL. SUC. LOCALES'!$A:$N,14,0),0)</f>
        <v>0</v>
      </c>
      <c r="AD90" s="131">
        <f t="shared" si="10"/>
        <v>0</v>
      </c>
      <c r="AF90" s="131"/>
      <c r="AG90" s="131"/>
      <c r="AH90" s="116">
        <f t="shared" si="44"/>
        <v>0</v>
      </c>
    </row>
    <row r="91" spans="1:34" ht="18.600000000000001" thickBot="1" x14ac:dyDescent="0.4">
      <c r="A91" s="105" t="s">
        <v>55</v>
      </c>
      <c r="B91" s="127">
        <f>SUM(B81:B90)</f>
        <v>15</v>
      </c>
      <c r="C91" s="127">
        <f t="shared" ref="C91:Z91" si="56">SUM(C81:C90)</f>
        <v>19</v>
      </c>
      <c r="D91" s="127">
        <f t="shared" si="56"/>
        <v>7</v>
      </c>
      <c r="E91" s="127">
        <f t="shared" si="56"/>
        <v>8</v>
      </c>
      <c r="F91" s="127">
        <f t="shared" si="56"/>
        <v>8</v>
      </c>
      <c r="G91" s="127">
        <f t="shared" si="56"/>
        <v>0</v>
      </c>
      <c r="H91" s="127">
        <f t="shared" si="56"/>
        <v>8</v>
      </c>
      <c r="I91" s="127">
        <f t="shared" si="56"/>
        <v>6</v>
      </c>
      <c r="J91" s="127">
        <f t="shared" si="56"/>
        <v>7</v>
      </c>
      <c r="K91" s="127">
        <f t="shared" si="56"/>
        <v>7</v>
      </c>
      <c r="L91" s="127">
        <f t="shared" si="56"/>
        <v>85</v>
      </c>
      <c r="M91" s="127">
        <f t="shared" si="56"/>
        <v>10</v>
      </c>
      <c r="N91" s="127">
        <f t="shared" si="56"/>
        <v>5</v>
      </c>
      <c r="O91" s="127">
        <f t="shared" si="56"/>
        <v>1</v>
      </c>
      <c r="P91" s="127">
        <f t="shared" si="56"/>
        <v>6</v>
      </c>
      <c r="Q91" s="127">
        <f t="shared" si="56"/>
        <v>7</v>
      </c>
      <c r="R91" s="127">
        <f t="shared" si="56"/>
        <v>5</v>
      </c>
      <c r="S91" s="127">
        <f t="shared" si="56"/>
        <v>4</v>
      </c>
      <c r="T91" s="127">
        <f t="shared" si="56"/>
        <v>1</v>
      </c>
      <c r="U91" s="127">
        <f t="shared" ref="U91:V91" si="57">SUM(U81:U90)</f>
        <v>0</v>
      </c>
      <c r="V91" s="127">
        <f t="shared" si="57"/>
        <v>0</v>
      </c>
      <c r="W91" s="127">
        <f t="shared" si="56"/>
        <v>4</v>
      </c>
      <c r="X91" s="127">
        <f t="shared" ref="X91" si="58">SUM(X81:X90)</f>
        <v>1</v>
      </c>
      <c r="Y91" s="127">
        <f t="shared" si="56"/>
        <v>44</v>
      </c>
      <c r="Z91" s="127">
        <f t="shared" si="56"/>
        <v>129</v>
      </c>
      <c r="AB91" s="127">
        <f t="shared" ref="AB91" si="59">SUM(AB81:AB90)</f>
        <v>25</v>
      </c>
      <c r="AD91" s="127">
        <f t="shared" si="10"/>
        <v>154</v>
      </c>
      <c r="AF91" s="127">
        <f>SUM(AF81:AF90)</f>
        <v>205</v>
      </c>
      <c r="AG91" s="127">
        <f>SUM(AG81:AG90)</f>
        <v>230</v>
      </c>
      <c r="AH91" s="116">
        <f t="shared" si="44"/>
        <v>-51</v>
      </c>
    </row>
    <row r="92" spans="1:34" ht="17.399999999999999" x14ac:dyDescent="0.35">
      <c r="A92" s="106" t="s">
        <v>64</v>
      </c>
      <c r="B92" s="133"/>
      <c r="C92" s="133"/>
      <c r="D92" s="128"/>
      <c r="E92" s="128"/>
      <c r="F92" s="128"/>
      <c r="G92" s="128"/>
      <c r="H92" s="128"/>
      <c r="I92" s="128"/>
      <c r="J92" s="128"/>
      <c r="K92" s="128"/>
      <c r="L92" s="128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28"/>
      <c r="Z92" s="128"/>
      <c r="AB92" s="133"/>
      <c r="AD92" s="133">
        <f t="shared" si="10"/>
        <v>0</v>
      </c>
      <c r="AF92" s="133"/>
      <c r="AG92" s="133"/>
      <c r="AH92" s="116">
        <f t="shared" si="44"/>
        <v>0</v>
      </c>
    </row>
    <row r="93" spans="1:34" ht="17.399999999999999" x14ac:dyDescent="0.35">
      <c r="A93" s="94" t="s">
        <v>65</v>
      </c>
      <c r="B93" s="131">
        <f>'EXISTENCIA EN SUCURSALES'!B93+'DISTRIBUCIÓN EN SUCURSALES'!B93</f>
        <v>3</v>
      </c>
      <c r="C93" s="131">
        <f>'EXISTENCIA EN SUCURSALES'!C93+'DISTRIBUCIÓN EN SUCURSALES'!C93</f>
        <v>3</v>
      </c>
      <c r="D93" s="120">
        <f>'EXISTENCIA EN SUCURSALES'!D93+'DISTRIBUCIÓN EN SUCURSALES'!D93</f>
        <v>1</v>
      </c>
      <c r="E93" s="120">
        <f>'EXISTENCIA EN SUCURSALES'!E93+'DISTRIBUCIÓN EN SUCURSALES'!E93</f>
        <v>2</v>
      </c>
      <c r="F93" s="120">
        <f>'EXISTENCIA EN SUCURSALES'!F93+'DISTRIBUCIÓN EN SUCURSALES'!F93</f>
        <v>2</v>
      </c>
      <c r="G93" s="120">
        <f>'EXISTENCIA EN SUCURSALES'!G93+'DISTRIBUCIÓN EN SUCURSALES'!G93</f>
        <v>0</v>
      </c>
      <c r="H93" s="120">
        <f>'EXISTENCIA EN SUCURSALES'!H93+'DISTRIBUCIÓN EN SUCURSALES'!H93</f>
        <v>1</v>
      </c>
      <c r="I93" s="120">
        <f>'EXISTENCIA EN SUCURSALES'!I93+'DISTRIBUCIÓN EN SUCURSALES'!I93</f>
        <v>2</v>
      </c>
      <c r="J93" s="120">
        <f>'EXISTENCIA EN SUCURSALES'!J93+'DISTRIBUCIÓN EN SUCURSALES'!J93</f>
        <v>2</v>
      </c>
      <c r="K93" s="120">
        <f>'EXISTENCIA EN SUCURSALES'!K93+'DISTRIBUCIÓN EN SUCURSALES'!K93</f>
        <v>2</v>
      </c>
      <c r="L93" s="120">
        <f t="shared" ref="L93" si="60">SUM(B93:K93)</f>
        <v>18</v>
      </c>
      <c r="M93" s="131">
        <f>'EXISTENCIA EN SUCURSALES'!M93+'DISTRIBUCIÓN EN SUCURSALES'!M93</f>
        <v>2</v>
      </c>
      <c r="N93" s="131">
        <f>'EXISTENCIA EN SUCURSALES'!N93+'DISTRIBUCIÓN EN SUCURSALES'!N93</f>
        <v>1</v>
      </c>
      <c r="O93" s="131">
        <f>'EXISTENCIA EN SUCURSALES'!O93+'DISTRIBUCIÓN EN SUCURSALES'!O93</f>
        <v>0</v>
      </c>
      <c r="P93" s="131">
        <f>'EXISTENCIA EN SUCURSALES'!P93+'DISTRIBUCIÓN EN SUCURSALES'!P93</f>
        <v>0</v>
      </c>
      <c r="Q93" s="131">
        <f>'EXISTENCIA EN SUCURSALES'!Q93+'DISTRIBUCIÓN EN SUCURSALES'!Q93</f>
        <v>0</v>
      </c>
      <c r="R93" s="131">
        <f>'EXISTENCIA EN SUCURSALES'!R93+'DISTRIBUCIÓN EN SUCURSALES'!R93</f>
        <v>1</v>
      </c>
      <c r="S93" s="131">
        <f>'EXISTENCIA EN SUCURSALES'!S93+'DISTRIBUCIÓN EN SUCURSALES'!S93</f>
        <v>0</v>
      </c>
      <c r="T93" s="131">
        <f>'EXISTENCIA EN SUCURSALES'!T93+'DISTRIBUCIÓN EN SUCURSALES'!T93</f>
        <v>0</v>
      </c>
      <c r="U93" s="131">
        <f>'EXISTENCIA EN SUCURSALES'!U93+'DISTRIBUCIÓN EN SUCURSALES'!U93</f>
        <v>0</v>
      </c>
      <c r="V93" s="131">
        <f>'EXISTENCIA EN SUCURSALES'!V93+'DISTRIBUCIÓN EN SUCURSALES'!V93</f>
        <v>1</v>
      </c>
      <c r="W93" s="131">
        <f>'EXISTENCIA EN SUCURSALES'!W93+'DISTRIBUCIÓN EN SUCURSALES'!W93</f>
        <v>0</v>
      </c>
      <c r="X93" s="131">
        <f>'EXISTENCIA EN SUCURSALES'!X93+'DISTRIBUCIÓN EN SUCURSALES'!X93</f>
        <v>0</v>
      </c>
      <c r="Y93" s="120">
        <f t="shared" ref="Y93" si="61">SUM(M93:X93)</f>
        <v>5</v>
      </c>
      <c r="Z93" s="120">
        <f t="shared" ref="Z93" si="62">L93+Y93</f>
        <v>23</v>
      </c>
      <c r="AB93" s="131">
        <f>IFERROR(VLOOKUP(A93,'GRAL. SUC. LOCALES'!$A:$N,14,0),0)</f>
        <v>11</v>
      </c>
      <c r="AD93" s="131">
        <f t="shared" si="10"/>
        <v>34</v>
      </c>
      <c r="AF93" s="131">
        <v>45</v>
      </c>
      <c r="AG93" s="131">
        <v>45</v>
      </c>
      <c r="AH93" s="116">
        <f t="shared" si="44"/>
        <v>-11</v>
      </c>
    </row>
    <row r="94" spans="1:34" ht="17.399999999999999" x14ac:dyDescent="0.35">
      <c r="A94" s="94" t="s">
        <v>66</v>
      </c>
      <c r="B94" s="131">
        <f>'EXISTENCIA EN SUCURSALES'!B94+'DISTRIBUCIÓN EN SUCURSALES'!B94</f>
        <v>2</v>
      </c>
      <c r="C94" s="131">
        <f>'EXISTENCIA EN SUCURSALES'!C94+'DISTRIBUCIÓN EN SUCURSALES'!C94</f>
        <v>3</v>
      </c>
      <c r="D94" s="120">
        <f>'EXISTENCIA EN SUCURSALES'!D94+'DISTRIBUCIÓN EN SUCURSALES'!D94</f>
        <v>1</v>
      </c>
      <c r="E94" s="120">
        <f>'EXISTENCIA EN SUCURSALES'!E94+'DISTRIBUCIÓN EN SUCURSALES'!E94</f>
        <v>2</v>
      </c>
      <c r="F94" s="120">
        <f>'EXISTENCIA EN SUCURSALES'!F94+'DISTRIBUCIÓN EN SUCURSALES'!F94</f>
        <v>2</v>
      </c>
      <c r="G94" s="120">
        <f>'EXISTENCIA EN SUCURSALES'!G94+'DISTRIBUCIÓN EN SUCURSALES'!G94</f>
        <v>0</v>
      </c>
      <c r="H94" s="120">
        <f>'EXISTENCIA EN SUCURSALES'!H94+'DISTRIBUCIÓN EN SUCURSALES'!H94</f>
        <v>1</v>
      </c>
      <c r="I94" s="120">
        <f>'EXISTENCIA EN SUCURSALES'!I94+'DISTRIBUCIÓN EN SUCURSALES'!I94</f>
        <v>1</v>
      </c>
      <c r="J94" s="120">
        <f>'EXISTENCIA EN SUCURSALES'!J94+'DISTRIBUCIÓN EN SUCURSALES'!J94</f>
        <v>2</v>
      </c>
      <c r="K94" s="120">
        <f>'EXISTENCIA EN SUCURSALES'!K94+'DISTRIBUCIÓN EN SUCURSALES'!K94</f>
        <v>1</v>
      </c>
      <c r="L94" s="120">
        <f t="shared" ref="L94:L104" si="63">SUM(B94:K94)</f>
        <v>15</v>
      </c>
      <c r="M94" s="131">
        <f>'EXISTENCIA EN SUCURSALES'!M94+'DISTRIBUCIÓN EN SUCURSALES'!M94</f>
        <v>2</v>
      </c>
      <c r="N94" s="131">
        <f>'EXISTENCIA EN SUCURSALES'!N94+'DISTRIBUCIÓN EN SUCURSALES'!N94</f>
        <v>1</v>
      </c>
      <c r="O94" s="131">
        <f>'EXISTENCIA EN SUCURSALES'!O94+'DISTRIBUCIÓN EN SUCURSALES'!O94</f>
        <v>0</v>
      </c>
      <c r="P94" s="131">
        <f>'EXISTENCIA EN SUCURSALES'!P94+'DISTRIBUCIÓN EN SUCURSALES'!P94</f>
        <v>0</v>
      </c>
      <c r="Q94" s="131">
        <f>'EXISTENCIA EN SUCURSALES'!Q94+'DISTRIBUCIÓN EN SUCURSALES'!Q94</f>
        <v>0</v>
      </c>
      <c r="R94" s="131">
        <f>'EXISTENCIA EN SUCURSALES'!R94+'DISTRIBUCIÓN EN SUCURSALES'!R94</f>
        <v>1</v>
      </c>
      <c r="S94" s="131">
        <f>'EXISTENCIA EN SUCURSALES'!S94+'DISTRIBUCIÓN EN SUCURSALES'!S94</f>
        <v>0</v>
      </c>
      <c r="T94" s="131">
        <f>'EXISTENCIA EN SUCURSALES'!T94+'DISTRIBUCIÓN EN SUCURSALES'!T94</f>
        <v>0</v>
      </c>
      <c r="U94" s="131">
        <f>'EXISTENCIA EN SUCURSALES'!U94+'DISTRIBUCIÓN EN SUCURSALES'!U94</f>
        <v>1</v>
      </c>
      <c r="V94" s="131">
        <f>'EXISTENCIA EN SUCURSALES'!V94+'DISTRIBUCIÓN EN SUCURSALES'!V94</f>
        <v>0</v>
      </c>
      <c r="W94" s="131">
        <f>'EXISTENCIA EN SUCURSALES'!W94+'DISTRIBUCIÓN EN SUCURSALES'!W94</f>
        <v>0</v>
      </c>
      <c r="X94" s="131">
        <f>'EXISTENCIA EN SUCURSALES'!X94+'DISTRIBUCIÓN EN SUCURSALES'!X94</f>
        <v>1</v>
      </c>
      <c r="Y94" s="120">
        <f t="shared" ref="Y94:Y104" si="64">SUM(M94:X94)</f>
        <v>6</v>
      </c>
      <c r="Z94" s="120">
        <f t="shared" ref="Z94:Z104" si="65">L94+Y94</f>
        <v>21</v>
      </c>
      <c r="AB94" s="131">
        <f>IFERROR(VLOOKUP(A94,'GRAL. SUC. LOCALES'!$A:$N,14,0),0)</f>
        <v>13</v>
      </c>
      <c r="AD94" s="131">
        <f t="shared" ref="AD94:AD104" si="66">AB94+Z94</f>
        <v>34</v>
      </c>
      <c r="AF94" s="131">
        <v>40</v>
      </c>
      <c r="AG94" s="131">
        <v>30</v>
      </c>
      <c r="AH94" s="116">
        <f t="shared" si="44"/>
        <v>-6</v>
      </c>
    </row>
    <row r="95" spans="1:34" ht="17.399999999999999" x14ac:dyDescent="0.35">
      <c r="A95" s="94" t="s">
        <v>68</v>
      </c>
      <c r="B95" s="131">
        <f>'EXISTENCIA EN SUCURSALES'!B95+'DISTRIBUCIÓN EN SUCURSALES'!B95</f>
        <v>3</v>
      </c>
      <c r="C95" s="131">
        <f>'EXISTENCIA EN SUCURSALES'!C95+'DISTRIBUCIÓN EN SUCURSALES'!C95</f>
        <v>2</v>
      </c>
      <c r="D95" s="120">
        <f>'EXISTENCIA EN SUCURSALES'!D95+'DISTRIBUCIÓN EN SUCURSALES'!D95</f>
        <v>1</v>
      </c>
      <c r="E95" s="120">
        <f>'EXISTENCIA EN SUCURSALES'!E95+'DISTRIBUCIÓN EN SUCURSALES'!E95</f>
        <v>1</v>
      </c>
      <c r="F95" s="120">
        <f>'EXISTENCIA EN SUCURSALES'!F95+'DISTRIBUCIÓN EN SUCURSALES'!F95</f>
        <v>1</v>
      </c>
      <c r="G95" s="120">
        <f>'EXISTENCIA EN SUCURSALES'!G95+'DISTRIBUCIÓN EN SUCURSALES'!G95</f>
        <v>0</v>
      </c>
      <c r="H95" s="120">
        <f>'EXISTENCIA EN SUCURSALES'!H95+'DISTRIBUCIÓN EN SUCURSALES'!H95</f>
        <v>2</v>
      </c>
      <c r="I95" s="120">
        <f>'EXISTENCIA EN SUCURSALES'!I95+'DISTRIBUCIÓN EN SUCURSALES'!I95</f>
        <v>1</v>
      </c>
      <c r="J95" s="120">
        <f>'EXISTENCIA EN SUCURSALES'!J95+'DISTRIBUCIÓN EN SUCURSALES'!J95</f>
        <v>2</v>
      </c>
      <c r="K95" s="120">
        <f>'EXISTENCIA EN SUCURSALES'!K95+'DISTRIBUCIÓN EN SUCURSALES'!K95</f>
        <v>2</v>
      </c>
      <c r="L95" s="120">
        <f t="shared" si="63"/>
        <v>15</v>
      </c>
      <c r="M95" s="131">
        <f>'EXISTENCIA EN SUCURSALES'!M95+'DISTRIBUCIÓN EN SUCURSALES'!M95</f>
        <v>0</v>
      </c>
      <c r="N95" s="131">
        <f>'EXISTENCIA EN SUCURSALES'!N95+'DISTRIBUCIÓN EN SUCURSALES'!N95</f>
        <v>1</v>
      </c>
      <c r="O95" s="131">
        <f>'EXISTENCIA EN SUCURSALES'!O95+'DISTRIBUCIÓN EN SUCURSALES'!O95</f>
        <v>0</v>
      </c>
      <c r="P95" s="131">
        <f>'EXISTENCIA EN SUCURSALES'!P95+'DISTRIBUCIÓN EN SUCURSALES'!P95</f>
        <v>0</v>
      </c>
      <c r="Q95" s="131">
        <f>'EXISTENCIA EN SUCURSALES'!Q95+'DISTRIBUCIÓN EN SUCURSALES'!Q95</f>
        <v>2</v>
      </c>
      <c r="R95" s="131">
        <f>'EXISTENCIA EN SUCURSALES'!R95+'DISTRIBUCIÓN EN SUCURSALES'!R95</f>
        <v>1</v>
      </c>
      <c r="S95" s="131">
        <f>'EXISTENCIA EN SUCURSALES'!S95+'DISTRIBUCIÓN EN SUCURSALES'!S95</f>
        <v>0</v>
      </c>
      <c r="T95" s="131">
        <f>'EXISTENCIA EN SUCURSALES'!T95+'DISTRIBUCIÓN EN SUCURSALES'!T95</f>
        <v>1</v>
      </c>
      <c r="U95" s="131">
        <f>'EXISTENCIA EN SUCURSALES'!U95+'DISTRIBUCIÓN EN SUCURSALES'!U95</f>
        <v>0</v>
      </c>
      <c r="V95" s="131">
        <f>'EXISTENCIA EN SUCURSALES'!V95+'DISTRIBUCIÓN EN SUCURSALES'!V95</f>
        <v>0</v>
      </c>
      <c r="W95" s="131">
        <f>'EXISTENCIA EN SUCURSALES'!W95+'DISTRIBUCIÓN EN SUCURSALES'!W95</f>
        <v>0</v>
      </c>
      <c r="X95" s="131">
        <f>'EXISTENCIA EN SUCURSALES'!X95+'DISTRIBUCIÓN EN SUCURSALES'!X95</f>
        <v>1</v>
      </c>
      <c r="Y95" s="120">
        <f t="shared" si="64"/>
        <v>6</v>
      </c>
      <c r="Z95" s="120">
        <f t="shared" si="65"/>
        <v>21</v>
      </c>
      <c r="AB95" s="131">
        <f>IFERROR(VLOOKUP(A95,'GRAL. SUC. LOCALES'!$A:$N,14,0),0)</f>
        <v>10</v>
      </c>
      <c r="AD95" s="131">
        <f t="shared" si="66"/>
        <v>31</v>
      </c>
      <c r="AF95" s="131">
        <v>40</v>
      </c>
      <c r="AG95" s="131">
        <v>35</v>
      </c>
      <c r="AH95" s="116">
        <f t="shared" si="44"/>
        <v>-9</v>
      </c>
    </row>
    <row r="96" spans="1:34" ht="17.399999999999999" x14ac:dyDescent="0.35">
      <c r="A96" s="94" t="s">
        <v>69</v>
      </c>
      <c r="B96" s="131">
        <f>'EXISTENCIA EN SUCURSALES'!B96+'DISTRIBUCIÓN EN SUCURSALES'!B96</f>
        <v>8</v>
      </c>
      <c r="C96" s="131">
        <f>'EXISTENCIA EN SUCURSALES'!C96+'DISTRIBUCIÓN EN SUCURSALES'!C96</f>
        <v>10</v>
      </c>
      <c r="D96" s="120">
        <f>'EXISTENCIA EN SUCURSALES'!D96+'DISTRIBUCIÓN EN SUCURSALES'!D96</f>
        <v>5</v>
      </c>
      <c r="E96" s="120">
        <f>'EXISTENCIA EN SUCURSALES'!E96+'DISTRIBUCIÓN EN SUCURSALES'!E96</f>
        <v>4</v>
      </c>
      <c r="F96" s="120">
        <f>'EXISTENCIA EN SUCURSALES'!F96+'DISTRIBUCIÓN EN SUCURSALES'!F96</f>
        <v>4</v>
      </c>
      <c r="G96" s="120">
        <f>'EXISTENCIA EN SUCURSALES'!G96+'DISTRIBUCIÓN EN SUCURSALES'!G96</f>
        <v>0</v>
      </c>
      <c r="H96" s="120">
        <f>'EXISTENCIA EN SUCURSALES'!H96+'DISTRIBUCIÓN EN SUCURSALES'!H96</f>
        <v>5</v>
      </c>
      <c r="I96" s="120">
        <f>'EXISTENCIA EN SUCURSALES'!I96+'DISTRIBUCIÓN EN SUCURSALES'!I96</f>
        <v>10</v>
      </c>
      <c r="J96" s="120">
        <f>'EXISTENCIA EN SUCURSALES'!J96+'DISTRIBUCIÓN EN SUCURSALES'!J96</f>
        <v>6</v>
      </c>
      <c r="K96" s="120">
        <f>'EXISTENCIA EN SUCURSALES'!K96+'DISTRIBUCIÓN EN SUCURSALES'!K96</f>
        <v>4</v>
      </c>
      <c r="L96" s="120">
        <f t="shared" si="63"/>
        <v>56</v>
      </c>
      <c r="M96" s="131">
        <f>'EXISTENCIA EN SUCURSALES'!M96+'DISTRIBUCIÓN EN SUCURSALES'!M96</f>
        <v>7</v>
      </c>
      <c r="N96" s="131">
        <f>'EXISTENCIA EN SUCURSALES'!N96+'DISTRIBUCIÓN EN SUCURSALES'!N96</f>
        <v>7</v>
      </c>
      <c r="O96" s="131">
        <f>'EXISTENCIA EN SUCURSALES'!O96+'DISTRIBUCIÓN EN SUCURSALES'!O96</f>
        <v>5</v>
      </c>
      <c r="P96" s="131">
        <f>'EXISTENCIA EN SUCURSALES'!P96+'DISTRIBUCIÓN EN SUCURSALES'!P96</f>
        <v>8</v>
      </c>
      <c r="Q96" s="131">
        <f>'EXISTENCIA EN SUCURSALES'!Q96+'DISTRIBUCIÓN EN SUCURSALES'!Q96</f>
        <v>6</v>
      </c>
      <c r="R96" s="131">
        <f>'EXISTENCIA EN SUCURSALES'!R96+'DISTRIBUCIÓN EN SUCURSALES'!R96</f>
        <v>10</v>
      </c>
      <c r="S96" s="131">
        <f>'EXISTENCIA EN SUCURSALES'!S96+'DISTRIBUCIÓN EN SUCURSALES'!S96</f>
        <v>4</v>
      </c>
      <c r="T96" s="131">
        <f>'EXISTENCIA EN SUCURSALES'!T96+'DISTRIBUCIÓN EN SUCURSALES'!T96</f>
        <v>5</v>
      </c>
      <c r="U96" s="131">
        <f>'EXISTENCIA EN SUCURSALES'!U96+'DISTRIBUCIÓN EN SUCURSALES'!U96</f>
        <v>0</v>
      </c>
      <c r="V96" s="131">
        <f>'EXISTENCIA EN SUCURSALES'!V96+'DISTRIBUCIÓN EN SUCURSALES'!V96</f>
        <v>8</v>
      </c>
      <c r="W96" s="131">
        <f>'EXISTENCIA EN SUCURSALES'!W96+'DISTRIBUCIÓN EN SUCURSALES'!W96</f>
        <v>3</v>
      </c>
      <c r="X96" s="131">
        <f>'EXISTENCIA EN SUCURSALES'!X96+'DISTRIBUCIÓN EN SUCURSALES'!X96</f>
        <v>0</v>
      </c>
      <c r="Y96" s="120">
        <f t="shared" si="64"/>
        <v>63</v>
      </c>
      <c r="Z96" s="120">
        <f t="shared" si="65"/>
        <v>119</v>
      </c>
      <c r="AB96" s="131">
        <f>IFERROR(VLOOKUP(A96,'GRAL. SUC. LOCALES'!$A:$N,14,0),0)</f>
        <v>40</v>
      </c>
      <c r="AD96" s="131">
        <f t="shared" si="66"/>
        <v>159</v>
      </c>
      <c r="AF96" s="131">
        <v>200</v>
      </c>
      <c r="AG96" s="131">
        <v>200</v>
      </c>
      <c r="AH96" s="116">
        <f t="shared" si="44"/>
        <v>-41</v>
      </c>
    </row>
    <row r="97" spans="1:34" ht="17.399999999999999" x14ac:dyDescent="0.35">
      <c r="A97" s="94" t="s">
        <v>70</v>
      </c>
      <c r="B97" s="131">
        <f>'EXISTENCIA EN SUCURSALES'!B97+'DISTRIBUCIÓN EN SUCURSALES'!B97</f>
        <v>6</v>
      </c>
      <c r="C97" s="131">
        <f>'EXISTENCIA EN SUCURSALES'!C97+'DISTRIBUCIÓN EN SUCURSALES'!C97</f>
        <v>6</v>
      </c>
      <c r="D97" s="120">
        <f>'EXISTENCIA EN SUCURSALES'!D97+'DISTRIBUCIÓN EN SUCURSALES'!D97</f>
        <v>5</v>
      </c>
      <c r="E97" s="120">
        <f>'EXISTENCIA EN SUCURSALES'!E97+'DISTRIBUCIÓN EN SUCURSALES'!E97</f>
        <v>4</v>
      </c>
      <c r="F97" s="120">
        <f>'EXISTENCIA EN SUCURSALES'!F97+'DISTRIBUCIÓN EN SUCURSALES'!F97</f>
        <v>2</v>
      </c>
      <c r="G97" s="120">
        <f>'EXISTENCIA EN SUCURSALES'!G97+'DISTRIBUCIÓN EN SUCURSALES'!G97</f>
        <v>0</v>
      </c>
      <c r="H97" s="120">
        <f>'EXISTENCIA EN SUCURSALES'!H97+'DISTRIBUCIÓN EN SUCURSALES'!H97</f>
        <v>4</v>
      </c>
      <c r="I97" s="120">
        <f>'EXISTENCIA EN SUCURSALES'!I97+'DISTRIBUCIÓN EN SUCURSALES'!I97</f>
        <v>5</v>
      </c>
      <c r="J97" s="120">
        <f>'EXISTENCIA EN SUCURSALES'!J97+'DISTRIBUCIÓN EN SUCURSALES'!J97</f>
        <v>6</v>
      </c>
      <c r="K97" s="120">
        <f>'EXISTENCIA EN SUCURSALES'!K97+'DISTRIBUCIÓN EN SUCURSALES'!K97</f>
        <v>2</v>
      </c>
      <c r="L97" s="120">
        <f t="shared" si="63"/>
        <v>40</v>
      </c>
      <c r="M97" s="131">
        <f>'EXISTENCIA EN SUCURSALES'!M97+'DISTRIBUCIÓN EN SUCURSALES'!M97</f>
        <v>6</v>
      </c>
      <c r="N97" s="131">
        <f>'EXISTENCIA EN SUCURSALES'!N97+'DISTRIBUCIÓN EN SUCURSALES'!N97</f>
        <v>2</v>
      </c>
      <c r="O97" s="131">
        <f>'EXISTENCIA EN SUCURSALES'!O97+'DISTRIBUCIÓN EN SUCURSALES'!O97</f>
        <v>5</v>
      </c>
      <c r="P97" s="131">
        <f>'EXISTENCIA EN SUCURSALES'!P97+'DISTRIBUCIÓN EN SUCURSALES'!P97</f>
        <v>8</v>
      </c>
      <c r="Q97" s="131">
        <f>'EXISTENCIA EN SUCURSALES'!Q97+'DISTRIBUCIÓN EN SUCURSALES'!Q97</f>
        <v>0</v>
      </c>
      <c r="R97" s="131">
        <f>'EXISTENCIA EN SUCURSALES'!R97+'DISTRIBUCIÓN EN SUCURSALES'!R97</f>
        <v>7</v>
      </c>
      <c r="S97" s="131">
        <f>'EXISTENCIA EN SUCURSALES'!S97+'DISTRIBUCIÓN EN SUCURSALES'!S97</f>
        <v>5</v>
      </c>
      <c r="T97" s="131">
        <f>'EXISTENCIA EN SUCURSALES'!T97+'DISTRIBUCIÓN EN SUCURSALES'!T97</f>
        <v>0</v>
      </c>
      <c r="U97" s="131">
        <f>'EXISTENCIA EN SUCURSALES'!U97+'DISTRIBUCIÓN EN SUCURSALES'!U97</f>
        <v>0</v>
      </c>
      <c r="V97" s="131">
        <f>'EXISTENCIA EN SUCURSALES'!V97+'DISTRIBUCIÓN EN SUCURSALES'!V97</f>
        <v>4</v>
      </c>
      <c r="W97" s="131">
        <f>'EXISTENCIA EN SUCURSALES'!W97+'DISTRIBUCIÓN EN SUCURSALES'!W97</f>
        <v>4</v>
      </c>
      <c r="X97" s="131">
        <f>'EXISTENCIA EN SUCURSALES'!X97+'DISTRIBUCIÓN EN SUCURSALES'!X97</f>
        <v>2</v>
      </c>
      <c r="Y97" s="120">
        <f t="shared" si="64"/>
        <v>43</v>
      </c>
      <c r="Z97" s="120">
        <f t="shared" si="65"/>
        <v>83</v>
      </c>
      <c r="AB97" s="131">
        <f>IFERROR(VLOOKUP(A97,'GRAL. SUC. LOCALES'!$A:$N,14,0),0)</f>
        <v>19</v>
      </c>
      <c r="AD97" s="131">
        <f t="shared" si="66"/>
        <v>102</v>
      </c>
      <c r="AF97" s="131">
        <v>140</v>
      </c>
      <c r="AG97" s="131">
        <v>140</v>
      </c>
      <c r="AH97" s="116">
        <f t="shared" si="44"/>
        <v>-38</v>
      </c>
    </row>
    <row r="98" spans="1:34" ht="17.399999999999999" x14ac:dyDescent="0.35">
      <c r="A98" s="94" t="s">
        <v>857</v>
      </c>
      <c r="B98" s="131">
        <f>'EXISTENCIA EN SUCURSALES'!B98+'DISTRIBUCIÓN EN SUCURSALES'!B98</f>
        <v>7</v>
      </c>
      <c r="C98" s="131">
        <f>'EXISTENCIA EN SUCURSALES'!C98+'DISTRIBUCIÓN EN SUCURSALES'!C98</f>
        <v>10</v>
      </c>
      <c r="D98" s="120">
        <f>'EXISTENCIA EN SUCURSALES'!D98+'DISTRIBUCIÓN EN SUCURSALES'!D98</f>
        <v>6</v>
      </c>
      <c r="E98" s="120">
        <f>'EXISTENCIA EN SUCURSALES'!E98+'DISTRIBUCIÓN EN SUCURSALES'!E98</f>
        <v>4</v>
      </c>
      <c r="F98" s="120">
        <f>'EXISTENCIA EN SUCURSALES'!F98+'DISTRIBUCIÓN EN SUCURSALES'!F98</f>
        <v>6</v>
      </c>
      <c r="G98" s="120">
        <f>'EXISTENCIA EN SUCURSALES'!G98+'DISTRIBUCIÓN EN SUCURSALES'!G98</f>
        <v>0</v>
      </c>
      <c r="H98" s="120">
        <f>'EXISTENCIA EN SUCURSALES'!H98+'DISTRIBUCIÓN EN SUCURSALES'!H98</f>
        <v>4</v>
      </c>
      <c r="I98" s="120">
        <f>'EXISTENCIA EN SUCURSALES'!I98+'DISTRIBUCIÓN EN SUCURSALES'!I98</f>
        <v>5</v>
      </c>
      <c r="J98" s="120">
        <f>'EXISTENCIA EN SUCURSALES'!J98+'DISTRIBUCIÓN EN SUCURSALES'!J98</f>
        <v>4</v>
      </c>
      <c r="K98" s="120">
        <f>'EXISTENCIA EN SUCURSALES'!K98+'DISTRIBUCIÓN EN SUCURSALES'!K98</f>
        <v>5</v>
      </c>
      <c r="L98" s="120">
        <f t="shared" si="63"/>
        <v>51</v>
      </c>
      <c r="M98" s="131">
        <f>'EXISTENCIA EN SUCURSALES'!M98+'DISTRIBUCIÓN EN SUCURSALES'!M98</f>
        <v>0</v>
      </c>
      <c r="N98" s="131">
        <f>'EXISTENCIA EN SUCURSALES'!N98+'DISTRIBUCIÓN EN SUCURSALES'!N98</f>
        <v>6</v>
      </c>
      <c r="O98" s="131">
        <f>'EXISTENCIA EN SUCURSALES'!O98+'DISTRIBUCIÓN EN SUCURSALES'!O98</f>
        <v>4</v>
      </c>
      <c r="P98" s="131">
        <f>'EXISTENCIA EN SUCURSALES'!P98+'DISTRIBUCIÓN EN SUCURSALES'!P98</f>
        <v>5</v>
      </c>
      <c r="Q98" s="131">
        <f>'EXISTENCIA EN SUCURSALES'!Q98+'DISTRIBUCIÓN EN SUCURSALES'!Q98</f>
        <v>5</v>
      </c>
      <c r="R98" s="131">
        <f>'EXISTENCIA EN SUCURSALES'!R98+'DISTRIBUCIÓN EN SUCURSALES'!R98</f>
        <v>10</v>
      </c>
      <c r="S98" s="131">
        <f>'EXISTENCIA EN SUCURSALES'!S98+'DISTRIBUCIÓN EN SUCURSALES'!S98</f>
        <v>2</v>
      </c>
      <c r="T98" s="131">
        <f>'EXISTENCIA EN SUCURSALES'!T98+'DISTRIBUCIÓN EN SUCURSALES'!T98</f>
        <v>5</v>
      </c>
      <c r="U98" s="131">
        <f>'EXISTENCIA EN SUCURSALES'!U98+'DISTRIBUCIÓN EN SUCURSALES'!U98</f>
        <v>0</v>
      </c>
      <c r="V98" s="131">
        <f>'EXISTENCIA EN SUCURSALES'!V98+'DISTRIBUCIÓN EN SUCURSALES'!V98</f>
        <v>7</v>
      </c>
      <c r="W98" s="131">
        <f>'EXISTENCIA EN SUCURSALES'!W98+'DISTRIBUCIÓN EN SUCURSALES'!W98</f>
        <v>8</v>
      </c>
      <c r="X98" s="131">
        <f>'EXISTENCIA EN SUCURSALES'!X98+'DISTRIBUCIÓN EN SUCURSALES'!X98</f>
        <v>8</v>
      </c>
      <c r="Y98" s="120">
        <f t="shared" si="64"/>
        <v>60</v>
      </c>
      <c r="Z98" s="120">
        <f t="shared" si="65"/>
        <v>111</v>
      </c>
      <c r="AB98" s="131">
        <f>IFERROR(VLOOKUP(A98,'GRAL. SUC. LOCALES'!$A:$N,14,0),0)</f>
        <v>14</v>
      </c>
      <c r="AD98" s="131">
        <f t="shared" si="66"/>
        <v>125</v>
      </c>
      <c r="AF98" s="131">
        <v>90</v>
      </c>
      <c r="AG98" s="131">
        <v>300</v>
      </c>
      <c r="AH98" s="116">
        <f t="shared" si="44"/>
        <v>35</v>
      </c>
    </row>
    <row r="99" spans="1:34" ht="17.399999999999999" x14ac:dyDescent="0.35">
      <c r="A99" s="94" t="s">
        <v>835</v>
      </c>
      <c r="B99" s="131">
        <f>'EXISTENCIA EN SUCURSALES'!B99+'DISTRIBUCIÓN EN SUCURSALES'!B99</f>
        <v>3</v>
      </c>
      <c r="C99" s="131">
        <f>'EXISTENCIA EN SUCURSALES'!C99+'DISTRIBUCIÓN EN SUCURSALES'!C99</f>
        <v>3</v>
      </c>
      <c r="D99" s="120">
        <f>'EXISTENCIA EN SUCURSALES'!D99+'DISTRIBUCIÓN EN SUCURSALES'!D99</f>
        <v>2</v>
      </c>
      <c r="E99" s="120">
        <f>'EXISTENCIA EN SUCURSALES'!E99+'DISTRIBUCIÓN EN SUCURSALES'!E99</f>
        <v>2</v>
      </c>
      <c r="F99" s="120">
        <f>'EXISTENCIA EN SUCURSALES'!F99+'DISTRIBUCIÓN EN SUCURSALES'!F99</f>
        <v>2</v>
      </c>
      <c r="G99" s="120">
        <f>'EXISTENCIA EN SUCURSALES'!G99+'DISTRIBUCIÓN EN SUCURSALES'!G99</f>
        <v>0</v>
      </c>
      <c r="H99" s="120">
        <f>'EXISTENCIA EN SUCURSALES'!H99+'DISTRIBUCIÓN EN SUCURSALES'!H99</f>
        <v>2</v>
      </c>
      <c r="I99" s="120">
        <f>'EXISTENCIA EN SUCURSALES'!I99+'DISTRIBUCIÓN EN SUCURSALES'!I99</f>
        <v>3</v>
      </c>
      <c r="J99" s="120">
        <f>'EXISTENCIA EN SUCURSALES'!J99+'DISTRIBUCIÓN EN SUCURSALES'!J99</f>
        <v>3</v>
      </c>
      <c r="K99" s="120">
        <f>'EXISTENCIA EN SUCURSALES'!K99+'DISTRIBUCIÓN EN SUCURSALES'!K99</f>
        <v>2</v>
      </c>
      <c r="L99" s="120">
        <f t="shared" si="63"/>
        <v>22</v>
      </c>
      <c r="M99" s="131">
        <f>'EXISTENCIA EN SUCURSALES'!M99+'DISTRIBUCIÓN EN SUCURSALES'!M99</f>
        <v>3</v>
      </c>
      <c r="N99" s="131">
        <f>'EXISTENCIA EN SUCURSALES'!N99+'DISTRIBUCIÓN EN SUCURSALES'!N99</f>
        <v>1</v>
      </c>
      <c r="O99" s="131">
        <f>'EXISTENCIA EN SUCURSALES'!O99+'DISTRIBUCIÓN EN SUCURSALES'!O99</f>
        <v>2</v>
      </c>
      <c r="P99" s="131">
        <f>'EXISTENCIA EN SUCURSALES'!P99+'DISTRIBUCIÓN EN SUCURSALES'!P99</f>
        <v>0</v>
      </c>
      <c r="Q99" s="131">
        <f>'EXISTENCIA EN SUCURSALES'!Q99+'DISTRIBUCIÓN EN SUCURSALES'!Q99</f>
        <v>3</v>
      </c>
      <c r="R99" s="131">
        <f>'EXISTENCIA EN SUCURSALES'!R99+'DISTRIBUCIÓN EN SUCURSALES'!R99</f>
        <v>2</v>
      </c>
      <c r="S99" s="131">
        <f>'EXISTENCIA EN SUCURSALES'!S99+'DISTRIBUCIÓN EN SUCURSALES'!S99</f>
        <v>0</v>
      </c>
      <c r="T99" s="131">
        <f>'EXISTENCIA EN SUCURSALES'!T99+'DISTRIBUCIÓN EN SUCURSALES'!T99</f>
        <v>2</v>
      </c>
      <c r="U99" s="131">
        <f>'EXISTENCIA EN SUCURSALES'!U99+'DISTRIBUCIÓN EN SUCURSALES'!U99</f>
        <v>0</v>
      </c>
      <c r="V99" s="131">
        <f>'EXISTENCIA EN SUCURSALES'!V99+'DISTRIBUCIÓN EN SUCURSALES'!V99</f>
        <v>3</v>
      </c>
      <c r="W99" s="131">
        <f>'EXISTENCIA EN SUCURSALES'!W99+'DISTRIBUCIÓN EN SUCURSALES'!W99</f>
        <v>2</v>
      </c>
      <c r="X99" s="131">
        <f>'EXISTENCIA EN SUCURSALES'!X99+'DISTRIBUCIÓN EN SUCURSALES'!X99</f>
        <v>0</v>
      </c>
      <c r="Y99" s="120">
        <f t="shared" si="64"/>
        <v>18</v>
      </c>
      <c r="Z99" s="120">
        <f t="shared" si="65"/>
        <v>40</v>
      </c>
      <c r="AB99" s="131">
        <f>IFERROR(VLOOKUP(A99,'GRAL. SUC. LOCALES'!$A:$N,14,0),0)</f>
        <v>15</v>
      </c>
      <c r="AD99" s="131">
        <f t="shared" si="66"/>
        <v>55</v>
      </c>
      <c r="AF99" s="131">
        <v>70</v>
      </c>
      <c r="AG99" s="131">
        <v>70</v>
      </c>
      <c r="AH99" s="116">
        <f t="shared" si="44"/>
        <v>-15</v>
      </c>
    </row>
    <row r="100" spans="1:34" ht="17.399999999999999" x14ac:dyDescent="0.35">
      <c r="A100" s="94" t="s">
        <v>72</v>
      </c>
      <c r="B100" s="131">
        <f>'EXISTENCIA EN SUCURSALES'!B100+'DISTRIBUCIÓN EN SUCURSALES'!B100</f>
        <v>32</v>
      </c>
      <c r="C100" s="131">
        <f>'EXISTENCIA EN SUCURSALES'!C100+'DISTRIBUCIÓN EN SUCURSALES'!C100</f>
        <v>30</v>
      </c>
      <c r="D100" s="120">
        <f>'EXISTENCIA EN SUCURSALES'!D100+'DISTRIBUCIÓN EN SUCURSALES'!D100</f>
        <v>20</v>
      </c>
      <c r="E100" s="120">
        <f>'EXISTENCIA EN SUCURSALES'!E100+'DISTRIBUCIÓN EN SUCURSALES'!E100</f>
        <v>20</v>
      </c>
      <c r="F100" s="120">
        <f>'EXISTENCIA EN SUCURSALES'!F100+'DISTRIBUCIÓN EN SUCURSALES'!F100</f>
        <v>25</v>
      </c>
      <c r="G100" s="120">
        <f>'EXISTENCIA EN SUCURSALES'!G100+'DISTRIBUCIÓN EN SUCURSALES'!G100</f>
        <v>0</v>
      </c>
      <c r="H100" s="120">
        <f>'EXISTENCIA EN SUCURSALES'!H100+'DISTRIBUCIÓN EN SUCURSALES'!H100</f>
        <v>25</v>
      </c>
      <c r="I100" s="120">
        <f>'EXISTENCIA EN SUCURSALES'!I100+'DISTRIBUCIÓN EN SUCURSALES'!I100</f>
        <v>25</v>
      </c>
      <c r="J100" s="120">
        <f>'EXISTENCIA EN SUCURSALES'!J100+'DISTRIBUCIÓN EN SUCURSALES'!J100</f>
        <v>30</v>
      </c>
      <c r="K100" s="120">
        <f>'EXISTENCIA EN SUCURSALES'!K100+'DISTRIBUCIÓN EN SUCURSALES'!K100</f>
        <v>30</v>
      </c>
      <c r="L100" s="120">
        <f t="shared" si="63"/>
        <v>237</v>
      </c>
      <c r="M100" s="131">
        <f>'EXISTENCIA EN SUCURSALES'!M100+'DISTRIBUCIÓN EN SUCURSALES'!M100</f>
        <v>21</v>
      </c>
      <c r="N100" s="131">
        <f>'EXISTENCIA EN SUCURSALES'!N100+'DISTRIBUCIÓN EN SUCURSALES'!N100</f>
        <v>25</v>
      </c>
      <c r="O100" s="131">
        <f>'EXISTENCIA EN SUCURSALES'!O100+'DISTRIBUCIÓN EN SUCURSALES'!O100</f>
        <v>21</v>
      </c>
      <c r="P100" s="131">
        <f>'EXISTENCIA EN SUCURSALES'!P100+'DISTRIBUCIÓN EN SUCURSALES'!P100</f>
        <v>20</v>
      </c>
      <c r="Q100" s="131">
        <f>'EXISTENCIA EN SUCURSALES'!Q100+'DISTRIBUCIÓN EN SUCURSALES'!Q100</f>
        <v>31</v>
      </c>
      <c r="R100" s="131">
        <f>'EXISTENCIA EN SUCURSALES'!R100+'DISTRIBUCIÓN EN SUCURSALES'!R100</f>
        <v>27</v>
      </c>
      <c r="S100" s="131">
        <f>'EXISTENCIA EN SUCURSALES'!S100+'DISTRIBUCIÓN EN SUCURSALES'!S100</f>
        <v>24</v>
      </c>
      <c r="T100" s="131">
        <f>'EXISTENCIA EN SUCURSALES'!T100+'DISTRIBUCIÓN EN SUCURSALES'!T100</f>
        <v>41</v>
      </c>
      <c r="U100" s="131">
        <f>'EXISTENCIA EN SUCURSALES'!U100+'DISTRIBUCIÓN EN SUCURSALES'!U100</f>
        <v>0</v>
      </c>
      <c r="V100" s="131">
        <f>'EXISTENCIA EN SUCURSALES'!V100+'DISTRIBUCIÓN EN SUCURSALES'!V100</f>
        <v>30</v>
      </c>
      <c r="W100" s="131">
        <f>'EXISTENCIA EN SUCURSALES'!W100+'DISTRIBUCIÓN EN SUCURSALES'!W100</f>
        <v>25</v>
      </c>
      <c r="X100" s="131">
        <f>'EXISTENCIA EN SUCURSALES'!X100+'DISTRIBUCIÓN EN SUCURSALES'!X100</f>
        <v>16</v>
      </c>
      <c r="Y100" s="120">
        <f t="shared" si="64"/>
        <v>281</v>
      </c>
      <c r="Z100" s="120">
        <f t="shared" si="65"/>
        <v>518</v>
      </c>
      <c r="AB100" s="131">
        <f>IFERROR(VLOOKUP(A100,'GRAL. SUC. LOCALES'!$A:$N,14,0),0)</f>
        <v>162</v>
      </c>
      <c r="AD100" s="131">
        <f t="shared" si="66"/>
        <v>680</v>
      </c>
      <c r="AF100" s="131">
        <v>500</v>
      </c>
      <c r="AG100" s="131">
        <v>0</v>
      </c>
      <c r="AH100" s="116">
        <f t="shared" si="44"/>
        <v>180</v>
      </c>
    </row>
    <row r="101" spans="1:34" ht="17.399999999999999" x14ac:dyDescent="0.35">
      <c r="A101" s="94" t="s">
        <v>73</v>
      </c>
      <c r="B101" s="131">
        <f>'EXISTENCIA EN SUCURSALES'!B101+'DISTRIBUCIÓN EN SUCURSALES'!B101</f>
        <v>3</v>
      </c>
      <c r="C101" s="131">
        <f>'EXISTENCIA EN SUCURSALES'!C101+'DISTRIBUCIÓN EN SUCURSALES'!C101</f>
        <v>2</v>
      </c>
      <c r="D101" s="120">
        <f>'EXISTENCIA EN SUCURSALES'!D101+'DISTRIBUCIÓN EN SUCURSALES'!D101</f>
        <v>1</v>
      </c>
      <c r="E101" s="120">
        <f>'EXISTENCIA EN SUCURSALES'!E101+'DISTRIBUCIÓN EN SUCURSALES'!E101</f>
        <v>1</v>
      </c>
      <c r="F101" s="120">
        <f>'EXISTENCIA EN SUCURSALES'!F101+'DISTRIBUCIÓN EN SUCURSALES'!F101</f>
        <v>2</v>
      </c>
      <c r="G101" s="120">
        <f>'EXISTENCIA EN SUCURSALES'!G101+'DISTRIBUCIÓN EN SUCURSALES'!G101</f>
        <v>0</v>
      </c>
      <c r="H101" s="120">
        <f>'EXISTENCIA EN SUCURSALES'!H101+'DISTRIBUCIÓN EN SUCURSALES'!H101</f>
        <v>2</v>
      </c>
      <c r="I101" s="120">
        <f>'EXISTENCIA EN SUCURSALES'!I101+'DISTRIBUCIÓN EN SUCURSALES'!I101</f>
        <v>1</v>
      </c>
      <c r="J101" s="120">
        <f>'EXISTENCIA EN SUCURSALES'!J101+'DISTRIBUCIÓN EN SUCURSALES'!J101</f>
        <v>3</v>
      </c>
      <c r="K101" s="120">
        <f>'EXISTENCIA EN SUCURSALES'!K101+'DISTRIBUCIÓN EN SUCURSALES'!K101</f>
        <v>1</v>
      </c>
      <c r="L101" s="120">
        <f t="shared" si="63"/>
        <v>16</v>
      </c>
      <c r="M101" s="131">
        <f>'EXISTENCIA EN SUCURSALES'!M101+'DISTRIBUCIÓN EN SUCURSALES'!M101</f>
        <v>1</v>
      </c>
      <c r="N101" s="131">
        <f>'EXISTENCIA EN SUCURSALES'!N101+'DISTRIBUCIÓN EN SUCURSALES'!N101</f>
        <v>0</v>
      </c>
      <c r="O101" s="131">
        <f>'EXISTENCIA EN SUCURSALES'!O101+'DISTRIBUCIÓN EN SUCURSALES'!O101</f>
        <v>0</v>
      </c>
      <c r="P101" s="131">
        <f>'EXISTENCIA EN SUCURSALES'!P101+'DISTRIBUCIÓN EN SUCURSALES'!P101</f>
        <v>0</v>
      </c>
      <c r="Q101" s="131">
        <f>'EXISTENCIA EN SUCURSALES'!Q101+'DISTRIBUCIÓN EN SUCURSALES'!Q101</f>
        <v>0</v>
      </c>
      <c r="R101" s="131">
        <f>'EXISTENCIA EN SUCURSALES'!R101+'DISTRIBUCIÓN EN SUCURSALES'!R101</f>
        <v>1</v>
      </c>
      <c r="S101" s="131">
        <f>'EXISTENCIA EN SUCURSALES'!S101+'DISTRIBUCIÓN EN SUCURSALES'!S101</f>
        <v>0</v>
      </c>
      <c r="T101" s="131">
        <f>'EXISTENCIA EN SUCURSALES'!T101+'DISTRIBUCIÓN EN SUCURSALES'!T101</f>
        <v>0</v>
      </c>
      <c r="U101" s="131">
        <f>'EXISTENCIA EN SUCURSALES'!U101+'DISTRIBUCIÓN EN SUCURSALES'!U101</f>
        <v>0</v>
      </c>
      <c r="V101" s="131">
        <f>'EXISTENCIA EN SUCURSALES'!V101+'DISTRIBUCIÓN EN SUCURSALES'!V101</f>
        <v>3</v>
      </c>
      <c r="W101" s="131">
        <f>'EXISTENCIA EN SUCURSALES'!W101+'DISTRIBUCIÓN EN SUCURSALES'!W101</f>
        <v>1</v>
      </c>
      <c r="X101" s="131">
        <f>'EXISTENCIA EN SUCURSALES'!X101+'DISTRIBUCIÓN EN SUCURSALES'!X101</f>
        <v>0</v>
      </c>
      <c r="Y101" s="120">
        <f t="shared" si="64"/>
        <v>6</v>
      </c>
      <c r="Z101" s="120">
        <f t="shared" si="65"/>
        <v>22</v>
      </c>
      <c r="AB101" s="131">
        <f>IFERROR(VLOOKUP(A101,'GRAL. SUC. LOCALES'!$A:$N,14,0),0)</f>
        <v>13</v>
      </c>
      <c r="AD101" s="131">
        <f t="shared" si="66"/>
        <v>35</v>
      </c>
      <c r="AF101" s="131">
        <v>45</v>
      </c>
      <c r="AG101" s="131">
        <v>40</v>
      </c>
      <c r="AH101" s="116">
        <f t="shared" si="44"/>
        <v>-10</v>
      </c>
    </row>
    <row r="102" spans="1:34" ht="17.399999999999999" x14ac:dyDescent="0.35">
      <c r="A102" s="94" t="s">
        <v>74</v>
      </c>
      <c r="B102" s="131">
        <f>'EXISTENCIA EN SUCURSALES'!B102+'DISTRIBUCIÓN EN SUCURSALES'!B102</f>
        <v>3</v>
      </c>
      <c r="C102" s="131">
        <f>'EXISTENCIA EN SUCURSALES'!C102+'DISTRIBUCIÓN EN SUCURSALES'!C102</f>
        <v>3</v>
      </c>
      <c r="D102" s="120">
        <f>'EXISTENCIA EN SUCURSALES'!D102+'DISTRIBUCIÓN EN SUCURSALES'!D102</f>
        <v>2</v>
      </c>
      <c r="E102" s="120">
        <f>'EXISTENCIA EN SUCURSALES'!E102+'DISTRIBUCIÓN EN SUCURSALES'!E102</f>
        <v>1</v>
      </c>
      <c r="F102" s="120">
        <f>'EXISTENCIA EN SUCURSALES'!F102+'DISTRIBUCIÓN EN SUCURSALES'!F102</f>
        <v>3</v>
      </c>
      <c r="G102" s="120">
        <f>'EXISTENCIA EN SUCURSALES'!G102+'DISTRIBUCIÓN EN SUCURSALES'!G102</f>
        <v>0</v>
      </c>
      <c r="H102" s="120">
        <f>'EXISTENCIA EN SUCURSALES'!H102+'DISTRIBUCIÓN EN SUCURSALES'!H102</f>
        <v>2</v>
      </c>
      <c r="I102" s="120">
        <f>'EXISTENCIA EN SUCURSALES'!I102+'DISTRIBUCIÓN EN SUCURSALES'!I102</f>
        <v>2</v>
      </c>
      <c r="J102" s="120">
        <f>'EXISTENCIA EN SUCURSALES'!J102+'DISTRIBUCIÓN EN SUCURSALES'!J102</f>
        <v>3</v>
      </c>
      <c r="K102" s="120">
        <f>'EXISTENCIA EN SUCURSALES'!K102+'DISTRIBUCIÓN EN SUCURSALES'!K102</f>
        <v>3</v>
      </c>
      <c r="L102" s="120">
        <f t="shared" si="63"/>
        <v>22</v>
      </c>
      <c r="M102" s="131">
        <f>'EXISTENCIA EN SUCURSALES'!M102+'DISTRIBUCIÓN EN SUCURSALES'!M102</f>
        <v>2</v>
      </c>
      <c r="N102" s="131">
        <f>'EXISTENCIA EN SUCURSALES'!N102+'DISTRIBUCIÓN EN SUCURSALES'!N102</f>
        <v>1</v>
      </c>
      <c r="O102" s="131">
        <f>'EXISTENCIA EN SUCURSALES'!O102+'DISTRIBUCIÓN EN SUCURSALES'!O102</f>
        <v>0</v>
      </c>
      <c r="P102" s="131">
        <f>'EXISTENCIA EN SUCURSALES'!P102+'DISTRIBUCIÓN EN SUCURSALES'!P102</f>
        <v>1</v>
      </c>
      <c r="Q102" s="131">
        <f>'EXISTENCIA EN SUCURSALES'!Q102+'DISTRIBUCIÓN EN SUCURSALES'!Q102</f>
        <v>1</v>
      </c>
      <c r="R102" s="131">
        <f>'EXISTENCIA EN SUCURSALES'!R102+'DISTRIBUCIÓN EN SUCURSALES'!R102</f>
        <v>3</v>
      </c>
      <c r="S102" s="131">
        <f>'EXISTENCIA EN SUCURSALES'!S102+'DISTRIBUCIÓN EN SUCURSALES'!S102</f>
        <v>0</v>
      </c>
      <c r="T102" s="131">
        <f>'EXISTENCIA EN SUCURSALES'!T102+'DISTRIBUCIÓN EN SUCURSALES'!T102</f>
        <v>2</v>
      </c>
      <c r="U102" s="131">
        <f>'EXISTENCIA EN SUCURSALES'!U102+'DISTRIBUCIÓN EN SUCURSALES'!U102</f>
        <v>0</v>
      </c>
      <c r="V102" s="131">
        <f>'EXISTENCIA EN SUCURSALES'!V102+'DISTRIBUCIÓN EN SUCURSALES'!V102</f>
        <v>2</v>
      </c>
      <c r="W102" s="131">
        <f>'EXISTENCIA EN SUCURSALES'!W102+'DISTRIBUCIÓN EN SUCURSALES'!W102</f>
        <v>1</v>
      </c>
      <c r="X102" s="131">
        <f>'EXISTENCIA EN SUCURSALES'!X102+'DISTRIBUCIÓN EN SUCURSALES'!X102</f>
        <v>1</v>
      </c>
      <c r="Y102" s="120">
        <f t="shared" si="64"/>
        <v>14</v>
      </c>
      <c r="Z102" s="120">
        <f t="shared" si="65"/>
        <v>36</v>
      </c>
      <c r="AB102" s="131">
        <f>IFERROR(VLOOKUP(A102,'GRAL. SUC. LOCALES'!$A:$N,14,0),0)</f>
        <v>10</v>
      </c>
      <c r="AD102" s="131">
        <f t="shared" si="66"/>
        <v>46</v>
      </c>
      <c r="AF102" s="131">
        <v>70</v>
      </c>
      <c r="AG102" s="131">
        <v>60</v>
      </c>
      <c r="AH102" s="116">
        <f t="shared" si="44"/>
        <v>-24</v>
      </c>
    </row>
    <row r="103" spans="1:34" ht="17.399999999999999" x14ac:dyDescent="0.35">
      <c r="A103" s="94" t="s">
        <v>75</v>
      </c>
      <c r="B103" s="131">
        <f>'EXISTENCIA EN SUCURSALES'!B103+'DISTRIBUCIÓN EN SUCURSALES'!B103</f>
        <v>3</v>
      </c>
      <c r="C103" s="131">
        <f>'EXISTENCIA EN SUCURSALES'!C103+'DISTRIBUCIÓN EN SUCURSALES'!C103</f>
        <v>2</v>
      </c>
      <c r="D103" s="120">
        <f>'EXISTENCIA EN SUCURSALES'!D103+'DISTRIBUCIÓN EN SUCURSALES'!D103</f>
        <v>3</v>
      </c>
      <c r="E103" s="120">
        <f>'EXISTENCIA EN SUCURSALES'!E103+'DISTRIBUCIÓN EN SUCURSALES'!E103</f>
        <v>1</v>
      </c>
      <c r="F103" s="120">
        <f>'EXISTENCIA EN SUCURSALES'!F103+'DISTRIBUCIÓN EN SUCURSALES'!F103</f>
        <v>1</v>
      </c>
      <c r="G103" s="120">
        <f>'EXISTENCIA EN SUCURSALES'!G103+'DISTRIBUCIÓN EN SUCURSALES'!G103</f>
        <v>0</v>
      </c>
      <c r="H103" s="120">
        <f>'EXISTENCIA EN SUCURSALES'!H103+'DISTRIBUCIÓN EN SUCURSALES'!H103</f>
        <v>2</v>
      </c>
      <c r="I103" s="120">
        <f>'EXISTENCIA EN SUCURSALES'!I103+'DISTRIBUCIÓN EN SUCURSALES'!I103</f>
        <v>2</v>
      </c>
      <c r="J103" s="120">
        <f>'EXISTENCIA EN SUCURSALES'!J103+'DISTRIBUCIÓN EN SUCURSALES'!J103</f>
        <v>3</v>
      </c>
      <c r="K103" s="120">
        <f>'EXISTENCIA EN SUCURSALES'!K103+'DISTRIBUCIÓN EN SUCURSALES'!K103</f>
        <v>2</v>
      </c>
      <c r="L103" s="120">
        <f t="shared" si="63"/>
        <v>19</v>
      </c>
      <c r="M103" s="131">
        <f>'EXISTENCIA EN SUCURSALES'!M103+'DISTRIBUCIÓN EN SUCURSALES'!M103</f>
        <v>2</v>
      </c>
      <c r="N103" s="131">
        <f>'EXISTENCIA EN SUCURSALES'!N103+'DISTRIBUCIÓN EN SUCURSALES'!N103</f>
        <v>0</v>
      </c>
      <c r="O103" s="131">
        <f>'EXISTENCIA EN SUCURSALES'!O103+'DISTRIBUCIÓN EN SUCURSALES'!O103</f>
        <v>0</v>
      </c>
      <c r="P103" s="131">
        <f>'EXISTENCIA EN SUCURSALES'!P103+'DISTRIBUCIÓN EN SUCURSALES'!P103</f>
        <v>2</v>
      </c>
      <c r="Q103" s="131">
        <f>'EXISTENCIA EN SUCURSALES'!Q103+'DISTRIBUCIÓN EN SUCURSALES'!Q103</f>
        <v>1</v>
      </c>
      <c r="R103" s="131">
        <f>'EXISTENCIA EN SUCURSALES'!R103+'DISTRIBUCIÓN EN SUCURSALES'!R103</f>
        <v>3</v>
      </c>
      <c r="S103" s="131">
        <f>'EXISTENCIA EN SUCURSALES'!S103+'DISTRIBUCIÓN EN SUCURSALES'!S103</f>
        <v>2</v>
      </c>
      <c r="T103" s="131">
        <f>'EXISTENCIA EN SUCURSALES'!T103+'DISTRIBUCIÓN EN SUCURSALES'!T103</f>
        <v>0</v>
      </c>
      <c r="U103" s="131">
        <f>'EXISTENCIA EN SUCURSALES'!U103+'DISTRIBUCIÓN EN SUCURSALES'!U103</f>
        <v>2</v>
      </c>
      <c r="V103" s="131">
        <f>'EXISTENCIA EN SUCURSALES'!V103+'DISTRIBUCIÓN EN SUCURSALES'!V103</f>
        <v>5</v>
      </c>
      <c r="W103" s="131">
        <f>'EXISTENCIA EN SUCURSALES'!W103+'DISTRIBUCIÓN EN SUCURSALES'!W103</f>
        <v>2</v>
      </c>
      <c r="X103" s="131">
        <f>'EXISTENCIA EN SUCURSALES'!X103+'DISTRIBUCIÓN EN SUCURSALES'!X103</f>
        <v>0</v>
      </c>
      <c r="Y103" s="120">
        <f t="shared" si="64"/>
        <v>19</v>
      </c>
      <c r="Z103" s="120">
        <f t="shared" si="65"/>
        <v>38</v>
      </c>
      <c r="AB103" s="131">
        <f>IFERROR(VLOOKUP(A103,'GRAL. SUC. LOCALES'!$A:$N,14,0),0)</f>
        <v>8</v>
      </c>
      <c r="AD103" s="131">
        <f t="shared" si="66"/>
        <v>46</v>
      </c>
      <c r="AF103" s="131">
        <v>70</v>
      </c>
      <c r="AG103" s="131">
        <v>60</v>
      </c>
      <c r="AH103" s="116">
        <f t="shared" si="44"/>
        <v>-24</v>
      </c>
    </row>
    <row r="104" spans="1:34" ht="18" thickBot="1" x14ac:dyDescent="0.4">
      <c r="A104" s="94"/>
      <c r="B104" s="131">
        <f>'EXISTENCIA EN SUCURSALES'!B104+'DISTRIBUCIÓN EN SUCURSALES'!B104</f>
        <v>0</v>
      </c>
      <c r="C104" s="131">
        <f>'EXISTENCIA EN SUCURSALES'!C104+'DISTRIBUCIÓN EN SUCURSALES'!C104</f>
        <v>0</v>
      </c>
      <c r="D104" s="120">
        <f>'EXISTENCIA EN SUCURSALES'!D104+'DISTRIBUCIÓN EN SUCURSALES'!D104</f>
        <v>0</v>
      </c>
      <c r="E104" s="120">
        <f>'EXISTENCIA EN SUCURSALES'!E104+'DISTRIBUCIÓN EN SUCURSALES'!E104</f>
        <v>0</v>
      </c>
      <c r="F104" s="120">
        <f>'EXISTENCIA EN SUCURSALES'!F104+'DISTRIBUCIÓN EN SUCURSALES'!F104</f>
        <v>0</v>
      </c>
      <c r="G104" s="120">
        <f>'EXISTENCIA EN SUCURSALES'!G104+'DISTRIBUCIÓN EN SUCURSALES'!G104</f>
        <v>0</v>
      </c>
      <c r="H104" s="120">
        <f>'EXISTENCIA EN SUCURSALES'!H104+'DISTRIBUCIÓN EN SUCURSALES'!H104</f>
        <v>0</v>
      </c>
      <c r="I104" s="120">
        <f>'EXISTENCIA EN SUCURSALES'!I104+'DISTRIBUCIÓN EN SUCURSALES'!I104</f>
        <v>0</v>
      </c>
      <c r="J104" s="120">
        <f>'EXISTENCIA EN SUCURSALES'!J104+'DISTRIBUCIÓN EN SUCURSALES'!J104</f>
        <v>0</v>
      </c>
      <c r="K104" s="120">
        <f>'EXISTENCIA EN SUCURSALES'!K104+'DISTRIBUCIÓN EN SUCURSALES'!K104</f>
        <v>0</v>
      </c>
      <c r="L104" s="120">
        <f t="shared" si="63"/>
        <v>0</v>
      </c>
      <c r="M104" s="131">
        <f>'EXISTENCIA EN SUCURSALES'!M104+'DISTRIBUCIÓN EN SUCURSALES'!M104</f>
        <v>0</v>
      </c>
      <c r="N104" s="131">
        <f>'EXISTENCIA EN SUCURSALES'!N104+'DISTRIBUCIÓN EN SUCURSALES'!N104</f>
        <v>0</v>
      </c>
      <c r="O104" s="131">
        <f>'EXISTENCIA EN SUCURSALES'!O104+'DISTRIBUCIÓN EN SUCURSALES'!O104</f>
        <v>0</v>
      </c>
      <c r="P104" s="131">
        <f>'EXISTENCIA EN SUCURSALES'!P104+'DISTRIBUCIÓN EN SUCURSALES'!P104</f>
        <v>0</v>
      </c>
      <c r="Q104" s="131">
        <f>'EXISTENCIA EN SUCURSALES'!Q104+'DISTRIBUCIÓN EN SUCURSALES'!Q104</f>
        <v>0</v>
      </c>
      <c r="R104" s="131">
        <f>'EXISTENCIA EN SUCURSALES'!R104+'DISTRIBUCIÓN EN SUCURSALES'!R104</f>
        <v>0</v>
      </c>
      <c r="S104" s="131">
        <f>'EXISTENCIA EN SUCURSALES'!S104+'DISTRIBUCIÓN EN SUCURSALES'!S104</f>
        <v>0</v>
      </c>
      <c r="T104" s="131">
        <f>'EXISTENCIA EN SUCURSALES'!T104+'DISTRIBUCIÓN EN SUCURSALES'!T104</f>
        <v>0</v>
      </c>
      <c r="U104" s="131">
        <f>'EXISTENCIA EN SUCURSALES'!U104+'DISTRIBUCIÓN EN SUCURSALES'!U104</f>
        <v>0</v>
      </c>
      <c r="V104" s="131">
        <f>'EXISTENCIA EN SUCURSALES'!V104+'DISTRIBUCIÓN EN SUCURSALES'!V104</f>
        <v>0</v>
      </c>
      <c r="W104" s="131">
        <f>'EXISTENCIA EN SUCURSALES'!W104+'DISTRIBUCIÓN EN SUCURSALES'!W104</f>
        <v>0</v>
      </c>
      <c r="X104" s="131">
        <f>'EXISTENCIA EN SUCURSALES'!X104+'DISTRIBUCIÓN EN SUCURSALES'!X104</f>
        <v>0</v>
      </c>
      <c r="Y104" s="120">
        <f t="shared" si="64"/>
        <v>0</v>
      </c>
      <c r="Z104" s="120">
        <f t="shared" si="65"/>
        <v>0</v>
      </c>
      <c r="AB104" s="131">
        <f>IFERROR(VLOOKUP(A104,'GRAL. SUC. LOCALES'!$A:$N,14,0),0)</f>
        <v>0</v>
      </c>
      <c r="AD104" s="131">
        <f t="shared" si="66"/>
        <v>0</v>
      </c>
      <c r="AF104" s="131"/>
      <c r="AG104" s="131">
        <v>0</v>
      </c>
      <c r="AH104" s="116">
        <f t="shared" si="44"/>
        <v>0</v>
      </c>
    </row>
    <row r="105" spans="1:34" ht="18.600000000000001" thickBot="1" x14ac:dyDescent="0.4">
      <c r="A105" s="107" t="s">
        <v>55</v>
      </c>
      <c r="B105" s="129">
        <f t="shared" ref="B105:Z105" si="67">SUM(B93:B104)</f>
        <v>73</v>
      </c>
      <c r="C105" s="129">
        <f t="shared" si="67"/>
        <v>74</v>
      </c>
      <c r="D105" s="129">
        <f t="shared" si="67"/>
        <v>47</v>
      </c>
      <c r="E105" s="129">
        <f t="shared" si="67"/>
        <v>42</v>
      </c>
      <c r="F105" s="129">
        <f t="shared" si="67"/>
        <v>50</v>
      </c>
      <c r="G105" s="129">
        <f t="shared" si="67"/>
        <v>0</v>
      </c>
      <c r="H105" s="129">
        <f t="shared" si="67"/>
        <v>50</v>
      </c>
      <c r="I105" s="129">
        <f t="shared" si="67"/>
        <v>57</v>
      </c>
      <c r="J105" s="129">
        <f t="shared" si="67"/>
        <v>64</v>
      </c>
      <c r="K105" s="129">
        <f t="shared" si="67"/>
        <v>54</v>
      </c>
      <c r="L105" s="129">
        <f t="shared" si="67"/>
        <v>511</v>
      </c>
      <c r="M105" s="129">
        <f t="shared" si="67"/>
        <v>46</v>
      </c>
      <c r="N105" s="129">
        <f t="shared" si="67"/>
        <v>45</v>
      </c>
      <c r="O105" s="129">
        <f t="shared" si="67"/>
        <v>37</v>
      </c>
      <c r="P105" s="129">
        <f t="shared" si="67"/>
        <v>44</v>
      </c>
      <c r="Q105" s="129">
        <f t="shared" si="67"/>
        <v>49</v>
      </c>
      <c r="R105" s="129">
        <f t="shared" si="67"/>
        <v>66</v>
      </c>
      <c r="S105" s="129">
        <f t="shared" si="67"/>
        <v>37</v>
      </c>
      <c r="T105" s="129">
        <f t="shared" si="67"/>
        <v>56</v>
      </c>
      <c r="U105" s="129">
        <f t="shared" si="67"/>
        <v>3</v>
      </c>
      <c r="V105" s="129">
        <f t="shared" si="67"/>
        <v>63</v>
      </c>
      <c r="W105" s="129">
        <f t="shared" si="67"/>
        <v>46</v>
      </c>
      <c r="X105" s="129">
        <f t="shared" si="67"/>
        <v>29</v>
      </c>
      <c r="Y105" s="129">
        <f t="shared" si="67"/>
        <v>521</v>
      </c>
      <c r="Z105" s="129">
        <f t="shared" si="67"/>
        <v>1032</v>
      </c>
      <c r="AB105" s="129">
        <f>SUM(AB93:AB104)</f>
        <v>315</v>
      </c>
      <c r="AD105" s="129">
        <f t="shared" ref="AD105:AD150" si="68">AB105+Z105</f>
        <v>1347</v>
      </c>
      <c r="AF105" s="129">
        <f>SUM(AF93:AF104)</f>
        <v>1310</v>
      </c>
      <c r="AG105" s="129">
        <f>SUM(AG93:AG104)</f>
        <v>980</v>
      </c>
      <c r="AH105" s="116">
        <f t="shared" si="44"/>
        <v>37</v>
      </c>
    </row>
    <row r="106" spans="1:34" ht="17.399999999999999" x14ac:dyDescent="0.35">
      <c r="A106" s="108" t="s">
        <v>76</v>
      </c>
      <c r="B106" s="134"/>
      <c r="C106" s="134"/>
      <c r="D106" s="130"/>
      <c r="E106" s="130"/>
      <c r="F106" s="130"/>
      <c r="G106" s="130"/>
      <c r="H106" s="130"/>
      <c r="I106" s="130"/>
      <c r="J106" s="130"/>
      <c r="K106" s="130"/>
      <c r="L106" s="130"/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134"/>
      <c r="Y106" s="130"/>
      <c r="Z106" s="130"/>
      <c r="AB106" s="134"/>
      <c r="AD106" s="134">
        <f t="shared" si="68"/>
        <v>0</v>
      </c>
      <c r="AF106" s="134"/>
      <c r="AG106" s="134"/>
      <c r="AH106" s="116">
        <f t="shared" si="44"/>
        <v>0</v>
      </c>
    </row>
    <row r="107" spans="1:34" ht="17.399999999999999" x14ac:dyDescent="0.35">
      <c r="A107" s="94" t="s">
        <v>77</v>
      </c>
      <c r="B107" s="131">
        <f>'EXISTENCIA EN SUCURSALES'!B107+'DISTRIBUCIÓN EN SUCURSALES'!B107</f>
        <v>2</v>
      </c>
      <c r="C107" s="131">
        <f>'EXISTENCIA EN SUCURSALES'!C107+'DISTRIBUCIÓN EN SUCURSALES'!C107</f>
        <v>2</v>
      </c>
      <c r="D107" s="120">
        <f>'EXISTENCIA EN SUCURSALES'!D107+'DISTRIBUCIÓN EN SUCURSALES'!D107</f>
        <v>1</v>
      </c>
      <c r="E107" s="120">
        <f>'EXISTENCIA EN SUCURSALES'!E107+'DISTRIBUCIÓN EN SUCURSALES'!E107</f>
        <v>0</v>
      </c>
      <c r="F107" s="120">
        <f>'EXISTENCIA EN SUCURSALES'!F107+'DISTRIBUCIÓN EN SUCURSALES'!F107</f>
        <v>1</v>
      </c>
      <c r="G107" s="120">
        <f>'EXISTENCIA EN SUCURSALES'!G107+'DISTRIBUCIÓN EN SUCURSALES'!G107</f>
        <v>0</v>
      </c>
      <c r="H107" s="120">
        <f>'EXISTENCIA EN SUCURSALES'!H107+'DISTRIBUCIÓN EN SUCURSALES'!H107</f>
        <v>2</v>
      </c>
      <c r="I107" s="120">
        <f>'EXISTENCIA EN SUCURSALES'!I107+'DISTRIBUCIÓN EN SUCURSALES'!I107</f>
        <v>1</v>
      </c>
      <c r="J107" s="120">
        <f>'EXISTENCIA EN SUCURSALES'!J107+'DISTRIBUCIÓN EN SUCURSALES'!J107</f>
        <v>2</v>
      </c>
      <c r="K107" s="120">
        <f>'EXISTENCIA EN SUCURSALES'!K107+'DISTRIBUCIÓN EN SUCURSALES'!K107</f>
        <v>1</v>
      </c>
      <c r="L107" s="120">
        <f t="shared" ref="L107:L112" si="69">SUM(B107:K107)</f>
        <v>12</v>
      </c>
      <c r="M107" s="131">
        <f>'EXISTENCIA EN SUCURSALES'!M107+'DISTRIBUCIÓN EN SUCURSALES'!M107</f>
        <v>0</v>
      </c>
      <c r="N107" s="131">
        <f>'EXISTENCIA EN SUCURSALES'!N107+'DISTRIBUCIÓN EN SUCURSALES'!N107</f>
        <v>2</v>
      </c>
      <c r="O107" s="131">
        <f>'EXISTENCIA EN SUCURSALES'!O107+'DISTRIBUCIÓN EN SUCURSALES'!O107</f>
        <v>0</v>
      </c>
      <c r="P107" s="131">
        <f>'EXISTENCIA EN SUCURSALES'!P107+'DISTRIBUCIÓN EN SUCURSALES'!P107</f>
        <v>1</v>
      </c>
      <c r="Q107" s="131">
        <f>'EXISTENCIA EN SUCURSALES'!Q107+'DISTRIBUCIÓN EN SUCURSALES'!Q107</f>
        <v>2</v>
      </c>
      <c r="R107" s="131">
        <f>'EXISTENCIA EN SUCURSALES'!R107+'DISTRIBUCIÓN EN SUCURSALES'!R107</f>
        <v>2</v>
      </c>
      <c r="S107" s="131">
        <f>'EXISTENCIA EN SUCURSALES'!S107+'DISTRIBUCIÓN EN SUCURSALES'!S107</f>
        <v>0</v>
      </c>
      <c r="T107" s="131">
        <f>'EXISTENCIA EN SUCURSALES'!T107+'DISTRIBUCIÓN EN SUCURSALES'!T107</f>
        <v>1</v>
      </c>
      <c r="U107" s="131">
        <f>'EXISTENCIA EN SUCURSALES'!U107+'DISTRIBUCIÓN EN SUCURSALES'!U107</f>
        <v>0</v>
      </c>
      <c r="V107" s="131">
        <f>'EXISTENCIA EN SUCURSALES'!V107+'DISTRIBUCIÓN EN SUCURSALES'!V107</f>
        <v>1</v>
      </c>
      <c r="W107" s="131">
        <f>'EXISTENCIA EN SUCURSALES'!W107+'DISTRIBUCIÓN EN SUCURSALES'!W107</f>
        <v>2</v>
      </c>
      <c r="X107" s="131">
        <f>'EXISTENCIA EN SUCURSALES'!X107+'DISTRIBUCIÓN EN SUCURSALES'!X107</f>
        <v>0</v>
      </c>
      <c r="Y107" s="120">
        <f t="shared" ref="Y107:Y112" si="70">SUM(M107:X107)</f>
        <v>11</v>
      </c>
      <c r="Z107" s="120">
        <f t="shared" ref="Z107:Z112" si="71">L107+Y107</f>
        <v>23</v>
      </c>
      <c r="AB107" s="131">
        <f>IFERROR(VLOOKUP(A107,'GRAL. SUC. LOCALES'!$A:$N,14,0),0)</f>
        <v>17</v>
      </c>
      <c r="AD107" s="131">
        <f t="shared" si="68"/>
        <v>40</v>
      </c>
      <c r="AF107" s="131">
        <v>50</v>
      </c>
      <c r="AG107" s="131">
        <v>50</v>
      </c>
      <c r="AH107" s="116">
        <f t="shared" si="44"/>
        <v>-10</v>
      </c>
    </row>
    <row r="108" spans="1:34" ht="17.399999999999999" x14ac:dyDescent="0.35">
      <c r="A108" s="94" t="s">
        <v>621</v>
      </c>
      <c r="B108" s="131">
        <f>'EXISTENCIA EN SUCURSALES'!B108+'DISTRIBUCIÓN EN SUCURSALES'!B108</f>
        <v>0</v>
      </c>
      <c r="C108" s="131">
        <f>'EXISTENCIA EN SUCURSALES'!C108+'DISTRIBUCIÓN EN SUCURSALES'!C108</f>
        <v>1</v>
      </c>
      <c r="D108" s="120">
        <f>'EXISTENCIA EN SUCURSALES'!D108+'DISTRIBUCIÓN EN SUCURSALES'!D108</f>
        <v>1</v>
      </c>
      <c r="E108" s="120">
        <f>'EXISTENCIA EN SUCURSALES'!E108+'DISTRIBUCIÓN EN SUCURSALES'!E108</f>
        <v>0</v>
      </c>
      <c r="F108" s="120">
        <f>'EXISTENCIA EN SUCURSALES'!F108+'DISTRIBUCIÓN EN SUCURSALES'!F108</f>
        <v>0</v>
      </c>
      <c r="G108" s="120">
        <f>'EXISTENCIA EN SUCURSALES'!G108+'DISTRIBUCIÓN EN SUCURSALES'!G108</f>
        <v>0</v>
      </c>
      <c r="H108" s="120">
        <f>'EXISTENCIA EN SUCURSALES'!H108+'DISTRIBUCIÓN EN SUCURSALES'!H108</f>
        <v>1</v>
      </c>
      <c r="I108" s="120">
        <f>'EXISTENCIA EN SUCURSALES'!I108+'DISTRIBUCIÓN EN SUCURSALES'!I108</f>
        <v>0</v>
      </c>
      <c r="J108" s="120">
        <f>'EXISTENCIA EN SUCURSALES'!J108+'DISTRIBUCIÓN EN SUCURSALES'!J108</f>
        <v>0</v>
      </c>
      <c r="K108" s="120">
        <f>'EXISTENCIA EN SUCURSALES'!K108+'DISTRIBUCIÓN EN SUCURSALES'!K108</f>
        <v>0</v>
      </c>
      <c r="L108" s="120">
        <f t="shared" si="69"/>
        <v>3</v>
      </c>
      <c r="M108" s="131">
        <f>'EXISTENCIA EN SUCURSALES'!M108+'DISTRIBUCIÓN EN SUCURSALES'!M108</f>
        <v>4</v>
      </c>
      <c r="N108" s="131">
        <f>'EXISTENCIA EN SUCURSALES'!N108+'DISTRIBUCIÓN EN SUCURSALES'!N108</f>
        <v>0</v>
      </c>
      <c r="O108" s="131">
        <f>'EXISTENCIA EN SUCURSALES'!O108+'DISTRIBUCIÓN EN SUCURSALES'!O108</f>
        <v>0</v>
      </c>
      <c r="P108" s="131">
        <f>'EXISTENCIA EN SUCURSALES'!P108+'DISTRIBUCIÓN EN SUCURSALES'!P108</f>
        <v>0</v>
      </c>
      <c r="Q108" s="131">
        <f>'EXISTENCIA EN SUCURSALES'!Q108+'DISTRIBUCIÓN EN SUCURSALES'!Q108</f>
        <v>1</v>
      </c>
      <c r="R108" s="131">
        <f>'EXISTENCIA EN SUCURSALES'!R108+'DISTRIBUCIÓN EN SUCURSALES'!R108</f>
        <v>0</v>
      </c>
      <c r="S108" s="131">
        <f>'EXISTENCIA EN SUCURSALES'!S108+'DISTRIBUCIÓN EN SUCURSALES'!S108</f>
        <v>0</v>
      </c>
      <c r="T108" s="131">
        <f>'EXISTENCIA EN SUCURSALES'!T108+'DISTRIBUCIÓN EN SUCURSALES'!T108</f>
        <v>0</v>
      </c>
      <c r="U108" s="131">
        <f>'EXISTENCIA EN SUCURSALES'!U108+'DISTRIBUCIÓN EN SUCURSALES'!U108</f>
        <v>0</v>
      </c>
      <c r="V108" s="131">
        <f>'EXISTENCIA EN SUCURSALES'!V108+'DISTRIBUCIÓN EN SUCURSALES'!V108</f>
        <v>0</v>
      </c>
      <c r="W108" s="131">
        <f>'EXISTENCIA EN SUCURSALES'!W108+'DISTRIBUCIÓN EN SUCURSALES'!W108</f>
        <v>0</v>
      </c>
      <c r="X108" s="131">
        <f>'EXISTENCIA EN SUCURSALES'!X108+'DISTRIBUCIÓN EN SUCURSALES'!X108</f>
        <v>0</v>
      </c>
      <c r="Y108" s="120">
        <f t="shared" si="70"/>
        <v>5</v>
      </c>
      <c r="Z108" s="120">
        <f t="shared" si="71"/>
        <v>8</v>
      </c>
      <c r="AB108" s="131">
        <f>IFERROR(VLOOKUP(A108,'GRAL. SUC. LOCALES'!$A:$N,14,0),0)</f>
        <v>0</v>
      </c>
      <c r="AD108" s="131">
        <f t="shared" si="68"/>
        <v>8</v>
      </c>
      <c r="AF108" s="131">
        <v>10</v>
      </c>
      <c r="AG108" s="131">
        <v>10</v>
      </c>
      <c r="AH108" s="116">
        <f t="shared" si="44"/>
        <v>-2</v>
      </c>
    </row>
    <row r="109" spans="1:34" ht="17.399999999999999" x14ac:dyDescent="0.35">
      <c r="A109" s="94" t="s">
        <v>80</v>
      </c>
      <c r="B109" s="131">
        <f>'EXISTENCIA EN SUCURSALES'!B109+'DISTRIBUCIÓN EN SUCURSALES'!B109</f>
        <v>40</v>
      </c>
      <c r="C109" s="131">
        <f>'EXISTENCIA EN SUCURSALES'!C109+'DISTRIBUCIÓN EN SUCURSALES'!C109</f>
        <v>50</v>
      </c>
      <c r="D109" s="120">
        <f>'EXISTENCIA EN SUCURSALES'!D109+'DISTRIBUCIÓN EN SUCURSALES'!D109</f>
        <v>10</v>
      </c>
      <c r="E109" s="120">
        <f>'EXISTENCIA EN SUCURSALES'!E109+'DISTRIBUCIÓN EN SUCURSALES'!E109</f>
        <v>2</v>
      </c>
      <c r="F109" s="120">
        <f>'EXISTENCIA EN SUCURSALES'!F109+'DISTRIBUCIÓN EN SUCURSALES'!F109</f>
        <v>5</v>
      </c>
      <c r="G109" s="120">
        <f>'EXISTENCIA EN SUCURSALES'!G109+'DISTRIBUCIÓN EN SUCURSALES'!G109</f>
        <v>0</v>
      </c>
      <c r="H109" s="120">
        <f>'EXISTENCIA EN SUCURSALES'!H109+'DISTRIBUCIÓN EN SUCURSALES'!H109</f>
        <v>10</v>
      </c>
      <c r="I109" s="120">
        <f>'EXISTENCIA EN SUCURSALES'!I109+'DISTRIBUCIÓN EN SUCURSALES'!I109</f>
        <v>10</v>
      </c>
      <c r="J109" s="120">
        <f>'EXISTENCIA EN SUCURSALES'!J109+'DISTRIBUCIÓN EN SUCURSALES'!J109</f>
        <v>10</v>
      </c>
      <c r="K109" s="120">
        <f>'EXISTENCIA EN SUCURSALES'!K109+'DISTRIBUCIÓN EN SUCURSALES'!K109</f>
        <v>3</v>
      </c>
      <c r="L109" s="120">
        <f t="shared" si="69"/>
        <v>140</v>
      </c>
      <c r="M109" s="131">
        <f>'EXISTENCIA EN SUCURSALES'!M109+'DISTRIBUCIÓN EN SUCURSALES'!M109</f>
        <v>10</v>
      </c>
      <c r="N109" s="131">
        <f>'EXISTENCIA EN SUCURSALES'!N109+'DISTRIBUCIÓN EN SUCURSALES'!N109</f>
        <v>4</v>
      </c>
      <c r="O109" s="131">
        <f>'EXISTENCIA EN SUCURSALES'!O109+'DISTRIBUCIÓN EN SUCURSALES'!O109</f>
        <v>10</v>
      </c>
      <c r="P109" s="131">
        <f>'EXISTENCIA EN SUCURSALES'!P109+'DISTRIBUCIÓN EN SUCURSALES'!P109</f>
        <v>3</v>
      </c>
      <c r="Q109" s="131">
        <f>'EXISTENCIA EN SUCURSALES'!Q109+'DISTRIBUCIÓN EN SUCURSALES'!Q109</f>
        <v>6</v>
      </c>
      <c r="R109" s="131">
        <f>'EXISTENCIA EN SUCURSALES'!R109+'DISTRIBUCIÓN EN SUCURSALES'!R109</f>
        <v>4</v>
      </c>
      <c r="S109" s="131">
        <f>'EXISTENCIA EN SUCURSALES'!S109+'DISTRIBUCIÓN EN SUCURSALES'!S109</f>
        <v>3</v>
      </c>
      <c r="T109" s="131">
        <f>'EXISTENCIA EN SUCURSALES'!T109+'DISTRIBUCIÓN EN SUCURSALES'!T109</f>
        <v>5</v>
      </c>
      <c r="U109" s="131">
        <f>'EXISTENCIA EN SUCURSALES'!U109+'DISTRIBUCIÓN EN SUCURSALES'!U109</f>
        <v>14</v>
      </c>
      <c r="V109" s="131">
        <f>'EXISTENCIA EN SUCURSALES'!V109+'DISTRIBUCIÓN EN SUCURSALES'!V109</f>
        <v>8</v>
      </c>
      <c r="W109" s="131">
        <f>'EXISTENCIA EN SUCURSALES'!W109+'DISTRIBUCIÓN EN SUCURSALES'!W109</f>
        <v>8</v>
      </c>
      <c r="X109" s="131">
        <f>'EXISTENCIA EN SUCURSALES'!X109+'DISTRIBUCIÓN EN SUCURSALES'!X109</f>
        <v>0</v>
      </c>
      <c r="Y109" s="120">
        <f t="shared" si="70"/>
        <v>75</v>
      </c>
      <c r="Z109" s="120">
        <f t="shared" si="71"/>
        <v>215</v>
      </c>
      <c r="AB109" s="131">
        <f>IFERROR(VLOOKUP(A109,'GRAL. SUC. LOCALES'!$A:$N,14,0),0)</f>
        <v>10</v>
      </c>
      <c r="AD109" s="131">
        <f t="shared" si="68"/>
        <v>225</v>
      </c>
      <c r="AF109" s="131">
        <v>250</v>
      </c>
      <c r="AG109" s="131">
        <v>250</v>
      </c>
      <c r="AH109" s="116">
        <f t="shared" si="44"/>
        <v>-25</v>
      </c>
    </row>
    <row r="110" spans="1:34" ht="17.399999999999999" x14ac:dyDescent="0.35">
      <c r="A110" s="94" t="s">
        <v>81</v>
      </c>
      <c r="B110" s="131">
        <f>'EXISTENCIA EN SUCURSALES'!B110+'DISTRIBUCIÓN EN SUCURSALES'!B110</f>
        <v>40</v>
      </c>
      <c r="C110" s="131">
        <f>'EXISTENCIA EN SUCURSALES'!C110+'DISTRIBUCIÓN EN SUCURSALES'!C110</f>
        <v>50</v>
      </c>
      <c r="D110" s="120">
        <f>'EXISTENCIA EN SUCURSALES'!D110+'DISTRIBUCIÓN EN SUCURSALES'!D110</f>
        <v>10</v>
      </c>
      <c r="E110" s="120">
        <f>'EXISTENCIA EN SUCURSALES'!E110+'DISTRIBUCIÓN EN SUCURSALES'!E110</f>
        <v>2</v>
      </c>
      <c r="F110" s="120">
        <f>'EXISTENCIA EN SUCURSALES'!F110+'DISTRIBUCIÓN EN SUCURSALES'!F110</f>
        <v>3</v>
      </c>
      <c r="G110" s="120">
        <f>'EXISTENCIA EN SUCURSALES'!G110+'DISTRIBUCIÓN EN SUCURSALES'!G110</f>
        <v>0</v>
      </c>
      <c r="H110" s="120">
        <f>'EXISTENCIA EN SUCURSALES'!H110+'DISTRIBUCIÓN EN SUCURSALES'!H110</f>
        <v>10</v>
      </c>
      <c r="I110" s="120">
        <f>'EXISTENCIA EN SUCURSALES'!I110+'DISTRIBUCIÓN EN SUCURSALES'!I110</f>
        <v>10</v>
      </c>
      <c r="J110" s="120">
        <f>'EXISTENCIA EN SUCURSALES'!J110+'DISTRIBUCIÓN EN SUCURSALES'!J110</f>
        <v>12</v>
      </c>
      <c r="K110" s="120">
        <f>'EXISTENCIA EN SUCURSALES'!K110+'DISTRIBUCIÓN EN SUCURSALES'!K110</f>
        <v>3</v>
      </c>
      <c r="L110" s="120">
        <f t="shared" si="69"/>
        <v>140</v>
      </c>
      <c r="M110" s="131">
        <f>'EXISTENCIA EN SUCURSALES'!M110+'DISTRIBUCIÓN EN SUCURSALES'!M110</f>
        <v>11</v>
      </c>
      <c r="N110" s="131">
        <f>'EXISTENCIA EN SUCURSALES'!N110+'DISTRIBUCIÓN EN SUCURSALES'!N110</f>
        <v>5</v>
      </c>
      <c r="O110" s="131">
        <f>'EXISTENCIA EN SUCURSALES'!O110+'DISTRIBUCIÓN EN SUCURSALES'!O110</f>
        <v>9</v>
      </c>
      <c r="P110" s="131">
        <f>'EXISTENCIA EN SUCURSALES'!P110+'DISTRIBUCIÓN EN SUCURSALES'!P110</f>
        <v>2</v>
      </c>
      <c r="Q110" s="131">
        <f>'EXISTENCIA EN SUCURSALES'!Q110+'DISTRIBUCIÓN EN SUCURSALES'!Q110</f>
        <v>5</v>
      </c>
      <c r="R110" s="131">
        <f>'EXISTENCIA EN SUCURSALES'!R110+'DISTRIBUCIÓN EN SUCURSALES'!R110</f>
        <v>3</v>
      </c>
      <c r="S110" s="131">
        <f>'EXISTENCIA EN SUCURSALES'!S110+'DISTRIBUCIÓN EN SUCURSALES'!S110</f>
        <v>3</v>
      </c>
      <c r="T110" s="131">
        <f>'EXISTENCIA EN SUCURSALES'!T110+'DISTRIBUCIÓN EN SUCURSALES'!T110</f>
        <v>5</v>
      </c>
      <c r="U110" s="131">
        <f>'EXISTENCIA EN SUCURSALES'!U110+'DISTRIBUCIÓN EN SUCURSALES'!U110</f>
        <v>5</v>
      </c>
      <c r="V110" s="131">
        <f>'EXISTENCIA EN SUCURSALES'!V110+'DISTRIBUCIÓN EN SUCURSALES'!V110</f>
        <v>10</v>
      </c>
      <c r="W110" s="131">
        <f>'EXISTENCIA EN SUCURSALES'!W110+'DISTRIBUCIÓN EN SUCURSALES'!W110</f>
        <v>6</v>
      </c>
      <c r="X110" s="131">
        <f>'EXISTENCIA EN SUCURSALES'!X110+'DISTRIBUCIÓN EN SUCURSALES'!X110</f>
        <v>5</v>
      </c>
      <c r="Y110" s="120">
        <f t="shared" si="70"/>
        <v>69</v>
      </c>
      <c r="Z110" s="120">
        <f t="shared" si="71"/>
        <v>209</v>
      </c>
      <c r="AB110" s="131">
        <f>IFERROR(VLOOKUP(A110,'GRAL. SUC. LOCALES'!$A:$N,14,0),0)</f>
        <v>10</v>
      </c>
      <c r="AD110" s="131">
        <f t="shared" si="68"/>
        <v>219</v>
      </c>
      <c r="AF110" s="131">
        <v>220</v>
      </c>
      <c r="AG110" s="131">
        <v>220</v>
      </c>
      <c r="AH110" s="116">
        <f t="shared" si="44"/>
        <v>-1</v>
      </c>
    </row>
    <row r="111" spans="1:34" ht="17.399999999999999" x14ac:dyDescent="0.35">
      <c r="A111" s="95" t="s">
        <v>83</v>
      </c>
      <c r="B111" s="131">
        <f>'EXISTENCIA EN SUCURSALES'!B111+'DISTRIBUCIÓN EN SUCURSALES'!B111</f>
        <v>2</v>
      </c>
      <c r="C111" s="131">
        <f>'EXISTENCIA EN SUCURSALES'!C111+'DISTRIBUCIÓN EN SUCURSALES'!C111</f>
        <v>2</v>
      </c>
      <c r="D111" s="120">
        <f>'EXISTENCIA EN SUCURSALES'!D111+'DISTRIBUCIÓN EN SUCURSALES'!D111</f>
        <v>2</v>
      </c>
      <c r="E111" s="120">
        <f>'EXISTENCIA EN SUCURSALES'!E111+'DISTRIBUCIÓN EN SUCURSALES'!E111</f>
        <v>1</v>
      </c>
      <c r="F111" s="120">
        <f>'EXISTENCIA EN SUCURSALES'!F111+'DISTRIBUCIÓN EN SUCURSALES'!F111</f>
        <v>1</v>
      </c>
      <c r="G111" s="120">
        <f>'EXISTENCIA EN SUCURSALES'!G111+'DISTRIBUCIÓN EN SUCURSALES'!G111</f>
        <v>0</v>
      </c>
      <c r="H111" s="120">
        <f>'EXISTENCIA EN SUCURSALES'!H111+'DISTRIBUCIÓN EN SUCURSALES'!H111</f>
        <v>2</v>
      </c>
      <c r="I111" s="120">
        <f>'EXISTENCIA EN SUCURSALES'!I111+'DISTRIBUCIÓN EN SUCURSALES'!I111</f>
        <v>2</v>
      </c>
      <c r="J111" s="120">
        <f>'EXISTENCIA EN SUCURSALES'!J111+'DISTRIBUCIÓN EN SUCURSALES'!J111</f>
        <v>2</v>
      </c>
      <c r="K111" s="120">
        <f>'EXISTENCIA EN SUCURSALES'!K111+'DISTRIBUCIÓN EN SUCURSALES'!K111</f>
        <v>1</v>
      </c>
      <c r="L111" s="120">
        <f t="shared" si="69"/>
        <v>15</v>
      </c>
      <c r="M111" s="131">
        <f>'EXISTENCIA EN SUCURSALES'!M111+'DISTRIBUCIÓN EN SUCURSALES'!M111</f>
        <v>0</v>
      </c>
      <c r="N111" s="131">
        <f>'EXISTENCIA EN SUCURSALES'!N111+'DISTRIBUCIÓN EN SUCURSALES'!N111</f>
        <v>1</v>
      </c>
      <c r="O111" s="131">
        <f>'EXISTENCIA EN SUCURSALES'!O111+'DISTRIBUCIÓN EN SUCURSALES'!O111</f>
        <v>0</v>
      </c>
      <c r="P111" s="131">
        <f>'EXISTENCIA EN SUCURSALES'!P111+'DISTRIBUCIÓN EN SUCURSALES'!P111</f>
        <v>0</v>
      </c>
      <c r="Q111" s="131">
        <f>'EXISTENCIA EN SUCURSALES'!Q111+'DISTRIBUCIÓN EN SUCURSALES'!Q111</f>
        <v>3</v>
      </c>
      <c r="R111" s="131">
        <f>'EXISTENCIA EN SUCURSALES'!R111+'DISTRIBUCIÓN EN SUCURSALES'!R111</f>
        <v>2</v>
      </c>
      <c r="S111" s="131">
        <f>'EXISTENCIA EN SUCURSALES'!S111+'DISTRIBUCIÓN EN SUCURSALES'!S111</f>
        <v>0</v>
      </c>
      <c r="T111" s="131">
        <f>'EXISTENCIA EN SUCURSALES'!T111+'DISTRIBUCIÓN EN SUCURSALES'!T111</f>
        <v>0</v>
      </c>
      <c r="U111" s="131">
        <f>'EXISTENCIA EN SUCURSALES'!U111+'DISTRIBUCIÓN EN SUCURSALES'!U111</f>
        <v>0</v>
      </c>
      <c r="V111" s="131">
        <f>'EXISTENCIA EN SUCURSALES'!V111+'DISTRIBUCIÓN EN SUCURSALES'!V111</f>
        <v>0</v>
      </c>
      <c r="W111" s="131">
        <f>'EXISTENCIA EN SUCURSALES'!W111+'DISTRIBUCIÓN EN SUCURSALES'!W111</f>
        <v>1</v>
      </c>
      <c r="X111" s="131">
        <f>'EXISTENCIA EN SUCURSALES'!X111+'DISTRIBUCIÓN EN SUCURSALES'!X111</f>
        <v>1</v>
      </c>
      <c r="Y111" s="120">
        <f t="shared" si="70"/>
        <v>8</v>
      </c>
      <c r="Z111" s="120">
        <f t="shared" si="71"/>
        <v>23</v>
      </c>
      <c r="AB111" s="131">
        <f>IFERROR(VLOOKUP(A111,'GRAL. SUC. LOCALES'!$A:$N,14,0),0)</f>
        <v>11</v>
      </c>
      <c r="AD111" s="131">
        <f t="shared" si="68"/>
        <v>34</v>
      </c>
      <c r="AF111" s="131">
        <v>40</v>
      </c>
      <c r="AG111" s="131">
        <v>40</v>
      </c>
      <c r="AH111" s="116">
        <f t="shared" si="44"/>
        <v>-6</v>
      </c>
    </row>
    <row r="112" spans="1:34" ht="18" thickBot="1" x14ac:dyDescent="0.4">
      <c r="A112" s="95"/>
      <c r="B112" s="131">
        <f>'EXISTENCIA EN SUCURSALES'!B112+'DISTRIBUCIÓN EN SUCURSALES'!B112</f>
        <v>0</v>
      </c>
      <c r="C112" s="131">
        <f>'EXISTENCIA EN SUCURSALES'!C112+'DISTRIBUCIÓN EN SUCURSALES'!C112</f>
        <v>0</v>
      </c>
      <c r="D112" s="120">
        <f>'EXISTENCIA EN SUCURSALES'!D112+'DISTRIBUCIÓN EN SUCURSALES'!D112</f>
        <v>0</v>
      </c>
      <c r="E112" s="120">
        <f>'EXISTENCIA EN SUCURSALES'!E112+'DISTRIBUCIÓN EN SUCURSALES'!E112</f>
        <v>0</v>
      </c>
      <c r="F112" s="120">
        <f>'EXISTENCIA EN SUCURSALES'!F112+'DISTRIBUCIÓN EN SUCURSALES'!F112</f>
        <v>0</v>
      </c>
      <c r="G112" s="120">
        <f>'EXISTENCIA EN SUCURSALES'!G112+'DISTRIBUCIÓN EN SUCURSALES'!G112</f>
        <v>0</v>
      </c>
      <c r="H112" s="120">
        <f>'EXISTENCIA EN SUCURSALES'!H112+'DISTRIBUCIÓN EN SUCURSALES'!H112</f>
        <v>0</v>
      </c>
      <c r="I112" s="120">
        <f>'EXISTENCIA EN SUCURSALES'!I112+'DISTRIBUCIÓN EN SUCURSALES'!I112</f>
        <v>0</v>
      </c>
      <c r="J112" s="120">
        <f>'EXISTENCIA EN SUCURSALES'!J112+'DISTRIBUCIÓN EN SUCURSALES'!J112</f>
        <v>0</v>
      </c>
      <c r="K112" s="120">
        <f>'EXISTENCIA EN SUCURSALES'!K112+'DISTRIBUCIÓN EN SUCURSALES'!K112</f>
        <v>0</v>
      </c>
      <c r="L112" s="120">
        <f t="shared" si="69"/>
        <v>0</v>
      </c>
      <c r="M112" s="131">
        <f>'EXISTENCIA EN SUCURSALES'!M112+'DISTRIBUCIÓN EN SUCURSALES'!M112</f>
        <v>0</v>
      </c>
      <c r="N112" s="131">
        <f>'EXISTENCIA EN SUCURSALES'!N112+'DISTRIBUCIÓN EN SUCURSALES'!N112</f>
        <v>0</v>
      </c>
      <c r="O112" s="131">
        <f>'EXISTENCIA EN SUCURSALES'!O112+'DISTRIBUCIÓN EN SUCURSALES'!O112</f>
        <v>0</v>
      </c>
      <c r="P112" s="131">
        <f>'EXISTENCIA EN SUCURSALES'!P112+'DISTRIBUCIÓN EN SUCURSALES'!P112</f>
        <v>0</v>
      </c>
      <c r="Q112" s="131">
        <f>'EXISTENCIA EN SUCURSALES'!Q112+'DISTRIBUCIÓN EN SUCURSALES'!Q112</f>
        <v>0</v>
      </c>
      <c r="R112" s="131">
        <f>'EXISTENCIA EN SUCURSALES'!R112+'DISTRIBUCIÓN EN SUCURSALES'!R112</f>
        <v>0</v>
      </c>
      <c r="S112" s="131">
        <f>'EXISTENCIA EN SUCURSALES'!S112+'DISTRIBUCIÓN EN SUCURSALES'!S112</f>
        <v>0</v>
      </c>
      <c r="T112" s="131">
        <f>'EXISTENCIA EN SUCURSALES'!T112+'DISTRIBUCIÓN EN SUCURSALES'!T112</f>
        <v>0</v>
      </c>
      <c r="U112" s="131">
        <f>'EXISTENCIA EN SUCURSALES'!U112+'DISTRIBUCIÓN EN SUCURSALES'!U112</f>
        <v>0</v>
      </c>
      <c r="V112" s="131">
        <f>'EXISTENCIA EN SUCURSALES'!V112+'DISTRIBUCIÓN EN SUCURSALES'!V112</f>
        <v>0</v>
      </c>
      <c r="W112" s="131">
        <f>'EXISTENCIA EN SUCURSALES'!W112+'DISTRIBUCIÓN EN SUCURSALES'!W112</f>
        <v>0</v>
      </c>
      <c r="X112" s="131">
        <f>'EXISTENCIA EN SUCURSALES'!X112+'DISTRIBUCIÓN EN SUCURSALES'!X112</f>
        <v>0</v>
      </c>
      <c r="Y112" s="120">
        <f t="shared" si="70"/>
        <v>0</v>
      </c>
      <c r="Z112" s="120">
        <f t="shared" si="71"/>
        <v>0</v>
      </c>
      <c r="AB112" s="131">
        <f>IFERROR(VLOOKUP(A112,'GRAL. SUC. LOCALES'!$A:$N,14,0),0)</f>
        <v>0</v>
      </c>
      <c r="AD112" s="131">
        <f t="shared" si="68"/>
        <v>0</v>
      </c>
      <c r="AF112" s="131"/>
      <c r="AG112" s="131"/>
      <c r="AH112" s="116">
        <f t="shared" si="44"/>
        <v>0</v>
      </c>
    </row>
    <row r="113" spans="1:34" ht="18" thickBot="1" x14ac:dyDescent="0.4">
      <c r="A113" s="109" t="s">
        <v>55</v>
      </c>
      <c r="B113" s="114">
        <f t="shared" ref="B113:Z113" si="72">SUM(B107:B112,B114:B116)</f>
        <v>93</v>
      </c>
      <c r="C113" s="114">
        <f t="shared" si="72"/>
        <v>116</v>
      </c>
      <c r="D113" s="114">
        <f t="shared" si="72"/>
        <v>32</v>
      </c>
      <c r="E113" s="114">
        <f t="shared" si="72"/>
        <v>10</v>
      </c>
      <c r="F113" s="114">
        <f t="shared" si="72"/>
        <v>14</v>
      </c>
      <c r="G113" s="114">
        <f t="shared" si="72"/>
        <v>0</v>
      </c>
      <c r="H113" s="114">
        <f t="shared" si="72"/>
        <v>28</v>
      </c>
      <c r="I113" s="114">
        <f t="shared" si="72"/>
        <v>36</v>
      </c>
      <c r="J113" s="114">
        <f t="shared" si="72"/>
        <v>34</v>
      </c>
      <c r="K113" s="114">
        <f t="shared" si="72"/>
        <v>10</v>
      </c>
      <c r="L113" s="114">
        <f t="shared" si="72"/>
        <v>373</v>
      </c>
      <c r="M113" s="114">
        <f t="shared" si="72"/>
        <v>36</v>
      </c>
      <c r="N113" s="114">
        <f t="shared" si="72"/>
        <v>19</v>
      </c>
      <c r="O113" s="114">
        <f t="shared" si="72"/>
        <v>21</v>
      </c>
      <c r="P113" s="114">
        <f t="shared" si="72"/>
        <v>11</v>
      </c>
      <c r="Q113" s="114">
        <f t="shared" si="72"/>
        <v>24</v>
      </c>
      <c r="R113" s="114">
        <f t="shared" si="72"/>
        <v>29</v>
      </c>
      <c r="S113" s="114">
        <f t="shared" si="72"/>
        <v>13</v>
      </c>
      <c r="T113" s="114">
        <f t="shared" si="72"/>
        <v>12</v>
      </c>
      <c r="U113" s="114">
        <f t="shared" si="72"/>
        <v>21</v>
      </c>
      <c r="V113" s="114">
        <f t="shared" si="72"/>
        <v>28</v>
      </c>
      <c r="W113" s="114">
        <f t="shared" si="72"/>
        <v>31</v>
      </c>
      <c r="X113" s="114">
        <f t="shared" si="72"/>
        <v>10</v>
      </c>
      <c r="Y113" s="114">
        <f t="shared" si="72"/>
        <v>255</v>
      </c>
      <c r="Z113" s="114">
        <f t="shared" si="72"/>
        <v>628</v>
      </c>
      <c r="AB113" s="114">
        <f>SUM(AB107:AB112,AB114:AB116)</f>
        <v>60</v>
      </c>
      <c r="AD113" s="114">
        <f t="shared" si="68"/>
        <v>688</v>
      </c>
      <c r="AF113" s="114">
        <f>SUM(AF107:AF112,AF114:AF116)</f>
        <v>760</v>
      </c>
      <c r="AG113" s="114">
        <f>SUM(AG107:AG112,AG114:AG116)</f>
        <v>770</v>
      </c>
      <c r="AH113" s="116">
        <f t="shared" si="44"/>
        <v>-72</v>
      </c>
    </row>
    <row r="114" spans="1:34" ht="17.399999999999999" x14ac:dyDescent="0.35">
      <c r="A114" s="93" t="s">
        <v>84</v>
      </c>
      <c r="B114" s="131">
        <f>'EXISTENCIA EN SUCURSALES'!B114+'DISTRIBUCIÓN EN SUCURSALES'!B114</f>
        <v>3</v>
      </c>
      <c r="C114" s="131">
        <f>'EXISTENCIA EN SUCURSALES'!C114+'DISTRIBUCIÓN EN SUCURSALES'!C114</f>
        <v>4</v>
      </c>
      <c r="D114" s="120">
        <f>'EXISTENCIA EN SUCURSALES'!D114+'DISTRIBUCIÓN EN SUCURSALES'!D114</f>
        <v>2</v>
      </c>
      <c r="E114" s="120">
        <f>'EXISTENCIA EN SUCURSALES'!E114+'DISTRIBUCIÓN EN SUCURSALES'!E114</f>
        <v>2</v>
      </c>
      <c r="F114" s="120">
        <f>'EXISTENCIA EN SUCURSALES'!F114+'DISTRIBUCIÓN EN SUCURSALES'!F114</f>
        <v>1</v>
      </c>
      <c r="G114" s="120">
        <f>'EXISTENCIA EN SUCURSALES'!G114+'DISTRIBUCIÓN EN SUCURSALES'!G114</f>
        <v>0</v>
      </c>
      <c r="H114" s="120">
        <f>'EXISTENCIA EN SUCURSALES'!H114+'DISTRIBUCIÓN EN SUCURSALES'!H114</f>
        <v>1</v>
      </c>
      <c r="I114" s="120">
        <f>'EXISTENCIA EN SUCURSALES'!I114+'DISTRIBUCIÓN EN SUCURSALES'!I114</f>
        <v>4</v>
      </c>
      <c r="J114" s="120">
        <f>'EXISTENCIA EN SUCURSALES'!J114+'DISTRIBUCIÓN EN SUCURSALES'!J114</f>
        <v>3</v>
      </c>
      <c r="K114" s="120">
        <f>'EXISTENCIA EN SUCURSALES'!K114+'DISTRIBUCIÓN EN SUCURSALES'!K114</f>
        <v>1</v>
      </c>
      <c r="L114" s="120">
        <f t="shared" ref="L114:L116" si="73">SUM(B114:K114)</f>
        <v>21</v>
      </c>
      <c r="M114" s="131">
        <f>'EXISTENCIA EN SUCURSALES'!M114+'DISTRIBUCIÓN EN SUCURSALES'!M114</f>
        <v>4</v>
      </c>
      <c r="N114" s="131">
        <f>'EXISTENCIA EN SUCURSALES'!N114+'DISTRIBUCIÓN EN SUCURSALES'!N114</f>
        <v>2</v>
      </c>
      <c r="O114" s="131">
        <f>'EXISTENCIA EN SUCURSALES'!O114+'DISTRIBUCIÓN EN SUCURSALES'!O114</f>
        <v>1</v>
      </c>
      <c r="P114" s="131">
        <f>'EXISTENCIA EN SUCURSALES'!P114+'DISTRIBUCIÓN EN SUCURSALES'!P114</f>
        <v>1</v>
      </c>
      <c r="Q114" s="131">
        <f>'EXISTENCIA EN SUCURSALES'!Q114+'DISTRIBUCIÓN EN SUCURSALES'!Q114</f>
        <v>2</v>
      </c>
      <c r="R114" s="131">
        <f>'EXISTENCIA EN SUCURSALES'!R114+'DISTRIBUCIÓN EN SUCURSALES'!R114</f>
        <v>5</v>
      </c>
      <c r="S114" s="131">
        <f>'EXISTENCIA EN SUCURSALES'!S114+'DISTRIBUCIÓN EN SUCURSALES'!S114</f>
        <v>5</v>
      </c>
      <c r="T114" s="131">
        <f>'EXISTENCIA EN SUCURSALES'!T114+'DISTRIBUCIÓN EN SUCURSALES'!T114</f>
        <v>0</v>
      </c>
      <c r="U114" s="131">
        <f>'EXISTENCIA EN SUCURSALES'!U114+'DISTRIBUCIÓN EN SUCURSALES'!U114</f>
        <v>1</v>
      </c>
      <c r="V114" s="131">
        <f>'EXISTENCIA EN SUCURSALES'!V114+'DISTRIBUCIÓN EN SUCURSALES'!V114</f>
        <v>2</v>
      </c>
      <c r="W114" s="131">
        <f>'EXISTENCIA EN SUCURSALES'!W114+'DISTRIBUCIÓN EN SUCURSALES'!W114</f>
        <v>3</v>
      </c>
      <c r="X114" s="131">
        <f>'EXISTENCIA EN SUCURSALES'!X114+'DISTRIBUCIÓN EN SUCURSALES'!X114</f>
        <v>3</v>
      </c>
      <c r="Y114" s="120">
        <f t="shared" ref="Y114:Y116" si="74">SUM(M114:X114)</f>
        <v>29</v>
      </c>
      <c r="Z114" s="120">
        <f t="shared" ref="Z114:Z116" si="75">L114+Y114</f>
        <v>50</v>
      </c>
      <c r="AB114" s="131">
        <f>IFERROR(VLOOKUP(A114,'GRAL. SUC. LOCALES'!$A:$N,14,0),0)</f>
        <v>2</v>
      </c>
      <c r="AD114" s="131">
        <f t="shared" si="68"/>
        <v>52</v>
      </c>
      <c r="AF114" s="131">
        <v>60</v>
      </c>
      <c r="AG114" s="131">
        <v>60</v>
      </c>
      <c r="AH114" s="116">
        <f t="shared" si="44"/>
        <v>-8</v>
      </c>
    </row>
    <row r="115" spans="1:34" ht="17.399999999999999" x14ac:dyDescent="0.35">
      <c r="A115" s="95" t="s">
        <v>85</v>
      </c>
      <c r="B115" s="131">
        <f>'EXISTENCIA EN SUCURSALES'!B115+'DISTRIBUCIÓN EN SUCURSALES'!B115</f>
        <v>3</v>
      </c>
      <c r="C115" s="131">
        <f>'EXISTENCIA EN SUCURSALES'!C115+'DISTRIBUCIÓN EN SUCURSALES'!C115</f>
        <v>4</v>
      </c>
      <c r="D115" s="120">
        <f>'EXISTENCIA EN SUCURSALES'!D115+'DISTRIBUCIÓN EN SUCURSALES'!D115</f>
        <v>3</v>
      </c>
      <c r="E115" s="120">
        <f>'EXISTENCIA EN SUCURSALES'!E115+'DISTRIBUCIÓN EN SUCURSALES'!E115</f>
        <v>2</v>
      </c>
      <c r="F115" s="120">
        <f>'EXISTENCIA EN SUCURSALES'!F115+'DISTRIBUCIÓN EN SUCURSALES'!F115</f>
        <v>1</v>
      </c>
      <c r="G115" s="120">
        <f>'EXISTENCIA EN SUCURSALES'!G115+'DISTRIBUCIÓN EN SUCURSALES'!G115</f>
        <v>0</v>
      </c>
      <c r="H115" s="120">
        <f>'EXISTENCIA EN SUCURSALES'!H115+'DISTRIBUCIÓN EN SUCURSALES'!H115</f>
        <v>1</v>
      </c>
      <c r="I115" s="120">
        <f>'EXISTENCIA EN SUCURSALES'!I115+'DISTRIBUCIÓN EN SUCURSALES'!I115</f>
        <v>4</v>
      </c>
      <c r="J115" s="120">
        <f>'EXISTENCIA EN SUCURSALES'!J115+'DISTRIBUCIÓN EN SUCURSALES'!J115</f>
        <v>3</v>
      </c>
      <c r="K115" s="120">
        <f>'EXISTENCIA EN SUCURSALES'!K115+'DISTRIBUCIÓN EN SUCURSALES'!K115</f>
        <v>1</v>
      </c>
      <c r="L115" s="120">
        <f t="shared" si="73"/>
        <v>22</v>
      </c>
      <c r="M115" s="131">
        <f>'EXISTENCIA EN SUCURSALES'!M115+'DISTRIBUCIÓN EN SUCURSALES'!M115</f>
        <v>3</v>
      </c>
      <c r="N115" s="131">
        <f>'EXISTENCIA EN SUCURSALES'!N115+'DISTRIBUCIÓN EN SUCURSALES'!N115</f>
        <v>2</v>
      </c>
      <c r="O115" s="131">
        <f>'EXISTENCIA EN SUCURSALES'!O115+'DISTRIBUCIÓN EN SUCURSALES'!O115</f>
        <v>1</v>
      </c>
      <c r="P115" s="131">
        <f>'EXISTENCIA EN SUCURSALES'!P115+'DISTRIBUCIÓN EN SUCURSALES'!P115</f>
        <v>2</v>
      </c>
      <c r="Q115" s="131">
        <f>'EXISTENCIA EN SUCURSALES'!Q115+'DISTRIBUCIÓN EN SUCURSALES'!Q115</f>
        <v>2</v>
      </c>
      <c r="R115" s="131">
        <f>'EXISTENCIA EN SUCURSALES'!R115+'DISTRIBUCIÓN EN SUCURSALES'!R115</f>
        <v>5</v>
      </c>
      <c r="S115" s="131">
        <f>'EXISTENCIA EN SUCURSALES'!S115+'DISTRIBUCIÓN EN SUCURSALES'!S115</f>
        <v>0</v>
      </c>
      <c r="T115" s="131">
        <f>'EXISTENCIA EN SUCURSALES'!T115+'DISTRIBUCIÓN EN SUCURSALES'!T115</f>
        <v>0</v>
      </c>
      <c r="U115" s="131">
        <f>'EXISTENCIA EN SUCURSALES'!U115+'DISTRIBUCIÓN EN SUCURSALES'!U115</f>
        <v>1</v>
      </c>
      <c r="V115" s="131">
        <f>'EXISTENCIA EN SUCURSALES'!V115+'DISTRIBUCIÓN EN SUCURSALES'!V115</f>
        <v>3</v>
      </c>
      <c r="W115" s="131">
        <f>'EXISTENCIA EN SUCURSALES'!W115+'DISTRIBUCIÓN EN SUCURSALES'!W115</f>
        <v>6</v>
      </c>
      <c r="X115" s="131">
        <f>'EXISTENCIA EN SUCURSALES'!X115+'DISTRIBUCIÓN EN SUCURSALES'!X115</f>
        <v>1</v>
      </c>
      <c r="Y115" s="120">
        <f t="shared" si="74"/>
        <v>26</v>
      </c>
      <c r="Z115" s="120">
        <f t="shared" si="75"/>
        <v>48</v>
      </c>
      <c r="AB115" s="131">
        <f>IFERROR(VLOOKUP(A115,'GRAL. SUC. LOCALES'!$A:$N,14,0),0)</f>
        <v>10</v>
      </c>
      <c r="AD115" s="131">
        <f t="shared" si="68"/>
        <v>58</v>
      </c>
      <c r="AF115" s="131">
        <v>60</v>
      </c>
      <c r="AG115" s="131">
        <v>60</v>
      </c>
      <c r="AH115" s="116">
        <f t="shared" si="44"/>
        <v>-2</v>
      </c>
    </row>
    <row r="116" spans="1:34" ht="18" thickBot="1" x14ac:dyDescent="0.4">
      <c r="A116" s="95" t="s">
        <v>881</v>
      </c>
      <c r="B116" s="131">
        <f>'EXISTENCIA EN SUCURSALES'!B116+'DISTRIBUCIÓN EN SUCURSALES'!B116</f>
        <v>3</v>
      </c>
      <c r="C116" s="131">
        <f>'EXISTENCIA EN SUCURSALES'!C116+'DISTRIBUCIÓN EN SUCURSALES'!C116</f>
        <v>3</v>
      </c>
      <c r="D116" s="120">
        <f>'EXISTENCIA EN SUCURSALES'!D116+'DISTRIBUCIÓN EN SUCURSALES'!D116</f>
        <v>3</v>
      </c>
      <c r="E116" s="120">
        <f>'EXISTENCIA EN SUCURSALES'!E116+'DISTRIBUCIÓN EN SUCURSALES'!E116</f>
        <v>1</v>
      </c>
      <c r="F116" s="120">
        <f>'EXISTENCIA EN SUCURSALES'!F116+'DISTRIBUCIÓN EN SUCURSALES'!F116</f>
        <v>2</v>
      </c>
      <c r="G116" s="120">
        <f>'EXISTENCIA EN SUCURSALES'!G116+'DISTRIBUCIÓN EN SUCURSALES'!G116</f>
        <v>0</v>
      </c>
      <c r="H116" s="120">
        <f>'EXISTENCIA EN SUCURSALES'!H116+'DISTRIBUCIÓN EN SUCURSALES'!H116</f>
        <v>1</v>
      </c>
      <c r="I116" s="120">
        <f>'EXISTENCIA EN SUCURSALES'!I116+'DISTRIBUCIÓN EN SUCURSALES'!I116</f>
        <v>5</v>
      </c>
      <c r="J116" s="120">
        <f>'EXISTENCIA EN SUCURSALES'!J116+'DISTRIBUCIÓN EN SUCURSALES'!J116</f>
        <v>2</v>
      </c>
      <c r="K116" s="120">
        <f>'EXISTENCIA EN SUCURSALES'!K116+'DISTRIBUCIÓN EN SUCURSALES'!K116</f>
        <v>0</v>
      </c>
      <c r="L116" s="120">
        <f t="shared" si="73"/>
        <v>20</v>
      </c>
      <c r="M116" s="131">
        <f>'EXISTENCIA EN SUCURSALES'!M116+'DISTRIBUCIÓN EN SUCURSALES'!M116</f>
        <v>4</v>
      </c>
      <c r="N116" s="131">
        <f>'EXISTENCIA EN SUCURSALES'!N116+'DISTRIBUCIÓN EN SUCURSALES'!N116</f>
        <v>3</v>
      </c>
      <c r="O116" s="131">
        <f>'EXISTENCIA EN SUCURSALES'!O116+'DISTRIBUCIÓN EN SUCURSALES'!O116</f>
        <v>0</v>
      </c>
      <c r="P116" s="131">
        <f>'EXISTENCIA EN SUCURSALES'!P116+'DISTRIBUCIÓN EN SUCURSALES'!P116</f>
        <v>2</v>
      </c>
      <c r="Q116" s="131">
        <f>'EXISTENCIA EN SUCURSALES'!Q116+'DISTRIBUCIÓN EN SUCURSALES'!Q116</f>
        <v>3</v>
      </c>
      <c r="R116" s="131">
        <f>'EXISTENCIA EN SUCURSALES'!R116+'DISTRIBUCIÓN EN SUCURSALES'!R116</f>
        <v>8</v>
      </c>
      <c r="S116" s="131">
        <f>'EXISTENCIA EN SUCURSALES'!S116+'DISTRIBUCIÓN EN SUCURSALES'!S116</f>
        <v>2</v>
      </c>
      <c r="T116" s="131">
        <f>'EXISTENCIA EN SUCURSALES'!T116+'DISTRIBUCIÓN EN SUCURSALES'!T116</f>
        <v>1</v>
      </c>
      <c r="U116" s="131">
        <f>'EXISTENCIA EN SUCURSALES'!U116+'DISTRIBUCIÓN EN SUCURSALES'!U116</f>
        <v>0</v>
      </c>
      <c r="V116" s="131">
        <f>'EXISTENCIA EN SUCURSALES'!V116+'DISTRIBUCIÓN EN SUCURSALES'!V116</f>
        <v>4</v>
      </c>
      <c r="W116" s="131">
        <f>'EXISTENCIA EN SUCURSALES'!W116+'DISTRIBUCIÓN EN SUCURSALES'!W116</f>
        <v>5</v>
      </c>
      <c r="X116" s="131">
        <f>'EXISTENCIA EN SUCURSALES'!X116+'DISTRIBUCIÓN EN SUCURSALES'!X116</f>
        <v>0</v>
      </c>
      <c r="Y116" s="120">
        <f t="shared" si="74"/>
        <v>32</v>
      </c>
      <c r="Z116" s="120">
        <f t="shared" si="75"/>
        <v>52</v>
      </c>
      <c r="AB116" s="131">
        <f>IFERROR(VLOOKUP(A116,'GRAL. SUC. LOCALES'!$A:$N,14,0),0)</f>
        <v>0</v>
      </c>
      <c r="AD116" s="131">
        <f t="shared" si="68"/>
        <v>52</v>
      </c>
      <c r="AF116" s="131">
        <v>70</v>
      </c>
      <c r="AG116" s="131">
        <v>80</v>
      </c>
      <c r="AH116" s="116">
        <f t="shared" si="44"/>
        <v>-18</v>
      </c>
    </row>
    <row r="117" spans="1:34" ht="18" thickBot="1" x14ac:dyDescent="0.4">
      <c r="A117" s="110" t="s">
        <v>86</v>
      </c>
      <c r="B117" s="59">
        <f t="shared" ref="B117:Z117" si="76">B79+B91+B105+B113</f>
        <v>301</v>
      </c>
      <c r="C117" s="59">
        <f t="shared" si="76"/>
        <v>331</v>
      </c>
      <c r="D117" s="59">
        <f t="shared" si="76"/>
        <v>191</v>
      </c>
      <c r="E117" s="59">
        <f t="shared" si="76"/>
        <v>133</v>
      </c>
      <c r="F117" s="59">
        <f t="shared" si="76"/>
        <v>160</v>
      </c>
      <c r="G117" s="59">
        <f t="shared" si="76"/>
        <v>0</v>
      </c>
      <c r="H117" s="59">
        <f t="shared" si="76"/>
        <v>170</v>
      </c>
      <c r="I117" s="59">
        <f t="shared" si="76"/>
        <v>162</v>
      </c>
      <c r="J117" s="59">
        <f t="shared" si="76"/>
        <v>233</v>
      </c>
      <c r="K117" s="59">
        <f t="shared" si="76"/>
        <v>149</v>
      </c>
      <c r="L117" s="59">
        <f t="shared" si="76"/>
        <v>1830</v>
      </c>
      <c r="M117" s="59">
        <f t="shared" si="76"/>
        <v>212</v>
      </c>
      <c r="N117" s="59">
        <f t="shared" si="76"/>
        <v>151</v>
      </c>
      <c r="O117" s="59">
        <f t="shared" si="76"/>
        <v>117</v>
      </c>
      <c r="P117" s="59">
        <f t="shared" si="76"/>
        <v>159</v>
      </c>
      <c r="Q117" s="59">
        <f t="shared" si="76"/>
        <v>237</v>
      </c>
      <c r="R117" s="59">
        <f t="shared" si="76"/>
        <v>234</v>
      </c>
      <c r="S117" s="59">
        <f t="shared" si="76"/>
        <v>158</v>
      </c>
      <c r="T117" s="59">
        <f t="shared" si="76"/>
        <v>172</v>
      </c>
      <c r="U117" s="59">
        <f t="shared" si="76"/>
        <v>71</v>
      </c>
      <c r="V117" s="59">
        <f t="shared" si="76"/>
        <v>182</v>
      </c>
      <c r="W117" s="59">
        <f t="shared" si="76"/>
        <v>168</v>
      </c>
      <c r="X117" s="59">
        <f t="shared" si="76"/>
        <v>97</v>
      </c>
      <c r="Y117" s="59">
        <f t="shared" si="76"/>
        <v>1958</v>
      </c>
      <c r="Z117" s="59">
        <f t="shared" si="76"/>
        <v>3788</v>
      </c>
      <c r="AB117" s="59">
        <f>AB79+AB91+AB105+AB113</f>
        <v>819</v>
      </c>
      <c r="AD117" s="59">
        <f t="shared" si="68"/>
        <v>4607</v>
      </c>
      <c r="AF117" s="59">
        <f>AF79+AF91+AF105+AF113</f>
        <v>5465</v>
      </c>
      <c r="AG117" s="59">
        <f>AG79+AG91+AG105+AG113</f>
        <v>4975</v>
      </c>
      <c r="AH117" s="116">
        <f t="shared" si="44"/>
        <v>-858</v>
      </c>
    </row>
    <row r="118" spans="1:34" ht="17.399999999999999" x14ac:dyDescent="0.35">
      <c r="A118" s="95" t="s">
        <v>975</v>
      </c>
      <c r="B118" s="131">
        <f>'EXISTENCIA EN SUCURSALES'!B118+'DISTRIBUCIÓN EN SUCURSALES'!B118</f>
        <v>4</v>
      </c>
      <c r="C118" s="131">
        <f>'EXISTENCIA EN SUCURSALES'!C118+'DISTRIBUCIÓN EN SUCURSALES'!C118</f>
        <v>3</v>
      </c>
      <c r="D118" s="120">
        <f>'EXISTENCIA EN SUCURSALES'!D118+'DISTRIBUCIÓN EN SUCURSALES'!D118</f>
        <v>4</v>
      </c>
      <c r="E118" s="120">
        <f>'EXISTENCIA EN SUCURSALES'!E118+'DISTRIBUCIÓN EN SUCURSALES'!E118</f>
        <v>2</v>
      </c>
      <c r="F118" s="120">
        <f>'EXISTENCIA EN SUCURSALES'!F118+'DISTRIBUCIÓN EN SUCURSALES'!F118</f>
        <v>3</v>
      </c>
      <c r="G118" s="120">
        <f>'EXISTENCIA EN SUCURSALES'!G118+'DISTRIBUCIÓN EN SUCURSALES'!G118</f>
        <v>0</v>
      </c>
      <c r="H118" s="120">
        <f>'EXISTENCIA EN SUCURSALES'!H118+'DISTRIBUCIÓN EN SUCURSALES'!H118</f>
        <v>4</v>
      </c>
      <c r="I118" s="120">
        <f>'EXISTENCIA EN SUCURSALES'!I118+'DISTRIBUCIÓN EN SUCURSALES'!I118</f>
        <v>4</v>
      </c>
      <c r="J118" s="120">
        <f>'EXISTENCIA EN SUCURSALES'!J118+'DISTRIBUCIÓN EN SUCURSALES'!J118</f>
        <v>3</v>
      </c>
      <c r="K118" s="120">
        <f>'EXISTENCIA EN SUCURSALES'!K118+'DISTRIBUCIÓN EN SUCURSALES'!K118</f>
        <v>2</v>
      </c>
      <c r="L118" s="120">
        <f t="shared" ref="L118:L148" si="77">SUM(B118:K118)</f>
        <v>29</v>
      </c>
      <c r="M118" s="131">
        <f>'EXISTENCIA EN SUCURSALES'!M118+'DISTRIBUCIÓN EN SUCURSALES'!M118</f>
        <v>11</v>
      </c>
      <c r="N118" s="131">
        <f>'EXISTENCIA EN SUCURSALES'!N118+'DISTRIBUCIÓN EN SUCURSALES'!N118</f>
        <v>3</v>
      </c>
      <c r="O118" s="131">
        <f>'EXISTENCIA EN SUCURSALES'!O118+'DISTRIBUCIÓN EN SUCURSALES'!O118</f>
        <v>2</v>
      </c>
      <c r="P118" s="131">
        <f>'EXISTENCIA EN SUCURSALES'!P118+'DISTRIBUCIÓN EN SUCURSALES'!P118</f>
        <v>3</v>
      </c>
      <c r="Q118" s="131">
        <f>'EXISTENCIA EN SUCURSALES'!Q118+'DISTRIBUCIÓN EN SUCURSALES'!Q118</f>
        <v>3</v>
      </c>
      <c r="R118" s="131">
        <f>'EXISTENCIA EN SUCURSALES'!R118+'DISTRIBUCIÓN EN SUCURSALES'!R118</f>
        <v>5</v>
      </c>
      <c r="S118" s="131">
        <f>'EXISTENCIA EN SUCURSALES'!S118+'DISTRIBUCIÓN EN SUCURSALES'!S118</f>
        <v>4</v>
      </c>
      <c r="T118" s="131">
        <f>'EXISTENCIA EN SUCURSALES'!T118+'DISTRIBUCIÓN EN SUCURSALES'!T118</f>
        <v>0</v>
      </c>
      <c r="U118" s="131">
        <f>'EXISTENCIA EN SUCURSALES'!U118+'DISTRIBUCIÓN EN SUCURSALES'!U118</f>
        <v>0</v>
      </c>
      <c r="V118" s="131">
        <f>'EXISTENCIA EN SUCURSALES'!V118+'DISTRIBUCIÓN EN SUCURSALES'!V118</f>
        <v>0</v>
      </c>
      <c r="W118" s="131">
        <f>'EXISTENCIA EN SUCURSALES'!W118+'DISTRIBUCIÓN EN SUCURSALES'!W118</f>
        <v>3</v>
      </c>
      <c r="X118" s="131">
        <f>'EXISTENCIA EN SUCURSALES'!X118+'DISTRIBUCIÓN EN SUCURSALES'!X118</f>
        <v>0</v>
      </c>
      <c r="Y118" s="120">
        <f t="shared" ref="Y118:Y148" si="78">SUM(M118:X118)</f>
        <v>34</v>
      </c>
      <c r="Z118" s="120">
        <f t="shared" ref="Z118:Z148" si="79">L118+Y118</f>
        <v>63</v>
      </c>
      <c r="AB118" s="131">
        <f>IFERROR(VLOOKUP(A118,'GRAL. SUC. LOCALES'!$A:$N,14,0),0)</f>
        <v>0</v>
      </c>
      <c r="AD118" s="131">
        <f t="shared" si="68"/>
        <v>63</v>
      </c>
      <c r="AF118" s="131">
        <v>70</v>
      </c>
      <c r="AG118" s="131">
        <v>80</v>
      </c>
      <c r="AH118" s="116">
        <f t="shared" si="44"/>
        <v>-7</v>
      </c>
    </row>
    <row r="119" spans="1:34" ht="17.399999999999999" x14ac:dyDescent="0.35">
      <c r="A119" s="95" t="s">
        <v>974</v>
      </c>
      <c r="B119" s="131">
        <f>'EXISTENCIA EN SUCURSALES'!B119+'DISTRIBUCIÓN EN SUCURSALES'!B119</f>
        <v>4</v>
      </c>
      <c r="C119" s="131">
        <f>'EXISTENCIA EN SUCURSALES'!C119+'DISTRIBUCIÓN EN SUCURSALES'!C119</f>
        <v>4</v>
      </c>
      <c r="D119" s="120">
        <f>'EXISTENCIA EN SUCURSALES'!D119+'DISTRIBUCIÓN EN SUCURSALES'!D119</f>
        <v>0</v>
      </c>
      <c r="E119" s="120">
        <f>'EXISTENCIA EN SUCURSALES'!E119+'DISTRIBUCIÓN EN SUCURSALES'!E119</f>
        <v>1</v>
      </c>
      <c r="F119" s="120">
        <f>'EXISTENCIA EN SUCURSALES'!F119+'DISTRIBUCIÓN EN SUCURSALES'!F119</f>
        <v>3</v>
      </c>
      <c r="G119" s="120">
        <f>'EXISTENCIA EN SUCURSALES'!G119+'DISTRIBUCIÓN EN SUCURSALES'!G119</f>
        <v>0</v>
      </c>
      <c r="H119" s="120">
        <f>'EXISTENCIA EN SUCURSALES'!H119+'DISTRIBUCIÓN EN SUCURSALES'!H119</f>
        <v>2</v>
      </c>
      <c r="I119" s="120">
        <f>'EXISTENCIA EN SUCURSALES'!I119+'DISTRIBUCIÓN EN SUCURSALES'!I119</f>
        <v>3</v>
      </c>
      <c r="J119" s="120">
        <f>'EXISTENCIA EN SUCURSALES'!J119+'DISTRIBUCIÓN EN SUCURSALES'!J119</f>
        <v>1</v>
      </c>
      <c r="K119" s="120">
        <f>'EXISTENCIA EN SUCURSALES'!K119+'DISTRIBUCIÓN EN SUCURSALES'!K119</f>
        <v>0</v>
      </c>
      <c r="L119" s="120">
        <f t="shared" si="77"/>
        <v>18</v>
      </c>
      <c r="M119" s="131">
        <f>'EXISTENCIA EN SUCURSALES'!M119+'DISTRIBUCIÓN EN SUCURSALES'!M119</f>
        <v>11</v>
      </c>
      <c r="N119" s="131">
        <f>'EXISTENCIA EN SUCURSALES'!N119+'DISTRIBUCIÓN EN SUCURSALES'!N119</f>
        <v>3</v>
      </c>
      <c r="O119" s="131">
        <f>'EXISTENCIA EN SUCURSALES'!O119+'DISTRIBUCIÓN EN SUCURSALES'!O119</f>
        <v>3</v>
      </c>
      <c r="P119" s="131">
        <f>'EXISTENCIA EN SUCURSALES'!P119+'DISTRIBUCIÓN EN SUCURSALES'!P119</f>
        <v>3</v>
      </c>
      <c r="Q119" s="131">
        <f>'EXISTENCIA EN SUCURSALES'!Q119+'DISTRIBUCIÓN EN SUCURSALES'!Q119</f>
        <v>3</v>
      </c>
      <c r="R119" s="131">
        <f>'EXISTENCIA EN SUCURSALES'!R119+'DISTRIBUCIÓN EN SUCURSALES'!R119</f>
        <v>3</v>
      </c>
      <c r="S119" s="131">
        <f>'EXISTENCIA EN SUCURSALES'!S119+'DISTRIBUCIÓN EN SUCURSALES'!S119</f>
        <v>3</v>
      </c>
      <c r="T119" s="131">
        <f>'EXISTENCIA EN SUCURSALES'!T119+'DISTRIBUCIÓN EN SUCURSALES'!T119</f>
        <v>0</v>
      </c>
      <c r="U119" s="131">
        <f>'EXISTENCIA EN SUCURSALES'!U119+'DISTRIBUCIÓN EN SUCURSALES'!U119</f>
        <v>0</v>
      </c>
      <c r="V119" s="131">
        <f>'EXISTENCIA EN SUCURSALES'!V119+'DISTRIBUCIÓN EN SUCURSALES'!V119</f>
        <v>4</v>
      </c>
      <c r="W119" s="131">
        <f>'EXISTENCIA EN SUCURSALES'!W119+'DISTRIBUCIÓN EN SUCURSALES'!W119</f>
        <v>6</v>
      </c>
      <c r="X119" s="131">
        <f>'EXISTENCIA EN SUCURSALES'!X119+'DISTRIBUCIÓN EN SUCURSALES'!X119</f>
        <v>0</v>
      </c>
      <c r="Y119" s="120">
        <f t="shared" si="78"/>
        <v>39</v>
      </c>
      <c r="Z119" s="120">
        <f t="shared" si="79"/>
        <v>57</v>
      </c>
      <c r="AB119" s="131">
        <f>IFERROR(VLOOKUP(A119,'GRAL. SUC. LOCALES'!$A:$N,14,0),0)</f>
        <v>0</v>
      </c>
      <c r="AD119" s="131">
        <f t="shared" si="68"/>
        <v>57</v>
      </c>
      <c r="AF119" s="131">
        <v>80</v>
      </c>
      <c r="AG119" s="131">
        <v>90</v>
      </c>
      <c r="AH119" s="116">
        <f t="shared" si="44"/>
        <v>-23</v>
      </c>
    </row>
    <row r="120" spans="1:34" ht="17.399999999999999" x14ac:dyDescent="0.35">
      <c r="A120" s="95" t="s">
        <v>1077</v>
      </c>
      <c r="B120" s="131">
        <f>'EXISTENCIA EN SUCURSALES'!B120+'DISTRIBUCIÓN EN SUCURSALES'!B120</f>
        <v>0</v>
      </c>
      <c r="C120" s="131">
        <f>'EXISTENCIA EN SUCURSALES'!C120+'DISTRIBUCIÓN EN SUCURSALES'!C120</f>
        <v>0</v>
      </c>
      <c r="D120" s="120">
        <f>'EXISTENCIA EN SUCURSALES'!D120+'DISTRIBUCIÓN EN SUCURSALES'!D120</f>
        <v>2</v>
      </c>
      <c r="E120" s="120">
        <f>'EXISTENCIA EN SUCURSALES'!E120+'DISTRIBUCIÓN EN SUCURSALES'!E120</f>
        <v>0</v>
      </c>
      <c r="F120" s="120">
        <f>'EXISTENCIA EN SUCURSALES'!F120+'DISTRIBUCIÓN EN SUCURSALES'!F120</f>
        <v>0</v>
      </c>
      <c r="G120" s="120">
        <f>'EXISTENCIA EN SUCURSALES'!G120+'DISTRIBUCIÓN EN SUCURSALES'!G120</f>
        <v>0</v>
      </c>
      <c r="H120" s="120">
        <f>'EXISTENCIA EN SUCURSALES'!H120+'DISTRIBUCIÓN EN SUCURSALES'!H120</f>
        <v>0</v>
      </c>
      <c r="I120" s="120">
        <f>'EXISTENCIA EN SUCURSALES'!I120+'DISTRIBUCIÓN EN SUCURSALES'!I120</f>
        <v>0</v>
      </c>
      <c r="J120" s="120">
        <f>'EXISTENCIA EN SUCURSALES'!J120+'DISTRIBUCIÓN EN SUCURSALES'!J120</f>
        <v>0</v>
      </c>
      <c r="K120" s="120">
        <f>'EXISTENCIA EN SUCURSALES'!K120+'DISTRIBUCIÓN EN SUCURSALES'!K120</f>
        <v>0</v>
      </c>
      <c r="L120" s="120">
        <f t="shared" si="77"/>
        <v>2</v>
      </c>
      <c r="M120" s="131">
        <f>'EXISTENCIA EN SUCURSALES'!M120+'DISTRIBUCIÓN EN SUCURSALES'!M120</f>
        <v>0</v>
      </c>
      <c r="N120" s="131">
        <f>'EXISTENCIA EN SUCURSALES'!N120+'DISTRIBUCIÓN EN SUCURSALES'!N120</f>
        <v>0</v>
      </c>
      <c r="O120" s="131">
        <f>'EXISTENCIA EN SUCURSALES'!O120+'DISTRIBUCIÓN EN SUCURSALES'!O120</f>
        <v>0</v>
      </c>
      <c r="P120" s="131">
        <f>'EXISTENCIA EN SUCURSALES'!P120+'DISTRIBUCIÓN EN SUCURSALES'!P120</f>
        <v>0</v>
      </c>
      <c r="Q120" s="131">
        <f>'EXISTENCIA EN SUCURSALES'!Q120+'DISTRIBUCIÓN EN SUCURSALES'!Q120</f>
        <v>0</v>
      </c>
      <c r="R120" s="131">
        <f>'EXISTENCIA EN SUCURSALES'!R120+'DISTRIBUCIÓN EN SUCURSALES'!R120</f>
        <v>0</v>
      </c>
      <c r="S120" s="131">
        <f>'EXISTENCIA EN SUCURSALES'!S120+'DISTRIBUCIÓN EN SUCURSALES'!S120</f>
        <v>0</v>
      </c>
      <c r="T120" s="131">
        <f>'EXISTENCIA EN SUCURSALES'!T120+'DISTRIBUCIÓN EN SUCURSALES'!T120</f>
        <v>0</v>
      </c>
      <c r="U120" s="131">
        <f>'EXISTENCIA EN SUCURSALES'!U120+'DISTRIBUCIÓN EN SUCURSALES'!U120</f>
        <v>0</v>
      </c>
      <c r="V120" s="131">
        <f>'EXISTENCIA EN SUCURSALES'!V120+'DISTRIBUCIÓN EN SUCURSALES'!V120</f>
        <v>1</v>
      </c>
      <c r="W120" s="131">
        <f>'EXISTENCIA EN SUCURSALES'!W120+'DISTRIBUCIÓN EN SUCURSALES'!W120</f>
        <v>0</v>
      </c>
      <c r="X120" s="131">
        <f>'EXISTENCIA EN SUCURSALES'!X120+'DISTRIBUCIÓN EN SUCURSALES'!X120</f>
        <v>0</v>
      </c>
      <c r="Y120" s="120">
        <f t="shared" si="78"/>
        <v>1</v>
      </c>
      <c r="Z120" s="120">
        <f t="shared" si="79"/>
        <v>3</v>
      </c>
      <c r="AB120" s="131">
        <f>IFERROR(VLOOKUP(A120,'GRAL. SUC. LOCALES'!$A:$N,14,0),0)</f>
        <v>0</v>
      </c>
      <c r="AD120" s="131">
        <f t="shared" si="68"/>
        <v>3</v>
      </c>
      <c r="AF120" s="131">
        <v>0</v>
      </c>
      <c r="AG120" s="131">
        <v>0</v>
      </c>
      <c r="AH120" s="116">
        <f t="shared" si="44"/>
        <v>3</v>
      </c>
    </row>
    <row r="121" spans="1:34" ht="17.399999999999999" x14ac:dyDescent="0.35">
      <c r="A121" s="95" t="s">
        <v>1076</v>
      </c>
      <c r="B121" s="131">
        <f>'EXISTENCIA EN SUCURSALES'!B121+'DISTRIBUCIÓN EN SUCURSALES'!B121</f>
        <v>0</v>
      </c>
      <c r="C121" s="131">
        <f>'EXISTENCIA EN SUCURSALES'!C121+'DISTRIBUCIÓN EN SUCURSALES'!C121</f>
        <v>0</v>
      </c>
      <c r="D121" s="120">
        <f>'EXISTENCIA EN SUCURSALES'!D121+'DISTRIBUCIÓN EN SUCURSALES'!D121</f>
        <v>2</v>
      </c>
      <c r="E121" s="120">
        <f>'EXISTENCIA EN SUCURSALES'!E121+'DISTRIBUCIÓN EN SUCURSALES'!E121</f>
        <v>0</v>
      </c>
      <c r="F121" s="120">
        <f>'EXISTENCIA EN SUCURSALES'!F121+'DISTRIBUCIÓN EN SUCURSALES'!F121</f>
        <v>1</v>
      </c>
      <c r="G121" s="120">
        <f>'EXISTENCIA EN SUCURSALES'!G121+'DISTRIBUCIÓN EN SUCURSALES'!G121</f>
        <v>0</v>
      </c>
      <c r="H121" s="120">
        <f>'EXISTENCIA EN SUCURSALES'!H121+'DISTRIBUCIÓN EN SUCURSALES'!H121</f>
        <v>0</v>
      </c>
      <c r="I121" s="120">
        <f>'EXISTENCIA EN SUCURSALES'!I121+'DISTRIBUCIÓN EN SUCURSALES'!I121</f>
        <v>0</v>
      </c>
      <c r="J121" s="120">
        <f>'EXISTENCIA EN SUCURSALES'!J121+'DISTRIBUCIÓN EN SUCURSALES'!J121</f>
        <v>0</v>
      </c>
      <c r="K121" s="120">
        <f>'EXISTENCIA EN SUCURSALES'!K121+'DISTRIBUCIÓN EN SUCURSALES'!K121</f>
        <v>1</v>
      </c>
      <c r="L121" s="120">
        <f t="shared" si="77"/>
        <v>4</v>
      </c>
      <c r="M121" s="131">
        <f>'EXISTENCIA EN SUCURSALES'!M121+'DISTRIBUCIÓN EN SUCURSALES'!M121</f>
        <v>1</v>
      </c>
      <c r="N121" s="131">
        <f>'EXISTENCIA EN SUCURSALES'!N121+'DISTRIBUCIÓN EN SUCURSALES'!N121</f>
        <v>0</v>
      </c>
      <c r="O121" s="131">
        <f>'EXISTENCIA EN SUCURSALES'!O121+'DISTRIBUCIÓN EN SUCURSALES'!O121</f>
        <v>0</v>
      </c>
      <c r="P121" s="131">
        <f>'EXISTENCIA EN SUCURSALES'!P121+'DISTRIBUCIÓN EN SUCURSALES'!P121</f>
        <v>0</v>
      </c>
      <c r="Q121" s="131">
        <f>'EXISTENCIA EN SUCURSALES'!Q121+'DISTRIBUCIÓN EN SUCURSALES'!Q121</f>
        <v>0</v>
      </c>
      <c r="R121" s="131">
        <f>'EXISTENCIA EN SUCURSALES'!R121+'DISTRIBUCIÓN EN SUCURSALES'!R121</f>
        <v>0</v>
      </c>
      <c r="S121" s="131">
        <f>'EXISTENCIA EN SUCURSALES'!S121+'DISTRIBUCIÓN EN SUCURSALES'!S121</f>
        <v>1</v>
      </c>
      <c r="T121" s="131">
        <f>'EXISTENCIA EN SUCURSALES'!T121+'DISTRIBUCIÓN EN SUCURSALES'!T121</f>
        <v>0</v>
      </c>
      <c r="U121" s="131">
        <f>'EXISTENCIA EN SUCURSALES'!U121+'DISTRIBUCIÓN EN SUCURSALES'!U121</f>
        <v>0</v>
      </c>
      <c r="V121" s="131">
        <f>'EXISTENCIA EN SUCURSALES'!V121+'DISTRIBUCIÓN EN SUCURSALES'!V121</f>
        <v>0</v>
      </c>
      <c r="W121" s="131">
        <f>'EXISTENCIA EN SUCURSALES'!W121+'DISTRIBUCIÓN EN SUCURSALES'!W121</f>
        <v>0</v>
      </c>
      <c r="X121" s="131">
        <f>'EXISTENCIA EN SUCURSALES'!X121+'DISTRIBUCIÓN EN SUCURSALES'!X121</f>
        <v>0</v>
      </c>
      <c r="Y121" s="120">
        <f t="shared" si="78"/>
        <v>2</v>
      </c>
      <c r="Z121" s="120">
        <f t="shared" si="79"/>
        <v>6</v>
      </c>
      <c r="AB121" s="131">
        <f>IFERROR(VLOOKUP(A121,'GRAL. SUC. LOCALES'!$A:$N,14,0),0)</f>
        <v>0</v>
      </c>
      <c r="AD121" s="131">
        <f t="shared" si="68"/>
        <v>6</v>
      </c>
      <c r="AF121" s="131">
        <v>25</v>
      </c>
      <c r="AG121" s="131">
        <v>0</v>
      </c>
      <c r="AH121" s="116">
        <f t="shared" si="44"/>
        <v>-19</v>
      </c>
    </row>
    <row r="122" spans="1:34" ht="17.399999999999999" x14ac:dyDescent="0.35">
      <c r="A122" s="95" t="s">
        <v>1014</v>
      </c>
      <c r="B122" s="131">
        <f>'EXISTENCIA EN SUCURSALES'!B122+'DISTRIBUCIÓN EN SUCURSALES'!B122</f>
        <v>10</v>
      </c>
      <c r="C122" s="131">
        <f>'EXISTENCIA EN SUCURSALES'!C122+'DISTRIBUCIÓN EN SUCURSALES'!C122</f>
        <v>11</v>
      </c>
      <c r="D122" s="120">
        <f>'EXISTENCIA EN SUCURSALES'!D122+'DISTRIBUCIÓN EN SUCURSALES'!D122</f>
        <v>5</v>
      </c>
      <c r="E122" s="120">
        <f>'EXISTENCIA EN SUCURSALES'!E122+'DISTRIBUCIÓN EN SUCURSALES'!E122</f>
        <v>2</v>
      </c>
      <c r="F122" s="120">
        <f>'EXISTENCIA EN SUCURSALES'!F122+'DISTRIBUCIÓN EN SUCURSALES'!F122</f>
        <v>4</v>
      </c>
      <c r="G122" s="120">
        <f>'EXISTENCIA EN SUCURSALES'!G122+'DISTRIBUCIÓN EN SUCURSALES'!G122</f>
        <v>0</v>
      </c>
      <c r="H122" s="120">
        <f>'EXISTENCIA EN SUCURSALES'!H122+'DISTRIBUCIÓN EN SUCURSALES'!H122</f>
        <v>10</v>
      </c>
      <c r="I122" s="120">
        <f>'EXISTENCIA EN SUCURSALES'!I122+'DISTRIBUCIÓN EN SUCURSALES'!I122</f>
        <v>10</v>
      </c>
      <c r="J122" s="120">
        <f>'EXISTENCIA EN SUCURSALES'!J122+'DISTRIBUCIÓN EN SUCURSALES'!J122</f>
        <v>10</v>
      </c>
      <c r="K122" s="120">
        <f>'EXISTENCIA EN SUCURSALES'!K122+'DISTRIBUCIÓN EN SUCURSALES'!K122</f>
        <v>5</v>
      </c>
      <c r="L122" s="120">
        <f t="shared" si="77"/>
        <v>67</v>
      </c>
      <c r="M122" s="131">
        <f>'EXISTENCIA EN SUCURSALES'!M122+'DISTRIBUCIÓN EN SUCURSALES'!M122</f>
        <v>10</v>
      </c>
      <c r="N122" s="131">
        <f>'EXISTENCIA EN SUCURSALES'!N122+'DISTRIBUCIÓN EN SUCURSALES'!N122</f>
        <v>3</v>
      </c>
      <c r="O122" s="131">
        <f>'EXISTENCIA EN SUCURSALES'!O122+'DISTRIBUCIÓN EN SUCURSALES'!O122</f>
        <v>0</v>
      </c>
      <c r="P122" s="131">
        <f>'EXISTENCIA EN SUCURSALES'!P122+'DISTRIBUCIÓN EN SUCURSALES'!P122</f>
        <v>0</v>
      </c>
      <c r="Q122" s="131">
        <f>'EXISTENCIA EN SUCURSALES'!Q122+'DISTRIBUCIÓN EN SUCURSALES'!Q122</f>
        <v>5</v>
      </c>
      <c r="R122" s="131">
        <f>'EXISTENCIA EN SUCURSALES'!R122+'DISTRIBUCIÓN EN SUCURSALES'!R122</f>
        <v>10</v>
      </c>
      <c r="S122" s="131">
        <f>'EXISTENCIA EN SUCURSALES'!S122+'DISTRIBUCIÓN EN SUCURSALES'!S122</f>
        <v>4</v>
      </c>
      <c r="T122" s="131">
        <f>'EXISTENCIA EN SUCURSALES'!T122+'DISTRIBUCIÓN EN SUCURSALES'!T122</f>
        <v>0</v>
      </c>
      <c r="U122" s="131">
        <f>'EXISTENCIA EN SUCURSALES'!U122+'DISTRIBUCIÓN EN SUCURSALES'!U122</f>
        <v>4</v>
      </c>
      <c r="V122" s="131">
        <f>'EXISTENCIA EN SUCURSALES'!V122+'DISTRIBUCIÓN EN SUCURSALES'!V122</f>
        <v>0</v>
      </c>
      <c r="W122" s="131">
        <f>'EXISTENCIA EN SUCURSALES'!W122+'DISTRIBUCIÓN EN SUCURSALES'!W122</f>
        <v>2</v>
      </c>
      <c r="X122" s="131">
        <f>'EXISTENCIA EN SUCURSALES'!X122+'DISTRIBUCIÓN EN SUCURSALES'!X122</f>
        <v>0</v>
      </c>
      <c r="Y122" s="120">
        <f t="shared" si="78"/>
        <v>38</v>
      </c>
      <c r="Z122" s="120">
        <f t="shared" si="79"/>
        <v>105</v>
      </c>
      <c r="AB122" s="131">
        <f>IFERROR(VLOOKUP(A122,'GRAL. SUC. LOCALES'!$A:$N,14,0),0)</f>
        <v>27</v>
      </c>
      <c r="AD122" s="131">
        <f t="shared" si="68"/>
        <v>132</v>
      </c>
      <c r="AF122" s="131">
        <v>150</v>
      </c>
      <c r="AG122" s="131">
        <v>150</v>
      </c>
      <c r="AH122" s="116">
        <f t="shared" si="44"/>
        <v>-18</v>
      </c>
    </row>
    <row r="123" spans="1:34" ht="17.399999999999999" x14ac:dyDescent="0.35">
      <c r="A123" s="95" t="s">
        <v>1015</v>
      </c>
      <c r="B123" s="131">
        <f>'EXISTENCIA EN SUCURSALES'!B123+'DISTRIBUCIÓN EN SUCURSALES'!B123</f>
        <v>5</v>
      </c>
      <c r="C123" s="131">
        <f>'EXISTENCIA EN SUCURSALES'!C123+'DISTRIBUCIÓN EN SUCURSALES'!C123</f>
        <v>12</v>
      </c>
      <c r="D123" s="120">
        <f>'EXISTENCIA EN SUCURSALES'!D123+'DISTRIBUCIÓN EN SUCURSALES'!D123</f>
        <v>5</v>
      </c>
      <c r="E123" s="120">
        <f>'EXISTENCIA EN SUCURSALES'!E123+'DISTRIBUCIÓN EN SUCURSALES'!E123</f>
        <v>4</v>
      </c>
      <c r="F123" s="120">
        <f>'EXISTENCIA EN SUCURSALES'!F123+'DISTRIBUCIÓN EN SUCURSALES'!F123</f>
        <v>3</v>
      </c>
      <c r="G123" s="120">
        <f>'EXISTENCIA EN SUCURSALES'!G123+'DISTRIBUCIÓN EN SUCURSALES'!G123</f>
        <v>0</v>
      </c>
      <c r="H123" s="120">
        <f>'EXISTENCIA EN SUCURSALES'!H123+'DISTRIBUCIÓN EN SUCURSALES'!H123</f>
        <v>5</v>
      </c>
      <c r="I123" s="120">
        <f>'EXISTENCIA EN SUCURSALES'!I123+'DISTRIBUCIÓN EN SUCURSALES'!I123</f>
        <v>10</v>
      </c>
      <c r="J123" s="120">
        <f>'EXISTENCIA EN SUCURSALES'!J123+'DISTRIBUCIÓN EN SUCURSALES'!J123</f>
        <v>10</v>
      </c>
      <c r="K123" s="120">
        <f>'EXISTENCIA EN SUCURSALES'!K123+'DISTRIBUCIÓN EN SUCURSALES'!K123</f>
        <v>0</v>
      </c>
      <c r="L123" s="120">
        <f t="shared" si="77"/>
        <v>54</v>
      </c>
      <c r="M123" s="131">
        <f>'EXISTENCIA EN SUCURSALES'!M123+'DISTRIBUCIÓN EN SUCURSALES'!M123</f>
        <v>5</v>
      </c>
      <c r="N123" s="131">
        <f>'EXISTENCIA EN SUCURSALES'!N123+'DISTRIBUCIÓN EN SUCURSALES'!N123</f>
        <v>3</v>
      </c>
      <c r="O123" s="131">
        <f>'EXISTENCIA EN SUCURSALES'!O123+'DISTRIBUCIÓN EN SUCURSALES'!O123</f>
        <v>4</v>
      </c>
      <c r="P123" s="131">
        <f>'EXISTENCIA EN SUCURSALES'!P123+'DISTRIBUCIÓN EN SUCURSALES'!P123</f>
        <v>0</v>
      </c>
      <c r="Q123" s="131">
        <f>'EXISTENCIA EN SUCURSALES'!Q123+'DISTRIBUCIÓN EN SUCURSALES'!Q123</f>
        <v>5</v>
      </c>
      <c r="R123" s="131">
        <f>'EXISTENCIA EN SUCURSALES'!R123+'DISTRIBUCIÓN EN SUCURSALES'!R123</f>
        <v>1</v>
      </c>
      <c r="S123" s="131">
        <f>'EXISTENCIA EN SUCURSALES'!S123+'DISTRIBUCIÓN EN SUCURSALES'!S123</f>
        <v>0</v>
      </c>
      <c r="T123" s="131">
        <f>'EXISTENCIA EN SUCURSALES'!T123+'DISTRIBUCIÓN EN SUCURSALES'!T123</f>
        <v>3</v>
      </c>
      <c r="U123" s="131">
        <f>'EXISTENCIA EN SUCURSALES'!U123+'DISTRIBUCIÓN EN SUCURSALES'!U123</f>
        <v>14</v>
      </c>
      <c r="V123" s="131">
        <f>'EXISTENCIA EN SUCURSALES'!V123+'DISTRIBUCIÓN EN SUCURSALES'!V123</f>
        <v>7</v>
      </c>
      <c r="W123" s="131">
        <f>'EXISTENCIA EN SUCURSALES'!W123+'DISTRIBUCIÓN EN SUCURSALES'!W123</f>
        <v>3</v>
      </c>
      <c r="X123" s="131">
        <f>'EXISTENCIA EN SUCURSALES'!X123+'DISTRIBUCIÓN EN SUCURSALES'!X123</f>
        <v>0</v>
      </c>
      <c r="Y123" s="120">
        <f t="shared" si="78"/>
        <v>45</v>
      </c>
      <c r="Z123" s="120">
        <f t="shared" si="79"/>
        <v>99</v>
      </c>
      <c r="AB123" s="131">
        <f>IFERROR(VLOOKUP(A123,'GRAL. SUC. LOCALES'!$A:$N,14,0),0)</f>
        <v>12</v>
      </c>
      <c r="AD123" s="131">
        <f t="shared" si="68"/>
        <v>111</v>
      </c>
      <c r="AF123" s="131">
        <v>100</v>
      </c>
      <c r="AG123" s="131">
        <v>80</v>
      </c>
      <c r="AH123" s="116">
        <f t="shared" si="44"/>
        <v>11</v>
      </c>
    </row>
    <row r="124" spans="1:34" ht="17.399999999999999" x14ac:dyDescent="0.35">
      <c r="A124" s="95" t="s">
        <v>1016</v>
      </c>
      <c r="B124" s="131">
        <f>'EXISTENCIA EN SUCURSALES'!B124+'DISTRIBUCIÓN EN SUCURSALES'!B124</f>
        <v>5</v>
      </c>
      <c r="C124" s="131">
        <f>'EXISTENCIA EN SUCURSALES'!C124+'DISTRIBUCIÓN EN SUCURSALES'!C124</f>
        <v>10</v>
      </c>
      <c r="D124" s="120">
        <f>'EXISTENCIA EN SUCURSALES'!D124+'DISTRIBUCIÓN EN SUCURSALES'!D124</f>
        <v>5</v>
      </c>
      <c r="E124" s="120">
        <f>'EXISTENCIA EN SUCURSALES'!E124+'DISTRIBUCIÓN EN SUCURSALES'!E124</f>
        <v>3</v>
      </c>
      <c r="F124" s="120">
        <f>'EXISTENCIA EN SUCURSALES'!F124+'DISTRIBUCIÓN EN SUCURSALES'!F124</f>
        <v>3</v>
      </c>
      <c r="G124" s="120">
        <f>'EXISTENCIA EN SUCURSALES'!G124+'DISTRIBUCIÓN EN SUCURSALES'!G124</f>
        <v>0</v>
      </c>
      <c r="H124" s="120">
        <f>'EXISTENCIA EN SUCURSALES'!H124+'DISTRIBUCIÓN EN SUCURSALES'!H124</f>
        <v>10</v>
      </c>
      <c r="I124" s="120">
        <f>'EXISTENCIA EN SUCURSALES'!I124+'DISTRIBUCIÓN EN SUCURSALES'!I124</f>
        <v>10</v>
      </c>
      <c r="J124" s="120">
        <f>'EXISTENCIA EN SUCURSALES'!J124+'DISTRIBUCIÓN EN SUCURSALES'!J124</f>
        <v>5</v>
      </c>
      <c r="K124" s="120">
        <f>'EXISTENCIA EN SUCURSALES'!K124+'DISTRIBUCIÓN EN SUCURSALES'!K124</f>
        <v>10</v>
      </c>
      <c r="L124" s="120">
        <f t="shared" si="77"/>
        <v>61</v>
      </c>
      <c r="M124" s="131">
        <f>'EXISTENCIA EN SUCURSALES'!M124+'DISTRIBUCIÓN EN SUCURSALES'!M124</f>
        <v>5</v>
      </c>
      <c r="N124" s="131">
        <f>'EXISTENCIA EN SUCURSALES'!N124+'DISTRIBUCIÓN EN SUCURSALES'!N124</f>
        <v>6</v>
      </c>
      <c r="O124" s="131">
        <f>'EXISTENCIA EN SUCURSALES'!O124+'DISTRIBUCIÓN EN SUCURSALES'!O124</f>
        <v>0</v>
      </c>
      <c r="P124" s="131">
        <f>'EXISTENCIA EN SUCURSALES'!P124+'DISTRIBUCIÓN EN SUCURSALES'!P124</f>
        <v>0</v>
      </c>
      <c r="Q124" s="131">
        <f>'EXISTENCIA EN SUCURSALES'!Q124+'DISTRIBUCIÓN EN SUCURSALES'!Q124</f>
        <v>10</v>
      </c>
      <c r="R124" s="131">
        <f>'EXISTENCIA EN SUCURSALES'!R124+'DISTRIBUCIÓN EN SUCURSALES'!R124</f>
        <v>12</v>
      </c>
      <c r="S124" s="131">
        <f>'EXISTENCIA EN SUCURSALES'!S124+'DISTRIBUCIÓN EN SUCURSALES'!S124</f>
        <v>0</v>
      </c>
      <c r="T124" s="131">
        <f>'EXISTENCIA EN SUCURSALES'!T124+'DISTRIBUCIÓN EN SUCURSALES'!T124</f>
        <v>0</v>
      </c>
      <c r="U124" s="131">
        <f>'EXISTENCIA EN SUCURSALES'!U124+'DISTRIBUCIÓN EN SUCURSALES'!U124</f>
        <v>0</v>
      </c>
      <c r="V124" s="131">
        <f>'EXISTENCIA EN SUCURSALES'!V124+'DISTRIBUCIÓN EN SUCURSALES'!V124</f>
        <v>6</v>
      </c>
      <c r="W124" s="131">
        <f>'EXISTENCIA EN SUCURSALES'!W124+'DISTRIBUCIÓN EN SUCURSALES'!W124</f>
        <v>1</v>
      </c>
      <c r="X124" s="131">
        <f>'EXISTENCIA EN SUCURSALES'!X124+'DISTRIBUCIÓN EN SUCURSALES'!X124</f>
        <v>1</v>
      </c>
      <c r="Y124" s="120">
        <f t="shared" si="78"/>
        <v>41</v>
      </c>
      <c r="Z124" s="120">
        <f t="shared" si="79"/>
        <v>102</v>
      </c>
      <c r="AB124" s="131">
        <f>IFERROR(VLOOKUP(A124,'GRAL. SUC. LOCALES'!$A:$N,14,0),0)</f>
        <v>8</v>
      </c>
      <c r="AD124" s="131">
        <f t="shared" si="68"/>
        <v>110</v>
      </c>
      <c r="AF124" s="131">
        <v>120</v>
      </c>
      <c r="AG124" s="131">
        <v>120</v>
      </c>
      <c r="AH124" s="116">
        <f t="shared" si="44"/>
        <v>-10</v>
      </c>
    </row>
    <row r="125" spans="1:34" ht="17.399999999999999" x14ac:dyDescent="0.35">
      <c r="A125" s="95" t="s">
        <v>1017</v>
      </c>
      <c r="B125" s="131">
        <f>'EXISTENCIA EN SUCURSALES'!B125+'DISTRIBUCIÓN EN SUCURSALES'!B125</f>
        <v>10</v>
      </c>
      <c r="C125" s="131">
        <f>'EXISTENCIA EN SUCURSALES'!C125+'DISTRIBUCIÓN EN SUCURSALES'!C125</f>
        <v>10</v>
      </c>
      <c r="D125" s="120">
        <f>'EXISTENCIA EN SUCURSALES'!D125+'DISTRIBUCIÓN EN SUCURSALES'!D125</f>
        <v>5</v>
      </c>
      <c r="E125" s="120">
        <f>'EXISTENCIA EN SUCURSALES'!E125+'DISTRIBUCIÓN EN SUCURSALES'!E125</f>
        <v>2</v>
      </c>
      <c r="F125" s="120">
        <f>'EXISTENCIA EN SUCURSALES'!F125+'DISTRIBUCIÓN EN SUCURSALES'!F125</f>
        <v>3</v>
      </c>
      <c r="G125" s="120">
        <f>'EXISTENCIA EN SUCURSALES'!G125+'DISTRIBUCIÓN EN SUCURSALES'!G125</f>
        <v>0</v>
      </c>
      <c r="H125" s="120">
        <f>'EXISTENCIA EN SUCURSALES'!H125+'DISTRIBUCIÓN EN SUCURSALES'!H125</f>
        <v>5</v>
      </c>
      <c r="I125" s="120">
        <f>'EXISTENCIA EN SUCURSALES'!I125+'DISTRIBUCIÓN EN SUCURSALES'!I125</f>
        <v>10</v>
      </c>
      <c r="J125" s="120">
        <f>'EXISTENCIA EN SUCURSALES'!J125+'DISTRIBUCIÓN EN SUCURSALES'!J125</f>
        <v>10</v>
      </c>
      <c r="K125" s="120">
        <f>'EXISTENCIA EN SUCURSALES'!K125+'DISTRIBUCIÓN EN SUCURSALES'!K125</f>
        <v>3</v>
      </c>
      <c r="L125" s="120">
        <f t="shared" si="77"/>
        <v>58</v>
      </c>
      <c r="M125" s="131">
        <f>'EXISTENCIA EN SUCURSALES'!M125+'DISTRIBUCIÓN EN SUCURSALES'!M125</f>
        <v>10</v>
      </c>
      <c r="N125" s="131">
        <f>'EXISTENCIA EN SUCURSALES'!N125+'DISTRIBUCIÓN EN SUCURSALES'!N125</f>
        <v>10</v>
      </c>
      <c r="O125" s="131">
        <f>'EXISTENCIA EN SUCURSALES'!O125+'DISTRIBUCIÓN EN SUCURSALES'!O125</f>
        <v>4</v>
      </c>
      <c r="P125" s="131">
        <f>'EXISTENCIA EN SUCURSALES'!P125+'DISTRIBUCIÓN EN SUCURSALES'!P125</f>
        <v>0</v>
      </c>
      <c r="Q125" s="131">
        <f>'EXISTENCIA EN SUCURSALES'!Q125+'DISTRIBUCIÓN EN SUCURSALES'!Q125</f>
        <v>6</v>
      </c>
      <c r="R125" s="131">
        <f>'EXISTENCIA EN SUCURSALES'!R125+'DISTRIBUCIÓN EN SUCURSALES'!R125</f>
        <v>10</v>
      </c>
      <c r="S125" s="131">
        <f>'EXISTENCIA EN SUCURSALES'!S125+'DISTRIBUCIÓN EN SUCURSALES'!S125</f>
        <v>4</v>
      </c>
      <c r="T125" s="131">
        <f>'EXISTENCIA EN SUCURSALES'!T125+'DISTRIBUCIÓN EN SUCURSALES'!T125</f>
        <v>1</v>
      </c>
      <c r="U125" s="131">
        <f>'EXISTENCIA EN SUCURSALES'!U125+'DISTRIBUCIÓN EN SUCURSALES'!U125</f>
        <v>2</v>
      </c>
      <c r="V125" s="131">
        <f>'EXISTENCIA EN SUCURSALES'!V125+'DISTRIBUCIÓN EN SUCURSALES'!V125</f>
        <v>1</v>
      </c>
      <c r="W125" s="131">
        <f>'EXISTENCIA EN SUCURSALES'!W125+'DISTRIBUCIÓN EN SUCURSALES'!W125</f>
        <v>1</v>
      </c>
      <c r="X125" s="131">
        <f>'EXISTENCIA EN SUCURSALES'!X125+'DISTRIBUCIÓN EN SUCURSALES'!X125</f>
        <v>0</v>
      </c>
      <c r="Y125" s="120">
        <f t="shared" si="78"/>
        <v>49</v>
      </c>
      <c r="Z125" s="120">
        <f t="shared" si="79"/>
        <v>107</v>
      </c>
      <c r="AB125" s="131">
        <f>IFERROR(VLOOKUP(A125,'GRAL. SUC. LOCALES'!$A:$N,14,0),0)</f>
        <v>0</v>
      </c>
      <c r="AD125" s="131">
        <f t="shared" si="68"/>
        <v>107</v>
      </c>
      <c r="AF125" s="131">
        <v>150</v>
      </c>
      <c r="AG125" s="131">
        <v>150</v>
      </c>
      <c r="AH125" s="116">
        <f t="shared" si="44"/>
        <v>-43</v>
      </c>
    </row>
    <row r="126" spans="1:34" ht="17.399999999999999" x14ac:dyDescent="0.35">
      <c r="A126" s="95" t="s">
        <v>1125</v>
      </c>
      <c r="B126" s="131">
        <f>'EXISTENCIA EN SUCURSALES'!B126+'DISTRIBUCIÓN EN SUCURSALES'!B126</f>
        <v>7</v>
      </c>
      <c r="C126" s="131">
        <f>'EXISTENCIA EN SUCURSALES'!C126+'DISTRIBUCIÓN EN SUCURSALES'!C126</f>
        <v>0</v>
      </c>
      <c r="D126" s="120">
        <f>'EXISTENCIA EN SUCURSALES'!D126+'DISTRIBUCIÓN EN SUCURSALES'!D126</f>
        <v>2</v>
      </c>
      <c r="E126" s="120">
        <f>'EXISTENCIA EN SUCURSALES'!E126+'DISTRIBUCIÓN EN SUCURSALES'!E126</f>
        <v>0</v>
      </c>
      <c r="F126" s="120">
        <f>'EXISTENCIA EN SUCURSALES'!F126+'DISTRIBUCIÓN EN SUCURSALES'!F126</f>
        <v>0</v>
      </c>
      <c r="G126" s="120">
        <f>'EXISTENCIA EN SUCURSALES'!G126+'DISTRIBUCIÓN EN SUCURSALES'!G126</f>
        <v>0</v>
      </c>
      <c r="H126" s="120">
        <f>'EXISTENCIA EN SUCURSALES'!H126+'DISTRIBUCIÓN EN SUCURSALES'!H126</f>
        <v>1</v>
      </c>
      <c r="I126" s="120">
        <f>'EXISTENCIA EN SUCURSALES'!I126+'DISTRIBUCIÓN EN SUCURSALES'!I126</f>
        <v>2</v>
      </c>
      <c r="J126" s="120">
        <f>'EXISTENCIA EN SUCURSALES'!J126+'DISTRIBUCIÓN EN SUCURSALES'!J126</f>
        <v>1</v>
      </c>
      <c r="K126" s="120">
        <f>'EXISTENCIA EN SUCURSALES'!K126+'DISTRIBUCIÓN EN SUCURSALES'!K126</f>
        <v>2</v>
      </c>
      <c r="L126" s="120">
        <f t="shared" si="77"/>
        <v>15</v>
      </c>
      <c r="M126" s="131">
        <f>'EXISTENCIA EN SUCURSALES'!M126+'DISTRIBUCIÓN EN SUCURSALES'!M126</f>
        <v>0</v>
      </c>
      <c r="N126" s="131">
        <f>'EXISTENCIA EN SUCURSALES'!N126+'DISTRIBUCIÓN EN SUCURSALES'!N126</f>
        <v>1</v>
      </c>
      <c r="O126" s="131">
        <f>'EXISTENCIA EN SUCURSALES'!O126+'DISTRIBUCIÓN EN SUCURSALES'!O126</f>
        <v>1</v>
      </c>
      <c r="P126" s="131">
        <f>'EXISTENCIA EN SUCURSALES'!P126+'DISTRIBUCIÓN EN SUCURSALES'!P126</f>
        <v>1</v>
      </c>
      <c r="Q126" s="131">
        <f>'EXISTENCIA EN SUCURSALES'!Q126+'DISTRIBUCIÓN EN SUCURSALES'!Q126</f>
        <v>0</v>
      </c>
      <c r="R126" s="131">
        <f>'EXISTENCIA EN SUCURSALES'!R126+'DISTRIBUCIÓN EN SUCURSALES'!R126</f>
        <v>0</v>
      </c>
      <c r="S126" s="131">
        <f>'EXISTENCIA EN SUCURSALES'!S126+'DISTRIBUCIÓN EN SUCURSALES'!S126</f>
        <v>0</v>
      </c>
      <c r="T126" s="131">
        <f>'EXISTENCIA EN SUCURSALES'!T126+'DISTRIBUCIÓN EN SUCURSALES'!T126</f>
        <v>0</v>
      </c>
      <c r="U126" s="131">
        <f>'EXISTENCIA EN SUCURSALES'!U126+'DISTRIBUCIÓN EN SUCURSALES'!U126</f>
        <v>1</v>
      </c>
      <c r="V126" s="131">
        <f>'EXISTENCIA EN SUCURSALES'!V126+'DISTRIBUCIÓN EN SUCURSALES'!V126</f>
        <v>0</v>
      </c>
      <c r="W126" s="131">
        <f>'EXISTENCIA EN SUCURSALES'!W126+'DISTRIBUCIÓN EN SUCURSALES'!W126</f>
        <v>1</v>
      </c>
      <c r="X126" s="131">
        <f>'EXISTENCIA EN SUCURSALES'!X126+'DISTRIBUCIÓN EN SUCURSALES'!X126</f>
        <v>0</v>
      </c>
      <c r="Y126" s="120">
        <f t="shared" si="78"/>
        <v>5</v>
      </c>
      <c r="Z126" s="120">
        <f t="shared" si="79"/>
        <v>20</v>
      </c>
      <c r="AB126" s="131">
        <f>IFERROR(VLOOKUP(A126,'GRAL. SUC. LOCALES'!$A:$N,14,0),0)</f>
        <v>0</v>
      </c>
      <c r="AD126" s="131">
        <f t="shared" si="68"/>
        <v>20</v>
      </c>
      <c r="AF126" s="131"/>
      <c r="AG126" s="131">
        <v>0</v>
      </c>
      <c r="AH126" s="116">
        <f t="shared" si="44"/>
        <v>20</v>
      </c>
    </row>
    <row r="127" spans="1:34" ht="17.399999999999999" x14ac:dyDescent="0.35">
      <c r="A127" s="95" t="s">
        <v>1126</v>
      </c>
      <c r="B127" s="131">
        <f>'EXISTENCIA EN SUCURSALES'!B127+'DISTRIBUCIÓN EN SUCURSALES'!B127</f>
        <v>0</v>
      </c>
      <c r="C127" s="131">
        <f>'EXISTENCIA EN SUCURSALES'!C127+'DISTRIBUCIÓN EN SUCURSALES'!C127</f>
        <v>0</v>
      </c>
      <c r="D127" s="120">
        <f>'EXISTENCIA EN SUCURSALES'!D127+'DISTRIBUCIÓN EN SUCURSALES'!D127</f>
        <v>1</v>
      </c>
      <c r="E127" s="120">
        <f>'EXISTENCIA EN SUCURSALES'!E127+'DISTRIBUCIÓN EN SUCURSALES'!E127</f>
        <v>1</v>
      </c>
      <c r="F127" s="120">
        <f>'EXISTENCIA EN SUCURSALES'!F127+'DISTRIBUCIÓN EN SUCURSALES'!F127</f>
        <v>1</v>
      </c>
      <c r="G127" s="120">
        <f>'EXISTENCIA EN SUCURSALES'!G127+'DISTRIBUCIÓN EN SUCURSALES'!G127</f>
        <v>0</v>
      </c>
      <c r="H127" s="120">
        <f>'EXISTENCIA EN SUCURSALES'!H127+'DISTRIBUCIÓN EN SUCURSALES'!H127</f>
        <v>1</v>
      </c>
      <c r="I127" s="120">
        <f>'EXISTENCIA EN SUCURSALES'!I127+'DISTRIBUCIÓN EN SUCURSALES'!I127</f>
        <v>2</v>
      </c>
      <c r="J127" s="120">
        <f>'EXISTENCIA EN SUCURSALES'!J127+'DISTRIBUCIÓN EN SUCURSALES'!J127</f>
        <v>0</v>
      </c>
      <c r="K127" s="120">
        <f>'EXISTENCIA EN SUCURSALES'!K127+'DISTRIBUCIÓN EN SUCURSALES'!K127</f>
        <v>1</v>
      </c>
      <c r="L127" s="120">
        <f t="shared" si="77"/>
        <v>7</v>
      </c>
      <c r="M127" s="131">
        <f>'EXISTENCIA EN SUCURSALES'!M127+'DISTRIBUCIÓN EN SUCURSALES'!M127</f>
        <v>0</v>
      </c>
      <c r="N127" s="131">
        <f>'EXISTENCIA EN SUCURSALES'!N127+'DISTRIBUCIÓN EN SUCURSALES'!N127</f>
        <v>2</v>
      </c>
      <c r="O127" s="131">
        <f>'EXISTENCIA EN SUCURSALES'!O127+'DISTRIBUCIÓN EN SUCURSALES'!O127</f>
        <v>1</v>
      </c>
      <c r="P127" s="131">
        <f>'EXISTENCIA EN SUCURSALES'!P127+'DISTRIBUCIÓN EN SUCURSALES'!P127</f>
        <v>0</v>
      </c>
      <c r="Q127" s="131">
        <f>'EXISTENCIA EN SUCURSALES'!Q127+'DISTRIBUCIÓN EN SUCURSALES'!Q127</f>
        <v>0</v>
      </c>
      <c r="R127" s="131">
        <f>'EXISTENCIA EN SUCURSALES'!R127+'DISTRIBUCIÓN EN SUCURSALES'!R127</f>
        <v>0</v>
      </c>
      <c r="S127" s="131">
        <f>'EXISTENCIA EN SUCURSALES'!S127+'DISTRIBUCIÓN EN SUCURSALES'!S127</f>
        <v>2</v>
      </c>
      <c r="T127" s="131">
        <f>'EXISTENCIA EN SUCURSALES'!T127+'DISTRIBUCIÓN EN SUCURSALES'!T127</f>
        <v>1</v>
      </c>
      <c r="U127" s="131">
        <f>'EXISTENCIA EN SUCURSALES'!U127+'DISTRIBUCIÓN EN SUCURSALES'!U127</f>
        <v>0</v>
      </c>
      <c r="V127" s="131">
        <f>'EXISTENCIA EN SUCURSALES'!V127+'DISTRIBUCIÓN EN SUCURSALES'!V127</f>
        <v>0</v>
      </c>
      <c r="W127" s="131">
        <f>'EXISTENCIA EN SUCURSALES'!W127+'DISTRIBUCIÓN EN SUCURSALES'!W127</f>
        <v>0</v>
      </c>
      <c r="X127" s="131">
        <f>'EXISTENCIA EN SUCURSALES'!X127+'DISTRIBUCIÓN EN SUCURSALES'!X127</f>
        <v>0</v>
      </c>
      <c r="Y127" s="120">
        <f t="shared" si="78"/>
        <v>6</v>
      </c>
      <c r="Z127" s="120">
        <f t="shared" si="79"/>
        <v>13</v>
      </c>
      <c r="AB127" s="131">
        <f>IFERROR(VLOOKUP(A127,'GRAL. SUC. LOCALES'!$A:$N,14,0),0)</f>
        <v>0</v>
      </c>
      <c r="AD127" s="131">
        <f t="shared" si="68"/>
        <v>13</v>
      </c>
      <c r="AF127" s="131"/>
      <c r="AG127" s="131">
        <v>0</v>
      </c>
      <c r="AH127" s="116">
        <f t="shared" si="44"/>
        <v>13</v>
      </c>
    </row>
    <row r="128" spans="1:34" ht="17.399999999999999" x14ac:dyDescent="0.35">
      <c r="A128" s="95" t="s">
        <v>568</v>
      </c>
      <c r="B128" s="131">
        <f>'EXISTENCIA EN SUCURSALES'!B128+'DISTRIBUCIÓN EN SUCURSALES'!B128</f>
        <v>2</v>
      </c>
      <c r="C128" s="131">
        <f>'EXISTENCIA EN SUCURSALES'!C128+'DISTRIBUCIÓN EN SUCURSALES'!C128</f>
        <v>3</v>
      </c>
      <c r="D128" s="120">
        <f>'EXISTENCIA EN SUCURSALES'!D128+'DISTRIBUCIÓN EN SUCURSALES'!D128</f>
        <v>3</v>
      </c>
      <c r="E128" s="120">
        <f>'EXISTENCIA EN SUCURSALES'!E128+'DISTRIBUCIÓN EN SUCURSALES'!E128</f>
        <v>3</v>
      </c>
      <c r="F128" s="120">
        <f>'EXISTENCIA EN SUCURSALES'!F128+'DISTRIBUCIÓN EN SUCURSALES'!F128</f>
        <v>3</v>
      </c>
      <c r="G128" s="120">
        <f>'EXISTENCIA EN SUCURSALES'!G128+'DISTRIBUCIÓN EN SUCURSALES'!G128</f>
        <v>0</v>
      </c>
      <c r="H128" s="120">
        <f>'EXISTENCIA EN SUCURSALES'!H128+'DISTRIBUCIÓN EN SUCURSALES'!H128</f>
        <v>3</v>
      </c>
      <c r="I128" s="120">
        <f>'EXISTENCIA EN SUCURSALES'!I128+'DISTRIBUCIÓN EN SUCURSALES'!I128</f>
        <v>3</v>
      </c>
      <c r="J128" s="120">
        <f>'EXISTENCIA EN SUCURSALES'!J128+'DISTRIBUCIÓN EN SUCURSALES'!J128</f>
        <v>3</v>
      </c>
      <c r="K128" s="120">
        <f>'EXISTENCIA EN SUCURSALES'!K128+'DISTRIBUCIÓN EN SUCURSALES'!K128</f>
        <v>3</v>
      </c>
      <c r="L128" s="120">
        <f t="shared" si="77"/>
        <v>26</v>
      </c>
      <c r="M128" s="131">
        <f>'EXISTENCIA EN SUCURSALES'!M128+'DISTRIBUCIÓN EN SUCURSALES'!M128</f>
        <v>0</v>
      </c>
      <c r="N128" s="131">
        <f>'EXISTENCIA EN SUCURSALES'!N128+'DISTRIBUCIÓN EN SUCURSALES'!N128</f>
        <v>3</v>
      </c>
      <c r="O128" s="131">
        <f>'EXISTENCIA EN SUCURSALES'!O128+'DISTRIBUCIÓN EN SUCURSALES'!O128</f>
        <v>2</v>
      </c>
      <c r="P128" s="131">
        <f>'EXISTENCIA EN SUCURSALES'!P128+'DISTRIBUCIÓN EN SUCURSALES'!P128</f>
        <v>3</v>
      </c>
      <c r="Q128" s="131">
        <f>'EXISTENCIA EN SUCURSALES'!Q128+'DISTRIBUCIÓN EN SUCURSALES'!Q128</f>
        <v>3</v>
      </c>
      <c r="R128" s="131">
        <f>'EXISTENCIA EN SUCURSALES'!R128+'DISTRIBUCIÓN EN SUCURSALES'!R128</f>
        <v>3</v>
      </c>
      <c r="S128" s="131">
        <f>'EXISTENCIA EN SUCURSALES'!S128+'DISTRIBUCIÓN EN SUCURSALES'!S128</f>
        <v>3</v>
      </c>
      <c r="T128" s="131">
        <f>'EXISTENCIA EN SUCURSALES'!T128+'DISTRIBUCIÓN EN SUCURSALES'!T128</f>
        <v>0</v>
      </c>
      <c r="U128" s="131">
        <f>'EXISTENCIA EN SUCURSALES'!U128+'DISTRIBUCIÓN EN SUCURSALES'!U128</f>
        <v>0</v>
      </c>
      <c r="V128" s="131">
        <f>'EXISTENCIA EN SUCURSALES'!V128+'DISTRIBUCIÓN EN SUCURSALES'!V128</f>
        <v>3</v>
      </c>
      <c r="W128" s="131">
        <f>'EXISTENCIA EN SUCURSALES'!W128+'DISTRIBUCIÓN EN SUCURSALES'!W128</f>
        <v>3</v>
      </c>
      <c r="X128" s="131">
        <f>'EXISTENCIA EN SUCURSALES'!X128+'DISTRIBUCIÓN EN SUCURSALES'!X128</f>
        <v>0</v>
      </c>
      <c r="Y128" s="120">
        <f t="shared" si="78"/>
        <v>23</v>
      </c>
      <c r="Z128" s="120">
        <f t="shared" si="79"/>
        <v>49</v>
      </c>
      <c r="AB128" s="131">
        <f>IFERROR(VLOOKUP(A128,'GRAL. SUC. LOCALES'!$A:$N,14,0),0)</f>
        <v>0</v>
      </c>
      <c r="AD128" s="131">
        <f t="shared" si="68"/>
        <v>49</v>
      </c>
      <c r="AF128" s="131"/>
      <c r="AG128" s="131">
        <v>0</v>
      </c>
      <c r="AH128" s="116">
        <f t="shared" si="44"/>
        <v>49</v>
      </c>
    </row>
    <row r="129" spans="1:34" ht="17.399999999999999" x14ac:dyDescent="0.35">
      <c r="A129" s="95" t="s">
        <v>565</v>
      </c>
      <c r="B129" s="131">
        <f>'EXISTENCIA EN SUCURSALES'!B129+'DISTRIBUCIÓN EN SUCURSALES'!B129</f>
        <v>2</v>
      </c>
      <c r="C129" s="131">
        <f>'EXISTENCIA EN SUCURSALES'!C129+'DISTRIBUCIÓN EN SUCURSALES'!C129</f>
        <v>2</v>
      </c>
      <c r="D129" s="120">
        <f>'EXISTENCIA EN SUCURSALES'!D129+'DISTRIBUCIÓN EN SUCURSALES'!D129</f>
        <v>2</v>
      </c>
      <c r="E129" s="120">
        <f>'EXISTENCIA EN SUCURSALES'!E129+'DISTRIBUCIÓN EN SUCURSALES'!E129</f>
        <v>2</v>
      </c>
      <c r="F129" s="120">
        <f>'EXISTENCIA EN SUCURSALES'!F129+'DISTRIBUCIÓN EN SUCURSALES'!F129</f>
        <v>0</v>
      </c>
      <c r="G129" s="120">
        <f>'EXISTENCIA EN SUCURSALES'!G129+'DISTRIBUCIÓN EN SUCURSALES'!G129</f>
        <v>0</v>
      </c>
      <c r="H129" s="120">
        <f>'EXISTENCIA EN SUCURSALES'!H129+'DISTRIBUCIÓN EN SUCURSALES'!H129</f>
        <v>1</v>
      </c>
      <c r="I129" s="120">
        <f>'EXISTENCIA EN SUCURSALES'!I129+'DISTRIBUCIÓN EN SUCURSALES'!I129</f>
        <v>0</v>
      </c>
      <c r="J129" s="120">
        <f>'EXISTENCIA EN SUCURSALES'!J129+'DISTRIBUCIÓN EN SUCURSALES'!J129</f>
        <v>1</v>
      </c>
      <c r="K129" s="120">
        <f>'EXISTENCIA EN SUCURSALES'!K129+'DISTRIBUCIÓN EN SUCURSALES'!K129</f>
        <v>0</v>
      </c>
      <c r="L129" s="120">
        <f t="shared" si="77"/>
        <v>10</v>
      </c>
      <c r="M129" s="131">
        <f>'EXISTENCIA EN SUCURSALES'!M129+'DISTRIBUCIÓN EN SUCURSALES'!M129</f>
        <v>0</v>
      </c>
      <c r="N129" s="131">
        <f>'EXISTENCIA EN SUCURSALES'!N129+'DISTRIBUCIÓN EN SUCURSALES'!N129</f>
        <v>0</v>
      </c>
      <c r="O129" s="131">
        <f>'EXISTENCIA EN SUCURSALES'!O129+'DISTRIBUCIÓN EN SUCURSALES'!O129</f>
        <v>0</v>
      </c>
      <c r="P129" s="131">
        <f>'EXISTENCIA EN SUCURSALES'!P129+'DISTRIBUCIÓN EN SUCURSALES'!P129</f>
        <v>1</v>
      </c>
      <c r="Q129" s="131">
        <f>'EXISTENCIA EN SUCURSALES'!Q129+'DISTRIBUCIÓN EN SUCURSALES'!Q129</f>
        <v>2</v>
      </c>
      <c r="R129" s="131">
        <f>'EXISTENCIA EN SUCURSALES'!R129+'DISTRIBUCIÓN EN SUCURSALES'!R129</f>
        <v>1</v>
      </c>
      <c r="S129" s="131">
        <f>'EXISTENCIA EN SUCURSALES'!S129+'DISTRIBUCIÓN EN SUCURSALES'!S129</f>
        <v>1</v>
      </c>
      <c r="T129" s="131">
        <f>'EXISTENCIA EN SUCURSALES'!T129+'DISTRIBUCIÓN EN SUCURSALES'!T129</f>
        <v>0</v>
      </c>
      <c r="U129" s="131">
        <f>'EXISTENCIA EN SUCURSALES'!U129+'DISTRIBUCIÓN EN SUCURSALES'!U129</f>
        <v>1</v>
      </c>
      <c r="V129" s="131">
        <f>'EXISTENCIA EN SUCURSALES'!V129+'DISTRIBUCIÓN EN SUCURSALES'!V129</f>
        <v>1</v>
      </c>
      <c r="W129" s="131">
        <f>'EXISTENCIA EN SUCURSALES'!W129+'DISTRIBUCIÓN EN SUCURSALES'!W129</f>
        <v>0</v>
      </c>
      <c r="X129" s="131">
        <f>'EXISTENCIA EN SUCURSALES'!X129+'DISTRIBUCIÓN EN SUCURSALES'!X129</f>
        <v>0</v>
      </c>
      <c r="Y129" s="120">
        <f t="shared" si="78"/>
        <v>7</v>
      </c>
      <c r="Z129" s="120">
        <f t="shared" si="79"/>
        <v>17</v>
      </c>
      <c r="AB129" s="131">
        <f>IFERROR(VLOOKUP(A129,'GRAL. SUC. LOCALES'!$A:$N,14,0),0)</f>
        <v>0</v>
      </c>
      <c r="AD129" s="131">
        <f t="shared" si="68"/>
        <v>17</v>
      </c>
      <c r="AF129" s="131"/>
      <c r="AG129" s="131">
        <v>0</v>
      </c>
      <c r="AH129" s="116">
        <f t="shared" si="44"/>
        <v>17</v>
      </c>
    </row>
    <row r="130" spans="1:34" ht="17.399999999999999" x14ac:dyDescent="0.35">
      <c r="A130" s="95" t="s">
        <v>912</v>
      </c>
      <c r="B130" s="131">
        <f>'EXISTENCIA EN SUCURSALES'!B130+'DISTRIBUCIÓN EN SUCURSALES'!B130</f>
        <v>2</v>
      </c>
      <c r="C130" s="131">
        <f>'EXISTENCIA EN SUCURSALES'!C130+'DISTRIBUCIÓN EN SUCURSALES'!C130</f>
        <v>2</v>
      </c>
      <c r="D130" s="120">
        <f>'EXISTENCIA EN SUCURSALES'!D130+'DISTRIBUCIÓN EN SUCURSALES'!D130</f>
        <v>2</v>
      </c>
      <c r="E130" s="120">
        <f>'EXISTENCIA EN SUCURSALES'!E130+'DISTRIBUCIÓN EN SUCURSALES'!E130</f>
        <v>2</v>
      </c>
      <c r="F130" s="120">
        <f>'EXISTENCIA EN SUCURSALES'!F130+'DISTRIBUCIÓN EN SUCURSALES'!F130</f>
        <v>2</v>
      </c>
      <c r="G130" s="120">
        <f>'EXISTENCIA EN SUCURSALES'!G130+'DISTRIBUCIÓN EN SUCURSALES'!G130</f>
        <v>0</v>
      </c>
      <c r="H130" s="120">
        <f>'EXISTENCIA EN SUCURSALES'!H130+'DISTRIBUCIÓN EN SUCURSALES'!H130</f>
        <v>2</v>
      </c>
      <c r="I130" s="120">
        <f>'EXISTENCIA EN SUCURSALES'!I130+'DISTRIBUCIÓN EN SUCURSALES'!I130</f>
        <v>2</v>
      </c>
      <c r="J130" s="120">
        <f>'EXISTENCIA EN SUCURSALES'!J130+'DISTRIBUCIÓN EN SUCURSALES'!J130</f>
        <v>2</v>
      </c>
      <c r="K130" s="120">
        <f>'EXISTENCIA EN SUCURSALES'!K130+'DISTRIBUCIÓN EN SUCURSALES'!K130</f>
        <v>2</v>
      </c>
      <c r="L130" s="120">
        <f t="shared" si="77"/>
        <v>18</v>
      </c>
      <c r="M130" s="131">
        <f>'EXISTENCIA EN SUCURSALES'!M130+'DISTRIBUCIÓN EN SUCURSALES'!M130</f>
        <v>1</v>
      </c>
      <c r="N130" s="131">
        <f>'EXISTENCIA EN SUCURSALES'!N130+'DISTRIBUCIÓN EN SUCURSALES'!N130</f>
        <v>2</v>
      </c>
      <c r="O130" s="131">
        <f>'EXISTENCIA EN SUCURSALES'!O130+'DISTRIBUCIÓN EN SUCURSALES'!O130</f>
        <v>1</v>
      </c>
      <c r="P130" s="131">
        <f>'EXISTENCIA EN SUCURSALES'!P130+'DISTRIBUCIÓN EN SUCURSALES'!P130</f>
        <v>0</v>
      </c>
      <c r="Q130" s="131">
        <f>'EXISTENCIA EN SUCURSALES'!Q130+'DISTRIBUCIÓN EN SUCURSALES'!Q130</f>
        <v>1</v>
      </c>
      <c r="R130" s="131">
        <f>'EXISTENCIA EN SUCURSALES'!R130+'DISTRIBUCIÓN EN SUCURSALES'!R130</f>
        <v>2</v>
      </c>
      <c r="S130" s="131">
        <f>'EXISTENCIA EN SUCURSALES'!S130+'DISTRIBUCIÓN EN SUCURSALES'!S130</f>
        <v>2</v>
      </c>
      <c r="T130" s="131">
        <f>'EXISTENCIA EN SUCURSALES'!T130+'DISTRIBUCIÓN EN SUCURSALES'!T130</f>
        <v>2</v>
      </c>
      <c r="U130" s="131">
        <f>'EXISTENCIA EN SUCURSALES'!U130+'DISTRIBUCIÓN EN SUCURSALES'!U130</f>
        <v>1</v>
      </c>
      <c r="V130" s="131">
        <f>'EXISTENCIA EN SUCURSALES'!V130+'DISTRIBUCIÓN EN SUCURSALES'!V130</f>
        <v>2</v>
      </c>
      <c r="W130" s="131">
        <f>'EXISTENCIA EN SUCURSALES'!W130+'DISTRIBUCIÓN EN SUCURSALES'!W130</f>
        <v>1</v>
      </c>
      <c r="X130" s="131">
        <f>'EXISTENCIA EN SUCURSALES'!X130+'DISTRIBUCIÓN EN SUCURSALES'!X130</f>
        <v>0</v>
      </c>
      <c r="Y130" s="120">
        <f t="shared" si="78"/>
        <v>15</v>
      </c>
      <c r="Z130" s="120">
        <f t="shared" si="79"/>
        <v>33</v>
      </c>
      <c r="AB130" s="131">
        <f>IFERROR(VLOOKUP(A130,'GRAL. SUC. LOCALES'!$A:$N,14,0),0)</f>
        <v>0</v>
      </c>
      <c r="AD130" s="131">
        <f t="shared" si="68"/>
        <v>33</v>
      </c>
      <c r="AF130" s="131"/>
      <c r="AG130" s="131">
        <v>0</v>
      </c>
      <c r="AH130" s="116">
        <f t="shared" si="44"/>
        <v>33</v>
      </c>
    </row>
    <row r="131" spans="1:34" ht="17.399999999999999" x14ac:dyDescent="0.35">
      <c r="A131" s="95" t="s">
        <v>557</v>
      </c>
      <c r="B131" s="131">
        <f>'EXISTENCIA EN SUCURSALES'!B131+'DISTRIBUCIÓN EN SUCURSALES'!B131</f>
        <v>2</v>
      </c>
      <c r="C131" s="131">
        <f>'EXISTENCIA EN SUCURSALES'!C131+'DISTRIBUCIÓN EN SUCURSALES'!C131</f>
        <v>2</v>
      </c>
      <c r="D131" s="120">
        <f>'EXISTENCIA EN SUCURSALES'!D131+'DISTRIBUCIÓN EN SUCURSALES'!D131</f>
        <v>2</v>
      </c>
      <c r="E131" s="120">
        <f>'EXISTENCIA EN SUCURSALES'!E131+'DISTRIBUCIÓN EN SUCURSALES'!E131</f>
        <v>2</v>
      </c>
      <c r="F131" s="120">
        <f>'EXISTENCIA EN SUCURSALES'!F131+'DISTRIBUCIÓN EN SUCURSALES'!F131</f>
        <v>2</v>
      </c>
      <c r="G131" s="120">
        <f>'EXISTENCIA EN SUCURSALES'!G131+'DISTRIBUCIÓN EN SUCURSALES'!G131</f>
        <v>0</v>
      </c>
      <c r="H131" s="120">
        <f>'EXISTENCIA EN SUCURSALES'!H131+'DISTRIBUCIÓN EN SUCURSALES'!H131</f>
        <v>2</v>
      </c>
      <c r="I131" s="120">
        <f>'EXISTENCIA EN SUCURSALES'!I131+'DISTRIBUCIÓN EN SUCURSALES'!I131</f>
        <v>2</v>
      </c>
      <c r="J131" s="120">
        <f>'EXISTENCIA EN SUCURSALES'!J131+'DISTRIBUCIÓN EN SUCURSALES'!J131</f>
        <v>2</v>
      </c>
      <c r="K131" s="120">
        <f>'EXISTENCIA EN SUCURSALES'!K131+'DISTRIBUCIÓN EN SUCURSALES'!K131</f>
        <v>2</v>
      </c>
      <c r="L131" s="120">
        <f t="shared" si="77"/>
        <v>18</v>
      </c>
      <c r="M131" s="131">
        <f>'EXISTENCIA EN SUCURSALES'!M131+'DISTRIBUCIÓN EN SUCURSALES'!M131</f>
        <v>0</v>
      </c>
      <c r="N131" s="131">
        <f>'EXISTENCIA EN SUCURSALES'!N131+'DISTRIBUCIÓN EN SUCURSALES'!N131</f>
        <v>2</v>
      </c>
      <c r="O131" s="131">
        <f>'EXISTENCIA EN SUCURSALES'!O131+'DISTRIBUCIÓN EN SUCURSALES'!O131</f>
        <v>0</v>
      </c>
      <c r="P131" s="131">
        <f>'EXISTENCIA EN SUCURSALES'!P131+'DISTRIBUCIÓN EN SUCURSALES'!P131</f>
        <v>0</v>
      </c>
      <c r="Q131" s="131">
        <f>'EXISTENCIA EN SUCURSALES'!Q131+'DISTRIBUCIÓN EN SUCURSALES'!Q131</f>
        <v>0</v>
      </c>
      <c r="R131" s="131">
        <f>'EXISTENCIA EN SUCURSALES'!R131+'DISTRIBUCIÓN EN SUCURSALES'!R131</f>
        <v>0</v>
      </c>
      <c r="S131" s="131">
        <f>'EXISTENCIA EN SUCURSALES'!S131+'DISTRIBUCIÓN EN SUCURSALES'!S131</f>
        <v>0</v>
      </c>
      <c r="T131" s="131">
        <f>'EXISTENCIA EN SUCURSALES'!T131+'DISTRIBUCIÓN EN SUCURSALES'!T131</f>
        <v>2</v>
      </c>
      <c r="U131" s="131">
        <f>'EXISTENCIA EN SUCURSALES'!U131+'DISTRIBUCIÓN EN SUCURSALES'!U131</f>
        <v>1</v>
      </c>
      <c r="V131" s="131">
        <f>'EXISTENCIA EN SUCURSALES'!V131+'DISTRIBUCIÓN EN SUCURSALES'!V131</f>
        <v>2</v>
      </c>
      <c r="W131" s="131">
        <f>'EXISTENCIA EN SUCURSALES'!W131+'DISTRIBUCIÓN EN SUCURSALES'!W131</f>
        <v>2</v>
      </c>
      <c r="X131" s="131">
        <f>'EXISTENCIA EN SUCURSALES'!X131+'DISTRIBUCIÓN EN SUCURSALES'!X131</f>
        <v>0</v>
      </c>
      <c r="Y131" s="120">
        <f t="shared" si="78"/>
        <v>9</v>
      </c>
      <c r="Z131" s="120">
        <f t="shared" si="79"/>
        <v>27</v>
      </c>
      <c r="AB131" s="131">
        <f>IFERROR(VLOOKUP(A131,'GRAL. SUC. LOCALES'!$A:$N,14,0),0)</f>
        <v>2</v>
      </c>
      <c r="AD131" s="131">
        <f t="shared" si="68"/>
        <v>29</v>
      </c>
      <c r="AF131" s="131"/>
      <c r="AG131" s="131">
        <v>0</v>
      </c>
      <c r="AH131" s="116">
        <f t="shared" si="44"/>
        <v>29</v>
      </c>
    </row>
    <row r="132" spans="1:34" ht="17.399999999999999" x14ac:dyDescent="0.35">
      <c r="A132" s="95" t="s">
        <v>573</v>
      </c>
      <c r="B132" s="131">
        <f>'EXISTENCIA EN SUCURSALES'!B132+'DISTRIBUCIÓN EN SUCURSALES'!B132</f>
        <v>0</v>
      </c>
      <c r="C132" s="131">
        <f>'EXISTENCIA EN SUCURSALES'!C132+'DISTRIBUCIÓN EN SUCURSALES'!C132</f>
        <v>2</v>
      </c>
      <c r="D132" s="120">
        <f>'EXISTENCIA EN SUCURSALES'!D132+'DISTRIBUCIÓN EN SUCURSALES'!D132</f>
        <v>2</v>
      </c>
      <c r="E132" s="120">
        <f>'EXISTENCIA EN SUCURSALES'!E132+'DISTRIBUCIÓN EN SUCURSALES'!E132</f>
        <v>0</v>
      </c>
      <c r="F132" s="120">
        <f>'EXISTENCIA EN SUCURSALES'!F132+'DISTRIBUCIÓN EN SUCURSALES'!F132</f>
        <v>0</v>
      </c>
      <c r="G132" s="120">
        <f>'EXISTENCIA EN SUCURSALES'!G132+'DISTRIBUCIÓN EN SUCURSALES'!G132</f>
        <v>0</v>
      </c>
      <c r="H132" s="120">
        <f>'EXISTENCIA EN SUCURSALES'!H132+'DISTRIBUCIÓN EN SUCURSALES'!H132</f>
        <v>0</v>
      </c>
      <c r="I132" s="120">
        <f>'EXISTENCIA EN SUCURSALES'!I132+'DISTRIBUCIÓN EN SUCURSALES'!I132</f>
        <v>0</v>
      </c>
      <c r="J132" s="120">
        <f>'EXISTENCIA EN SUCURSALES'!J132+'DISTRIBUCIÓN EN SUCURSALES'!J132</f>
        <v>0</v>
      </c>
      <c r="K132" s="120">
        <f>'EXISTENCIA EN SUCURSALES'!K132+'DISTRIBUCIÓN EN SUCURSALES'!K132</f>
        <v>0</v>
      </c>
      <c r="L132" s="120">
        <f t="shared" si="77"/>
        <v>4</v>
      </c>
      <c r="M132" s="131">
        <f>'EXISTENCIA EN SUCURSALES'!M132+'DISTRIBUCIÓN EN SUCURSALES'!M132</f>
        <v>1</v>
      </c>
      <c r="N132" s="131">
        <f>'EXISTENCIA EN SUCURSALES'!N132+'DISTRIBUCIÓN EN SUCURSALES'!N132</f>
        <v>1</v>
      </c>
      <c r="O132" s="131">
        <f>'EXISTENCIA EN SUCURSALES'!O132+'DISTRIBUCIÓN EN SUCURSALES'!O132</f>
        <v>0</v>
      </c>
      <c r="P132" s="131">
        <f>'EXISTENCIA EN SUCURSALES'!P132+'DISTRIBUCIÓN EN SUCURSALES'!P132</f>
        <v>1</v>
      </c>
      <c r="Q132" s="131">
        <f>'EXISTENCIA EN SUCURSALES'!Q132+'DISTRIBUCIÓN EN SUCURSALES'!Q132</f>
        <v>1</v>
      </c>
      <c r="R132" s="131">
        <f>'EXISTENCIA EN SUCURSALES'!R132+'DISTRIBUCIÓN EN SUCURSALES'!R132</f>
        <v>1</v>
      </c>
      <c r="S132" s="131">
        <f>'EXISTENCIA EN SUCURSALES'!S132+'DISTRIBUCIÓN EN SUCURSALES'!S132</f>
        <v>0</v>
      </c>
      <c r="T132" s="131">
        <f>'EXISTENCIA EN SUCURSALES'!T132+'DISTRIBUCIÓN EN SUCURSALES'!T132</f>
        <v>0</v>
      </c>
      <c r="U132" s="131">
        <f>'EXISTENCIA EN SUCURSALES'!U132+'DISTRIBUCIÓN EN SUCURSALES'!U132</f>
        <v>1</v>
      </c>
      <c r="V132" s="131">
        <f>'EXISTENCIA EN SUCURSALES'!V132+'DISTRIBUCIÓN EN SUCURSALES'!V132</f>
        <v>0</v>
      </c>
      <c r="W132" s="131">
        <f>'EXISTENCIA EN SUCURSALES'!W132+'DISTRIBUCIÓN EN SUCURSALES'!W132</f>
        <v>1</v>
      </c>
      <c r="X132" s="131">
        <f>'EXISTENCIA EN SUCURSALES'!X132+'DISTRIBUCIÓN EN SUCURSALES'!X132</f>
        <v>0</v>
      </c>
      <c r="Y132" s="120">
        <f t="shared" si="78"/>
        <v>7</v>
      </c>
      <c r="Z132" s="120">
        <f t="shared" si="79"/>
        <v>11</v>
      </c>
      <c r="AB132" s="131">
        <f>IFERROR(VLOOKUP(A132,'GRAL. SUC. LOCALES'!$A:$N,14,0),0)</f>
        <v>0</v>
      </c>
      <c r="AD132" s="131">
        <f t="shared" si="68"/>
        <v>11</v>
      </c>
      <c r="AF132" s="131"/>
      <c r="AG132" s="131">
        <v>0</v>
      </c>
      <c r="AH132" s="116">
        <f t="shared" ref="AH132:AH140" si="80">AD132-AF132</f>
        <v>11</v>
      </c>
    </row>
    <row r="133" spans="1:34" ht="17.399999999999999" x14ac:dyDescent="0.35">
      <c r="A133" s="95" t="s">
        <v>421</v>
      </c>
      <c r="B133" s="131">
        <f>'EXISTENCIA EN SUCURSALES'!B133+'DISTRIBUCIÓN EN SUCURSALES'!B133</f>
        <v>2</v>
      </c>
      <c r="C133" s="131">
        <f>'EXISTENCIA EN SUCURSALES'!C133+'DISTRIBUCIÓN EN SUCURSALES'!C133</f>
        <v>2</v>
      </c>
      <c r="D133" s="120">
        <f>'EXISTENCIA EN SUCURSALES'!D133+'DISTRIBUCIÓN EN SUCURSALES'!D133</f>
        <v>2</v>
      </c>
      <c r="E133" s="120">
        <f>'EXISTENCIA EN SUCURSALES'!E133+'DISTRIBUCIÓN EN SUCURSALES'!E133</f>
        <v>2</v>
      </c>
      <c r="F133" s="120">
        <f>'EXISTENCIA EN SUCURSALES'!F133+'DISTRIBUCIÓN EN SUCURSALES'!F133</f>
        <v>4</v>
      </c>
      <c r="G133" s="120">
        <f>'EXISTENCIA EN SUCURSALES'!G133+'DISTRIBUCIÓN EN SUCURSALES'!G133</f>
        <v>0</v>
      </c>
      <c r="H133" s="120">
        <f>'EXISTENCIA EN SUCURSALES'!H133+'DISTRIBUCIÓN EN SUCURSALES'!H133</f>
        <v>3</v>
      </c>
      <c r="I133" s="120">
        <f>'EXISTENCIA EN SUCURSALES'!I133+'DISTRIBUCIÓN EN SUCURSALES'!I133</f>
        <v>3</v>
      </c>
      <c r="J133" s="120">
        <f>'EXISTENCIA EN SUCURSALES'!J133+'DISTRIBUCIÓN EN SUCURSALES'!J133</f>
        <v>2</v>
      </c>
      <c r="K133" s="120">
        <f>'EXISTENCIA EN SUCURSALES'!K133+'DISTRIBUCIÓN EN SUCURSALES'!K133</f>
        <v>2</v>
      </c>
      <c r="L133" s="120">
        <f t="shared" si="77"/>
        <v>22</v>
      </c>
      <c r="M133" s="131">
        <f>'EXISTENCIA EN SUCURSALES'!M133+'DISTRIBUCIÓN EN SUCURSALES'!M133</f>
        <v>2</v>
      </c>
      <c r="N133" s="131">
        <f>'EXISTENCIA EN SUCURSALES'!N133+'DISTRIBUCIÓN EN SUCURSALES'!N133</f>
        <v>2</v>
      </c>
      <c r="O133" s="131">
        <f>'EXISTENCIA EN SUCURSALES'!O133+'DISTRIBUCIÓN EN SUCURSALES'!O133</f>
        <v>2</v>
      </c>
      <c r="P133" s="131">
        <f>'EXISTENCIA EN SUCURSALES'!P133+'DISTRIBUCIÓN EN SUCURSALES'!P133</f>
        <v>2</v>
      </c>
      <c r="Q133" s="131">
        <f>'EXISTENCIA EN SUCURSALES'!Q133+'DISTRIBUCIÓN EN SUCURSALES'!Q133</f>
        <v>2</v>
      </c>
      <c r="R133" s="131">
        <f>'EXISTENCIA EN SUCURSALES'!R133+'DISTRIBUCIÓN EN SUCURSALES'!R133</f>
        <v>2</v>
      </c>
      <c r="S133" s="131">
        <f>'EXISTENCIA EN SUCURSALES'!S133+'DISTRIBUCIÓN EN SUCURSALES'!S133</f>
        <v>2</v>
      </c>
      <c r="T133" s="131">
        <f>'EXISTENCIA EN SUCURSALES'!T133+'DISTRIBUCIÓN EN SUCURSALES'!T133</f>
        <v>0</v>
      </c>
      <c r="U133" s="131">
        <f>'EXISTENCIA EN SUCURSALES'!U133+'DISTRIBUCIÓN EN SUCURSALES'!U133</f>
        <v>2</v>
      </c>
      <c r="V133" s="131">
        <f>'EXISTENCIA EN SUCURSALES'!V133+'DISTRIBUCIÓN EN SUCURSALES'!V133</f>
        <v>2</v>
      </c>
      <c r="W133" s="131">
        <f>'EXISTENCIA EN SUCURSALES'!W133+'DISTRIBUCIÓN EN SUCURSALES'!W133</f>
        <v>2</v>
      </c>
      <c r="X133" s="131">
        <f>'EXISTENCIA EN SUCURSALES'!X133+'DISTRIBUCIÓN EN SUCURSALES'!X133</f>
        <v>1</v>
      </c>
      <c r="Y133" s="120">
        <f t="shared" si="78"/>
        <v>21</v>
      </c>
      <c r="Z133" s="120">
        <f t="shared" si="79"/>
        <v>43</v>
      </c>
      <c r="AB133" s="131">
        <f>IFERROR(VLOOKUP(A133,'GRAL. SUC. LOCALES'!$A:$N,14,0),0)</f>
        <v>1</v>
      </c>
      <c r="AD133" s="131">
        <f t="shared" si="68"/>
        <v>44</v>
      </c>
      <c r="AF133" s="131"/>
      <c r="AG133" s="131">
        <v>0</v>
      </c>
      <c r="AH133" s="116">
        <f t="shared" si="80"/>
        <v>44</v>
      </c>
    </row>
    <row r="134" spans="1:34" ht="17.399999999999999" x14ac:dyDescent="0.35">
      <c r="A134" s="95" t="s">
        <v>249</v>
      </c>
      <c r="B134" s="131">
        <f>'EXISTENCIA EN SUCURSALES'!B134+'DISTRIBUCIÓN EN SUCURSALES'!B134</f>
        <v>2</v>
      </c>
      <c r="C134" s="131">
        <f>'EXISTENCIA EN SUCURSALES'!C134+'DISTRIBUCIÓN EN SUCURSALES'!C134</f>
        <v>0</v>
      </c>
      <c r="D134" s="120">
        <f>'EXISTENCIA EN SUCURSALES'!D134+'DISTRIBUCIÓN EN SUCURSALES'!D134</f>
        <v>2</v>
      </c>
      <c r="E134" s="120">
        <f>'EXISTENCIA EN SUCURSALES'!E134+'DISTRIBUCIÓN EN SUCURSALES'!E134</f>
        <v>2</v>
      </c>
      <c r="F134" s="120">
        <f>'EXISTENCIA EN SUCURSALES'!F134+'DISTRIBUCIÓN EN SUCURSALES'!F134</f>
        <v>2</v>
      </c>
      <c r="G134" s="120">
        <f>'EXISTENCIA EN SUCURSALES'!G134+'DISTRIBUCIÓN EN SUCURSALES'!G134</f>
        <v>0</v>
      </c>
      <c r="H134" s="120">
        <f>'EXISTENCIA EN SUCURSALES'!H134+'DISTRIBUCIÓN EN SUCURSALES'!H134</f>
        <v>2</v>
      </c>
      <c r="I134" s="120">
        <f>'EXISTENCIA EN SUCURSALES'!I134+'DISTRIBUCIÓN EN SUCURSALES'!I134</f>
        <v>2</v>
      </c>
      <c r="J134" s="120">
        <f>'EXISTENCIA EN SUCURSALES'!J134+'DISTRIBUCIÓN EN SUCURSALES'!J134</f>
        <v>2</v>
      </c>
      <c r="K134" s="120">
        <f>'EXISTENCIA EN SUCURSALES'!K134+'DISTRIBUCIÓN EN SUCURSALES'!K134</f>
        <v>2</v>
      </c>
      <c r="L134" s="120">
        <f t="shared" si="77"/>
        <v>16</v>
      </c>
      <c r="M134" s="131">
        <f>'EXISTENCIA EN SUCURSALES'!M134+'DISTRIBUCIÓN EN SUCURSALES'!M134</f>
        <v>1</v>
      </c>
      <c r="N134" s="131">
        <f>'EXISTENCIA EN SUCURSALES'!N134+'DISTRIBUCIÓN EN SUCURSALES'!N134</f>
        <v>2</v>
      </c>
      <c r="O134" s="131">
        <f>'EXISTENCIA EN SUCURSALES'!O134+'DISTRIBUCIÓN EN SUCURSALES'!O134</f>
        <v>0</v>
      </c>
      <c r="P134" s="131">
        <f>'EXISTENCIA EN SUCURSALES'!P134+'DISTRIBUCIÓN EN SUCURSALES'!P134</f>
        <v>0</v>
      </c>
      <c r="Q134" s="131">
        <f>'EXISTENCIA EN SUCURSALES'!Q134+'DISTRIBUCIÓN EN SUCURSALES'!Q134</f>
        <v>0</v>
      </c>
      <c r="R134" s="131">
        <f>'EXISTENCIA EN SUCURSALES'!R134+'DISTRIBUCIÓN EN SUCURSALES'!R134</f>
        <v>0</v>
      </c>
      <c r="S134" s="131">
        <f>'EXISTENCIA EN SUCURSALES'!S134+'DISTRIBUCIÓN EN SUCURSALES'!S134</f>
        <v>2</v>
      </c>
      <c r="T134" s="131">
        <f>'EXISTENCIA EN SUCURSALES'!T134+'DISTRIBUCIÓN EN SUCURSALES'!T134</f>
        <v>1</v>
      </c>
      <c r="U134" s="131">
        <f>'EXISTENCIA EN SUCURSALES'!U134+'DISTRIBUCIÓN EN SUCURSALES'!U134</f>
        <v>2</v>
      </c>
      <c r="V134" s="131">
        <f>'EXISTENCIA EN SUCURSALES'!V134+'DISTRIBUCIÓN EN SUCURSALES'!V134</f>
        <v>2</v>
      </c>
      <c r="W134" s="131">
        <f>'EXISTENCIA EN SUCURSALES'!W134+'DISTRIBUCIÓN EN SUCURSALES'!W134</f>
        <v>0</v>
      </c>
      <c r="X134" s="131">
        <f>'EXISTENCIA EN SUCURSALES'!X134+'DISTRIBUCIÓN EN SUCURSALES'!X134</f>
        <v>1</v>
      </c>
      <c r="Y134" s="120">
        <f t="shared" si="78"/>
        <v>11</v>
      </c>
      <c r="Z134" s="120">
        <f t="shared" si="79"/>
        <v>27</v>
      </c>
      <c r="AB134" s="131">
        <f>IFERROR(VLOOKUP(A134,'GRAL. SUC. LOCALES'!$A:$N,14,0),0)</f>
        <v>0</v>
      </c>
      <c r="AD134" s="131">
        <f t="shared" si="68"/>
        <v>27</v>
      </c>
      <c r="AF134" s="131"/>
      <c r="AG134" s="131">
        <v>0</v>
      </c>
      <c r="AH134" s="116">
        <f t="shared" si="80"/>
        <v>27</v>
      </c>
    </row>
    <row r="135" spans="1:34" ht="17.399999999999999" x14ac:dyDescent="0.35">
      <c r="A135" s="95" t="s">
        <v>1030</v>
      </c>
      <c r="B135" s="131">
        <f>'EXISTENCIA EN SUCURSALES'!B135+'DISTRIBUCIÓN EN SUCURSALES'!B135</f>
        <v>1</v>
      </c>
      <c r="C135" s="131">
        <f>'EXISTENCIA EN SUCURSALES'!C135+'DISTRIBUCIÓN EN SUCURSALES'!C135</f>
        <v>0</v>
      </c>
      <c r="D135" s="120">
        <f>'EXISTENCIA EN SUCURSALES'!D135+'DISTRIBUCIÓN EN SUCURSALES'!D135</f>
        <v>5</v>
      </c>
      <c r="E135" s="120">
        <f>'EXISTENCIA EN SUCURSALES'!E135+'DISTRIBUCIÓN EN SUCURSALES'!E135</f>
        <v>6</v>
      </c>
      <c r="F135" s="120">
        <f>'EXISTENCIA EN SUCURSALES'!F135+'DISTRIBUCIÓN EN SUCURSALES'!F135</f>
        <v>4</v>
      </c>
      <c r="G135" s="120">
        <f>'EXISTENCIA EN SUCURSALES'!G135+'DISTRIBUCIÓN EN SUCURSALES'!G135</f>
        <v>0</v>
      </c>
      <c r="H135" s="120">
        <f>'EXISTENCIA EN SUCURSALES'!H135+'DISTRIBUCIÓN EN SUCURSALES'!H135</f>
        <v>5</v>
      </c>
      <c r="I135" s="120">
        <f>'EXISTENCIA EN SUCURSALES'!I135+'DISTRIBUCIÓN EN SUCURSALES'!I135</f>
        <v>5</v>
      </c>
      <c r="J135" s="120">
        <f>'EXISTENCIA EN SUCURSALES'!J135+'DISTRIBUCIÓN EN SUCURSALES'!J135</f>
        <v>5</v>
      </c>
      <c r="K135" s="120">
        <f>'EXISTENCIA EN SUCURSALES'!K135+'DISTRIBUCIÓN EN SUCURSALES'!K135</f>
        <v>4</v>
      </c>
      <c r="L135" s="120">
        <f t="shared" si="77"/>
        <v>35</v>
      </c>
      <c r="M135" s="131">
        <f>'EXISTENCIA EN SUCURSALES'!M135+'DISTRIBUCIÓN EN SUCURSALES'!M135</f>
        <v>5</v>
      </c>
      <c r="N135" s="131">
        <f>'EXISTENCIA EN SUCURSALES'!N135+'DISTRIBUCIÓN EN SUCURSALES'!N135</f>
        <v>6</v>
      </c>
      <c r="O135" s="131">
        <f>'EXISTENCIA EN SUCURSALES'!O135+'DISTRIBUCIÓN EN SUCURSALES'!O135</f>
        <v>3</v>
      </c>
      <c r="P135" s="131">
        <f>'EXISTENCIA EN SUCURSALES'!P135+'DISTRIBUCIÓN EN SUCURSALES'!P135</f>
        <v>3</v>
      </c>
      <c r="Q135" s="131">
        <f>'EXISTENCIA EN SUCURSALES'!Q135+'DISTRIBUCIÓN EN SUCURSALES'!Q135</f>
        <v>0</v>
      </c>
      <c r="R135" s="131">
        <f>'EXISTENCIA EN SUCURSALES'!R135+'DISTRIBUCIÓN EN SUCURSALES'!R135</f>
        <v>0</v>
      </c>
      <c r="S135" s="131">
        <f>'EXISTENCIA EN SUCURSALES'!S135+'DISTRIBUCIÓN EN SUCURSALES'!S135</f>
        <v>5</v>
      </c>
      <c r="T135" s="131">
        <f>'EXISTENCIA EN SUCURSALES'!T135+'DISTRIBUCIÓN EN SUCURSALES'!T135</f>
        <v>4</v>
      </c>
      <c r="U135" s="131">
        <f>'EXISTENCIA EN SUCURSALES'!U135+'DISTRIBUCIÓN EN SUCURSALES'!U135</f>
        <v>5</v>
      </c>
      <c r="V135" s="131">
        <f>'EXISTENCIA EN SUCURSALES'!V135+'DISTRIBUCIÓN EN SUCURSALES'!V135</f>
        <v>4</v>
      </c>
      <c r="W135" s="131">
        <f>'EXISTENCIA EN SUCURSALES'!W135+'DISTRIBUCIÓN EN SUCURSALES'!W135</f>
        <v>1</v>
      </c>
      <c r="X135" s="131">
        <f>'EXISTENCIA EN SUCURSALES'!X135+'DISTRIBUCIÓN EN SUCURSALES'!X135</f>
        <v>0</v>
      </c>
      <c r="Y135" s="120">
        <f t="shared" si="78"/>
        <v>36</v>
      </c>
      <c r="Z135" s="120">
        <f t="shared" si="79"/>
        <v>71</v>
      </c>
      <c r="AB135" s="131">
        <f>IFERROR(VLOOKUP(A135,'GRAL. SUC. LOCALES'!$A:$N,14,0),0)</f>
        <v>0</v>
      </c>
      <c r="AD135" s="131">
        <f t="shared" si="68"/>
        <v>71</v>
      </c>
      <c r="AF135" s="131"/>
      <c r="AG135" s="131">
        <v>0</v>
      </c>
      <c r="AH135" s="116">
        <f t="shared" si="80"/>
        <v>71</v>
      </c>
    </row>
    <row r="136" spans="1:34" ht="17.399999999999999" x14ac:dyDescent="0.35">
      <c r="A136" s="95" t="s">
        <v>253</v>
      </c>
      <c r="B136" s="131">
        <f>'EXISTENCIA EN SUCURSALES'!B136+'DISTRIBUCIÓN EN SUCURSALES'!B136</f>
        <v>6</v>
      </c>
      <c r="C136" s="131">
        <f>'EXISTENCIA EN SUCURSALES'!C136+'DISTRIBUCIÓN EN SUCURSALES'!C136</f>
        <v>6</v>
      </c>
      <c r="D136" s="120">
        <f>'EXISTENCIA EN SUCURSALES'!D136+'DISTRIBUCIÓN EN SUCURSALES'!D136</f>
        <v>2</v>
      </c>
      <c r="E136" s="120">
        <f>'EXISTENCIA EN SUCURSALES'!E136+'DISTRIBUCIÓN EN SUCURSALES'!E136</f>
        <v>2</v>
      </c>
      <c r="F136" s="120">
        <f>'EXISTENCIA EN SUCURSALES'!F136+'DISTRIBUCIÓN EN SUCURSALES'!F136</f>
        <v>4</v>
      </c>
      <c r="G136" s="120">
        <f>'EXISTENCIA EN SUCURSALES'!G136+'DISTRIBUCIÓN EN SUCURSALES'!G136</f>
        <v>0</v>
      </c>
      <c r="H136" s="120">
        <f>'EXISTENCIA EN SUCURSALES'!H136+'DISTRIBUCIÓN EN SUCURSALES'!H136</f>
        <v>2</v>
      </c>
      <c r="I136" s="120">
        <f>'EXISTENCIA EN SUCURSALES'!I136+'DISTRIBUCIÓN EN SUCURSALES'!I136</f>
        <v>2</v>
      </c>
      <c r="J136" s="120">
        <f>'EXISTENCIA EN SUCURSALES'!J136+'DISTRIBUCIÓN EN SUCURSALES'!J136</f>
        <v>4</v>
      </c>
      <c r="K136" s="120">
        <f>'EXISTENCIA EN SUCURSALES'!K136+'DISTRIBUCIÓN EN SUCURSALES'!K136</f>
        <v>3</v>
      </c>
      <c r="L136" s="120">
        <f t="shared" si="77"/>
        <v>31</v>
      </c>
      <c r="M136" s="131">
        <f>'EXISTENCIA EN SUCURSALES'!M136+'DISTRIBUCIÓN EN SUCURSALES'!M136</f>
        <v>2</v>
      </c>
      <c r="N136" s="131">
        <f>'EXISTENCIA EN SUCURSALES'!N136+'DISTRIBUCIÓN EN SUCURSALES'!N136</f>
        <v>2</v>
      </c>
      <c r="O136" s="131">
        <f>'EXISTENCIA EN SUCURSALES'!O136+'DISTRIBUCIÓN EN SUCURSALES'!O136</f>
        <v>0</v>
      </c>
      <c r="P136" s="131">
        <f>'EXISTENCIA EN SUCURSALES'!P136+'DISTRIBUCIÓN EN SUCURSALES'!P136</f>
        <v>2</v>
      </c>
      <c r="Q136" s="131">
        <f>'EXISTENCIA EN SUCURSALES'!Q136+'DISTRIBUCIÓN EN SUCURSALES'!Q136</f>
        <v>4</v>
      </c>
      <c r="R136" s="131">
        <f>'EXISTENCIA EN SUCURSALES'!R136+'DISTRIBUCIÓN EN SUCURSALES'!R136</f>
        <v>4</v>
      </c>
      <c r="S136" s="131">
        <f>'EXISTENCIA EN SUCURSALES'!S136+'DISTRIBUCIÓN EN SUCURSALES'!S136</f>
        <v>0</v>
      </c>
      <c r="T136" s="131">
        <f>'EXISTENCIA EN SUCURSALES'!T136+'DISTRIBUCIÓN EN SUCURSALES'!T136</f>
        <v>2</v>
      </c>
      <c r="U136" s="131">
        <f>'EXISTENCIA EN SUCURSALES'!U136+'DISTRIBUCIÓN EN SUCURSALES'!U136</f>
        <v>0</v>
      </c>
      <c r="V136" s="131">
        <f>'EXISTENCIA EN SUCURSALES'!V136+'DISTRIBUCIÓN EN SUCURSALES'!V136</f>
        <v>4</v>
      </c>
      <c r="W136" s="131">
        <f>'EXISTENCIA EN SUCURSALES'!W136+'DISTRIBUCIÓN EN SUCURSALES'!W136</f>
        <v>2</v>
      </c>
      <c r="X136" s="131">
        <f>'EXISTENCIA EN SUCURSALES'!X136+'DISTRIBUCIÓN EN SUCURSALES'!X136</f>
        <v>1</v>
      </c>
      <c r="Y136" s="120">
        <f t="shared" si="78"/>
        <v>23</v>
      </c>
      <c r="Z136" s="120">
        <f t="shared" si="79"/>
        <v>54</v>
      </c>
      <c r="AB136" s="131">
        <f>IFERROR(VLOOKUP(A136,'GRAL. SUC. LOCALES'!$A:$N,14,0),0)</f>
        <v>16</v>
      </c>
      <c r="AD136" s="131">
        <f t="shared" si="68"/>
        <v>70</v>
      </c>
      <c r="AF136" s="131"/>
      <c r="AG136" s="131">
        <v>0</v>
      </c>
      <c r="AH136" s="116">
        <f t="shared" si="80"/>
        <v>70</v>
      </c>
    </row>
    <row r="137" spans="1:34" ht="17.399999999999999" x14ac:dyDescent="0.35">
      <c r="A137" s="95" t="s">
        <v>240</v>
      </c>
      <c r="B137" s="131">
        <f>'EXISTENCIA EN SUCURSALES'!B137+'DISTRIBUCIÓN EN SUCURSALES'!B137</f>
        <v>0</v>
      </c>
      <c r="C137" s="131">
        <f>'EXISTENCIA EN SUCURSALES'!C137+'DISTRIBUCIÓN EN SUCURSALES'!C137</f>
        <v>0</v>
      </c>
      <c r="D137" s="120">
        <f>'EXISTENCIA EN SUCURSALES'!D137+'DISTRIBUCIÓN EN SUCURSALES'!D137</f>
        <v>0</v>
      </c>
      <c r="E137" s="120">
        <f>'EXISTENCIA EN SUCURSALES'!E137+'DISTRIBUCIÓN EN SUCURSALES'!E137</f>
        <v>0</v>
      </c>
      <c r="F137" s="120">
        <f>'EXISTENCIA EN SUCURSALES'!F137+'DISTRIBUCIÓN EN SUCURSALES'!F137</f>
        <v>0</v>
      </c>
      <c r="G137" s="120">
        <f>'EXISTENCIA EN SUCURSALES'!G137+'DISTRIBUCIÓN EN SUCURSALES'!G137</f>
        <v>0</v>
      </c>
      <c r="H137" s="120">
        <f>'EXISTENCIA EN SUCURSALES'!H137+'DISTRIBUCIÓN EN SUCURSALES'!H137</f>
        <v>0</v>
      </c>
      <c r="I137" s="120">
        <f>'EXISTENCIA EN SUCURSALES'!I137+'DISTRIBUCIÓN EN SUCURSALES'!I137</f>
        <v>0</v>
      </c>
      <c r="J137" s="120">
        <f>'EXISTENCIA EN SUCURSALES'!J137+'DISTRIBUCIÓN EN SUCURSALES'!J137</f>
        <v>0</v>
      </c>
      <c r="K137" s="120">
        <f>'EXISTENCIA EN SUCURSALES'!K137+'DISTRIBUCIÓN EN SUCURSALES'!K137</f>
        <v>0</v>
      </c>
      <c r="L137" s="120">
        <f t="shared" si="77"/>
        <v>0</v>
      </c>
      <c r="M137" s="131">
        <f>'EXISTENCIA EN SUCURSALES'!M137+'DISTRIBUCIÓN EN SUCURSALES'!M137</f>
        <v>0</v>
      </c>
      <c r="N137" s="131">
        <f>'EXISTENCIA EN SUCURSALES'!N137+'DISTRIBUCIÓN EN SUCURSALES'!N137</f>
        <v>0</v>
      </c>
      <c r="O137" s="131">
        <f>'EXISTENCIA EN SUCURSALES'!O137+'DISTRIBUCIÓN EN SUCURSALES'!O137</f>
        <v>0</v>
      </c>
      <c r="P137" s="131">
        <f>'EXISTENCIA EN SUCURSALES'!P137+'DISTRIBUCIÓN EN SUCURSALES'!P137</f>
        <v>0</v>
      </c>
      <c r="Q137" s="131">
        <f>'EXISTENCIA EN SUCURSALES'!Q137+'DISTRIBUCIÓN EN SUCURSALES'!Q137</f>
        <v>0</v>
      </c>
      <c r="R137" s="131">
        <f>'EXISTENCIA EN SUCURSALES'!R137+'DISTRIBUCIÓN EN SUCURSALES'!R137</f>
        <v>0</v>
      </c>
      <c r="S137" s="131">
        <f>'EXISTENCIA EN SUCURSALES'!S137+'DISTRIBUCIÓN EN SUCURSALES'!S137</f>
        <v>0</v>
      </c>
      <c r="T137" s="131">
        <f>'EXISTENCIA EN SUCURSALES'!T137+'DISTRIBUCIÓN EN SUCURSALES'!T137</f>
        <v>0</v>
      </c>
      <c r="U137" s="131">
        <f>'EXISTENCIA EN SUCURSALES'!U137+'DISTRIBUCIÓN EN SUCURSALES'!U137</f>
        <v>0</v>
      </c>
      <c r="V137" s="131">
        <f>'EXISTENCIA EN SUCURSALES'!V137+'DISTRIBUCIÓN EN SUCURSALES'!V137</f>
        <v>0</v>
      </c>
      <c r="W137" s="131">
        <f>'EXISTENCIA EN SUCURSALES'!W137+'DISTRIBUCIÓN EN SUCURSALES'!W137</f>
        <v>0</v>
      </c>
      <c r="X137" s="131">
        <f>'EXISTENCIA EN SUCURSALES'!X137+'DISTRIBUCIÓN EN SUCURSALES'!X137</f>
        <v>0</v>
      </c>
      <c r="Y137" s="120">
        <f t="shared" si="78"/>
        <v>0</v>
      </c>
      <c r="Z137" s="120">
        <f t="shared" si="79"/>
        <v>0</v>
      </c>
      <c r="AB137" s="131">
        <f>IFERROR(VLOOKUP(A137,'GRAL. SUC. LOCALES'!$A:$N,14,0),0)</f>
        <v>0</v>
      </c>
      <c r="AD137" s="131">
        <f t="shared" si="68"/>
        <v>0</v>
      </c>
      <c r="AF137" s="131"/>
      <c r="AG137" s="131">
        <v>0</v>
      </c>
      <c r="AH137" s="116">
        <f t="shared" si="80"/>
        <v>0</v>
      </c>
    </row>
    <row r="138" spans="1:34" ht="17.399999999999999" x14ac:dyDescent="0.35">
      <c r="A138" s="95" t="s">
        <v>204</v>
      </c>
      <c r="B138" s="131">
        <f>'EXISTENCIA EN SUCURSALES'!B138+'DISTRIBUCIÓN EN SUCURSALES'!B138</f>
        <v>0</v>
      </c>
      <c r="C138" s="131">
        <f>'EXISTENCIA EN SUCURSALES'!C138+'DISTRIBUCIÓN EN SUCURSALES'!C138</f>
        <v>0</v>
      </c>
      <c r="D138" s="120">
        <f>'EXISTENCIA EN SUCURSALES'!D138+'DISTRIBUCIÓN EN SUCURSALES'!D138</f>
        <v>0</v>
      </c>
      <c r="E138" s="120">
        <f>'EXISTENCIA EN SUCURSALES'!E138+'DISTRIBUCIÓN EN SUCURSALES'!E138</f>
        <v>0</v>
      </c>
      <c r="F138" s="120">
        <f>'EXISTENCIA EN SUCURSALES'!F138+'DISTRIBUCIÓN EN SUCURSALES'!F138</f>
        <v>0</v>
      </c>
      <c r="G138" s="120">
        <f>'EXISTENCIA EN SUCURSALES'!G138+'DISTRIBUCIÓN EN SUCURSALES'!G138</f>
        <v>0</v>
      </c>
      <c r="H138" s="120">
        <f>'EXISTENCIA EN SUCURSALES'!H138+'DISTRIBUCIÓN EN SUCURSALES'!H138</f>
        <v>0</v>
      </c>
      <c r="I138" s="120">
        <f>'EXISTENCIA EN SUCURSALES'!I138+'DISTRIBUCIÓN EN SUCURSALES'!I138</f>
        <v>0</v>
      </c>
      <c r="J138" s="120">
        <f>'EXISTENCIA EN SUCURSALES'!J138+'DISTRIBUCIÓN EN SUCURSALES'!J138</f>
        <v>0</v>
      </c>
      <c r="K138" s="120">
        <f>'EXISTENCIA EN SUCURSALES'!K138+'DISTRIBUCIÓN EN SUCURSALES'!K138</f>
        <v>0</v>
      </c>
      <c r="L138" s="120">
        <f t="shared" si="77"/>
        <v>0</v>
      </c>
      <c r="M138" s="131">
        <f>'EXISTENCIA EN SUCURSALES'!M138+'DISTRIBUCIÓN EN SUCURSALES'!M138</f>
        <v>0</v>
      </c>
      <c r="N138" s="131">
        <f>'EXISTENCIA EN SUCURSALES'!N138+'DISTRIBUCIÓN EN SUCURSALES'!N138</f>
        <v>0</v>
      </c>
      <c r="O138" s="131">
        <f>'EXISTENCIA EN SUCURSALES'!O138+'DISTRIBUCIÓN EN SUCURSALES'!O138</f>
        <v>0</v>
      </c>
      <c r="P138" s="131">
        <f>'EXISTENCIA EN SUCURSALES'!P138+'DISTRIBUCIÓN EN SUCURSALES'!P138</f>
        <v>0</v>
      </c>
      <c r="Q138" s="131">
        <f>'EXISTENCIA EN SUCURSALES'!Q138+'DISTRIBUCIÓN EN SUCURSALES'!Q138</f>
        <v>0</v>
      </c>
      <c r="R138" s="131">
        <f>'EXISTENCIA EN SUCURSALES'!R138+'DISTRIBUCIÓN EN SUCURSALES'!R138</f>
        <v>0</v>
      </c>
      <c r="S138" s="131">
        <f>'EXISTENCIA EN SUCURSALES'!S138+'DISTRIBUCIÓN EN SUCURSALES'!S138</f>
        <v>0</v>
      </c>
      <c r="T138" s="131">
        <f>'EXISTENCIA EN SUCURSALES'!T138+'DISTRIBUCIÓN EN SUCURSALES'!T138</f>
        <v>0</v>
      </c>
      <c r="U138" s="131">
        <f>'EXISTENCIA EN SUCURSALES'!U138+'DISTRIBUCIÓN EN SUCURSALES'!U138</f>
        <v>0</v>
      </c>
      <c r="V138" s="131">
        <f>'EXISTENCIA EN SUCURSALES'!V138+'DISTRIBUCIÓN EN SUCURSALES'!V138</f>
        <v>0</v>
      </c>
      <c r="W138" s="131">
        <f>'EXISTENCIA EN SUCURSALES'!W138+'DISTRIBUCIÓN EN SUCURSALES'!W138</f>
        <v>0</v>
      </c>
      <c r="X138" s="131">
        <f>'EXISTENCIA EN SUCURSALES'!X138+'DISTRIBUCIÓN EN SUCURSALES'!X138</f>
        <v>0</v>
      </c>
      <c r="Y138" s="120">
        <f t="shared" si="78"/>
        <v>0</v>
      </c>
      <c r="Z138" s="120">
        <f t="shared" si="79"/>
        <v>0</v>
      </c>
      <c r="AB138" s="131">
        <f>IFERROR(VLOOKUP(A138,'GRAL. SUC. LOCALES'!$A:$N,14,0),0)</f>
        <v>0</v>
      </c>
      <c r="AD138" s="131">
        <f t="shared" si="68"/>
        <v>0</v>
      </c>
      <c r="AF138" s="131"/>
      <c r="AG138" s="131">
        <v>0</v>
      </c>
      <c r="AH138" s="116">
        <f t="shared" si="80"/>
        <v>0</v>
      </c>
    </row>
    <row r="139" spans="1:34" ht="17.399999999999999" x14ac:dyDescent="0.35">
      <c r="A139" s="95" t="s">
        <v>1132</v>
      </c>
      <c r="B139" s="131">
        <f>'EXISTENCIA EN SUCURSALES'!B139+'DISTRIBUCIÓN EN SUCURSALES'!B139</f>
        <v>1</v>
      </c>
      <c r="C139" s="131">
        <f>'EXISTENCIA EN SUCURSALES'!C139+'DISTRIBUCIÓN EN SUCURSALES'!C139</f>
        <v>1</v>
      </c>
      <c r="D139" s="120">
        <f>'EXISTENCIA EN SUCURSALES'!D139+'DISTRIBUCIÓN EN SUCURSALES'!D139</f>
        <v>1</v>
      </c>
      <c r="E139" s="120">
        <f>'EXISTENCIA EN SUCURSALES'!E139+'DISTRIBUCIÓN EN SUCURSALES'!E139</f>
        <v>1</v>
      </c>
      <c r="F139" s="120">
        <f>'EXISTENCIA EN SUCURSALES'!F139+'DISTRIBUCIÓN EN SUCURSALES'!F139</f>
        <v>1</v>
      </c>
      <c r="G139" s="120">
        <f>'EXISTENCIA EN SUCURSALES'!G139+'DISTRIBUCIÓN EN SUCURSALES'!G139</f>
        <v>0</v>
      </c>
      <c r="H139" s="120">
        <f>'EXISTENCIA EN SUCURSALES'!H139+'DISTRIBUCIÓN EN SUCURSALES'!H139</f>
        <v>1</v>
      </c>
      <c r="I139" s="120">
        <f>'EXISTENCIA EN SUCURSALES'!I139+'DISTRIBUCIÓN EN SUCURSALES'!I139</f>
        <v>1</v>
      </c>
      <c r="J139" s="120">
        <f>'EXISTENCIA EN SUCURSALES'!J139+'DISTRIBUCIÓN EN SUCURSALES'!J139</f>
        <v>1</v>
      </c>
      <c r="K139" s="120">
        <f>'EXISTENCIA EN SUCURSALES'!K139+'DISTRIBUCIÓN EN SUCURSALES'!K139</f>
        <v>1</v>
      </c>
      <c r="L139" s="120">
        <f t="shared" si="77"/>
        <v>9</v>
      </c>
      <c r="M139" s="131">
        <f>'EXISTENCIA EN SUCURSALES'!M139+'DISTRIBUCIÓN EN SUCURSALES'!M139</f>
        <v>1</v>
      </c>
      <c r="N139" s="131">
        <f>'EXISTENCIA EN SUCURSALES'!N139+'DISTRIBUCIÓN EN SUCURSALES'!N139</f>
        <v>1</v>
      </c>
      <c r="O139" s="131">
        <f>'EXISTENCIA EN SUCURSALES'!O139+'DISTRIBUCIÓN EN SUCURSALES'!O139</f>
        <v>1</v>
      </c>
      <c r="P139" s="131">
        <f>'EXISTENCIA EN SUCURSALES'!P139+'DISTRIBUCIÓN EN SUCURSALES'!P139</f>
        <v>0</v>
      </c>
      <c r="Q139" s="131">
        <f>'EXISTENCIA EN SUCURSALES'!Q139+'DISTRIBUCIÓN EN SUCURSALES'!Q139</f>
        <v>0</v>
      </c>
      <c r="R139" s="131">
        <f>'EXISTENCIA EN SUCURSALES'!R139+'DISTRIBUCIÓN EN SUCURSALES'!R139</f>
        <v>0</v>
      </c>
      <c r="S139" s="131">
        <f>'EXISTENCIA EN SUCURSALES'!S139+'DISTRIBUCIÓN EN SUCURSALES'!S139</f>
        <v>0</v>
      </c>
      <c r="T139" s="131">
        <f>'EXISTENCIA EN SUCURSALES'!T139+'DISTRIBUCIÓN EN SUCURSALES'!T139</f>
        <v>1</v>
      </c>
      <c r="U139" s="131">
        <f>'EXISTENCIA EN SUCURSALES'!U139+'DISTRIBUCIÓN EN SUCURSALES'!U139</f>
        <v>0</v>
      </c>
      <c r="V139" s="131">
        <f>'EXISTENCIA EN SUCURSALES'!V139+'DISTRIBUCIÓN EN SUCURSALES'!V139</f>
        <v>1</v>
      </c>
      <c r="W139" s="131">
        <f>'EXISTENCIA EN SUCURSALES'!W139+'DISTRIBUCIÓN EN SUCURSALES'!W139</f>
        <v>0</v>
      </c>
      <c r="X139" s="131">
        <f>'EXISTENCIA EN SUCURSALES'!X139+'DISTRIBUCIÓN EN SUCURSALES'!X139</f>
        <v>1</v>
      </c>
      <c r="Y139" s="120">
        <f t="shared" si="78"/>
        <v>6</v>
      </c>
      <c r="Z139" s="120">
        <f t="shared" si="79"/>
        <v>15</v>
      </c>
      <c r="AB139" s="131">
        <f>IFERROR(VLOOKUP(A139,'GRAL. SUC. LOCALES'!$A:$N,14,0),0)</f>
        <v>10</v>
      </c>
      <c r="AD139" s="131">
        <f t="shared" si="68"/>
        <v>25</v>
      </c>
      <c r="AF139" s="131"/>
      <c r="AG139" s="131">
        <v>0</v>
      </c>
      <c r="AH139" s="116">
        <f t="shared" si="80"/>
        <v>25</v>
      </c>
    </row>
    <row r="140" spans="1:34" ht="17.399999999999999" x14ac:dyDescent="0.35">
      <c r="A140" s="95" t="s">
        <v>914</v>
      </c>
      <c r="B140" s="131">
        <f>'EXISTENCIA EN SUCURSALES'!B140+'DISTRIBUCIÓN EN SUCURSALES'!B140</f>
        <v>3</v>
      </c>
      <c r="C140" s="131">
        <f>'EXISTENCIA EN SUCURSALES'!C140+'DISTRIBUCIÓN EN SUCURSALES'!C140</f>
        <v>1</v>
      </c>
      <c r="D140" s="120">
        <f>'EXISTENCIA EN SUCURSALES'!D140+'DISTRIBUCIÓN EN SUCURSALES'!D140</f>
        <v>1</v>
      </c>
      <c r="E140" s="120">
        <f>'EXISTENCIA EN SUCURSALES'!E140+'DISTRIBUCIÓN EN SUCURSALES'!E140</f>
        <v>2</v>
      </c>
      <c r="F140" s="120">
        <f>'EXISTENCIA EN SUCURSALES'!F140+'DISTRIBUCIÓN EN SUCURSALES'!F140</f>
        <v>0</v>
      </c>
      <c r="G140" s="120">
        <f>'EXISTENCIA EN SUCURSALES'!G140+'DISTRIBUCIÓN EN SUCURSALES'!G140</f>
        <v>0</v>
      </c>
      <c r="H140" s="120">
        <f>'EXISTENCIA EN SUCURSALES'!H140+'DISTRIBUCIÓN EN SUCURSALES'!H140</f>
        <v>1</v>
      </c>
      <c r="I140" s="120">
        <f>'EXISTENCIA EN SUCURSALES'!I140+'DISTRIBUCIÓN EN SUCURSALES'!I140</f>
        <v>1</v>
      </c>
      <c r="J140" s="120">
        <f>'EXISTENCIA EN SUCURSALES'!J140+'DISTRIBUCIÓN EN SUCURSALES'!J140</f>
        <v>1</v>
      </c>
      <c r="K140" s="120">
        <f>'EXISTENCIA EN SUCURSALES'!K140+'DISTRIBUCIÓN EN SUCURSALES'!K140</f>
        <v>0</v>
      </c>
      <c r="L140" s="120">
        <f t="shared" si="77"/>
        <v>10</v>
      </c>
      <c r="M140" s="131">
        <f>'EXISTENCIA EN SUCURSALES'!M140+'DISTRIBUCIÓN EN SUCURSALES'!M140</f>
        <v>2</v>
      </c>
      <c r="N140" s="131">
        <f>'EXISTENCIA EN SUCURSALES'!N140+'DISTRIBUCIÓN EN SUCURSALES'!N140</f>
        <v>1</v>
      </c>
      <c r="O140" s="131">
        <f>'EXISTENCIA EN SUCURSALES'!O140+'DISTRIBUCIÓN EN SUCURSALES'!O140</f>
        <v>1</v>
      </c>
      <c r="P140" s="131">
        <f>'EXISTENCIA EN SUCURSALES'!P140+'DISTRIBUCIÓN EN SUCURSALES'!P140</f>
        <v>1</v>
      </c>
      <c r="Q140" s="131">
        <f>'EXISTENCIA EN SUCURSALES'!Q140+'DISTRIBUCIÓN EN SUCURSALES'!Q140</f>
        <v>0</v>
      </c>
      <c r="R140" s="131">
        <f>'EXISTENCIA EN SUCURSALES'!R140+'DISTRIBUCIÓN EN SUCURSALES'!R140</f>
        <v>0</v>
      </c>
      <c r="S140" s="131">
        <f>'EXISTENCIA EN SUCURSALES'!S140+'DISTRIBUCIÓN EN SUCURSALES'!S140</f>
        <v>0</v>
      </c>
      <c r="T140" s="131">
        <f>'EXISTENCIA EN SUCURSALES'!T140+'DISTRIBUCIÓN EN SUCURSALES'!T140</f>
        <v>1</v>
      </c>
      <c r="U140" s="131">
        <f>'EXISTENCIA EN SUCURSALES'!U140+'DISTRIBUCIÓN EN SUCURSALES'!U140</f>
        <v>1</v>
      </c>
      <c r="V140" s="131">
        <f>'EXISTENCIA EN SUCURSALES'!V140+'DISTRIBUCIÓN EN SUCURSALES'!V140</f>
        <v>0</v>
      </c>
      <c r="W140" s="131">
        <f>'EXISTENCIA EN SUCURSALES'!W140+'DISTRIBUCIÓN EN SUCURSALES'!W140</f>
        <v>1</v>
      </c>
      <c r="X140" s="131">
        <f>'EXISTENCIA EN SUCURSALES'!X140+'DISTRIBUCIÓN EN SUCURSALES'!X140</f>
        <v>0</v>
      </c>
      <c r="Y140" s="120">
        <f t="shared" si="78"/>
        <v>8</v>
      </c>
      <c r="Z140" s="120">
        <f t="shared" si="79"/>
        <v>18</v>
      </c>
      <c r="AB140" s="131">
        <f>IFERROR(VLOOKUP(A140,'GRAL. SUC. LOCALES'!$A:$N,14,0),0)</f>
        <v>0</v>
      </c>
      <c r="AD140" s="131">
        <f t="shared" si="68"/>
        <v>18</v>
      </c>
      <c r="AF140" s="131"/>
      <c r="AG140" s="131">
        <v>0</v>
      </c>
      <c r="AH140" s="116">
        <f t="shared" si="80"/>
        <v>18</v>
      </c>
    </row>
    <row r="141" spans="1:34" ht="17.399999999999999" x14ac:dyDescent="0.35">
      <c r="A141" s="243" t="s">
        <v>1120</v>
      </c>
      <c r="B141" s="131">
        <f>'EXISTENCIA EN SUCURSALES'!B141+'DISTRIBUCIÓN EN SUCURSALES'!B141</f>
        <v>0</v>
      </c>
      <c r="C141" s="131">
        <f>'EXISTENCIA EN SUCURSALES'!C141+'DISTRIBUCIÓN EN SUCURSALES'!C141</f>
        <v>0</v>
      </c>
      <c r="D141" s="120">
        <f>'EXISTENCIA EN SUCURSALES'!D141+'DISTRIBUCIÓN EN SUCURSALES'!D141</f>
        <v>0</v>
      </c>
      <c r="E141" s="120">
        <f>'EXISTENCIA EN SUCURSALES'!E141+'DISTRIBUCIÓN EN SUCURSALES'!E141</f>
        <v>0</v>
      </c>
      <c r="F141" s="120">
        <f>'EXISTENCIA EN SUCURSALES'!F141+'DISTRIBUCIÓN EN SUCURSALES'!F141</f>
        <v>0</v>
      </c>
      <c r="G141" s="120">
        <f>'EXISTENCIA EN SUCURSALES'!G141+'DISTRIBUCIÓN EN SUCURSALES'!G141</f>
        <v>0</v>
      </c>
      <c r="H141" s="120">
        <f>'EXISTENCIA EN SUCURSALES'!H141+'DISTRIBUCIÓN EN SUCURSALES'!H141</f>
        <v>0</v>
      </c>
      <c r="I141" s="120">
        <f>'EXISTENCIA EN SUCURSALES'!I141+'DISTRIBUCIÓN EN SUCURSALES'!I141</f>
        <v>0</v>
      </c>
      <c r="J141" s="120">
        <f>'EXISTENCIA EN SUCURSALES'!J141+'DISTRIBUCIÓN EN SUCURSALES'!J141</f>
        <v>0</v>
      </c>
      <c r="K141" s="120">
        <f>'EXISTENCIA EN SUCURSALES'!K141+'DISTRIBUCIÓN EN SUCURSALES'!K141</f>
        <v>0</v>
      </c>
      <c r="L141" s="120">
        <f t="shared" si="77"/>
        <v>0</v>
      </c>
      <c r="M141" s="131">
        <f>'EXISTENCIA EN SUCURSALES'!M141+'DISTRIBUCIÓN EN SUCURSALES'!M141</f>
        <v>0</v>
      </c>
      <c r="N141" s="131">
        <f>'EXISTENCIA EN SUCURSALES'!N141+'DISTRIBUCIÓN EN SUCURSALES'!N141</f>
        <v>0</v>
      </c>
      <c r="O141" s="131">
        <f>'EXISTENCIA EN SUCURSALES'!O141+'DISTRIBUCIÓN EN SUCURSALES'!O141</f>
        <v>0</v>
      </c>
      <c r="P141" s="131">
        <f>'EXISTENCIA EN SUCURSALES'!P141+'DISTRIBUCIÓN EN SUCURSALES'!P141</f>
        <v>0</v>
      </c>
      <c r="Q141" s="131">
        <f>'EXISTENCIA EN SUCURSALES'!Q141+'DISTRIBUCIÓN EN SUCURSALES'!Q141</f>
        <v>0</v>
      </c>
      <c r="R141" s="131">
        <f>'EXISTENCIA EN SUCURSALES'!R141+'DISTRIBUCIÓN EN SUCURSALES'!R141</f>
        <v>0</v>
      </c>
      <c r="S141" s="131">
        <f>'EXISTENCIA EN SUCURSALES'!S141+'DISTRIBUCIÓN EN SUCURSALES'!S141</f>
        <v>0</v>
      </c>
      <c r="T141" s="131">
        <f>'EXISTENCIA EN SUCURSALES'!T141+'DISTRIBUCIÓN EN SUCURSALES'!T141</f>
        <v>0</v>
      </c>
      <c r="U141" s="131">
        <f>'EXISTENCIA EN SUCURSALES'!U141+'DISTRIBUCIÓN EN SUCURSALES'!U141</f>
        <v>0</v>
      </c>
      <c r="V141" s="131">
        <f>'EXISTENCIA EN SUCURSALES'!V141+'DISTRIBUCIÓN EN SUCURSALES'!V141</f>
        <v>0</v>
      </c>
      <c r="W141" s="131">
        <f>'EXISTENCIA EN SUCURSALES'!W141+'DISTRIBUCIÓN EN SUCURSALES'!W141</f>
        <v>0</v>
      </c>
      <c r="X141" s="131">
        <f>'EXISTENCIA EN SUCURSALES'!X141+'DISTRIBUCIÓN EN SUCURSALES'!X141</f>
        <v>0</v>
      </c>
      <c r="Y141" s="120">
        <f t="shared" si="78"/>
        <v>0</v>
      </c>
      <c r="Z141" s="120">
        <f t="shared" si="79"/>
        <v>0</v>
      </c>
      <c r="AB141" s="131">
        <f>IFERROR(VLOOKUP(A141,'GRAL. SUC. LOCALES'!$A:$N,14,0),0)</f>
        <v>0</v>
      </c>
      <c r="AD141" s="131">
        <f t="shared" si="68"/>
        <v>0</v>
      </c>
      <c r="AF141" s="131"/>
      <c r="AG141" s="131">
        <v>0</v>
      </c>
    </row>
    <row r="142" spans="1:34" ht="17.399999999999999" x14ac:dyDescent="0.35">
      <c r="A142" s="95"/>
      <c r="B142" s="131">
        <f>'EXISTENCIA EN SUCURSALES'!B142+'DISTRIBUCIÓN EN SUCURSALES'!B142</f>
        <v>0</v>
      </c>
      <c r="C142" s="131">
        <f>'EXISTENCIA EN SUCURSALES'!C142+'DISTRIBUCIÓN EN SUCURSALES'!C142</f>
        <v>0</v>
      </c>
      <c r="D142" s="120">
        <f>'EXISTENCIA EN SUCURSALES'!D142+'DISTRIBUCIÓN EN SUCURSALES'!D142</f>
        <v>0</v>
      </c>
      <c r="E142" s="120">
        <f>'EXISTENCIA EN SUCURSALES'!E142+'DISTRIBUCIÓN EN SUCURSALES'!E142</f>
        <v>0</v>
      </c>
      <c r="F142" s="120">
        <f>'EXISTENCIA EN SUCURSALES'!F142+'DISTRIBUCIÓN EN SUCURSALES'!F142</f>
        <v>0</v>
      </c>
      <c r="G142" s="120">
        <f>'EXISTENCIA EN SUCURSALES'!G142+'DISTRIBUCIÓN EN SUCURSALES'!G142</f>
        <v>0</v>
      </c>
      <c r="H142" s="120">
        <f>'EXISTENCIA EN SUCURSALES'!H142+'DISTRIBUCIÓN EN SUCURSALES'!H142</f>
        <v>0</v>
      </c>
      <c r="I142" s="120">
        <f>'EXISTENCIA EN SUCURSALES'!I142+'DISTRIBUCIÓN EN SUCURSALES'!I142</f>
        <v>0</v>
      </c>
      <c r="J142" s="120">
        <f>'EXISTENCIA EN SUCURSALES'!J142+'DISTRIBUCIÓN EN SUCURSALES'!J142</f>
        <v>0</v>
      </c>
      <c r="K142" s="120">
        <f>'EXISTENCIA EN SUCURSALES'!K142+'DISTRIBUCIÓN EN SUCURSALES'!K142</f>
        <v>0</v>
      </c>
      <c r="L142" s="120">
        <f t="shared" si="77"/>
        <v>0</v>
      </c>
      <c r="M142" s="131">
        <f>'EXISTENCIA EN SUCURSALES'!M142+'DISTRIBUCIÓN EN SUCURSALES'!M142</f>
        <v>0</v>
      </c>
      <c r="N142" s="131">
        <f>'EXISTENCIA EN SUCURSALES'!N142+'DISTRIBUCIÓN EN SUCURSALES'!N142</f>
        <v>0</v>
      </c>
      <c r="O142" s="131">
        <f>'EXISTENCIA EN SUCURSALES'!O142+'DISTRIBUCIÓN EN SUCURSALES'!O142</f>
        <v>0</v>
      </c>
      <c r="P142" s="131">
        <f>'EXISTENCIA EN SUCURSALES'!P142+'DISTRIBUCIÓN EN SUCURSALES'!P142</f>
        <v>0</v>
      </c>
      <c r="Q142" s="131">
        <f>'EXISTENCIA EN SUCURSALES'!Q142+'DISTRIBUCIÓN EN SUCURSALES'!Q142</f>
        <v>0</v>
      </c>
      <c r="R142" s="131">
        <f>'EXISTENCIA EN SUCURSALES'!R142+'DISTRIBUCIÓN EN SUCURSALES'!R142</f>
        <v>0</v>
      </c>
      <c r="S142" s="131">
        <f>'EXISTENCIA EN SUCURSALES'!S142+'DISTRIBUCIÓN EN SUCURSALES'!S142</f>
        <v>0</v>
      </c>
      <c r="T142" s="131">
        <f>'EXISTENCIA EN SUCURSALES'!T142+'DISTRIBUCIÓN EN SUCURSALES'!T142</f>
        <v>0</v>
      </c>
      <c r="U142" s="131">
        <f>'EXISTENCIA EN SUCURSALES'!U142+'DISTRIBUCIÓN EN SUCURSALES'!U142</f>
        <v>0</v>
      </c>
      <c r="V142" s="131">
        <f>'EXISTENCIA EN SUCURSALES'!V142+'DISTRIBUCIÓN EN SUCURSALES'!V142</f>
        <v>0</v>
      </c>
      <c r="W142" s="131">
        <f>'EXISTENCIA EN SUCURSALES'!W142+'DISTRIBUCIÓN EN SUCURSALES'!W142</f>
        <v>0</v>
      </c>
      <c r="X142" s="131">
        <f>'EXISTENCIA EN SUCURSALES'!X142+'DISTRIBUCIÓN EN SUCURSALES'!X142</f>
        <v>0</v>
      </c>
      <c r="Y142" s="120">
        <f t="shared" si="78"/>
        <v>0</v>
      </c>
      <c r="Z142" s="120">
        <f t="shared" si="79"/>
        <v>0</v>
      </c>
      <c r="AB142" s="131">
        <f>IFERROR(VLOOKUP(A142,'GRAL. SUC. LOCALES'!$A:$N,14,0),0)</f>
        <v>0</v>
      </c>
      <c r="AD142" s="131">
        <f t="shared" si="68"/>
        <v>0</v>
      </c>
      <c r="AF142" s="131"/>
      <c r="AG142" s="131">
        <v>0</v>
      </c>
    </row>
    <row r="143" spans="1:34" ht="17.399999999999999" x14ac:dyDescent="0.35">
      <c r="A143" s="95"/>
      <c r="B143" s="131">
        <f>'EXISTENCIA EN SUCURSALES'!B143+'DISTRIBUCIÓN EN SUCURSALES'!B143</f>
        <v>0</v>
      </c>
      <c r="C143" s="131">
        <f>'EXISTENCIA EN SUCURSALES'!C143+'DISTRIBUCIÓN EN SUCURSALES'!C143</f>
        <v>0</v>
      </c>
      <c r="D143" s="120">
        <f>'EXISTENCIA EN SUCURSALES'!D143+'DISTRIBUCIÓN EN SUCURSALES'!D143</f>
        <v>0</v>
      </c>
      <c r="E143" s="120">
        <f>'EXISTENCIA EN SUCURSALES'!E143+'DISTRIBUCIÓN EN SUCURSALES'!E143</f>
        <v>0</v>
      </c>
      <c r="F143" s="120">
        <f>'EXISTENCIA EN SUCURSALES'!F143+'DISTRIBUCIÓN EN SUCURSALES'!F143</f>
        <v>0</v>
      </c>
      <c r="G143" s="120">
        <f>'EXISTENCIA EN SUCURSALES'!G143+'DISTRIBUCIÓN EN SUCURSALES'!G143</f>
        <v>0</v>
      </c>
      <c r="H143" s="120">
        <f>'EXISTENCIA EN SUCURSALES'!H143+'DISTRIBUCIÓN EN SUCURSALES'!H143</f>
        <v>0</v>
      </c>
      <c r="I143" s="120">
        <f>'EXISTENCIA EN SUCURSALES'!I143+'DISTRIBUCIÓN EN SUCURSALES'!I143</f>
        <v>0</v>
      </c>
      <c r="J143" s="120">
        <f>'EXISTENCIA EN SUCURSALES'!J143+'DISTRIBUCIÓN EN SUCURSALES'!J143</f>
        <v>0</v>
      </c>
      <c r="K143" s="120">
        <f>'EXISTENCIA EN SUCURSALES'!K143+'DISTRIBUCIÓN EN SUCURSALES'!K143</f>
        <v>0</v>
      </c>
      <c r="L143" s="120">
        <f t="shared" si="77"/>
        <v>0</v>
      </c>
      <c r="M143" s="131">
        <f>'EXISTENCIA EN SUCURSALES'!M143+'DISTRIBUCIÓN EN SUCURSALES'!M143</f>
        <v>0</v>
      </c>
      <c r="N143" s="131">
        <f>'EXISTENCIA EN SUCURSALES'!N143+'DISTRIBUCIÓN EN SUCURSALES'!N143</f>
        <v>0</v>
      </c>
      <c r="O143" s="131">
        <f>'EXISTENCIA EN SUCURSALES'!O143+'DISTRIBUCIÓN EN SUCURSALES'!O143</f>
        <v>0</v>
      </c>
      <c r="P143" s="131">
        <f>'EXISTENCIA EN SUCURSALES'!P143+'DISTRIBUCIÓN EN SUCURSALES'!P143</f>
        <v>0</v>
      </c>
      <c r="Q143" s="131">
        <f>'EXISTENCIA EN SUCURSALES'!Q143+'DISTRIBUCIÓN EN SUCURSALES'!Q143</f>
        <v>0</v>
      </c>
      <c r="R143" s="131">
        <f>'EXISTENCIA EN SUCURSALES'!R143+'DISTRIBUCIÓN EN SUCURSALES'!R143</f>
        <v>0</v>
      </c>
      <c r="S143" s="131">
        <f>'EXISTENCIA EN SUCURSALES'!S143+'DISTRIBUCIÓN EN SUCURSALES'!S143</f>
        <v>0</v>
      </c>
      <c r="T143" s="131">
        <f>'EXISTENCIA EN SUCURSALES'!T143+'DISTRIBUCIÓN EN SUCURSALES'!T143</f>
        <v>0</v>
      </c>
      <c r="U143" s="131">
        <f>'EXISTENCIA EN SUCURSALES'!U143+'DISTRIBUCIÓN EN SUCURSALES'!U143</f>
        <v>0</v>
      </c>
      <c r="V143" s="131">
        <f>'EXISTENCIA EN SUCURSALES'!V143+'DISTRIBUCIÓN EN SUCURSALES'!V143</f>
        <v>0</v>
      </c>
      <c r="W143" s="131">
        <f>'EXISTENCIA EN SUCURSALES'!W143+'DISTRIBUCIÓN EN SUCURSALES'!W143</f>
        <v>0</v>
      </c>
      <c r="X143" s="131">
        <f>'EXISTENCIA EN SUCURSALES'!X143+'DISTRIBUCIÓN EN SUCURSALES'!X143</f>
        <v>0</v>
      </c>
      <c r="Y143" s="120">
        <f t="shared" si="78"/>
        <v>0</v>
      </c>
      <c r="Z143" s="120">
        <f t="shared" si="79"/>
        <v>0</v>
      </c>
      <c r="AB143" s="131">
        <f>IFERROR(VLOOKUP(A143,'GRAL. SUC. LOCALES'!$A:$N,14,0),0)</f>
        <v>0</v>
      </c>
      <c r="AD143" s="131">
        <f t="shared" si="68"/>
        <v>0</v>
      </c>
      <c r="AF143" s="131"/>
      <c r="AG143" s="131">
        <v>0</v>
      </c>
    </row>
    <row r="144" spans="1:34" ht="17.399999999999999" x14ac:dyDescent="0.35">
      <c r="A144" s="95"/>
      <c r="B144" s="131">
        <f>'EXISTENCIA EN SUCURSALES'!B144+'DISTRIBUCIÓN EN SUCURSALES'!B144</f>
        <v>0</v>
      </c>
      <c r="C144" s="131">
        <f>'EXISTENCIA EN SUCURSALES'!C144+'DISTRIBUCIÓN EN SUCURSALES'!C144</f>
        <v>0</v>
      </c>
      <c r="D144" s="120">
        <f>'EXISTENCIA EN SUCURSALES'!D144+'DISTRIBUCIÓN EN SUCURSALES'!D144</f>
        <v>0</v>
      </c>
      <c r="E144" s="120">
        <f>'EXISTENCIA EN SUCURSALES'!E144+'DISTRIBUCIÓN EN SUCURSALES'!E144</f>
        <v>0</v>
      </c>
      <c r="F144" s="120">
        <f>'EXISTENCIA EN SUCURSALES'!F144+'DISTRIBUCIÓN EN SUCURSALES'!F144</f>
        <v>0</v>
      </c>
      <c r="G144" s="120">
        <f>'EXISTENCIA EN SUCURSALES'!G144+'DISTRIBUCIÓN EN SUCURSALES'!G144</f>
        <v>0</v>
      </c>
      <c r="H144" s="120">
        <f>'EXISTENCIA EN SUCURSALES'!H144+'DISTRIBUCIÓN EN SUCURSALES'!H144</f>
        <v>0</v>
      </c>
      <c r="I144" s="120">
        <f>'EXISTENCIA EN SUCURSALES'!I144+'DISTRIBUCIÓN EN SUCURSALES'!I144</f>
        <v>0</v>
      </c>
      <c r="J144" s="120">
        <f>'EXISTENCIA EN SUCURSALES'!J144+'DISTRIBUCIÓN EN SUCURSALES'!J144</f>
        <v>0</v>
      </c>
      <c r="K144" s="120">
        <f>'EXISTENCIA EN SUCURSALES'!K144+'DISTRIBUCIÓN EN SUCURSALES'!K144</f>
        <v>0</v>
      </c>
      <c r="L144" s="120">
        <f t="shared" si="77"/>
        <v>0</v>
      </c>
      <c r="M144" s="131">
        <f>'EXISTENCIA EN SUCURSALES'!M144+'DISTRIBUCIÓN EN SUCURSALES'!M144</f>
        <v>0</v>
      </c>
      <c r="N144" s="131">
        <f>'EXISTENCIA EN SUCURSALES'!N144+'DISTRIBUCIÓN EN SUCURSALES'!N144</f>
        <v>0</v>
      </c>
      <c r="O144" s="131">
        <f>'EXISTENCIA EN SUCURSALES'!O144+'DISTRIBUCIÓN EN SUCURSALES'!O144</f>
        <v>0</v>
      </c>
      <c r="P144" s="131">
        <f>'EXISTENCIA EN SUCURSALES'!P144+'DISTRIBUCIÓN EN SUCURSALES'!P144</f>
        <v>0</v>
      </c>
      <c r="Q144" s="131">
        <f>'EXISTENCIA EN SUCURSALES'!Q144+'DISTRIBUCIÓN EN SUCURSALES'!Q144</f>
        <v>0</v>
      </c>
      <c r="R144" s="131">
        <f>'EXISTENCIA EN SUCURSALES'!R144+'DISTRIBUCIÓN EN SUCURSALES'!R144</f>
        <v>0</v>
      </c>
      <c r="S144" s="131">
        <f>'EXISTENCIA EN SUCURSALES'!S144+'DISTRIBUCIÓN EN SUCURSALES'!S144</f>
        <v>0</v>
      </c>
      <c r="T144" s="131">
        <f>'EXISTENCIA EN SUCURSALES'!T144+'DISTRIBUCIÓN EN SUCURSALES'!T144</f>
        <v>0</v>
      </c>
      <c r="U144" s="131">
        <f>'EXISTENCIA EN SUCURSALES'!U144+'DISTRIBUCIÓN EN SUCURSALES'!U144</f>
        <v>0</v>
      </c>
      <c r="V144" s="131">
        <f>'EXISTENCIA EN SUCURSALES'!V144+'DISTRIBUCIÓN EN SUCURSALES'!V144</f>
        <v>0</v>
      </c>
      <c r="W144" s="131">
        <f>'EXISTENCIA EN SUCURSALES'!W144+'DISTRIBUCIÓN EN SUCURSALES'!W144</f>
        <v>0</v>
      </c>
      <c r="X144" s="131">
        <f>'EXISTENCIA EN SUCURSALES'!X144+'DISTRIBUCIÓN EN SUCURSALES'!X144</f>
        <v>0</v>
      </c>
      <c r="Y144" s="120">
        <f t="shared" si="78"/>
        <v>0</v>
      </c>
      <c r="Z144" s="120">
        <f t="shared" si="79"/>
        <v>0</v>
      </c>
      <c r="AB144" s="131">
        <f>IFERROR(VLOOKUP(A144,'GRAL. SUC. LOCALES'!$A:$N,14,0),0)</f>
        <v>0</v>
      </c>
      <c r="AD144" s="131">
        <f t="shared" si="68"/>
        <v>0</v>
      </c>
      <c r="AF144" s="131"/>
      <c r="AG144" s="131">
        <v>0</v>
      </c>
    </row>
    <row r="145" spans="1:33" ht="17.399999999999999" x14ac:dyDescent="0.35">
      <c r="A145" s="95"/>
      <c r="B145" s="131">
        <f>'EXISTENCIA EN SUCURSALES'!B145+'DISTRIBUCIÓN EN SUCURSALES'!B145</f>
        <v>0</v>
      </c>
      <c r="C145" s="131">
        <f>'EXISTENCIA EN SUCURSALES'!C145+'DISTRIBUCIÓN EN SUCURSALES'!C145</f>
        <v>0</v>
      </c>
      <c r="D145" s="120">
        <f>'EXISTENCIA EN SUCURSALES'!D145+'DISTRIBUCIÓN EN SUCURSALES'!D145</f>
        <v>0</v>
      </c>
      <c r="E145" s="120">
        <f>'EXISTENCIA EN SUCURSALES'!E145+'DISTRIBUCIÓN EN SUCURSALES'!E145</f>
        <v>0</v>
      </c>
      <c r="F145" s="120">
        <f>'EXISTENCIA EN SUCURSALES'!F145+'DISTRIBUCIÓN EN SUCURSALES'!F145</f>
        <v>0</v>
      </c>
      <c r="G145" s="120">
        <f>'EXISTENCIA EN SUCURSALES'!G145+'DISTRIBUCIÓN EN SUCURSALES'!G145</f>
        <v>0</v>
      </c>
      <c r="H145" s="120">
        <f>'EXISTENCIA EN SUCURSALES'!H145+'DISTRIBUCIÓN EN SUCURSALES'!H145</f>
        <v>0</v>
      </c>
      <c r="I145" s="120">
        <f>'EXISTENCIA EN SUCURSALES'!I145+'DISTRIBUCIÓN EN SUCURSALES'!I145</f>
        <v>0</v>
      </c>
      <c r="J145" s="120">
        <f>'EXISTENCIA EN SUCURSALES'!J145+'DISTRIBUCIÓN EN SUCURSALES'!J145</f>
        <v>0</v>
      </c>
      <c r="K145" s="120">
        <f>'EXISTENCIA EN SUCURSALES'!K145+'DISTRIBUCIÓN EN SUCURSALES'!K145</f>
        <v>0</v>
      </c>
      <c r="L145" s="120">
        <f t="shared" si="77"/>
        <v>0</v>
      </c>
      <c r="M145" s="131">
        <f>'EXISTENCIA EN SUCURSALES'!M145+'DISTRIBUCIÓN EN SUCURSALES'!M145</f>
        <v>0</v>
      </c>
      <c r="N145" s="131">
        <f>'EXISTENCIA EN SUCURSALES'!N145+'DISTRIBUCIÓN EN SUCURSALES'!N145</f>
        <v>0</v>
      </c>
      <c r="O145" s="131">
        <f>'EXISTENCIA EN SUCURSALES'!O145+'DISTRIBUCIÓN EN SUCURSALES'!O145</f>
        <v>0</v>
      </c>
      <c r="P145" s="131">
        <f>'EXISTENCIA EN SUCURSALES'!P145+'DISTRIBUCIÓN EN SUCURSALES'!P145</f>
        <v>0</v>
      </c>
      <c r="Q145" s="131">
        <f>'EXISTENCIA EN SUCURSALES'!Q145+'DISTRIBUCIÓN EN SUCURSALES'!Q145</f>
        <v>0</v>
      </c>
      <c r="R145" s="131">
        <f>'EXISTENCIA EN SUCURSALES'!R145+'DISTRIBUCIÓN EN SUCURSALES'!R145</f>
        <v>0</v>
      </c>
      <c r="S145" s="131">
        <f>'EXISTENCIA EN SUCURSALES'!S145+'DISTRIBUCIÓN EN SUCURSALES'!S145</f>
        <v>0</v>
      </c>
      <c r="T145" s="131">
        <f>'EXISTENCIA EN SUCURSALES'!T145+'DISTRIBUCIÓN EN SUCURSALES'!T145</f>
        <v>0</v>
      </c>
      <c r="U145" s="131">
        <f>'EXISTENCIA EN SUCURSALES'!U145+'DISTRIBUCIÓN EN SUCURSALES'!U145</f>
        <v>0</v>
      </c>
      <c r="V145" s="131">
        <f>'EXISTENCIA EN SUCURSALES'!V145+'DISTRIBUCIÓN EN SUCURSALES'!V145</f>
        <v>0</v>
      </c>
      <c r="W145" s="131">
        <f>'EXISTENCIA EN SUCURSALES'!W145+'DISTRIBUCIÓN EN SUCURSALES'!W145</f>
        <v>0</v>
      </c>
      <c r="X145" s="131">
        <f>'EXISTENCIA EN SUCURSALES'!X145+'DISTRIBUCIÓN EN SUCURSALES'!X145</f>
        <v>0</v>
      </c>
      <c r="Y145" s="120">
        <f t="shared" si="78"/>
        <v>0</v>
      </c>
      <c r="Z145" s="120">
        <f t="shared" si="79"/>
        <v>0</v>
      </c>
      <c r="AB145" s="131">
        <f>IFERROR(VLOOKUP(A145,'GRAL. SUC. LOCALES'!$A:$N,14,0),0)</f>
        <v>0</v>
      </c>
      <c r="AD145" s="131">
        <f t="shared" si="68"/>
        <v>0</v>
      </c>
      <c r="AF145" s="131"/>
      <c r="AG145" s="131">
        <v>0</v>
      </c>
    </row>
    <row r="146" spans="1:33" ht="17.399999999999999" x14ac:dyDescent="0.35">
      <c r="A146" s="95"/>
      <c r="B146" s="131">
        <f>'EXISTENCIA EN SUCURSALES'!B146+'DISTRIBUCIÓN EN SUCURSALES'!B146</f>
        <v>0</v>
      </c>
      <c r="C146" s="131">
        <f>'EXISTENCIA EN SUCURSALES'!C146+'DISTRIBUCIÓN EN SUCURSALES'!C146</f>
        <v>0</v>
      </c>
      <c r="D146" s="120">
        <f>'EXISTENCIA EN SUCURSALES'!D146+'DISTRIBUCIÓN EN SUCURSALES'!D146</f>
        <v>0</v>
      </c>
      <c r="E146" s="120">
        <f>'EXISTENCIA EN SUCURSALES'!E146+'DISTRIBUCIÓN EN SUCURSALES'!E146</f>
        <v>0</v>
      </c>
      <c r="F146" s="120">
        <f>'EXISTENCIA EN SUCURSALES'!F146+'DISTRIBUCIÓN EN SUCURSALES'!F146</f>
        <v>0</v>
      </c>
      <c r="G146" s="120">
        <f>'EXISTENCIA EN SUCURSALES'!G146+'DISTRIBUCIÓN EN SUCURSALES'!G146</f>
        <v>0</v>
      </c>
      <c r="H146" s="120">
        <f>'EXISTENCIA EN SUCURSALES'!H146+'DISTRIBUCIÓN EN SUCURSALES'!H146</f>
        <v>0</v>
      </c>
      <c r="I146" s="120">
        <f>'EXISTENCIA EN SUCURSALES'!I146+'DISTRIBUCIÓN EN SUCURSALES'!I146</f>
        <v>0</v>
      </c>
      <c r="J146" s="120">
        <f>'EXISTENCIA EN SUCURSALES'!J146+'DISTRIBUCIÓN EN SUCURSALES'!J146</f>
        <v>0</v>
      </c>
      <c r="K146" s="120">
        <f>'EXISTENCIA EN SUCURSALES'!K146+'DISTRIBUCIÓN EN SUCURSALES'!K146</f>
        <v>0</v>
      </c>
      <c r="L146" s="120">
        <f t="shared" si="77"/>
        <v>0</v>
      </c>
      <c r="M146" s="131">
        <f>'EXISTENCIA EN SUCURSALES'!M146+'DISTRIBUCIÓN EN SUCURSALES'!M146</f>
        <v>0</v>
      </c>
      <c r="N146" s="131">
        <f>'EXISTENCIA EN SUCURSALES'!N146+'DISTRIBUCIÓN EN SUCURSALES'!N146</f>
        <v>0</v>
      </c>
      <c r="O146" s="131">
        <f>'EXISTENCIA EN SUCURSALES'!O146+'DISTRIBUCIÓN EN SUCURSALES'!O146</f>
        <v>0</v>
      </c>
      <c r="P146" s="131">
        <f>'EXISTENCIA EN SUCURSALES'!P146+'DISTRIBUCIÓN EN SUCURSALES'!P146</f>
        <v>0</v>
      </c>
      <c r="Q146" s="131">
        <f>'EXISTENCIA EN SUCURSALES'!Q146+'DISTRIBUCIÓN EN SUCURSALES'!Q146</f>
        <v>0</v>
      </c>
      <c r="R146" s="131">
        <f>'EXISTENCIA EN SUCURSALES'!R146+'DISTRIBUCIÓN EN SUCURSALES'!R146</f>
        <v>0</v>
      </c>
      <c r="S146" s="131">
        <f>'EXISTENCIA EN SUCURSALES'!S146+'DISTRIBUCIÓN EN SUCURSALES'!S146</f>
        <v>0</v>
      </c>
      <c r="T146" s="131">
        <f>'EXISTENCIA EN SUCURSALES'!T146+'DISTRIBUCIÓN EN SUCURSALES'!T146</f>
        <v>0</v>
      </c>
      <c r="U146" s="131">
        <f>'EXISTENCIA EN SUCURSALES'!U146+'DISTRIBUCIÓN EN SUCURSALES'!U146</f>
        <v>0</v>
      </c>
      <c r="V146" s="131">
        <f>'EXISTENCIA EN SUCURSALES'!V146+'DISTRIBUCIÓN EN SUCURSALES'!V146</f>
        <v>0</v>
      </c>
      <c r="W146" s="131">
        <f>'EXISTENCIA EN SUCURSALES'!W146+'DISTRIBUCIÓN EN SUCURSALES'!W146</f>
        <v>0</v>
      </c>
      <c r="X146" s="131">
        <f>'EXISTENCIA EN SUCURSALES'!X146+'DISTRIBUCIÓN EN SUCURSALES'!X146</f>
        <v>0</v>
      </c>
      <c r="Y146" s="120">
        <f t="shared" si="78"/>
        <v>0</v>
      </c>
      <c r="Z146" s="120">
        <f t="shared" si="79"/>
        <v>0</v>
      </c>
      <c r="AB146" s="131">
        <f>IFERROR(VLOOKUP(A146,'GRAL. SUC. LOCALES'!$A:$N,14,0),0)</f>
        <v>0</v>
      </c>
      <c r="AD146" s="131">
        <f t="shared" si="68"/>
        <v>0</v>
      </c>
      <c r="AF146" s="131"/>
      <c r="AG146" s="131">
        <v>0</v>
      </c>
    </row>
    <row r="147" spans="1:33" ht="17.399999999999999" x14ac:dyDescent="0.35">
      <c r="A147" s="95"/>
      <c r="B147" s="131">
        <f>'EXISTENCIA EN SUCURSALES'!B147+'DISTRIBUCIÓN EN SUCURSALES'!B147</f>
        <v>0</v>
      </c>
      <c r="C147" s="131">
        <f>'EXISTENCIA EN SUCURSALES'!C147+'DISTRIBUCIÓN EN SUCURSALES'!C147</f>
        <v>0</v>
      </c>
      <c r="D147" s="120">
        <f>'EXISTENCIA EN SUCURSALES'!D147+'DISTRIBUCIÓN EN SUCURSALES'!D147</f>
        <v>0</v>
      </c>
      <c r="E147" s="120">
        <f>'EXISTENCIA EN SUCURSALES'!E147+'DISTRIBUCIÓN EN SUCURSALES'!E147</f>
        <v>0</v>
      </c>
      <c r="F147" s="120">
        <f>'EXISTENCIA EN SUCURSALES'!F147+'DISTRIBUCIÓN EN SUCURSALES'!F147</f>
        <v>0</v>
      </c>
      <c r="G147" s="120">
        <f>'EXISTENCIA EN SUCURSALES'!G147+'DISTRIBUCIÓN EN SUCURSALES'!G147</f>
        <v>0</v>
      </c>
      <c r="H147" s="120">
        <f>'EXISTENCIA EN SUCURSALES'!H147+'DISTRIBUCIÓN EN SUCURSALES'!H147</f>
        <v>0</v>
      </c>
      <c r="I147" s="120">
        <f>'EXISTENCIA EN SUCURSALES'!I147+'DISTRIBUCIÓN EN SUCURSALES'!I147</f>
        <v>0</v>
      </c>
      <c r="J147" s="120">
        <f>'EXISTENCIA EN SUCURSALES'!J147+'DISTRIBUCIÓN EN SUCURSALES'!J147</f>
        <v>0</v>
      </c>
      <c r="K147" s="120">
        <f>'EXISTENCIA EN SUCURSALES'!K147+'DISTRIBUCIÓN EN SUCURSALES'!K147</f>
        <v>0</v>
      </c>
      <c r="L147" s="120">
        <f t="shared" si="77"/>
        <v>0</v>
      </c>
      <c r="M147" s="131">
        <f>'EXISTENCIA EN SUCURSALES'!M147+'DISTRIBUCIÓN EN SUCURSALES'!M147</f>
        <v>0</v>
      </c>
      <c r="N147" s="131">
        <f>'EXISTENCIA EN SUCURSALES'!N147+'DISTRIBUCIÓN EN SUCURSALES'!N147</f>
        <v>0</v>
      </c>
      <c r="O147" s="131">
        <f>'EXISTENCIA EN SUCURSALES'!O147+'DISTRIBUCIÓN EN SUCURSALES'!O147</f>
        <v>0</v>
      </c>
      <c r="P147" s="131">
        <f>'EXISTENCIA EN SUCURSALES'!P147+'DISTRIBUCIÓN EN SUCURSALES'!P147</f>
        <v>0</v>
      </c>
      <c r="Q147" s="131">
        <f>'EXISTENCIA EN SUCURSALES'!Q147+'DISTRIBUCIÓN EN SUCURSALES'!Q147</f>
        <v>0</v>
      </c>
      <c r="R147" s="131">
        <f>'EXISTENCIA EN SUCURSALES'!R147+'DISTRIBUCIÓN EN SUCURSALES'!R147</f>
        <v>0</v>
      </c>
      <c r="S147" s="131">
        <f>'EXISTENCIA EN SUCURSALES'!S147+'DISTRIBUCIÓN EN SUCURSALES'!S147</f>
        <v>0</v>
      </c>
      <c r="T147" s="131">
        <f>'EXISTENCIA EN SUCURSALES'!T147+'DISTRIBUCIÓN EN SUCURSALES'!T147</f>
        <v>0</v>
      </c>
      <c r="U147" s="131">
        <f>'EXISTENCIA EN SUCURSALES'!U147+'DISTRIBUCIÓN EN SUCURSALES'!U147</f>
        <v>0</v>
      </c>
      <c r="V147" s="131">
        <f>'EXISTENCIA EN SUCURSALES'!V147+'DISTRIBUCIÓN EN SUCURSALES'!V147</f>
        <v>0</v>
      </c>
      <c r="W147" s="131">
        <f>'EXISTENCIA EN SUCURSALES'!W147+'DISTRIBUCIÓN EN SUCURSALES'!W147</f>
        <v>0</v>
      </c>
      <c r="X147" s="131">
        <f>'EXISTENCIA EN SUCURSALES'!X147+'DISTRIBUCIÓN EN SUCURSALES'!X147</f>
        <v>0</v>
      </c>
      <c r="Y147" s="120">
        <f t="shared" si="78"/>
        <v>0</v>
      </c>
      <c r="Z147" s="120">
        <f t="shared" si="79"/>
        <v>0</v>
      </c>
      <c r="AB147" s="131">
        <f>IFERROR(VLOOKUP(A147,'GRAL. SUC. LOCALES'!$A:$N,14,0),0)</f>
        <v>0</v>
      </c>
      <c r="AD147" s="131">
        <f t="shared" si="68"/>
        <v>0</v>
      </c>
      <c r="AF147" s="131"/>
      <c r="AG147" s="131">
        <v>0</v>
      </c>
    </row>
    <row r="148" spans="1:33" ht="18" thickBot="1" x14ac:dyDescent="0.4">
      <c r="A148" s="95"/>
      <c r="B148" s="131">
        <f>'EXISTENCIA EN SUCURSALES'!B148+'DISTRIBUCIÓN EN SUCURSALES'!B148</f>
        <v>0</v>
      </c>
      <c r="C148" s="131">
        <f>'EXISTENCIA EN SUCURSALES'!C148+'DISTRIBUCIÓN EN SUCURSALES'!C148</f>
        <v>0</v>
      </c>
      <c r="D148" s="120">
        <f>'EXISTENCIA EN SUCURSALES'!D148+'DISTRIBUCIÓN EN SUCURSALES'!D148</f>
        <v>0</v>
      </c>
      <c r="E148" s="120">
        <f>'EXISTENCIA EN SUCURSALES'!E148+'DISTRIBUCIÓN EN SUCURSALES'!E148</f>
        <v>0</v>
      </c>
      <c r="F148" s="120">
        <f>'EXISTENCIA EN SUCURSALES'!F148+'DISTRIBUCIÓN EN SUCURSALES'!F148</f>
        <v>0</v>
      </c>
      <c r="G148" s="120">
        <f>'EXISTENCIA EN SUCURSALES'!G148+'DISTRIBUCIÓN EN SUCURSALES'!G148</f>
        <v>0</v>
      </c>
      <c r="H148" s="120">
        <f>'EXISTENCIA EN SUCURSALES'!H148+'DISTRIBUCIÓN EN SUCURSALES'!H148</f>
        <v>0</v>
      </c>
      <c r="I148" s="120">
        <f>'EXISTENCIA EN SUCURSALES'!I148+'DISTRIBUCIÓN EN SUCURSALES'!I148</f>
        <v>0</v>
      </c>
      <c r="J148" s="120">
        <f>'EXISTENCIA EN SUCURSALES'!J148+'DISTRIBUCIÓN EN SUCURSALES'!J148</f>
        <v>0</v>
      </c>
      <c r="K148" s="120">
        <f>'EXISTENCIA EN SUCURSALES'!K148+'DISTRIBUCIÓN EN SUCURSALES'!K148</f>
        <v>0</v>
      </c>
      <c r="L148" s="120">
        <f t="shared" si="77"/>
        <v>0</v>
      </c>
      <c r="M148" s="131">
        <f>'EXISTENCIA EN SUCURSALES'!M148+'DISTRIBUCIÓN EN SUCURSALES'!M148</f>
        <v>0</v>
      </c>
      <c r="N148" s="131">
        <f>'EXISTENCIA EN SUCURSALES'!N148+'DISTRIBUCIÓN EN SUCURSALES'!N148</f>
        <v>0</v>
      </c>
      <c r="O148" s="131">
        <f>'EXISTENCIA EN SUCURSALES'!O148+'DISTRIBUCIÓN EN SUCURSALES'!O148</f>
        <v>0</v>
      </c>
      <c r="P148" s="131">
        <f>'EXISTENCIA EN SUCURSALES'!P148+'DISTRIBUCIÓN EN SUCURSALES'!P148</f>
        <v>0</v>
      </c>
      <c r="Q148" s="131">
        <f>'EXISTENCIA EN SUCURSALES'!Q148+'DISTRIBUCIÓN EN SUCURSALES'!Q148</f>
        <v>0</v>
      </c>
      <c r="R148" s="131">
        <f>'EXISTENCIA EN SUCURSALES'!R148+'DISTRIBUCIÓN EN SUCURSALES'!R148</f>
        <v>0</v>
      </c>
      <c r="S148" s="131">
        <f>'EXISTENCIA EN SUCURSALES'!S148+'DISTRIBUCIÓN EN SUCURSALES'!S148</f>
        <v>0</v>
      </c>
      <c r="T148" s="131">
        <f>'EXISTENCIA EN SUCURSALES'!T148+'DISTRIBUCIÓN EN SUCURSALES'!T148</f>
        <v>0</v>
      </c>
      <c r="U148" s="131">
        <f>'EXISTENCIA EN SUCURSALES'!U148+'DISTRIBUCIÓN EN SUCURSALES'!U148</f>
        <v>0</v>
      </c>
      <c r="V148" s="131">
        <f>'EXISTENCIA EN SUCURSALES'!V148+'DISTRIBUCIÓN EN SUCURSALES'!V148</f>
        <v>0</v>
      </c>
      <c r="W148" s="131">
        <f>'EXISTENCIA EN SUCURSALES'!W148+'DISTRIBUCIÓN EN SUCURSALES'!W148</f>
        <v>0</v>
      </c>
      <c r="X148" s="131">
        <f>'EXISTENCIA EN SUCURSALES'!X148+'DISTRIBUCIÓN EN SUCURSALES'!X148</f>
        <v>0</v>
      </c>
      <c r="Y148" s="120">
        <f t="shared" si="78"/>
        <v>0</v>
      </c>
      <c r="Z148" s="120">
        <f t="shared" si="79"/>
        <v>0</v>
      </c>
      <c r="AB148" s="131">
        <f>IFERROR(VLOOKUP(A148,'GRAL. SUC. LOCALES'!$A:$N,14,0),0)</f>
        <v>0</v>
      </c>
      <c r="AD148" s="131">
        <f t="shared" si="68"/>
        <v>0</v>
      </c>
      <c r="AF148" s="131"/>
      <c r="AG148" s="131">
        <v>0</v>
      </c>
    </row>
    <row r="149" spans="1:33" ht="18" thickBot="1" x14ac:dyDescent="0.4">
      <c r="A149" s="173"/>
      <c r="B149" s="114">
        <f t="shared" ref="B149:Z149" si="81">SUM(B118:B127)</f>
        <v>45</v>
      </c>
      <c r="C149" s="114">
        <f t="shared" si="81"/>
        <v>50</v>
      </c>
      <c r="D149" s="114">
        <f t="shared" si="81"/>
        <v>31</v>
      </c>
      <c r="E149" s="114">
        <f t="shared" si="81"/>
        <v>15</v>
      </c>
      <c r="F149" s="114">
        <f t="shared" si="81"/>
        <v>21</v>
      </c>
      <c r="G149" s="114">
        <f>SUM(G118:G148,)</f>
        <v>0</v>
      </c>
      <c r="H149" s="114">
        <f t="shared" si="81"/>
        <v>38</v>
      </c>
      <c r="I149" s="114">
        <f t="shared" si="81"/>
        <v>51</v>
      </c>
      <c r="J149" s="114">
        <f t="shared" si="81"/>
        <v>40</v>
      </c>
      <c r="K149" s="114">
        <f t="shared" si="81"/>
        <v>24</v>
      </c>
      <c r="L149" s="114">
        <f t="shared" si="81"/>
        <v>315</v>
      </c>
      <c r="M149" s="114">
        <f t="shared" si="81"/>
        <v>53</v>
      </c>
      <c r="N149" s="114">
        <f t="shared" si="81"/>
        <v>31</v>
      </c>
      <c r="O149" s="114">
        <f t="shared" si="81"/>
        <v>15</v>
      </c>
      <c r="P149" s="114">
        <f t="shared" si="81"/>
        <v>7</v>
      </c>
      <c r="Q149" s="114">
        <f t="shared" si="81"/>
        <v>32</v>
      </c>
      <c r="R149" s="114">
        <f t="shared" si="81"/>
        <v>41</v>
      </c>
      <c r="S149" s="114">
        <f t="shared" si="81"/>
        <v>18</v>
      </c>
      <c r="T149" s="114">
        <f t="shared" si="81"/>
        <v>5</v>
      </c>
      <c r="U149" s="114">
        <f t="shared" si="81"/>
        <v>21</v>
      </c>
      <c r="V149" s="114">
        <f t="shared" si="81"/>
        <v>19</v>
      </c>
      <c r="W149" s="114">
        <f t="shared" si="81"/>
        <v>17</v>
      </c>
      <c r="X149" s="114">
        <f t="shared" si="81"/>
        <v>1</v>
      </c>
      <c r="Y149" s="114">
        <f t="shared" si="81"/>
        <v>260</v>
      </c>
      <c r="Z149" s="114">
        <f t="shared" si="81"/>
        <v>575</v>
      </c>
      <c r="AB149" s="114">
        <f>SUM(AB118:AB127)</f>
        <v>47</v>
      </c>
      <c r="AD149" s="114">
        <f t="shared" si="68"/>
        <v>622</v>
      </c>
      <c r="AF149" s="114">
        <f>SUM(AF118:AF148)</f>
        <v>695</v>
      </c>
      <c r="AG149" s="114">
        <f>SUM(AG118:AG148)</f>
        <v>670</v>
      </c>
    </row>
    <row r="150" spans="1:33" ht="18" thickBot="1" x14ac:dyDescent="0.4">
      <c r="A150" s="110" t="s">
        <v>86</v>
      </c>
      <c r="B150" s="59">
        <f t="shared" ref="B150:Z150" si="82">B117+B149</f>
        <v>346</v>
      </c>
      <c r="C150" s="59">
        <f t="shared" si="82"/>
        <v>381</v>
      </c>
      <c r="D150" s="59">
        <f t="shared" si="82"/>
        <v>222</v>
      </c>
      <c r="E150" s="59">
        <f t="shared" si="82"/>
        <v>148</v>
      </c>
      <c r="F150" s="59">
        <f t="shared" si="82"/>
        <v>181</v>
      </c>
      <c r="G150" s="59">
        <f t="shared" si="82"/>
        <v>0</v>
      </c>
      <c r="H150" s="59">
        <f t="shared" si="82"/>
        <v>208</v>
      </c>
      <c r="I150" s="59">
        <f t="shared" si="82"/>
        <v>213</v>
      </c>
      <c r="J150" s="59">
        <f t="shared" si="82"/>
        <v>273</v>
      </c>
      <c r="K150" s="59">
        <f t="shared" si="82"/>
        <v>173</v>
      </c>
      <c r="L150" s="59">
        <f t="shared" si="82"/>
        <v>2145</v>
      </c>
      <c r="M150" s="59">
        <f t="shared" si="82"/>
        <v>265</v>
      </c>
      <c r="N150" s="59">
        <f t="shared" si="82"/>
        <v>182</v>
      </c>
      <c r="O150" s="59">
        <f t="shared" si="82"/>
        <v>132</v>
      </c>
      <c r="P150" s="59">
        <f t="shared" si="82"/>
        <v>166</v>
      </c>
      <c r="Q150" s="59">
        <f t="shared" si="82"/>
        <v>269</v>
      </c>
      <c r="R150" s="59">
        <f t="shared" si="82"/>
        <v>275</v>
      </c>
      <c r="S150" s="59">
        <f t="shared" si="82"/>
        <v>176</v>
      </c>
      <c r="T150" s="59">
        <f t="shared" si="82"/>
        <v>177</v>
      </c>
      <c r="U150" s="59">
        <f t="shared" si="82"/>
        <v>92</v>
      </c>
      <c r="V150" s="59">
        <f t="shared" si="82"/>
        <v>201</v>
      </c>
      <c r="W150" s="59">
        <f t="shared" si="82"/>
        <v>185</v>
      </c>
      <c r="X150" s="59">
        <f t="shared" si="82"/>
        <v>98</v>
      </c>
      <c r="Y150" s="59">
        <f t="shared" si="82"/>
        <v>2218</v>
      </c>
      <c r="Z150" s="59">
        <f t="shared" si="82"/>
        <v>4363</v>
      </c>
      <c r="AB150" s="59">
        <f>AB117+AB149</f>
        <v>866</v>
      </c>
      <c r="AD150" s="59">
        <f t="shared" si="68"/>
        <v>5229</v>
      </c>
      <c r="AF150" s="59">
        <f>AF117+AF149</f>
        <v>6160</v>
      </c>
      <c r="AG150" s="59">
        <f>AG117+AG149</f>
        <v>5645</v>
      </c>
    </row>
  </sheetData>
  <mergeCells count="2">
    <mergeCell ref="B1:K1"/>
    <mergeCell ref="M1:W1"/>
  </mergeCells>
  <conditionalFormatting sqref="B3:K17">
    <cfRule type="cellIs" dxfId="65" priority="249" operator="equal">
      <formula>0</formula>
    </cfRule>
  </conditionalFormatting>
  <conditionalFormatting sqref="B19:K31">
    <cfRule type="cellIs" dxfId="64" priority="60" operator="equal">
      <formula>0</formula>
    </cfRule>
  </conditionalFormatting>
  <conditionalFormatting sqref="B33:K48">
    <cfRule type="cellIs" dxfId="63" priority="54" operator="equal">
      <formula>0</formula>
    </cfRule>
  </conditionalFormatting>
  <conditionalFormatting sqref="B50:K51">
    <cfRule type="cellIs" dxfId="62" priority="48" operator="equal">
      <formula>0</formula>
    </cfRule>
  </conditionalFormatting>
  <conditionalFormatting sqref="B53:K54">
    <cfRule type="cellIs" dxfId="61" priority="42" operator="equal">
      <formula>0</formula>
    </cfRule>
  </conditionalFormatting>
  <conditionalFormatting sqref="B56:K77">
    <cfRule type="cellIs" dxfId="60" priority="36" operator="equal">
      <formula>0</formula>
    </cfRule>
  </conditionalFormatting>
  <conditionalFormatting sqref="B81:K90">
    <cfRule type="cellIs" dxfId="59" priority="30" operator="equal">
      <formula>0</formula>
    </cfRule>
  </conditionalFormatting>
  <conditionalFormatting sqref="B93:K104">
    <cfRule type="cellIs" dxfId="58" priority="24" operator="equal">
      <formula>0</formula>
    </cfRule>
  </conditionalFormatting>
  <conditionalFormatting sqref="B107:K112">
    <cfRule type="cellIs" dxfId="57" priority="18" operator="equal">
      <formula>0</formula>
    </cfRule>
  </conditionalFormatting>
  <conditionalFormatting sqref="B114:K116">
    <cfRule type="cellIs" dxfId="56" priority="12" operator="equal">
      <formula>0</formula>
    </cfRule>
  </conditionalFormatting>
  <conditionalFormatting sqref="B118:K148">
    <cfRule type="cellIs" dxfId="55" priority="6" operator="equal">
      <formula>0</formula>
    </cfRule>
  </conditionalFormatting>
  <conditionalFormatting sqref="L3:L17">
    <cfRule type="cellIs" dxfId="54" priority="248" operator="equal">
      <formula>0</formula>
    </cfRule>
  </conditionalFormatting>
  <conditionalFormatting sqref="L19:L31">
    <cfRule type="cellIs" dxfId="53" priority="59" operator="equal">
      <formula>0</formula>
    </cfRule>
  </conditionalFormatting>
  <conditionalFormatting sqref="L33:L48">
    <cfRule type="cellIs" dxfId="52" priority="53" operator="equal">
      <formula>0</formula>
    </cfRule>
  </conditionalFormatting>
  <conditionalFormatting sqref="L50:L51">
    <cfRule type="cellIs" dxfId="51" priority="47" operator="equal">
      <formula>0</formula>
    </cfRule>
  </conditionalFormatting>
  <conditionalFormatting sqref="L53:L54">
    <cfRule type="cellIs" dxfId="50" priority="41" operator="equal">
      <formula>0</formula>
    </cfRule>
  </conditionalFormatting>
  <conditionalFormatting sqref="L56:L77">
    <cfRule type="cellIs" dxfId="49" priority="35" operator="equal">
      <formula>0</formula>
    </cfRule>
  </conditionalFormatting>
  <conditionalFormatting sqref="L81:L90">
    <cfRule type="cellIs" dxfId="48" priority="29" operator="equal">
      <formula>0</formula>
    </cfRule>
  </conditionalFormatting>
  <conditionalFormatting sqref="L93:L104">
    <cfRule type="cellIs" dxfId="47" priority="23" operator="equal">
      <formula>0</formula>
    </cfRule>
  </conditionalFormatting>
  <conditionalFormatting sqref="L107:L112">
    <cfRule type="cellIs" dxfId="46" priority="17" operator="equal">
      <formula>0</formula>
    </cfRule>
  </conditionalFormatting>
  <conditionalFormatting sqref="L114:L116">
    <cfRule type="cellIs" dxfId="45" priority="11" operator="equal">
      <formula>0</formula>
    </cfRule>
  </conditionalFormatting>
  <conditionalFormatting sqref="L118:L148">
    <cfRule type="cellIs" dxfId="44" priority="5" operator="equal">
      <formula>0</formula>
    </cfRule>
  </conditionalFormatting>
  <conditionalFormatting sqref="M3:X17">
    <cfRule type="cellIs" dxfId="43" priority="227" operator="equal">
      <formula>0</formula>
    </cfRule>
  </conditionalFormatting>
  <conditionalFormatting sqref="M19:X31">
    <cfRule type="cellIs" dxfId="42" priority="58" operator="equal">
      <formula>0</formula>
    </cfRule>
  </conditionalFormatting>
  <conditionalFormatting sqref="M33:X48">
    <cfRule type="cellIs" dxfId="41" priority="52" operator="equal">
      <formula>0</formula>
    </cfRule>
  </conditionalFormatting>
  <conditionalFormatting sqref="M50:X51">
    <cfRule type="cellIs" dxfId="40" priority="46" operator="equal">
      <formula>0</formula>
    </cfRule>
  </conditionalFormatting>
  <conditionalFormatting sqref="M53:X54">
    <cfRule type="cellIs" dxfId="39" priority="40" operator="equal">
      <formula>0</formula>
    </cfRule>
  </conditionalFormatting>
  <conditionalFormatting sqref="M56:X77">
    <cfRule type="cellIs" dxfId="38" priority="34" operator="equal">
      <formula>0</formula>
    </cfRule>
  </conditionalFormatting>
  <conditionalFormatting sqref="M81:X90">
    <cfRule type="cellIs" dxfId="37" priority="28" operator="equal">
      <formula>0</formula>
    </cfRule>
  </conditionalFormatting>
  <conditionalFormatting sqref="M93:X104">
    <cfRule type="cellIs" dxfId="36" priority="22" operator="equal">
      <formula>0</formula>
    </cfRule>
  </conditionalFormatting>
  <conditionalFormatting sqref="M107:X112">
    <cfRule type="cellIs" dxfId="35" priority="16" operator="equal">
      <formula>0</formula>
    </cfRule>
  </conditionalFormatting>
  <conditionalFormatting sqref="M114:X116">
    <cfRule type="cellIs" dxfId="34" priority="10" operator="equal">
      <formula>0</formula>
    </cfRule>
  </conditionalFormatting>
  <conditionalFormatting sqref="M118:X148">
    <cfRule type="cellIs" dxfId="33" priority="4" operator="equal">
      <formula>0</formula>
    </cfRule>
  </conditionalFormatting>
  <conditionalFormatting sqref="Y3:Z17">
    <cfRule type="cellIs" dxfId="32" priority="195" operator="equal">
      <formula>0</formula>
    </cfRule>
  </conditionalFormatting>
  <conditionalFormatting sqref="Y19:Z31">
    <cfRule type="cellIs" dxfId="31" priority="57" operator="equal">
      <formula>0</formula>
    </cfRule>
  </conditionalFormatting>
  <conditionalFormatting sqref="Y33:Z48">
    <cfRule type="cellIs" dxfId="30" priority="51" operator="equal">
      <formula>0</formula>
    </cfRule>
  </conditionalFormatting>
  <conditionalFormatting sqref="Y50:Z51">
    <cfRule type="cellIs" dxfId="29" priority="45" operator="equal">
      <formula>0</formula>
    </cfRule>
  </conditionalFormatting>
  <conditionalFormatting sqref="Y53:Z54">
    <cfRule type="cellIs" dxfId="28" priority="39" operator="equal">
      <formula>0</formula>
    </cfRule>
  </conditionalFormatting>
  <conditionalFormatting sqref="Y56:Z77">
    <cfRule type="cellIs" dxfId="27" priority="33" operator="equal">
      <formula>0</formula>
    </cfRule>
  </conditionalFormatting>
  <conditionalFormatting sqref="Y81:Z90">
    <cfRule type="cellIs" dxfId="26" priority="27" operator="equal">
      <formula>0</formula>
    </cfRule>
  </conditionalFormatting>
  <conditionalFormatting sqref="Y93:Z104">
    <cfRule type="cellIs" dxfId="25" priority="21" operator="equal">
      <formula>0</formula>
    </cfRule>
  </conditionalFormatting>
  <conditionalFormatting sqref="Y107:Z112">
    <cfRule type="cellIs" dxfId="24" priority="15" operator="equal">
      <formula>0</formula>
    </cfRule>
  </conditionalFormatting>
  <conditionalFormatting sqref="Y114:Z116">
    <cfRule type="cellIs" dxfId="23" priority="9" operator="equal">
      <formula>0</formula>
    </cfRule>
  </conditionalFormatting>
  <conditionalFormatting sqref="Y118:Z148">
    <cfRule type="cellIs" dxfId="22" priority="3" operator="equal">
      <formula>0</formula>
    </cfRule>
  </conditionalFormatting>
  <conditionalFormatting sqref="AB3:AB17">
    <cfRule type="cellIs" dxfId="21" priority="194" operator="equal">
      <formula>0</formula>
    </cfRule>
  </conditionalFormatting>
  <conditionalFormatting sqref="AB19:AB31">
    <cfRule type="cellIs" dxfId="20" priority="56" operator="equal">
      <formula>0</formula>
    </cfRule>
  </conditionalFormatting>
  <conditionalFormatting sqref="AB33:AB48">
    <cfRule type="cellIs" dxfId="19" priority="50" operator="equal">
      <formula>0</formula>
    </cfRule>
  </conditionalFormatting>
  <conditionalFormatting sqref="AB50:AB51">
    <cfRule type="cellIs" dxfId="18" priority="44" operator="equal">
      <formula>0</formula>
    </cfRule>
  </conditionalFormatting>
  <conditionalFormatting sqref="AB53:AB54">
    <cfRule type="cellIs" dxfId="17" priority="38" operator="equal">
      <formula>0</formula>
    </cfRule>
  </conditionalFormatting>
  <conditionalFormatting sqref="AB56:AB77">
    <cfRule type="cellIs" dxfId="16" priority="32" operator="equal">
      <formula>0</formula>
    </cfRule>
  </conditionalFormatting>
  <conditionalFormatting sqref="AB81:AB90">
    <cfRule type="cellIs" dxfId="15" priority="26" operator="equal">
      <formula>0</formula>
    </cfRule>
  </conditionalFormatting>
  <conditionalFormatting sqref="AB93:AB104">
    <cfRule type="cellIs" dxfId="14" priority="20" operator="equal">
      <formula>0</formula>
    </cfRule>
  </conditionalFormatting>
  <conditionalFormatting sqref="AB107:AB112">
    <cfRule type="cellIs" dxfId="13" priority="14" operator="equal">
      <formula>0</formula>
    </cfRule>
  </conditionalFormatting>
  <conditionalFormatting sqref="AB114:AB116">
    <cfRule type="cellIs" dxfId="12" priority="8" operator="equal">
      <formula>0</formula>
    </cfRule>
  </conditionalFormatting>
  <conditionalFormatting sqref="AB118:AB148">
    <cfRule type="cellIs" dxfId="11" priority="2" operator="equal">
      <formula>0</formula>
    </cfRule>
  </conditionalFormatting>
  <conditionalFormatting sqref="AD3:AD17">
    <cfRule type="cellIs" dxfId="10" priority="183" operator="equal">
      <formula>0</formula>
    </cfRule>
  </conditionalFormatting>
  <conditionalFormatting sqref="AD19:AD31">
    <cfRule type="cellIs" dxfId="9" priority="55" operator="equal">
      <formula>0</formula>
    </cfRule>
  </conditionalFormatting>
  <conditionalFormatting sqref="AD33:AD48">
    <cfRule type="cellIs" dxfId="8" priority="49" operator="equal">
      <formula>0</formula>
    </cfRule>
  </conditionalFormatting>
  <conditionalFormatting sqref="AD50:AD51">
    <cfRule type="cellIs" dxfId="7" priority="43" operator="equal">
      <formula>0</formula>
    </cfRule>
  </conditionalFormatting>
  <conditionalFormatting sqref="AD53:AD54">
    <cfRule type="cellIs" dxfId="6" priority="37" operator="equal">
      <formula>0</formula>
    </cfRule>
  </conditionalFormatting>
  <conditionalFormatting sqref="AD56:AD77">
    <cfRule type="cellIs" dxfId="5" priority="31" operator="equal">
      <formula>0</formula>
    </cfRule>
  </conditionalFormatting>
  <conditionalFormatting sqref="AD81:AD90">
    <cfRule type="cellIs" dxfId="4" priority="25" operator="equal">
      <formula>0</formula>
    </cfRule>
  </conditionalFormatting>
  <conditionalFormatting sqref="AD93:AD104">
    <cfRule type="cellIs" dxfId="3" priority="19" operator="equal">
      <formula>0</formula>
    </cfRule>
  </conditionalFormatting>
  <conditionalFormatting sqref="AD107:AD112">
    <cfRule type="cellIs" dxfId="2" priority="13" operator="equal">
      <formula>0</formula>
    </cfRule>
  </conditionalFormatting>
  <conditionalFormatting sqref="AD114:AD116">
    <cfRule type="cellIs" dxfId="1" priority="7" operator="equal">
      <formula>0</formula>
    </cfRule>
  </conditionalFormatting>
  <conditionalFormatting sqref="AD118:AD148">
    <cfRule type="cellIs" dxfId="0" priority="1" operator="equal">
      <formula>0</formula>
    </cfRule>
  </conditionalFormatting>
  <pageMargins left="0.7" right="0.7" top="0.75" bottom="0.75" header="0.3" footer="0.3"/>
  <ignoredErrors>
    <ignoredError sqref="Y18:AD18 Y32:AD32 Y49:AD49 Y52:AD52 Y55:AD55 Y78:AD80 Y91:AD92 Y105:AD106 Y113:AD113 Y117:AD117 Y149:AA150 AC149:AD150 B117:T117 B150:T150 B18:T18 B32:T32 B49:T49 B78:T80 B91:T92 B105:T106 W149:W150 W117 W113 W105:W106 W91:W92 W78:W80 W55 W52 W49 W32 W18 B113:T113 B149:F149 H149:T149 B52:T52 B55:T55" unlockedFormula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EBE29-2E1F-46A0-A916-320D3D90621E}">
  <sheetPr>
    <tabColor rgb="FF0070C0"/>
  </sheetPr>
  <dimension ref="A1:D140"/>
  <sheetViews>
    <sheetView zoomScale="90" zoomScaleNormal="90" workbookViewId="0">
      <pane xSplit="1" ySplit="2" topLeftCell="B108" activePane="bottomRight" state="frozen"/>
      <selection activeCell="A119" sqref="A119:A121"/>
      <selection pane="topRight" activeCell="A119" sqref="A119:A121"/>
      <selection pane="bottomLeft" activeCell="A119" sqref="A119:A121"/>
      <selection pane="bottomRight" activeCell="A119" sqref="A119:A121"/>
    </sheetView>
  </sheetViews>
  <sheetFormatPr baseColWidth="10" defaultRowHeight="14.4" x14ac:dyDescent="0.3"/>
  <cols>
    <col min="1" max="1" width="41.109375" bestFit="1" customWidth="1"/>
    <col min="2" max="2" width="16.33203125" style="116" customWidth="1"/>
    <col min="3" max="4" width="11.5546875" style="116"/>
  </cols>
  <sheetData>
    <row r="1" spans="1:4" ht="18" thickBot="1" x14ac:dyDescent="0.4">
      <c r="A1" s="1">
        <f>+RAIZ!B1</f>
        <v>46301</v>
      </c>
    </row>
    <row r="2" spans="1:4" ht="47.4" thickBot="1" x14ac:dyDescent="0.35">
      <c r="A2" s="42" t="s">
        <v>0</v>
      </c>
      <c r="B2" s="117" t="s">
        <v>864</v>
      </c>
      <c r="C2" s="118" t="s">
        <v>863</v>
      </c>
      <c r="D2" s="119" t="s">
        <v>715</v>
      </c>
    </row>
    <row r="3" spans="1:4" ht="17.399999999999999" x14ac:dyDescent="0.35">
      <c r="A3" s="3" t="s">
        <v>1</v>
      </c>
      <c r="B3" s="120">
        <f>'EXISTENCIA EN SUCURSALES'!Z3</f>
        <v>24</v>
      </c>
      <c r="C3" s="120">
        <f>'GRAL. SUC. LOCALES'!N3</f>
        <v>5</v>
      </c>
      <c r="D3" s="120">
        <f>SUM(B3:C3)</f>
        <v>29</v>
      </c>
    </row>
    <row r="4" spans="1:4" ht="17.399999999999999" x14ac:dyDescent="0.35">
      <c r="A4" s="3" t="s">
        <v>2</v>
      </c>
      <c r="B4" s="120">
        <f>'EXISTENCIA EN SUCURSALES'!Z4</f>
        <v>29</v>
      </c>
      <c r="C4" s="120">
        <f>'GRAL. SUC. LOCALES'!N4</f>
        <v>9</v>
      </c>
      <c r="D4" s="120">
        <f t="shared" ref="D4:D11" si="0">SUM(B4:C4)</f>
        <v>38</v>
      </c>
    </row>
    <row r="5" spans="1:4" ht="17.399999999999999" x14ac:dyDescent="0.35">
      <c r="A5" s="6" t="s">
        <v>3</v>
      </c>
      <c r="B5" s="120">
        <f>'EXISTENCIA EN SUCURSALES'!Z5</f>
        <v>29</v>
      </c>
      <c r="C5" s="120">
        <f>'GRAL. SUC. LOCALES'!N5</f>
        <v>2</v>
      </c>
      <c r="D5" s="120">
        <f t="shared" si="0"/>
        <v>31</v>
      </c>
    </row>
    <row r="6" spans="1:4" ht="17.399999999999999" x14ac:dyDescent="0.35">
      <c r="A6" s="6" t="s">
        <v>4</v>
      </c>
      <c r="B6" s="120">
        <f>'EXISTENCIA EN SUCURSALES'!Z6</f>
        <v>41</v>
      </c>
      <c r="C6" s="120">
        <f>'GRAL. SUC. LOCALES'!N6</f>
        <v>20</v>
      </c>
      <c r="D6" s="120">
        <f t="shared" si="0"/>
        <v>61</v>
      </c>
    </row>
    <row r="7" spans="1:4" ht="17.399999999999999" x14ac:dyDescent="0.35">
      <c r="A7" s="6" t="s">
        <v>5</v>
      </c>
      <c r="B7" s="120">
        <f>'EXISTENCIA EN SUCURSALES'!Z7</f>
        <v>28</v>
      </c>
      <c r="C7" s="120">
        <f>'GRAL. SUC. LOCALES'!N7</f>
        <v>13</v>
      </c>
      <c r="D7" s="120">
        <f t="shared" si="0"/>
        <v>41</v>
      </c>
    </row>
    <row r="8" spans="1:4" ht="17.399999999999999" x14ac:dyDescent="0.35">
      <c r="A8" s="6" t="s">
        <v>6</v>
      </c>
      <c r="B8" s="120">
        <f>'EXISTENCIA EN SUCURSALES'!Z8</f>
        <v>42</v>
      </c>
      <c r="C8" s="120">
        <f>'GRAL. SUC. LOCALES'!N8</f>
        <v>10</v>
      </c>
      <c r="D8" s="120">
        <f t="shared" si="0"/>
        <v>52</v>
      </c>
    </row>
    <row r="9" spans="1:4" ht="17.399999999999999" x14ac:dyDescent="0.35">
      <c r="A9" s="6" t="s">
        <v>7</v>
      </c>
      <c r="B9" s="120">
        <f>'EXISTENCIA EN SUCURSALES'!Z9</f>
        <v>27</v>
      </c>
      <c r="C9" s="120">
        <f>'GRAL. SUC. LOCALES'!N9</f>
        <v>4</v>
      </c>
      <c r="D9" s="120">
        <f t="shared" si="0"/>
        <v>31</v>
      </c>
    </row>
    <row r="10" spans="1:4" ht="17.399999999999999" x14ac:dyDescent="0.35">
      <c r="A10" s="6" t="s">
        <v>8</v>
      </c>
      <c r="B10" s="120">
        <f>'EXISTENCIA EN SUCURSALES'!Z10</f>
        <v>42</v>
      </c>
      <c r="C10" s="120">
        <f>'GRAL. SUC. LOCALES'!N10</f>
        <v>12</v>
      </c>
      <c r="D10" s="120">
        <f t="shared" si="0"/>
        <v>54</v>
      </c>
    </row>
    <row r="11" spans="1:4" ht="18" thickBot="1" x14ac:dyDescent="0.4">
      <c r="A11" s="8" t="s">
        <v>9</v>
      </c>
      <c r="B11" s="120">
        <f>'EXISTENCIA EN SUCURSALES'!Z17</f>
        <v>0</v>
      </c>
      <c r="C11" s="120">
        <f>'GRAL. SUC. LOCALES'!N17</f>
        <v>0</v>
      </c>
      <c r="D11" s="120">
        <f t="shared" si="0"/>
        <v>0</v>
      </c>
    </row>
    <row r="12" spans="1:4" ht="18" thickBot="1" x14ac:dyDescent="0.4">
      <c r="A12" s="10" t="s">
        <v>10</v>
      </c>
      <c r="B12" s="121">
        <f t="shared" ref="B12" si="1">SUM(B3:B11)</f>
        <v>262</v>
      </c>
      <c r="C12" s="121">
        <f t="shared" ref="C12" si="2">SUM(C3:C11)</f>
        <v>75</v>
      </c>
      <c r="D12" s="121">
        <f t="shared" ref="D12" si="3">SUM(D3:D11)</f>
        <v>337</v>
      </c>
    </row>
    <row r="13" spans="1:4" ht="17.399999999999999" x14ac:dyDescent="0.35">
      <c r="A13" s="11" t="s">
        <v>676</v>
      </c>
      <c r="B13" s="120">
        <f>'EXISTENCIA EN SUCURSALES'!Z19</f>
        <v>35</v>
      </c>
      <c r="C13" s="120">
        <f>'GRAL. SUC. LOCALES'!N19</f>
        <v>7</v>
      </c>
      <c r="D13" s="120">
        <f t="shared" ref="D13:D20" si="4">SUM(B13:C13)</f>
        <v>42</v>
      </c>
    </row>
    <row r="14" spans="1:4" ht="17.399999999999999" x14ac:dyDescent="0.35">
      <c r="A14" s="13" t="s">
        <v>11</v>
      </c>
      <c r="B14" s="120">
        <f>'EXISTENCIA EN SUCURSALES'!Z20</f>
        <v>42</v>
      </c>
      <c r="C14" s="120">
        <f>'GRAL. SUC. LOCALES'!N20</f>
        <v>16</v>
      </c>
      <c r="D14" s="120">
        <f t="shared" si="4"/>
        <v>58</v>
      </c>
    </row>
    <row r="15" spans="1:4" ht="17.399999999999999" x14ac:dyDescent="0.35">
      <c r="A15" s="13" t="s">
        <v>344</v>
      </c>
      <c r="B15" s="120">
        <f>'EXISTENCIA EN SUCURSALES'!Z21</f>
        <v>37</v>
      </c>
      <c r="C15" s="120">
        <f>'GRAL. SUC. LOCALES'!N21</f>
        <v>0</v>
      </c>
      <c r="D15" s="120">
        <f t="shared" si="4"/>
        <v>37</v>
      </c>
    </row>
    <row r="16" spans="1:4" ht="17.399999999999999" x14ac:dyDescent="0.35">
      <c r="A16" s="13" t="s">
        <v>832</v>
      </c>
      <c r="B16" s="120">
        <f>'EXISTENCIA EN SUCURSALES'!Z22</f>
        <v>28</v>
      </c>
      <c r="C16" s="120">
        <f>'GRAL. SUC. LOCALES'!N22</f>
        <v>19</v>
      </c>
      <c r="D16" s="120">
        <f t="shared" si="4"/>
        <v>47</v>
      </c>
    </row>
    <row r="17" spans="1:4" ht="17.399999999999999" x14ac:dyDescent="0.35">
      <c r="A17" s="13" t="s">
        <v>547</v>
      </c>
      <c r="B17" s="120">
        <f>'EXISTENCIA EN SUCURSALES'!Z23</f>
        <v>40</v>
      </c>
      <c r="C17" s="120">
        <f>'GRAL. SUC. LOCALES'!N23</f>
        <v>3</v>
      </c>
      <c r="D17" s="120">
        <f t="shared" si="4"/>
        <v>43</v>
      </c>
    </row>
    <row r="18" spans="1:4" ht="17.399999999999999" x14ac:dyDescent="0.35">
      <c r="A18" s="13" t="s">
        <v>12</v>
      </c>
      <c r="B18" s="120">
        <f>'EXISTENCIA EN SUCURSALES'!Z24</f>
        <v>18</v>
      </c>
      <c r="C18" s="120">
        <f>'GRAL. SUC. LOCALES'!N24</f>
        <v>0</v>
      </c>
      <c r="D18" s="120">
        <f t="shared" si="4"/>
        <v>18</v>
      </c>
    </row>
    <row r="19" spans="1:4" ht="17.399999999999999" x14ac:dyDescent="0.35">
      <c r="A19" s="13" t="s">
        <v>432</v>
      </c>
      <c r="B19" s="120">
        <f>'EXISTENCIA EN SUCURSALES'!Z25</f>
        <v>30</v>
      </c>
      <c r="C19" s="120">
        <f>'GRAL. SUC. LOCALES'!N25</f>
        <v>34</v>
      </c>
      <c r="D19" s="120">
        <f t="shared" si="4"/>
        <v>64</v>
      </c>
    </row>
    <row r="20" spans="1:4" ht="18" thickBot="1" x14ac:dyDescent="0.4">
      <c r="A20" s="15" t="s">
        <v>468</v>
      </c>
      <c r="B20" s="120">
        <f>'EXISTENCIA EN SUCURSALES'!Z31</f>
        <v>0</v>
      </c>
      <c r="C20" s="120">
        <f>'GRAL. SUC. LOCALES'!N31</f>
        <v>0</v>
      </c>
      <c r="D20" s="120">
        <f t="shared" si="4"/>
        <v>0</v>
      </c>
    </row>
    <row r="21" spans="1:4" ht="18" thickBot="1" x14ac:dyDescent="0.4">
      <c r="A21" s="17" t="s">
        <v>13</v>
      </c>
      <c r="B21" s="122">
        <f t="shared" ref="B21" si="5">SUM(B13:B20)</f>
        <v>230</v>
      </c>
      <c r="C21" s="122">
        <f t="shared" ref="C21" si="6">SUM(C13:C20)</f>
        <v>79</v>
      </c>
      <c r="D21" s="122">
        <f t="shared" ref="D21" si="7">SUM(D13:D20)</f>
        <v>309</v>
      </c>
    </row>
    <row r="22" spans="1:4" ht="17.399999999999999" x14ac:dyDescent="0.35">
      <c r="A22" s="3" t="s">
        <v>14</v>
      </c>
      <c r="B22" s="120">
        <f>'EXISTENCIA EN SUCURSALES'!Z33</f>
        <v>26</v>
      </c>
      <c r="C22" s="120">
        <f>'GRAL. SUC. LOCALES'!N33</f>
        <v>5</v>
      </c>
      <c r="D22" s="120">
        <f t="shared" ref="D22:D31" si="8">SUM(B22:C22)</f>
        <v>31</v>
      </c>
    </row>
    <row r="23" spans="1:4" ht="17.399999999999999" x14ac:dyDescent="0.35">
      <c r="A23" s="6" t="s">
        <v>15</v>
      </c>
      <c r="B23" s="120">
        <f>'EXISTENCIA EN SUCURSALES'!Z34</f>
        <v>33</v>
      </c>
      <c r="C23" s="120">
        <f>'GRAL. SUC. LOCALES'!N34</f>
        <v>6</v>
      </c>
      <c r="D23" s="120">
        <f t="shared" si="8"/>
        <v>39</v>
      </c>
    </row>
    <row r="24" spans="1:4" ht="17.399999999999999" x14ac:dyDescent="0.35">
      <c r="A24" s="6" t="s">
        <v>16</v>
      </c>
      <c r="B24" s="120">
        <f>'EXISTENCIA EN SUCURSALES'!Z35</f>
        <v>34</v>
      </c>
      <c r="C24" s="120">
        <f>'GRAL. SUC. LOCALES'!N35</f>
        <v>7</v>
      </c>
      <c r="D24" s="120">
        <f t="shared" si="8"/>
        <v>41</v>
      </c>
    </row>
    <row r="25" spans="1:4" ht="17.399999999999999" x14ac:dyDescent="0.35">
      <c r="A25" s="6" t="s">
        <v>17</v>
      </c>
      <c r="B25" s="120">
        <f>'EXISTENCIA EN SUCURSALES'!Z36</f>
        <v>31</v>
      </c>
      <c r="C25" s="120">
        <f>'GRAL. SUC. LOCALES'!N36</f>
        <v>6</v>
      </c>
      <c r="D25" s="120">
        <f t="shared" si="8"/>
        <v>37</v>
      </c>
    </row>
    <row r="26" spans="1:4" ht="17.399999999999999" x14ac:dyDescent="0.35">
      <c r="A26" s="6" t="s">
        <v>18</v>
      </c>
      <c r="B26" s="120">
        <f>'EXISTENCIA EN SUCURSALES'!Z37</f>
        <v>43</v>
      </c>
      <c r="C26" s="120">
        <f>'GRAL. SUC. LOCALES'!N37</f>
        <v>12</v>
      </c>
      <c r="D26" s="120">
        <f t="shared" si="8"/>
        <v>55</v>
      </c>
    </row>
    <row r="27" spans="1:4" ht="17.399999999999999" x14ac:dyDescent="0.35">
      <c r="A27" s="6" t="s">
        <v>22</v>
      </c>
      <c r="B27" s="120">
        <f>'EXISTENCIA EN SUCURSALES'!Z38</f>
        <v>43</v>
      </c>
      <c r="C27" s="120">
        <f>'GRAL. SUC. LOCALES'!N38</f>
        <v>10</v>
      </c>
      <c r="D27" s="120">
        <f t="shared" si="8"/>
        <v>53</v>
      </c>
    </row>
    <row r="28" spans="1:4" ht="17.399999999999999" x14ac:dyDescent="0.35">
      <c r="A28" s="6" t="s">
        <v>23</v>
      </c>
      <c r="B28" s="120">
        <f>'EXISTENCIA EN SUCURSALES'!Z39</f>
        <v>31</v>
      </c>
      <c r="C28" s="120">
        <f>'GRAL. SUC. LOCALES'!N39</f>
        <v>0</v>
      </c>
      <c r="D28" s="120">
        <f t="shared" si="8"/>
        <v>31</v>
      </c>
    </row>
    <row r="29" spans="1:4" ht="17.399999999999999" x14ac:dyDescent="0.35">
      <c r="A29" s="6" t="s">
        <v>24</v>
      </c>
      <c r="B29" s="120">
        <f>'EXISTENCIA EN SUCURSALES'!Z40</f>
        <v>33</v>
      </c>
      <c r="C29" s="120">
        <f>'GRAL. SUC. LOCALES'!N40</f>
        <v>12</v>
      </c>
      <c r="D29" s="120">
        <f t="shared" si="8"/>
        <v>45</v>
      </c>
    </row>
    <row r="30" spans="1:4" ht="17.399999999999999" x14ac:dyDescent="0.35">
      <c r="A30" s="6" t="s">
        <v>25</v>
      </c>
      <c r="B30" s="120">
        <f>'EXISTENCIA EN SUCURSALES'!Z41</f>
        <v>30</v>
      </c>
      <c r="C30" s="120">
        <f>'GRAL. SUC. LOCALES'!N41</f>
        <v>5</v>
      </c>
      <c r="D30" s="120">
        <f t="shared" si="8"/>
        <v>35</v>
      </c>
    </row>
    <row r="31" spans="1:4" ht="18" thickBot="1" x14ac:dyDescent="0.4">
      <c r="A31" s="6" t="s">
        <v>27</v>
      </c>
      <c r="B31" s="120">
        <f>'EXISTENCIA EN SUCURSALES'!Z48</f>
        <v>0</v>
      </c>
      <c r="C31" s="120">
        <f>'GRAL. SUC. LOCALES'!N48</f>
        <v>0</v>
      </c>
      <c r="D31" s="120">
        <f t="shared" si="8"/>
        <v>0</v>
      </c>
    </row>
    <row r="32" spans="1:4" ht="18" thickBot="1" x14ac:dyDescent="0.4">
      <c r="A32" s="19" t="s">
        <v>29</v>
      </c>
      <c r="B32" s="123">
        <f t="shared" ref="B32" si="9">SUM(B22:B31)</f>
        <v>304</v>
      </c>
      <c r="C32" s="123">
        <f t="shared" ref="C32" si="10">SUM(C22:C31)</f>
        <v>63</v>
      </c>
      <c r="D32" s="123">
        <f t="shared" ref="D32" si="11">SUM(D22:D31)</f>
        <v>367</v>
      </c>
    </row>
    <row r="33" spans="1:4" ht="17.399999999999999" x14ac:dyDescent="0.35">
      <c r="A33" s="3" t="s">
        <v>30</v>
      </c>
      <c r="B33" s="120">
        <f>'EXISTENCIA EN SUCURSALES'!Z50</f>
        <v>98</v>
      </c>
      <c r="C33" s="120">
        <f>'GRAL. SUC. LOCALES'!N50</f>
        <v>22</v>
      </c>
      <c r="D33" s="120">
        <f t="shared" ref="D33:D34" si="12">SUM(B33:C33)</f>
        <v>120</v>
      </c>
    </row>
    <row r="34" spans="1:4" ht="18" thickBot="1" x14ac:dyDescent="0.4">
      <c r="A34" s="8" t="s">
        <v>31</v>
      </c>
      <c r="B34" s="120">
        <f>'EXISTENCIA EN SUCURSALES'!Z51</f>
        <v>94</v>
      </c>
      <c r="C34" s="120">
        <f>'GRAL. SUC. LOCALES'!N51</f>
        <v>39</v>
      </c>
      <c r="D34" s="120">
        <f t="shared" si="12"/>
        <v>133</v>
      </c>
    </row>
    <row r="35" spans="1:4" ht="18" thickBot="1" x14ac:dyDescent="0.4">
      <c r="A35" s="21" t="s">
        <v>32</v>
      </c>
      <c r="B35" s="124">
        <f t="shared" ref="B35" si="13">SUM(B33:B34)</f>
        <v>192</v>
      </c>
      <c r="C35" s="124">
        <f t="shared" ref="C35" si="14">SUM(C33:C34)</f>
        <v>61</v>
      </c>
      <c r="D35" s="124">
        <f t="shared" ref="D35" si="15">SUM(D33:D34)</f>
        <v>253</v>
      </c>
    </row>
    <row r="36" spans="1:4" ht="17.399999999999999" x14ac:dyDescent="0.35">
      <c r="A36" s="3" t="s">
        <v>33</v>
      </c>
      <c r="B36" s="120">
        <f>'EXISTENCIA EN SUCURSALES'!Z53</f>
        <v>104</v>
      </c>
      <c r="C36" s="120">
        <f>'GRAL. SUC. LOCALES'!N53</f>
        <v>19</v>
      </c>
      <c r="D36" s="120">
        <f t="shared" ref="D36:D37" si="16">SUM(B36:C36)</f>
        <v>123</v>
      </c>
    </row>
    <row r="37" spans="1:4" ht="18" thickBot="1" x14ac:dyDescent="0.4">
      <c r="A37" s="8" t="s">
        <v>34</v>
      </c>
      <c r="B37" s="120">
        <f>'EXISTENCIA EN SUCURSALES'!Z54</f>
        <v>87</v>
      </c>
      <c r="C37" s="120">
        <f>'GRAL. SUC. LOCALES'!N54</f>
        <v>31</v>
      </c>
      <c r="D37" s="120">
        <f t="shared" si="16"/>
        <v>118</v>
      </c>
    </row>
    <row r="38" spans="1:4" ht="18" thickBot="1" x14ac:dyDescent="0.4">
      <c r="A38" s="19" t="s">
        <v>35</v>
      </c>
      <c r="B38" s="123">
        <f t="shared" ref="B38" si="17">SUM(B36:B37)</f>
        <v>191</v>
      </c>
      <c r="C38" s="123">
        <f t="shared" ref="C38" si="18">SUM(C36:C37)</f>
        <v>50</v>
      </c>
      <c r="D38" s="123">
        <f t="shared" ref="D38" si="19">SUM(D36:D37)</f>
        <v>241</v>
      </c>
    </row>
    <row r="39" spans="1:4" ht="17.399999999999999" x14ac:dyDescent="0.35">
      <c r="A39" s="3" t="s">
        <v>36</v>
      </c>
      <c r="B39" s="120">
        <f>'EXISTENCIA EN SUCURSALES'!Z56</f>
        <v>23</v>
      </c>
      <c r="C39" s="120">
        <f>'GRAL. SUC. LOCALES'!N56</f>
        <v>12</v>
      </c>
      <c r="D39" s="120">
        <f t="shared" ref="D39:D54" si="20">SUM(B39:C39)</f>
        <v>35</v>
      </c>
    </row>
    <row r="40" spans="1:4" ht="17.399999999999999" x14ac:dyDescent="0.35">
      <c r="A40" s="3" t="s">
        <v>37</v>
      </c>
      <c r="B40" s="120">
        <f>'EXISTENCIA EN SUCURSALES'!Z57</f>
        <v>27</v>
      </c>
      <c r="C40" s="120">
        <f>'GRAL. SUC. LOCALES'!N57</f>
        <v>8</v>
      </c>
      <c r="D40" s="120">
        <f t="shared" si="20"/>
        <v>35</v>
      </c>
    </row>
    <row r="41" spans="1:4" ht="17.399999999999999" x14ac:dyDescent="0.35">
      <c r="A41" s="3" t="s">
        <v>38</v>
      </c>
      <c r="B41" s="120">
        <f>'EXISTENCIA EN SUCURSALES'!Z58</f>
        <v>19</v>
      </c>
      <c r="C41" s="120">
        <f>'GRAL. SUC. LOCALES'!N58</f>
        <v>5</v>
      </c>
      <c r="D41" s="120">
        <f t="shared" si="20"/>
        <v>24</v>
      </c>
    </row>
    <row r="42" spans="1:4" ht="17.399999999999999" x14ac:dyDescent="0.35">
      <c r="A42" s="3" t="s">
        <v>39</v>
      </c>
      <c r="B42" s="120">
        <f>'EXISTENCIA EN SUCURSALES'!Z59</f>
        <v>18</v>
      </c>
      <c r="C42" s="120">
        <f>'GRAL. SUC. LOCALES'!N59</f>
        <v>0</v>
      </c>
      <c r="D42" s="120">
        <f t="shared" si="20"/>
        <v>18</v>
      </c>
    </row>
    <row r="43" spans="1:4" ht="17.399999999999999" x14ac:dyDescent="0.35">
      <c r="A43" s="3" t="s">
        <v>40</v>
      </c>
      <c r="B43" s="120">
        <f>'EXISTENCIA EN SUCURSALES'!Z60</f>
        <v>18</v>
      </c>
      <c r="C43" s="120">
        <f>'GRAL. SUC. LOCALES'!N60</f>
        <v>0</v>
      </c>
      <c r="D43" s="120">
        <f t="shared" si="20"/>
        <v>18</v>
      </c>
    </row>
    <row r="44" spans="1:4" ht="17.399999999999999" x14ac:dyDescent="0.35">
      <c r="A44" s="3" t="s">
        <v>41</v>
      </c>
      <c r="B44" s="120">
        <f>'EXISTENCIA EN SUCURSALES'!Z61</f>
        <v>24</v>
      </c>
      <c r="C44" s="120">
        <f>'GRAL. SUC. LOCALES'!N61</f>
        <v>0</v>
      </c>
      <c r="D44" s="120">
        <f t="shared" si="20"/>
        <v>24</v>
      </c>
    </row>
    <row r="45" spans="1:4" ht="17.399999999999999" x14ac:dyDescent="0.35">
      <c r="A45" s="22" t="s">
        <v>42</v>
      </c>
      <c r="B45" s="120">
        <f>'EXISTENCIA EN SUCURSALES'!Z62</f>
        <v>20</v>
      </c>
      <c r="C45" s="120">
        <f>'GRAL. SUC. LOCALES'!N62</f>
        <v>4</v>
      </c>
      <c r="D45" s="120">
        <f t="shared" si="20"/>
        <v>24</v>
      </c>
    </row>
    <row r="46" spans="1:4" ht="17.399999999999999" x14ac:dyDescent="0.35">
      <c r="A46" s="23" t="s">
        <v>43</v>
      </c>
      <c r="B46" s="120">
        <f>'EXISTENCIA EN SUCURSALES'!Z63</f>
        <v>21</v>
      </c>
      <c r="C46" s="120">
        <f>'GRAL. SUC. LOCALES'!N63</f>
        <v>5</v>
      </c>
      <c r="D46" s="120">
        <f t="shared" si="20"/>
        <v>26</v>
      </c>
    </row>
    <row r="47" spans="1:4" ht="17.399999999999999" x14ac:dyDescent="0.35">
      <c r="A47" s="3" t="s">
        <v>44</v>
      </c>
      <c r="B47" s="120">
        <f>'EXISTENCIA EN SUCURSALES'!Z64</f>
        <v>29</v>
      </c>
      <c r="C47" s="120">
        <f>'GRAL. SUC. LOCALES'!N64</f>
        <v>7</v>
      </c>
      <c r="D47" s="120">
        <f t="shared" si="20"/>
        <v>36</v>
      </c>
    </row>
    <row r="48" spans="1:4" ht="17.399999999999999" x14ac:dyDescent="0.35">
      <c r="A48" s="3" t="s">
        <v>45</v>
      </c>
      <c r="B48" s="120">
        <f>'EXISTENCIA EN SUCURSALES'!Z65</f>
        <v>45</v>
      </c>
      <c r="C48" s="120">
        <f>'GRAL. SUC. LOCALES'!N65</f>
        <v>14</v>
      </c>
      <c r="D48" s="120">
        <f t="shared" si="20"/>
        <v>59</v>
      </c>
    </row>
    <row r="49" spans="1:4" ht="17.399999999999999" x14ac:dyDescent="0.35">
      <c r="A49" s="6" t="s">
        <v>46</v>
      </c>
      <c r="B49" s="120">
        <f>'EXISTENCIA EN SUCURSALES'!Z66</f>
        <v>24</v>
      </c>
      <c r="C49" s="120">
        <f>'GRAL. SUC. LOCALES'!N66</f>
        <v>5</v>
      </c>
      <c r="D49" s="120">
        <f t="shared" si="20"/>
        <v>29</v>
      </c>
    </row>
    <row r="50" spans="1:4" ht="17.399999999999999" x14ac:dyDescent="0.35">
      <c r="A50" s="3" t="s">
        <v>48</v>
      </c>
      <c r="B50" s="120">
        <f>'EXISTENCIA EN SUCURSALES'!Z67</f>
        <v>20</v>
      </c>
      <c r="C50" s="120">
        <f>'GRAL. SUC. LOCALES'!N67</f>
        <v>14</v>
      </c>
      <c r="D50" s="120">
        <f t="shared" si="20"/>
        <v>34</v>
      </c>
    </row>
    <row r="51" spans="1:4" ht="17.399999999999999" x14ac:dyDescent="0.35">
      <c r="A51" s="3" t="s">
        <v>49</v>
      </c>
      <c r="B51" s="120">
        <f>'EXISTENCIA EN SUCURSALES'!Z68</f>
        <v>39</v>
      </c>
      <c r="C51" s="120">
        <f>'GRAL. SUC. LOCALES'!N68</f>
        <v>4</v>
      </c>
      <c r="D51" s="120">
        <f t="shared" si="20"/>
        <v>43</v>
      </c>
    </row>
    <row r="52" spans="1:4" ht="17.399999999999999" x14ac:dyDescent="0.35">
      <c r="A52" s="6" t="s">
        <v>50</v>
      </c>
      <c r="B52" s="120">
        <f>'EXISTENCIA EN SUCURSALES'!Z69</f>
        <v>15</v>
      </c>
      <c r="C52" s="120">
        <f>'GRAL. SUC. LOCALES'!N69</f>
        <v>-1</v>
      </c>
      <c r="D52" s="120">
        <f t="shared" si="20"/>
        <v>14</v>
      </c>
    </row>
    <row r="53" spans="1:4" ht="17.399999999999999" x14ac:dyDescent="0.35">
      <c r="A53" s="3" t="s">
        <v>51</v>
      </c>
      <c r="B53" s="120">
        <f>'EXISTENCIA EN SUCURSALES'!Z70</f>
        <v>56</v>
      </c>
      <c r="C53" s="120">
        <f>'GRAL. SUC. LOCALES'!N70</f>
        <v>8</v>
      </c>
      <c r="D53" s="120">
        <f t="shared" si="20"/>
        <v>64</v>
      </c>
    </row>
    <row r="54" spans="1:4" ht="18" thickBot="1" x14ac:dyDescent="0.4">
      <c r="A54" s="8" t="s">
        <v>53</v>
      </c>
      <c r="B54" s="120">
        <f>'EXISTENCIA EN SUCURSALES'!Z77</f>
        <v>0</v>
      </c>
      <c r="C54" s="120">
        <f>'GRAL. SUC. LOCALES'!N77</f>
        <v>0</v>
      </c>
      <c r="D54" s="120">
        <f t="shared" si="20"/>
        <v>0</v>
      </c>
    </row>
    <row r="55" spans="1:4" ht="18" thickBot="1" x14ac:dyDescent="0.4">
      <c r="A55" s="19" t="s">
        <v>54</v>
      </c>
      <c r="B55" s="123">
        <f t="shared" ref="B55" si="21">SUM(B39:B54)</f>
        <v>398</v>
      </c>
      <c r="C55" s="123">
        <f t="shared" ref="C55" si="22">SUM(C39:C54)</f>
        <v>85</v>
      </c>
      <c r="D55" s="123">
        <f t="shared" ref="D55" si="23">SUM(D39:D54)</f>
        <v>483</v>
      </c>
    </row>
    <row r="56" spans="1:4" ht="18.600000000000001" thickBot="1" x14ac:dyDescent="0.4">
      <c r="A56" s="24" t="s">
        <v>55</v>
      </c>
      <c r="B56" s="125">
        <f t="shared" ref="B56:D56" si="24">B12+B21+B32+B35+B38+B55</f>
        <v>1577</v>
      </c>
      <c r="C56" s="125">
        <f t="shared" si="24"/>
        <v>413</v>
      </c>
      <c r="D56" s="125">
        <f t="shared" si="24"/>
        <v>1990</v>
      </c>
    </row>
    <row r="57" spans="1:4" ht="17.399999999999999" x14ac:dyDescent="0.35">
      <c r="A57" s="25" t="s">
        <v>56</v>
      </c>
      <c r="B57" s="126"/>
      <c r="C57" s="126"/>
      <c r="D57" s="126"/>
    </row>
    <row r="58" spans="1:4" ht="17.399999999999999" x14ac:dyDescent="0.35">
      <c r="A58" s="6" t="s">
        <v>57</v>
      </c>
      <c r="B58" s="120">
        <f>'EXISTENCIA EN SUCURSALES'!Z81</f>
        <v>13</v>
      </c>
      <c r="C58" s="120">
        <f>'GRAL. SUC. LOCALES'!N81</f>
        <v>4</v>
      </c>
      <c r="D58" s="120">
        <f t="shared" ref="D58:D63" si="25">SUM(B58:C58)</f>
        <v>17</v>
      </c>
    </row>
    <row r="59" spans="1:4" ht="17.399999999999999" x14ac:dyDescent="0.35">
      <c r="A59" s="6" t="s">
        <v>58</v>
      </c>
      <c r="B59" s="120">
        <f>'EXISTENCIA EN SUCURSALES'!Z82</f>
        <v>10</v>
      </c>
      <c r="C59" s="120">
        <f>'GRAL. SUC. LOCALES'!N82</f>
        <v>0</v>
      </c>
      <c r="D59" s="120">
        <f t="shared" si="25"/>
        <v>10</v>
      </c>
    </row>
    <row r="60" spans="1:4" ht="17.399999999999999" x14ac:dyDescent="0.35">
      <c r="A60" s="6" t="s">
        <v>59</v>
      </c>
      <c r="B60" s="120">
        <f>'EXISTENCIA EN SUCURSALES'!Z83</f>
        <v>14</v>
      </c>
      <c r="C60" s="120">
        <f>'GRAL. SUC. LOCALES'!N83</f>
        <v>5</v>
      </c>
      <c r="D60" s="120">
        <f t="shared" si="25"/>
        <v>19</v>
      </c>
    </row>
    <row r="61" spans="1:4" ht="17.399999999999999" x14ac:dyDescent="0.35">
      <c r="A61" s="6" t="s">
        <v>60</v>
      </c>
      <c r="B61" s="120">
        <f>'EXISTENCIA EN SUCURSALES'!Z84</f>
        <v>15</v>
      </c>
      <c r="C61" s="120">
        <f>'GRAL. SUC. LOCALES'!N84</f>
        <v>5</v>
      </c>
      <c r="D61" s="120">
        <f t="shared" si="25"/>
        <v>20</v>
      </c>
    </row>
    <row r="62" spans="1:4" ht="17.399999999999999" x14ac:dyDescent="0.35">
      <c r="A62" s="6" t="s">
        <v>61</v>
      </c>
      <c r="B62" s="120">
        <f>'EXISTENCIA EN SUCURSALES'!Z85</f>
        <v>18</v>
      </c>
      <c r="C62" s="120">
        <f>'GRAL. SUC. LOCALES'!N85</f>
        <v>7</v>
      </c>
      <c r="D62" s="120">
        <f t="shared" si="25"/>
        <v>25</v>
      </c>
    </row>
    <row r="63" spans="1:4" ht="18" thickBot="1" x14ac:dyDescent="0.4">
      <c r="A63" s="6" t="s">
        <v>63</v>
      </c>
      <c r="B63" s="120">
        <f>'EXISTENCIA EN SUCURSALES'!Z90</f>
        <v>0</v>
      </c>
      <c r="C63" s="120">
        <f>'GRAL. SUC. LOCALES'!N90</f>
        <v>0</v>
      </c>
      <c r="D63" s="120">
        <f t="shared" si="25"/>
        <v>0</v>
      </c>
    </row>
    <row r="64" spans="1:4" ht="18.600000000000001" thickBot="1" x14ac:dyDescent="0.4">
      <c r="A64" s="28" t="s">
        <v>55</v>
      </c>
      <c r="B64" s="127">
        <f t="shared" ref="B64:D64" si="26">SUM(B58:B63)</f>
        <v>70</v>
      </c>
      <c r="C64" s="127">
        <f t="shared" si="26"/>
        <v>21</v>
      </c>
      <c r="D64" s="127">
        <f t="shared" si="26"/>
        <v>91</v>
      </c>
    </row>
    <row r="65" spans="1:4" ht="17.399999999999999" x14ac:dyDescent="0.35">
      <c r="A65" s="29" t="s">
        <v>64</v>
      </c>
      <c r="B65" s="128"/>
      <c r="C65" s="128"/>
      <c r="D65" s="128"/>
    </row>
    <row r="66" spans="1:4" ht="17.399999999999999" x14ac:dyDescent="0.35">
      <c r="A66" s="6" t="s">
        <v>65</v>
      </c>
      <c r="B66" s="120">
        <f>'EXISTENCIA EN SUCURSALES'!Z93</f>
        <v>21</v>
      </c>
      <c r="C66" s="120">
        <f>'GRAL. SUC. LOCALES'!N93</f>
        <v>11</v>
      </c>
      <c r="D66" s="120">
        <f t="shared" ref="D66:D77" si="27">SUM(B66:C66)</f>
        <v>32</v>
      </c>
    </row>
    <row r="67" spans="1:4" ht="17.399999999999999" x14ac:dyDescent="0.35">
      <c r="A67" s="6" t="s">
        <v>66</v>
      </c>
      <c r="B67" s="120">
        <f>'EXISTENCIA EN SUCURSALES'!Z94</f>
        <v>20</v>
      </c>
      <c r="C67" s="120">
        <f>'GRAL. SUC. LOCALES'!N94</f>
        <v>13</v>
      </c>
      <c r="D67" s="120">
        <f t="shared" si="27"/>
        <v>33</v>
      </c>
    </row>
    <row r="68" spans="1:4" ht="17.399999999999999" x14ac:dyDescent="0.35">
      <c r="A68" s="6" t="s">
        <v>67</v>
      </c>
      <c r="B68" s="120">
        <f>'EXISTENCIA EN SUCURSALES'!Z95</f>
        <v>15</v>
      </c>
      <c r="C68" s="120">
        <f>'GRAL. SUC. LOCALES'!N95</f>
        <v>10</v>
      </c>
      <c r="D68" s="120">
        <f t="shared" si="27"/>
        <v>25</v>
      </c>
    </row>
    <row r="69" spans="1:4" ht="17.399999999999999" x14ac:dyDescent="0.35">
      <c r="A69" s="6" t="s">
        <v>68</v>
      </c>
      <c r="B69" s="120">
        <f>'EXISTENCIA EN SUCURSALES'!Z96</f>
        <v>111</v>
      </c>
      <c r="C69" s="120">
        <f>'GRAL. SUC. LOCALES'!N96</f>
        <v>40</v>
      </c>
      <c r="D69" s="120">
        <f t="shared" si="27"/>
        <v>151</v>
      </c>
    </row>
    <row r="70" spans="1:4" ht="17.399999999999999" x14ac:dyDescent="0.35">
      <c r="A70" s="6" t="s">
        <v>69</v>
      </c>
      <c r="B70" s="120">
        <f>'EXISTENCIA EN SUCURSALES'!Z97</f>
        <v>76</v>
      </c>
      <c r="C70" s="120">
        <f>'GRAL. SUC. LOCALES'!N97</f>
        <v>19</v>
      </c>
      <c r="D70" s="120">
        <f t="shared" si="27"/>
        <v>95</v>
      </c>
    </row>
    <row r="71" spans="1:4" ht="17.399999999999999" x14ac:dyDescent="0.35">
      <c r="A71" s="6" t="s">
        <v>70</v>
      </c>
      <c r="B71" s="120">
        <f>'EXISTENCIA EN SUCURSALES'!Z98</f>
        <v>95</v>
      </c>
      <c r="C71" s="120">
        <f>'GRAL. SUC. LOCALES'!N98</f>
        <v>14</v>
      </c>
      <c r="D71" s="120">
        <f t="shared" si="27"/>
        <v>109</v>
      </c>
    </row>
    <row r="72" spans="1:4" ht="17.399999999999999" x14ac:dyDescent="0.35">
      <c r="A72" s="6" t="s">
        <v>857</v>
      </c>
      <c r="B72" s="120">
        <f>'EXISTENCIA EN SUCURSALES'!Z99</f>
        <v>36</v>
      </c>
      <c r="C72" s="120">
        <f>'GRAL. SUC. LOCALES'!N99</f>
        <v>15</v>
      </c>
      <c r="D72" s="120">
        <f t="shared" si="27"/>
        <v>51</v>
      </c>
    </row>
    <row r="73" spans="1:4" ht="17.399999999999999" x14ac:dyDescent="0.35">
      <c r="A73" s="23" t="s">
        <v>835</v>
      </c>
      <c r="B73" s="120">
        <f>'EXISTENCIA EN SUCURSALES'!Z100</f>
        <v>371</v>
      </c>
      <c r="C73" s="120">
        <f>'GRAL. SUC. LOCALES'!N100</f>
        <v>162</v>
      </c>
      <c r="D73" s="120">
        <f t="shared" si="27"/>
        <v>533</v>
      </c>
    </row>
    <row r="74" spans="1:4" ht="17.399999999999999" x14ac:dyDescent="0.35">
      <c r="A74" s="23" t="s">
        <v>72</v>
      </c>
      <c r="B74" s="120">
        <f>'EXISTENCIA EN SUCURSALES'!Z103</f>
        <v>28</v>
      </c>
      <c r="C74" s="120">
        <f>'GRAL. SUC. LOCALES'!N103</f>
        <v>8</v>
      </c>
      <c r="D74" s="120">
        <f t="shared" si="27"/>
        <v>36</v>
      </c>
    </row>
    <row r="75" spans="1:4" ht="17.399999999999999" x14ac:dyDescent="0.35">
      <c r="A75" s="6" t="s">
        <v>73</v>
      </c>
      <c r="B75" s="120">
        <f>'EXISTENCIA EN SUCURSALES'!Z104</f>
        <v>0</v>
      </c>
      <c r="C75" s="120">
        <f>'GRAL. SUC. LOCALES'!N104</f>
        <v>0</v>
      </c>
      <c r="D75" s="120">
        <f t="shared" si="27"/>
        <v>0</v>
      </c>
    </row>
    <row r="76" spans="1:4" ht="17.399999999999999" x14ac:dyDescent="0.35">
      <c r="A76" s="6" t="s">
        <v>74</v>
      </c>
      <c r="B76" s="120" t="e">
        <f>'EXISTENCIA EN SUCURSALES'!#REF!</f>
        <v>#REF!</v>
      </c>
      <c r="C76" s="120" t="e">
        <f>'GRAL. SUC. LOCALES'!#REF!</f>
        <v>#REF!</v>
      </c>
      <c r="D76" s="120" t="e">
        <f t="shared" si="27"/>
        <v>#REF!</v>
      </c>
    </row>
    <row r="77" spans="1:4" ht="18" thickBot="1" x14ac:dyDescent="0.4">
      <c r="A77" s="8" t="s">
        <v>75</v>
      </c>
      <c r="B77" s="120" t="e">
        <f>'EXISTENCIA EN SUCURSALES'!#REF!</f>
        <v>#REF!</v>
      </c>
      <c r="C77" s="120" t="e">
        <f>'GRAL. SUC. LOCALES'!#REF!</f>
        <v>#REF!</v>
      </c>
      <c r="D77" s="120" t="e">
        <f t="shared" si="27"/>
        <v>#REF!</v>
      </c>
    </row>
    <row r="78" spans="1:4" ht="18.600000000000001" thickBot="1" x14ac:dyDescent="0.4">
      <c r="A78" s="32" t="s">
        <v>55</v>
      </c>
      <c r="B78" s="129" t="e">
        <f t="shared" ref="B78:D78" si="28">SUM(B66:B77)</f>
        <v>#REF!</v>
      </c>
      <c r="C78" s="129" t="e">
        <f t="shared" si="28"/>
        <v>#REF!</v>
      </c>
      <c r="D78" s="129" t="e">
        <f t="shared" si="28"/>
        <v>#REF!</v>
      </c>
    </row>
    <row r="79" spans="1:4" ht="17.399999999999999" x14ac:dyDescent="0.35">
      <c r="A79" s="33" t="s">
        <v>76</v>
      </c>
      <c r="B79" s="130"/>
      <c r="C79" s="130"/>
      <c r="D79" s="130"/>
    </row>
    <row r="80" spans="1:4" ht="17.399999999999999" x14ac:dyDescent="0.35">
      <c r="A80" s="6" t="s">
        <v>77</v>
      </c>
      <c r="B80" s="120">
        <f>'EXISTENCIA EN SUCURSALES'!Z107</f>
        <v>21</v>
      </c>
      <c r="C80" s="120">
        <f>'GRAL. SUC. LOCALES'!N107</f>
        <v>17</v>
      </c>
      <c r="D80" s="120">
        <f t="shared" ref="D80:D86" si="29">SUM(B80:C80)</f>
        <v>38</v>
      </c>
    </row>
    <row r="81" spans="1:4" ht="17.399999999999999" x14ac:dyDescent="0.35">
      <c r="A81" s="6" t="s">
        <v>621</v>
      </c>
      <c r="B81" s="120">
        <f>'EXISTENCIA EN SUCURSALES'!Z108</f>
        <v>8</v>
      </c>
      <c r="C81" s="120">
        <f>'GRAL. SUC. LOCALES'!N108</f>
        <v>0</v>
      </c>
      <c r="D81" s="120">
        <f t="shared" si="29"/>
        <v>8</v>
      </c>
    </row>
    <row r="82" spans="1:4" ht="17.399999999999999" x14ac:dyDescent="0.35">
      <c r="A82" s="6" t="s">
        <v>79</v>
      </c>
      <c r="B82" s="120">
        <f>'EXISTENCIA EN SUCURSALES'!Z109</f>
        <v>210</v>
      </c>
      <c r="C82" s="120">
        <f>'GRAL. SUC. LOCALES'!N109</f>
        <v>10</v>
      </c>
      <c r="D82" s="120">
        <f t="shared" si="29"/>
        <v>220</v>
      </c>
    </row>
    <row r="83" spans="1:4" ht="17.399999999999999" x14ac:dyDescent="0.35">
      <c r="A83" s="6" t="s">
        <v>80</v>
      </c>
      <c r="B83" s="120">
        <f>'EXISTENCIA EN SUCURSALES'!Z110</f>
        <v>208</v>
      </c>
      <c r="C83" s="120">
        <f>'GRAL. SUC. LOCALES'!N110</f>
        <v>10</v>
      </c>
      <c r="D83" s="120">
        <f t="shared" si="29"/>
        <v>218</v>
      </c>
    </row>
    <row r="84" spans="1:4" ht="17.399999999999999" x14ac:dyDescent="0.35">
      <c r="A84" s="6" t="s">
        <v>81</v>
      </c>
      <c r="B84" s="120" t="e">
        <f>'EXISTENCIA EN SUCURSALES'!#REF!</f>
        <v>#REF!</v>
      </c>
      <c r="C84" s="120" t="e">
        <f>'GRAL. SUC. LOCALES'!#REF!</f>
        <v>#REF!</v>
      </c>
      <c r="D84" s="120" t="e">
        <f t="shared" si="29"/>
        <v>#REF!</v>
      </c>
    </row>
    <row r="85" spans="1:4" ht="17.399999999999999" x14ac:dyDescent="0.35">
      <c r="A85" s="6" t="s">
        <v>82</v>
      </c>
      <c r="B85" s="120">
        <f>'EXISTENCIA EN SUCURSALES'!Z111</f>
        <v>20</v>
      </c>
      <c r="C85" s="120">
        <f>'GRAL. SUC. LOCALES'!N111</f>
        <v>11</v>
      </c>
      <c r="D85" s="120">
        <f t="shared" si="29"/>
        <v>31</v>
      </c>
    </row>
    <row r="86" spans="1:4" ht="18" thickBot="1" x14ac:dyDescent="0.4">
      <c r="A86" s="8" t="s">
        <v>83</v>
      </c>
      <c r="B86" s="120">
        <f>'EXISTENCIA EN SUCURSALES'!Z112</f>
        <v>0</v>
      </c>
      <c r="C86" s="120">
        <f>'GRAL. SUC. LOCALES'!N112</f>
        <v>0</v>
      </c>
      <c r="D86" s="120">
        <f t="shared" si="29"/>
        <v>0</v>
      </c>
    </row>
    <row r="87" spans="1:4" ht="18" thickBot="1" x14ac:dyDescent="0.4">
      <c r="A87" s="36" t="s">
        <v>55</v>
      </c>
      <c r="B87" s="114" t="e">
        <f t="shared" ref="B87:D87" si="30">SUM(B80:B86,B88:B89)</f>
        <v>#REF!</v>
      </c>
      <c r="C87" s="114" t="e">
        <f t="shared" si="30"/>
        <v>#REF!</v>
      </c>
      <c r="D87" s="114" t="e">
        <f t="shared" si="30"/>
        <v>#REF!</v>
      </c>
    </row>
    <row r="88" spans="1:4" ht="17.399999999999999" x14ac:dyDescent="0.35">
      <c r="A88" s="3" t="s">
        <v>84</v>
      </c>
      <c r="B88" s="120">
        <f>'EXISTENCIA EN SUCURSALES'!Z114</f>
        <v>45</v>
      </c>
      <c r="C88" s="120">
        <f>'GRAL. SUC. LOCALES'!N114</f>
        <v>2</v>
      </c>
      <c r="D88" s="120">
        <f t="shared" ref="D88:D89" si="31">SUM(B88:C88)</f>
        <v>47</v>
      </c>
    </row>
    <row r="89" spans="1:4" ht="18" thickBot="1" x14ac:dyDescent="0.4">
      <c r="A89" s="8" t="s">
        <v>85</v>
      </c>
      <c r="B89" s="120">
        <f>'EXISTENCIA EN SUCURSALES'!Z116</f>
        <v>44</v>
      </c>
      <c r="C89" s="120">
        <f>'GRAL. SUC. LOCALES'!N116</f>
        <v>0</v>
      </c>
      <c r="D89" s="120">
        <f t="shared" si="31"/>
        <v>44</v>
      </c>
    </row>
    <row r="90" spans="1:4" ht="18" thickBot="1" x14ac:dyDescent="0.4">
      <c r="A90" s="37" t="s">
        <v>86</v>
      </c>
      <c r="B90" s="59" t="e">
        <f t="shared" ref="B90:D90" si="32">B56+B64+B78+B87</f>
        <v>#REF!</v>
      </c>
      <c r="C90" s="59" t="e">
        <f t="shared" si="32"/>
        <v>#REF!</v>
      </c>
      <c r="D90" s="59" t="e">
        <f t="shared" si="32"/>
        <v>#REF!</v>
      </c>
    </row>
    <row r="91" spans="1:4" ht="17.399999999999999" x14ac:dyDescent="0.35">
      <c r="A91" s="95" t="s">
        <v>879</v>
      </c>
      <c r="B91" s="120">
        <f>'EXISTENCIA EN SUCURSALES'!Z118</f>
        <v>43</v>
      </c>
      <c r="C91" s="120">
        <f>'GRAL. SUC. LOCALES'!N118</f>
        <v>0</v>
      </c>
      <c r="D91" s="120">
        <f t="shared" ref="D91" si="33">SUM(B91:C91)</f>
        <v>43</v>
      </c>
    </row>
    <row r="92" spans="1:4" ht="17.399999999999999" x14ac:dyDescent="0.35">
      <c r="A92" s="95" t="s">
        <v>888</v>
      </c>
      <c r="B92" s="120">
        <f>'EXISTENCIA EN SUCURSALES'!Z119</f>
        <v>54</v>
      </c>
      <c r="C92" s="120">
        <f>'GRAL. SUC. LOCALES'!N119</f>
        <v>0</v>
      </c>
      <c r="D92" s="120">
        <f t="shared" ref="D92:D126" si="34">SUM(B92:C92)</f>
        <v>54</v>
      </c>
    </row>
    <row r="93" spans="1:4" ht="17.399999999999999" x14ac:dyDescent="0.35">
      <c r="A93" s="95" t="s">
        <v>905</v>
      </c>
      <c r="B93" s="120" t="e">
        <f>'EXISTENCIA EN SUCURSALES'!#REF!</f>
        <v>#REF!</v>
      </c>
      <c r="C93" s="120" t="e">
        <f>'GRAL. SUC. LOCALES'!#REF!</f>
        <v>#REF!</v>
      </c>
      <c r="D93" s="120" t="e">
        <f t="shared" si="34"/>
        <v>#REF!</v>
      </c>
    </row>
    <row r="94" spans="1:4" ht="17.399999999999999" x14ac:dyDescent="0.35">
      <c r="A94" s="95" t="s">
        <v>377</v>
      </c>
      <c r="B94" s="120" t="e">
        <f>'EXISTENCIA EN SUCURSALES'!#REF!</f>
        <v>#REF!</v>
      </c>
      <c r="C94" s="120" t="e">
        <f>'GRAL. SUC. LOCALES'!#REF!</f>
        <v>#REF!</v>
      </c>
      <c r="D94" s="120" t="e">
        <f t="shared" si="34"/>
        <v>#REF!</v>
      </c>
    </row>
    <row r="95" spans="1:4" ht="17.399999999999999" x14ac:dyDescent="0.35">
      <c r="A95" s="95" t="s">
        <v>881</v>
      </c>
      <c r="B95" s="120">
        <f>'EXISTENCIA EN SUCURSALES'!Z120</f>
        <v>3</v>
      </c>
      <c r="C95" s="120">
        <f>'GRAL. SUC. LOCALES'!N120</f>
        <v>0</v>
      </c>
      <c r="D95" s="120">
        <f t="shared" si="34"/>
        <v>3</v>
      </c>
    </row>
    <row r="96" spans="1:4" ht="17.399999999999999" x14ac:dyDescent="0.35">
      <c r="A96" s="95" t="s">
        <v>47</v>
      </c>
      <c r="B96" s="120">
        <f>'EXISTENCIA EN SUCURSALES'!Z121</f>
        <v>6</v>
      </c>
      <c r="C96" s="120">
        <f>'GRAL. SUC. LOCALES'!N121</f>
        <v>0</v>
      </c>
      <c r="D96" s="120">
        <f t="shared" si="34"/>
        <v>6</v>
      </c>
    </row>
    <row r="97" spans="1:4" ht="17.399999999999999" x14ac:dyDescent="0.35">
      <c r="A97" s="95" t="s">
        <v>896</v>
      </c>
      <c r="B97" s="120" t="e">
        <f>'EXISTENCIA EN SUCURSALES'!#REF!</f>
        <v>#REF!</v>
      </c>
      <c r="C97" s="120" t="e">
        <f>'GRAL. SUC. LOCALES'!#REF!</f>
        <v>#REF!</v>
      </c>
      <c r="D97" s="120" t="e">
        <f t="shared" si="34"/>
        <v>#REF!</v>
      </c>
    </row>
    <row r="98" spans="1:4" ht="17.399999999999999" x14ac:dyDescent="0.35">
      <c r="A98" s="95" t="s">
        <v>895</v>
      </c>
      <c r="B98" s="120">
        <f>'EXISTENCIA EN SUCURSALES'!Z122</f>
        <v>97</v>
      </c>
      <c r="C98" s="120">
        <f>'GRAL. SUC. LOCALES'!N122</f>
        <v>27</v>
      </c>
      <c r="D98" s="120">
        <f t="shared" si="34"/>
        <v>124</v>
      </c>
    </row>
    <row r="99" spans="1:4" ht="17.399999999999999" x14ac:dyDescent="0.35">
      <c r="A99" s="95" t="s">
        <v>894</v>
      </c>
      <c r="B99" s="120" t="e">
        <f>'EXISTENCIA EN SUCURSALES'!#REF!</f>
        <v>#REF!</v>
      </c>
      <c r="C99" s="120" t="e">
        <f>'GRAL. SUC. LOCALES'!#REF!</f>
        <v>#REF!</v>
      </c>
      <c r="D99" s="120" t="e">
        <f t="shared" si="34"/>
        <v>#REF!</v>
      </c>
    </row>
    <row r="100" spans="1:4" ht="17.399999999999999" x14ac:dyDescent="0.35">
      <c r="A100" s="95" t="s">
        <v>904</v>
      </c>
      <c r="B100" s="120" t="e">
        <f>'EXISTENCIA EN SUCURSALES'!#REF!</f>
        <v>#REF!</v>
      </c>
      <c r="C100" s="120" t="e">
        <f>'GRAL. SUC. LOCALES'!#REF!</f>
        <v>#REF!</v>
      </c>
      <c r="D100" s="120" t="e">
        <f t="shared" si="34"/>
        <v>#REF!</v>
      </c>
    </row>
    <row r="101" spans="1:4" ht="17.399999999999999" x14ac:dyDescent="0.35">
      <c r="A101" s="95" t="s">
        <v>902</v>
      </c>
      <c r="B101" s="120" t="e">
        <f>'EXISTENCIA EN SUCURSALES'!#REF!</f>
        <v>#REF!</v>
      </c>
      <c r="C101" s="120" t="e">
        <f>'GRAL. SUC. LOCALES'!#REF!</f>
        <v>#REF!</v>
      </c>
      <c r="D101" s="120" t="e">
        <f t="shared" si="34"/>
        <v>#REF!</v>
      </c>
    </row>
    <row r="102" spans="1:4" ht="17.399999999999999" x14ac:dyDescent="0.35">
      <c r="A102" s="95" t="s">
        <v>568</v>
      </c>
      <c r="B102" s="120" t="e">
        <f>'EXISTENCIA EN SUCURSALES'!#REF!</f>
        <v>#REF!</v>
      </c>
      <c r="C102" s="120" t="e">
        <f>'GRAL. SUC. LOCALES'!#REF!</f>
        <v>#REF!</v>
      </c>
      <c r="D102" s="120" t="e">
        <f t="shared" si="34"/>
        <v>#REF!</v>
      </c>
    </row>
    <row r="103" spans="1:4" ht="17.399999999999999" x14ac:dyDescent="0.35">
      <c r="A103" s="95" t="s">
        <v>912</v>
      </c>
      <c r="B103" s="120" t="e">
        <f>'EXISTENCIA EN SUCURSALES'!#REF!</f>
        <v>#REF!</v>
      </c>
      <c r="C103" s="120" t="e">
        <f>'GRAL. SUC. LOCALES'!#REF!</f>
        <v>#REF!</v>
      </c>
      <c r="D103" s="120" t="e">
        <f t="shared" si="34"/>
        <v>#REF!</v>
      </c>
    </row>
    <row r="104" spans="1:4" ht="17.399999999999999" x14ac:dyDescent="0.35">
      <c r="A104" s="95" t="s">
        <v>557</v>
      </c>
      <c r="B104" s="120" t="e">
        <f>'EXISTENCIA EN SUCURSALES'!#REF!</f>
        <v>#REF!</v>
      </c>
      <c r="C104" s="120" t="e">
        <f>'GRAL. SUC. LOCALES'!#REF!</f>
        <v>#REF!</v>
      </c>
      <c r="D104" s="120" t="e">
        <f t="shared" si="34"/>
        <v>#REF!</v>
      </c>
    </row>
    <row r="105" spans="1:4" ht="17.399999999999999" x14ac:dyDescent="0.35">
      <c r="A105" s="95" t="s">
        <v>421</v>
      </c>
      <c r="B105" s="120" t="e">
        <f>'EXISTENCIA EN SUCURSALES'!#REF!</f>
        <v>#REF!</v>
      </c>
      <c r="C105" s="120" t="e">
        <f>'GRAL. SUC. LOCALES'!#REF!</f>
        <v>#REF!</v>
      </c>
      <c r="D105" s="120" t="e">
        <f t="shared" si="34"/>
        <v>#REF!</v>
      </c>
    </row>
    <row r="106" spans="1:4" ht="17.399999999999999" x14ac:dyDescent="0.35">
      <c r="A106" s="95" t="s">
        <v>565</v>
      </c>
      <c r="B106" s="120" t="e">
        <f>'EXISTENCIA EN SUCURSALES'!#REF!</f>
        <v>#REF!</v>
      </c>
      <c r="C106" s="120" t="e">
        <f>'GRAL. SUC. LOCALES'!#REF!</f>
        <v>#REF!</v>
      </c>
      <c r="D106" s="120" t="e">
        <f t="shared" si="34"/>
        <v>#REF!</v>
      </c>
    </row>
    <row r="107" spans="1:4" ht="17.399999999999999" x14ac:dyDescent="0.35">
      <c r="A107" s="95" t="s">
        <v>573</v>
      </c>
      <c r="B107" s="120" t="e">
        <f>'EXISTENCIA EN SUCURSALES'!#REF!</f>
        <v>#REF!</v>
      </c>
      <c r="C107" s="120" t="e">
        <f>'GRAL. SUC. LOCALES'!#REF!</f>
        <v>#REF!</v>
      </c>
      <c r="D107" s="120" t="e">
        <f t="shared" si="34"/>
        <v>#REF!</v>
      </c>
    </row>
    <row r="108" spans="1:4" ht="17.399999999999999" x14ac:dyDescent="0.35">
      <c r="A108" s="95" t="s">
        <v>559</v>
      </c>
      <c r="B108" s="120" t="e">
        <f>'EXISTENCIA EN SUCURSALES'!#REF!</f>
        <v>#REF!</v>
      </c>
      <c r="C108" s="120" t="e">
        <f>'GRAL. SUC. LOCALES'!#REF!</f>
        <v>#REF!</v>
      </c>
      <c r="D108" s="120" t="e">
        <f t="shared" si="34"/>
        <v>#REF!</v>
      </c>
    </row>
    <row r="109" spans="1:4" ht="17.399999999999999" x14ac:dyDescent="0.35">
      <c r="A109" s="95" t="s">
        <v>253</v>
      </c>
      <c r="B109" s="120" t="e">
        <f>'EXISTENCIA EN SUCURSALES'!#REF!</f>
        <v>#REF!</v>
      </c>
      <c r="C109" s="120" t="e">
        <f>'GRAL. SUC. LOCALES'!#REF!</f>
        <v>#REF!</v>
      </c>
      <c r="D109" s="120" t="e">
        <f t="shared" si="34"/>
        <v>#REF!</v>
      </c>
    </row>
    <row r="110" spans="1:4" ht="17.399999999999999" x14ac:dyDescent="0.35">
      <c r="A110" s="95" t="s">
        <v>249</v>
      </c>
      <c r="B110" s="120" t="e">
        <f>'EXISTENCIA EN SUCURSALES'!#REF!</f>
        <v>#REF!</v>
      </c>
      <c r="C110" s="120" t="e">
        <f>'GRAL. SUC. LOCALES'!#REF!</f>
        <v>#REF!</v>
      </c>
      <c r="D110" s="120" t="e">
        <f t="shared" si="34"/>
        <v>#REF!</v>
      </c>
    </row>
    <row r="111" spans="1:4" ht="17.399999999999999" x14ac:dyDescent="0.35">
      <c r="A111" s="95" t="s">
        <v>577</v>
      </c>
      <c r="B111" s="120" t="e">
        <f>'EXISTENCIA EN SUCURSALES'!#REF!</f>
        <v>#REF!</v>
      </c>
      <c r="C111" s="120" t="e">
        <f>'GRAL. SUC. LOCALES'!#REF!</f>
        <v>#REF!</v>
      </c>
      <c r="D111" s="120" t="e">
        <f t="shared" si="34"/>
        <v>#REF!</v>
      </c>
    </row>
    <row r="112" spans="1:4" ht="17.399999999999999" x14ac:dyDescent="0.35">
      <c r="A112" s="95" t="s">
        <v>913</v>
      </c>
      <c r="B112" s="120" t="e">
        <f>'EXISTENCIA EN SUCURSALES'!#REF!</f>
        <v>#REF!</v>
      </c>
      <c r="C112" s="120" t="e">
        <f>'GRAL. SUC. LOCALES'!#REF!</f>
        <v>#REF!</v>
      </c>
      <c r="D112" s="120" t="e">
        <f t="shared" si="34"/>
        <v>#REF!</v>
      </c>
    </row>
    <row r="113" spans="1:4" ht="17.399999999999999" x14ac:dyDescent="0.35">
      <c r="A113" s="95" t="s">
        <v>614</v>
      </c>
      <c r="B113" s="120" t="e">
        <f>'EXISTENCIA EN SUCURSALES'!#REF!</f>
        <v>#REF!</v>
      </c>
      <c r="C113" s="120" t="e">
        <f>'GRAL. SUC. LOCALES'!#REF!</f>
        <v>#REF!</v>
      </c>
      <c r="D113" s="120" t="e">
        <f t="shared" si="34"/>
        <v>#REF!</v>
      </c>
    </row>
    <row r="114" spans="1:4" ht="17.399999999999999" x14ac:dyDescent="0.35">
      <c r="A114" s="95" t="s">
        <v>914</v>
      </c>
      <c r="B114" s="120" t="e">
        <f>'EXISTENCIA EN SUCURSALES'!#REF!</f>
        <v>#REF!</v>
      </c>
      <c r="C114" s="120" t="e">
        <f>'GRAL. SUC. LOCALES'!#REF!</f>
        <v>#REF!</v>
      </c>
      <c r="D114" s="120" t="e">
        <f t="shared" si="34"/>
        <v>#REF!</v>
      </c>
    </row>
    <row r="115" spans="1:4" ht="17.399999999999999" x14ac:dyDescent="0.35">
      <c r="A115" s="95" t="s">
        <v>915</v>
      </c>
      <c r="B115" s="120" t="e">
        <f>'EXISTENCIA EN SUCURSALES'!#REF!</f>
        <v>#REF!</v>
      </c>
      <c r="C115" s="120" t="e">
        <f>'GRAL. SUC. LOCALES'!#REF!</f>
        <v>#REF!</v>
      </c>
      <c r="D115" s="120" t="e">
        <f t="shared" si="34"/>
        <v>#REF!</v>
      </c>
    </row>
    <row r="116" spans="1:4" ht="17.399999999999999" x14ac:dyDescent="0.35">
      <c r="A116" s="95" t="s">
        <v>916</v>
      </c>
      <c r="B116" s="120" t="e">
        <f>'EXISTENCIA EN SUCURSALES'!#REF!</f>
        <v>#REF!</v>
      </c>
      <c r="C116" s="120" t="e">
        <f>'GRAL. SUC. LOCALES'!#REF!</f>
        <v>#REF!</v>
      </c>
      <c r="D116" s="120" t="e">
        <f t="shared" si="34"/>
        <v>#REF!</v>
      </c>
    </row>
    <row r="117" spans="1:4" ht="17.399999999999999" x14ac:dyDescent="0.35">
      <c r="A117" s="95" t="s">
        <v>917</v>
      </c>
      <c r="B117" s="120">
        <f>'EXISTENCIA EN SUCURSALES'!Z123</f>
        <v>99</v>
      </c>
      <c r="C117" s="120">
        <f>'GRAL. SUC. LOCALES'!N123</f>
        <v>12</v>
      </c>
      <c r="D117" s="120">
        <f t="shared" si="34"/>
        <v>111</v>
      </c>
    </row>
    <row r="118" spans="1:4" ht="17.399999999999999" x14ac:dyDescent="0.35">
      <c r="A118" s="95" t="s">
        <v>240</v>
      </c>
      <c r="B118" s="120" t="e">
        <f>'EXISTENCIA EN SUCURSALES'!#REF!</f>
        <v>#REF!</v>
      </c>
      <c r="C118" s="120" t="e">
        <f>'GRAL. SUC. LOCALES'!#REF!</f>
        <v>#REF!</v>
      </c>
      <c r="D118" s="120" t="e">
        <f t="shared" si="34"/>
        <v>#REF!</v>
      </c>
    </row>
    <row r="119" spans="1:4" ht="17.399999999999999" x14ac:dyDescent="0.35">
      <c r="A119" s="95" t="s">
        <v>892</v>
      </c>
      <c r="B119" s="120" t="e">
        <f>'EXISTENCIA EN SUCURSALES'!#REF!</f>
        <v>#REF!</v>
      </c>
      <c r="C119" s="120" t="e">
        <f>'GRAL. SUC. LOCALES'!#REF!</f>
        <v>#REF!</v>
      </c>
      <c r="D119" s="120" t="e">
        <f t="shared" si="34"/>
        <v>#REF!</v>
      </c>
    </row>
    <row r="120" spans="1:4" ht="17.399999999999999" x14ac:dyDescent="0.35">
      <c r="A120" s="95" t="s">
        <v>893</v>
      </c>
      <c r="B120" s="120" t="e">
        <f>'EXISTENCIA EN SUCURSALES'!#REF!</f>
        <v>#REF!</v>
      </c>
      <c r="C120" s="120" t="e">
        <f>'GRAL. SUC. LOCALES'!#REF!</f>
        <v>#REF!</v>
      </c>
      <c r="D120" s="120" t="e">
        <f t="shared" si="34"/>
        <v>#REF!</v>
      </c>
    </row>
    <row r="121" spans="1:4" ht="17.399999999999999" x14ac:dyDescent="0.35">
      <c r="A121" s="95" t="s">
        <v>891</v>
      </c>
      <c r="B121" s="120" t="e">
        <f>'EXISTENCIA EN SUCURSALES'!#REF!</f>
        <v>#REF!</v>
      </c>
      <c r="C121" s="120" t="e">
        <f>'GRAL. SUC. LOCALES'!#REF!</f>
        <v>#REF!</v>
      </c>
      <c r="D121" s="120" t="e">
        <f t="shared" si="34"/>
        <v>#REF!</v>
      </c>
    </row>
    <row r="122" spans="1:4" ht="17.399999999999999" x14ac:dyDescent="0.35">
      <c r="A122" s="95"/>
      <c r="B122" s="120" t="e">
        <f>'EXISTENCIA EN SUCURSALES'!#REF!</f>
        <v>#REF!</v>
      </c>
      <c r="C122" s="120" t="e">
        <f>'GRAL. SUC. LOCALES'!#REF!</f>
        <v>#REF!</v>
      </c>
      <c r="D122" s="120" t="e">
        <f t="shared" si="34"/>
        <v>#REF!</v>
      </c>
    </row>
    <row r="123" spans="1:4" ht="17.399999999999999" x14ac:dyDescent="0.35">
      <c r="A123" s="95"/>
      <c r="B123" s="120" t="e">
        <f>'EXISTENCIA EN SUCURSALES'!#REF!</f>
        <v>#REF!</v>
      </c>
      <c r="C123" s="120" t="e">
        <f>'GRAL. SUC. LOCALES'!#REF!</f>
        <v>#REF!</v>
      </c>
      <c r="D123" s="120" t="e">
        <f t="shared" si="34"/>
        <v>#REF!</v>
      </c>
    </row>
    <row r="124" spans="1:4" ht="17.399999999999999" x14ac:dyDescent="0.35">
      <c r="A124" s="95"/>
      <c r="B124" s="120" t="e">
        <f>'EXISTENCIA EN SUCURSALES'!#REF!</f>
        <v>#REF!</v>
      </c>
      <c r="C124" s="120" t="e">
        <f>'GRAL. SUC. LOCALES'!#REF!</f>
        <v>#REF!</v>
      </c>
      <c r="D124" s="120" t="e">
        <f t="shared" si="34"/>
        <v>#REF!</v>
      </c>
    </row>
    <row r="125" spans="1:4" ht="17.399999999999999" x14ac:dyDescent="0.35">
      <c r="A125" s="95"/>
      <c r="B125" s="120">
        <f>'EXISTENCIA EN SUCURSALES'!Z124</f>
        <v>100</v>
      </c>
      <c r="C125" s="120">
        <f>'GRAL. SUC. LOCALES'!N124</f>
        <v>8</v>
      </c>
      <c r="D125" s="120">
        <f t="shared" si="34"/>
        <v>108</v>
      </c>
    </row>
    <row r="126" spans="1:4" ht="17.399999999999999" x14ac:dyDescent="0.35">
      <c r="A126" s="95"/>
      <c r="B126" s="120">
        <f>'EXISTENCIA EN SUCURSALES'!Z125</f>
        <v>106</v>
      </c>
      <c r="C126" s="120">
        <f>'GRAL. SUC. LOCALES'!N125</f>
        <v>0</v>
      </c>
      <c r="D126" s="120">
        <f t="shared" si="34"/>
        <v>106</v>
      </c>
    </row>
    <row r="127" spans="1:4" ht="17.399999999999999" x14ac:dyDescent="0.35">
      <c r="A127" s="95"/>
      <c r="B127" s="120">
        <f>'EXISTENCIA EN SUCURSALES'!Z126</f>
        <v>20</v>
      </c>
      <c r="C127" s="120">
        <f>'GRAL. SUC. LOCALES'!N126</f>
        <v>0</v>
      </c>
      <c r="D127" s="120">
        <f t="shared" ref="D127:D138" si="35">SUM(B127:C127)</f>
        <v>20</v>
      </c>
    </row>
    <row r="128" spans="1:4" ht="17.399999999999999" x14ac:dyDescent="0.35">
      <c r="A128" s="95"/>
      <c r="B128" s="120">
        <f>'EXISTENCIA EN SUCURSALES'!Z127</f>
        <v>13</v>
      </c>
      <c r="C128" s="120">
        <f>'GRAL. SUC. LOCALES'!N127</f>
        <v>0</v>
      </c>
      <c r="D128" s="120">
        <f t="shared" si="35"/>
        <v>13</v>
      </c>
    </row>
    <row r="129" spans="1:4" ht="17.399999999999999" x14ac:dyDescent="0.35">
      <c r="A129" s="95"/>
      <c r="B129" s="120" t="e">
        <f>'EXISTENCIA EN SUCURSALES'!#REF!</f>
        <v>#REF!</v>
      </c>
      <c r="C129" s="120" t="e">
        <f>'GRAL. SUC. LOCALES'!#REF!</f>
        <v>#REF!</v>
      </c>
      <c r="D129" s="120" t="e">
        <f t="shared" si="35"/>
        <v>#REF!</v>
      </c>
    </row>
    <row r="130" spans="1:4" ht="17.399999999999999" x14ac:dyDescent="0.35">
      <c r="A130" s="95"/>
      <c r="B130" s="120" t="e">
        <f>'EXISTENCIA EN SUCURSALES'!#REF!</f>
        <v>#REF!</v>
      </c>
      <c r="C130" s="120" t="e">
        <f>'GRAL. SUC. LOCALES'!#REF!</f>
        <v>#REF!</v>
      </c>
      <c r="D130" s="120" t="e">
        <f t="shared" si="35"/>
        <v>#REF!</v>
      </c>
    </row>
    <row r="131" spans="1:4" ht="17.399999999999999" x14ac:dyDescent="0.35">
      <c r="A131" s="95"/>
      <c r="B131" s="120" t="e">
        <f>'EXISTENCIA EN SUCURSALES'!#REF!</f>
        <v>#REF!</v>
      </c>
      <c r="C131" s="120" t="e">
        <f>'GRAL. SUC. LOCALES'!#REF!</f>
        <v>#REF!</v>
      </c>
      <c r="D131" s="120" t="e">
        <f t="shared" si="35"/>
        <v>#REF!</v>
      </c>
    </row>
    <row r="132" spans="1:4" ht="17.399999999999999" x14ac:dyDescent="0.35">
      <c r="A132" s="95"/>
      <c r="B132" s="120" t="e">
        <f>'EXISTENCIA EN SUCURSALES'!#REF!</f>
        <v>#REF!</v>
      </c>
      <c r="C132" s="120" t="e">
        <f>'GRAL. SUC. LOCALES'!#REF!</f>
        <v>#REF!</v>
      </c>
      <c r="D132" s="120" t="e">
        <f t="shared" si="35"/>
        <v>#REF!</v>
      </c>
    </row>
    <row r="133" spans="1:4" ht="17.399999999999999" x14ac:dyDescent="0.35">
      <c r="A133" s="95"/>
      <c r="B133" s="120" t="e">
        <f>'EXISTENCIA EN SUCURSALES'!#REF!</f>
        <v>#REF!</v>
      </c>
      <c r="C133" s="120" t="e">
        <f>'GRAL. SUC. LOCALES'!#REF!</f>
        <v>#REF!</v>
      </c>
      <c r="D133" s="120" t="e">
        <f t="shared" si="35"/>
        <v>#REF!</v>
      </c>
    </row>
    <row r="134" spans="1:4" ht="17.399999999999999" x14ac:dyDescent="0.35">
      <c r="A134" s="95"/>
      <c r="B134" s="120" t="e">
        <f>'EXISTENCIA EN SUCURSALES'!#REF!</f>
        <v>#REF!</v>
      </c>
      <c r="C134" s="120" t="e">
        <f>'GRAL. SUC. LOCALES'!#REF!</f>
        <v>#REF!</v>
      </c>
      <c r="D134" s="120" t="e">
        <f t="shared" si="35"/>
        <v>#REF!</v>
      </c>
    </row>
    <row r="135" spans="1:4" ht="17.399999999999999" x14ac:dyDescent="0.35">
      <c r="A135" s="95"/>
      <c r="B135" s="120" t="e">
        <f>'EXISTENCIA EN SUCURSALES'!#REF!</f>
        <v>#REF!</v>
      </c>
      <c r="C135" s="120" t="e">
        <f>'GRAL. SUC. LOCALES'!#REF!</f>
        <v>#REF!</v>
      </c>
      <c r="D135" s="120" t="e">
        <f t="shared" si="35"/>
        <v>#REF!</v>
      </c>
    </row>
    <row r="136" spans="1:4" ht="17.399999999999999" x14ac:dyDescent="0.35">
      <c r="A136" s="95"/>
      <c r="B136" s="120" t="e">
        <f>'EXISTENCIA EN SUCURSALES'!#REF!</f>
        <v>#REF!</v>
      </c>
      <c r="C136" s="120" t="e">
        <f>'GRAL. SUC. LOCALES'!#REF!</f>
        <v>#REF!</v>
      </c>
      <c r="D136" s="120" t="e">
        <f t="shared" si="35"/>
        <v>#REF!</v>
      </c>
    </row>
    <row r="137" spans="1:4" ht="17.399999999999999" x14ac:dyDescent="0.35">
      <c r="A137" s="95"/>
      <c r="B137" s="120" t="e">
        <f>'EXISTENCIA EN SUCURSALES'!#REF!</f>
        <v>#REF!</v>
      </c>
      <c r="C137" s="120" t="e">
        <f>'GRAL. SUC. LOCALES'!#REF!</f>
        <v>#REF!</v>
      </c>
      <c r="D137" s="120" t="e">
        <f t="shared" si="35"/>
        <v>#REF!</v>
      </c>
    </row>
    <row r="138" spans="1:4" ht="18" thickBot="1" x14ac:dyDescent="0.4">
      <c r="A138" s="95"/>
      <c r="B138" s="120" t="e">
        <f>'EXISTENCIA EN SUCURSALES'!#REF!</f>
        <v>#REF!</v>
      </c>
      <c r="C138" s="120" t="e">
        <f>'GRAL. SUC. LOCALES'!#REF!</f>
        <v>#REF!</v>
      </c>
      <c r="D138" s="120" t="e">
        <f t="shared" si="35"/>
        <v>#REF!</v>
      </c>
    </row>
    <row r="139" spans="1:4" ht="18" thickBot="1" x14ac:dyDescent="0.4">
      <c r="A139" s="36"/>
      <c r="B139" s="114" t="e">
        <f t="shared" ref="B139:D139" si="36">SUM(B91:B138)</f>
        <v>#REF!</v>
      </c>
      <c r="C139" s="114" t="e">
        <f t="shared" si="36"/>
        <v>#REF!</v>
      </c>
      <c r="D139" s="114" t="e">
        <f t="shared" si="36"/>
        <v>#REF!</v>
      </c>
    </row>
    <row r="140" spans="1:4" ht="18" thickBot="1" x14ac:dyDescent="0.4">
      <c r="A140" s="37"/>
      <c r="B140" s="59" t="e">
        <f t="shared" ref="B140:D140" si="37">B90+B139</f>
        <v>#REF!</v>
      </c>
      <c r="C140" s="59" t="e">
        <f t="shared" si="37"/>
        <v>#REF!</v>
      </c>
      <c r="D140" s="59" t="e">
        <f t="shared" si="37"/>
        <v>#REF!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35D62-6414-43EF-955A-4F715730E122}">
  <sheetPr>
    <tabColor rgb="FFCC66FF"/>
  </sheetPr>
  <dimension ref="A1:G140"/>
  <sheetViews>
    <sheetView zoomScale="70" zoomScaleNormal="70" workbookViewId="0">
      <pane xSplit="1" ySplit="2" topLeftCell="B100" activePane="bottomRight" state="frozen"/>
      <selection activeCell="A119" sqref="A119:A121"/>
      <selection pane="topRight" activeCell="A119" sqref="A119:A121"/>
      <selection pane="bottomLeft" activeCell="A119" sqref="A119:A121"/>
      <selection pane="bottomRight" activeCell="A119" sqref="A119:A121"/>
    </sheetView>
  </sheetViews>
  <sheetFormatPr baseColWidth="10" defaultRowHeight="14.4" x14ac:dyDescent="0.3"/>
  <cols>
    <col min="1" max="1" width="41.109375" bestFit="1" customWidth="1"/>
    <col min="2" max="2" width="16.33203125" style="116" customWidth="1"/>
    <col min="3" max="6" width="15.5546875" style="116" customWidth="1"/>
    <col min="7" max="7" width="11.44140625" style="116" hidden="1" customWidth="1"/>
  </cols>
  <sheetData>
    <row r="1" spans="1:7" ht="18.600000000000001" thickBot="1" x14ac:dyDescent="0.4">
      <c r="A1" s="1">
        <f>+RAIZ!B1</f>
        <v>46301</v>
      </c>
      <c r="B1" s="258" t="s">
        <v>874</v>
      </c>
      <c r="C1" s="259"/>
      <c r="D1" s="260"/>
      <c r="E1" s="143" t="s">
        <v>883</v>
      </c>
      <c r="F1" s="144" t="s">
        <v>884</v>
      </c>
    </row>
    <row r="2" spans="1:7" ht="31.8" thickBot="1" x14ac:dyDescent="0.35">
      <c r="A2" s="42" t="s">
        <v>0</v>
      </c>
      <c r="B2" s="136" t="s">
        <v>875</v>
      </c>
      <c r="C2" s="137" t="s">
        <v>876</v>
      </c>
      <c r="D2" s="139" t="s">
        <v>877</v>
      </c>
      <c r="E2" s="142" t="s">
        <v>878</v>
      </c>
      <c r="F2" s="141" t="s">
        <v>863</v>
      </c>
      <c r="G2" s="140" t="s">
        <v>715</v>
      </c>
    </row>
    <row r="3" spans="1:7" ht="17.399999999999999" x14ac:dyDescent="0.35">
      <c r="A3" s="3" t="s">
        <v>1</v>
      </c>
      <c r="B3" s="120">
        <f>IFERROR(VLOOKUP(A3,'EXISTENCIA EN SUCURSALES'!$A:$Z,23,0),0)</f>
        <v>1</v>
      </c>
      <c r="C3" s="120">
        <f>IFERROR(VLOOKUP(A3,'DISTRIBUCIÓN EN SUCURSALES'!$A:$Z,23,0),0)</f>
        <v>0</v>
      </c>
      <c r="D3" s="138">
        <f>C3+B3</f>
        <v>1</v>
      </c>
      <c r="E3" s="120">
        <f>IFERROR(VLOOKUP(A3,'GRAL. SUC. FORANEAS'!$A:$P,23,0),0)</f>
        <v>0</v>
      </c>
      <c r="F3" s="120">
        <f>IFERROR(VLOOKUP(A3,'GRAL. SUC. LOCALES'!$A:$N,27,0),0)</f>
        <v>0</v>
      </c>
      <c r="G3" s="120">
        <f>SUM(B3:C3)</f>
        <v>1</v>
      </c>
    </row>
    <row r="4" spans="1:7" ht="17.399999999999999" x14ac:dyDescent="0.35">
      <c r="A4" s="3" t="s">
        <v>2</v>
      </c>
      <c r="B4" s="120">
        <f>IFERROR(VLOOKUP(A4,'EXISTENCIA EN SUCURSALES'!$A:$Z,23,0),0)</f>
        <v>1</v>
      </c>
      <c r="C4" s="120">
        <f>IFERROR(VLOOKUP(A4,'DISTRIBUCIÓN EN SUCURSALES'!$A:$Z,23,0),0)</f>
        <v>0</v>
      </c>
      <c r="D4" s="138">
        <f t="shared" ref="D4:D54" si="0">C4+B4</f>
        <v>1</v>
      </c>
      <c r="E4" s="120">
        <f>IFERROR(VLOOKUP(A4,'GRAL. SUC. FORANEAS'!$A:$P,23,0),0)</f>
        <v>0</v>
      </c>
      <c r="F4" s="120">
        <f>IFERROR(VLOOKUP(A4,'GRAL. SUC. LOCALES'!$A:$N,27,0),0)</f>
        <v>0</v>
      </c>
      <c r="G4" s="120">
        <f t="shared" ref="G4:G11" si="1">SUM(B4:C4)</f>
        <v>1</v>
      </c>
    </row>
    <row r="5" spans="1:7" ht="17.399999999999999" x14ac:dyDescent="0.35">
      <c r="A5" s="6" t="s">
        <v>3</v>
      </c>
      <c r="B5" s="120">
        <f>IFERROR(VLOOKUP(A5,'EXISTENCIA EN SUCURSALES'!$A:$Z,23,0),0)</f>
        <v>1</v>
      </c>
      <c r="C5" s="120">
        <f>IFERROR(VLOOKUP(A5,'DISTRIBUCIÓN EN SUCURSALES'!$A:$Z,23,0),0)</f>
        <v>0</v>
      </c>
      <c r="D5" s="138">
        <f t="shared" si="0"/>
        <v>1</v>
      </c>
      <c r="E5" s="120">
        <f>IFERROR(VLOOKUP(A5,'GRAL. SUC. FORANEAS'!$A:$P,23,0),0)</f>
        <v>0</v>
      </c>
      <c r="F5" s="120">
        <f>IFERROR(VLOOKUP(A5,'GRAL. SUC. LOCALES'!$A:$N,27,0),0)</f>
        <v>0</v>
      </c>
      <c r="G5" s="120">
        <f t="shared" si="1"/>
        <v>1</v>
      </c>
    </row>
    <row r="6" spans="1:7" ht="17.399999999999999" x14ac:dyDescent="0.35">
      <c r="A6" s="6" t="s">
        <v>4</v>
      </c>
      <c r="B6" s="120">
        <f>IFERROR(VLOOKUP(A6,'EXISTENCIA EN SUCURSALES'!$A:$Z,23,0),0)</f>
        <v>1</v>
      </c>
      <c r="C6" s="120">
        <f>IFERROR(VLOOKUP(A6,'DISTRIBUCIÓN EN SUCURSALES'!$A:$Z,23,0),0)</f>
        <v>0</v>
      </c>
      <c r="D6" s="138">
        <f t="shared" si="0"/>
        <v>1</v>
      </c>
      <c r="E6" s="120">
        <f>IFERROR(VLOOKUP(A6,'GRAL. SUC. FORANEAS'!$A:$P,23,0),0)</f>
        <v>0</v>
      </c>
      <c r="F6" s="120">
        <f>IFERROR(VLOOKUP(A6,'GRAL. SUC. LOCALES'!$A:$N,27,0),0)</f>
        <v>0</v>
      </c>
      <c r="G6" s="120">
        <f t="shared" si="1"/>
        <v>1</v>
      </c>
    </row>
    <row r="7" spans="1:7" ht="17.399999999999999" x14ac:dyDescent="0.35">
      <c r="A7" s="6" t="s">
        <v>5</v>
      </c>
      <c r="B7" s="120">
        <f>IFERROR(VLOOKUP(A7,'EXISTENCIA EN SUCURSALES'!$A:$Z,23,0),0)</f>
        <v>1</v>
      </c>
      <c r="C7" s="120">
        <f>IFERROR(VLOOKUP(A7,'DISTRIBUCIÓN EN SUCURSALES'!$A:$Z,23,0),0)</f>
        <v>0</v>
      </c>
      <c r="D7" s="138">
        <f t="shared" si="0"/>
        <v>1</v>
      </c>
      <c r="E7" s="120">
        <f>IFERROR(VLOOKUP(A7,'GRAL. SUC. FORANEAS'!$A:$P,23,0),0)</f>
        <v>0</v>
      </c>
      <c r="F7" s="120">
        <f>IFERROR(VLOOKUP(A7,'GRAL. SUC. LOCALES'!$A:$N,27,0),0)</f>
        <v>0</v>
      </c>
      <c r="G7" s="120">
        <f t="shared" si="1"/>
        <v>1</v>
      </c>
    </row>
    <row r="8" spans="1:7" ht="17.399999999999999" x14ac:dyDescent="0.35">
      <c r="A8" s="6" t="s">
        <v>6</v>
      </c>
      <c r="B8" s="120">
        <f>IFERROR(VLOOKUP(A8,'EXISTENCIA EN SUCURSALES'!$A:$Z,23,0),0)</f>
        <v>3</v>
      </c>
      <c r="C8" s="120">
        <f>IFERROR(VLOOKUP(A8,'DISTRIBUCIÓN EN SUCURSALES'!$A:$Z,23,0),0)</f>
        <v>0</v>
      </c>
      <c r="D8" s="138">
        <f t="shared" si="0"/>
        <v>3</v>
      </c>
      <c r="E8" s="120">
        <f>IFERROR(VLOOKUP(A8,'GRAL. SUC. FORANEAS'!$A:$P,23,0),0)</f>
        <v>0</v>
      </c>
      <c r="F8" s="120">
        <f>IFERROR(VLOOKUP(A8,'GRAL. SUC. LOCALES'!$A:$N,27,0),0)</f>
        <v>0</v>
      </c>
      <c r="G8" s="120">
        <f t="shared" si="1"/>
        <v>3</v>
      </c>
    </row>
    <row r="9" spans="1:7" ht="17.399999999999999" x14ac:dyDescent="0.35">
      <c r="A9" s="6" t="s">
        <v>7</v>
      </c>
      <c r="B9" s="120">
        <f>IFERROR(VLOOKUP(A9,'EXISTENCIA EN SUCURSALES'!$A:$Z,23,0),0)</f>
        <v>2</v>
      </c>
      <c r="C9" s="120">
        <f>IFERROR(VLOOKUP(A9,'DISTRIBUCIÓN EN SUCURSALES'!$A:$Z,23,0),0)</f>
        <v>0</v>
      </c>
      <c r="D9" s="138">
        <f t="shared" si="0"/>
        <v>2</v>
      </c>
      <c r="E9" s="120">
        <f>IFERROR(VLOOKUP(A9,'GRAL. SUC. FORANEAS'!$A:$P,23,0),0)</f>
        <v>0</v>
      </c>
      <c r="F9" s="120">
        <f>IFERROR(VLOOKUP(A9,'GRAL. SUC. LOCALES'!$A:$N,27,0),0)</f>
        <v>0</v>
      </c>
      <c r="G9" s="120">
        <f t="shared" si="1"/>
        <v>2</v>
      </c>
    </row>
    <row r="10" spans="1:7" ht="17.399999999999999" x14ac:dyDescent="0.35">
      <c r="A10" s="6" t="s">
        <v>8</v>
      </c>
      <c r="B10" s="120">
        <f>IFERROR(VLOOKUP(A10,'EXISTENCIA EN SUCURSALES'!$A:$Z,23,0),0)</f>
        <v>2</v>
      </c>
      <c r="C10" s="120">
        <f>IFERROR(VLOOKUP(A10,'DISTRIBUCIÓN EN SUCURSALES'!$A:$Z,23,0),0)</f>
        <v>0</v>
      </c>
      <c r="D10" s="138">
        <f t="shared" si="0"/>
        <v>2</v>
      </c>
      <c r="E10" s="120">
        <f>IFERROR(VLOOKUP(A10,'GRAL. SUC. FORANEAS'!$A:$P,23,0),0)</f>
        <v>0</v>
      </c>
      <c r="F10" s="120">
        <f>IFERROR(VLOOKUP(A10,'GRAL. SUC. LOCALES'!$A:$N,27,0),0)</f>
        <v>0</v>
      </c>
      <c r="G10" s="120">
        <f t="shared" si="1"/>
        <v>2</v>
      </c>
    </row>
    <row r="11" spans="1:7" ht="18" thickBot="1" x14ac:dyDescent="0.4">
      <c r="A11" s="8" t="s">
        <v>9</v>
      </c>
      <c r="B11" s="120">
        <f>IFERROR(VLOOKUP(A11,'EXISTENCIA EN SUCURSALES'!$A:$Z,23,0),0)</f>
        <v>1</v>
      </c>
      <c r="C11" s="120">
        <f>IFERROR(VLOOKUP(A11,'DISTRIBUCIÓN EN SUCURSALES'!$A:$Z,23,0),0)</f>
        <v>0</v>
      </c>
      <c r="D11" s="138">
        <f t="shared" si="0"/>
        <v>1</v>
      </c>
      <c r="E11" s="120">
        <f>IFERROR(VLOOKUP(A11,'GRAL. SUC. FORANEAS'!$A:$P,23,0),0)</f>
        <v>0</v>
      </c>
      <c r="F11" s="120">
        <f>IFERROR(VLOOKUP(A11,'GRAL. SUC. LOCALES'!$A:$N,27,0),0)</f>
        <v>0</v>
      </c>
      <c r="G11" s="120">
        <f t="shared" si="1"/>
        <v>1</v>
      </c>
    </row>
    <row r="12" spans="1:7" ht="18" thickBot="1" x14ac:dyDescent="0.4">
      <c r="A12" s="10" t="s">
        <v>10</v>
      </c>
      <c r="B12" s="121">
        <f t="shared" ref="B12:G12" si="2">SUM(B3:B11)</f>
        <v>13</v>
      </c>
      <c r="C12" s="121">
        <f>SUM(C3:C11)</f>
        <v>0</v>
      </c>
      <c r="D12" s="121">
        <f>SUM(D3:D11)</f>
        <v>13</v>
      </c>
      <c r="E12" s="121">
        <f>SUM(E3:E11)</f>
        <v>0</v>
      </c>
      <c r="F12" s="121">
        <f>SUM(F3:F11)</f>
        <v>0</v>
      </c>
      <c r="G12" s="121">
        <f t="shared" si="2"/>
        <v>13</v>
      </c>
    </row>
    <row r="13" spans="1:7" ht="17.399999999999999" x14ac:dyDescent="0.35">
      <c r="A13" s="11" t="s">
        <v>676</v>
      </c>
      <c r="B13" s="120">
        <f>IFERROR(VLOOKUP(A13,'EXISTENCIA EN SUCURSALES'!$A:$Z,23,0),0)</f>
        <v>2</v>
      </c>
      <c r="C13" s="120">
        <f>IFERROR(VLOOKUP(A13,'DISTRIBUCIÓN EN SUCURSALES'!$A:$Z,23,0),0)</f>
        <v>0</v>
      </c>
      <c r="D13" s="138">
        <f t="shared" si="0"/>
        <v>2</v>
      </c>
      <c r="E13" s="120">
        <f>IFERROR(VLOOKUP(A13,'GRAL. SUC. FORANEAS'!$A:$P,23,0),0)</f>
        <v>0</v>
      </c>
      <c r="F13" s="120">
        <f>IFERROR(VLOOKUP(A13,'GRAL. SUC. LOCALES'!$A:$N,27,0),0)</f>
        <v>0</v>
      </c>
      <c r="G13" s="120">
        <f t="shared" ref="G13:G20" si="3">SUM(B13:C13)</f>
        <v>2</v>
      </c>
    </row>
    <row r="14" spans="1:7" ht="17.399999999999999" x14ac:dyDescent="0.35">
      <c r="A14" s="13" t="s">
        <v>11</v>
      </c>
      <c r="B14" s="120">
        <f>IFERROR(VLOOKUP(A14,'EXISTENCIA EN SUCURSALES'!$A:$Z,23,0),0)</f>
        <v>3</v>
      </c>
      <c r="C14" s="120">
        <f>IFERROR(VLOOKUP(A14,'DISTRIBUCIÓN EN SUCURSALES'!$A:$Z,23,0),0)</f>
        <v>0</v>
      </c>
      <c r="D14" s="138">
        <f t="shared" si="0"/>
        <v>3</v>
      </c>
      <c r="E14" s="120">
        <f>IFERROR(VLOOKUP(A14,'GRAL. SUC. FORANEAS'!$A:$P,23,0),0)</f>
        <v>0</v>
      </c>
      <c r="F14" s="120">
        <f>IFERROR(VLOOKUP(A14,'GRAL. SUC. LOCALES'!$A:$N,27,0),0)</f>
        <v>0</v>
      </c>
      <c r="G14" s="120">
        <f t="shared" si="3"/>
        <v>3</v>
      </c>
    </row>
    <row r="15" spans="1:7" ht="17.399999999999999" x14ac:dyDescent="0.35">
      <c r="A15" s="13" t="s">
        <v>344</v>
      </c>
      <c r="B15" s="120">
        <f>IFERROR(VLOOKUP(A15,'EXISTENCIA EN SUCURSALES'!$A:$Z,23,0),0)</f>
        <v>3</v>
      </c>
      <c r="C15" s="120">
        <f>IFERROR(VLOOKUP(A15,'DISTRIBUCIÓN EN SUCURSALES'!$A:$Z,23,0),0)</f>
        <v>0</v>
      </c>
      <c r="D15" s="138">
        <f t="shared" si="0"/>
        <v>3</v>
      </c>
      <c r="E15" s="120">
        <f>IFERROR(VLOOKUP(A15,'GRAL. SUC. FORANEAS'!$A:$P,23,0),0)</f>
        <v>0</v>
      </c>
      <c r="F15" s="120">
        <f>IFERROR(VLOOKUP(A15,'GRAL. SUC. LOCALES'!$A:$N,27,0),0)</f>
        <v>0</v>
      </c>
      <c r="G15" s="120">
        <f t="shared" si="3"/>
        <v>3</v>
      </c>
    </row>
    <row r="16" spans="1:7" ht="17.399999999999999" x14ac:dyDescent="0.35">
      <c r="A16" s="13" t="s">
        <v>832</v>
      </c>
      <c r="B16" s="120">
        <f>IFERROR(VLOOKUP(A16,'EXISTENCIA EN SUCURSALES'!$A:$Z,23,0),0)</f>
        <v>2</v>
      </c>
      <c r="C16" s="120">
        <f>IFERROR(VLOOKUP(A16,'DISTRIBUCIÓN EN SUCURSALES'!$A:$Z,23,0),0)</f>
        <v>0</v>
      </c>
      <c r="D16" s="138">
        <f t="shared" si="0"/>
        <v>2</v>
      </c>
      <c r="E16" s="120">
        <f>IFERROR(VLOOKUP(A16,'GRAL. SUC. FORANEAS'!$A:$P,23,0),0)</f>
        <v>0</v>
      </c>
      <c r="F16" s="120">
        <f>IFERROR(VLOOKUP(A16,'GRAL. SUC. LOCALES'!$A:$N,27,0),0)</f>
        <v>0</v>
      </c>
      <c r="G16" s="120">
        <f t="shared" si="3"/>
        <v>2</v>
      </c>
    </row>
    <row r="17" spans="1:7" ht="17.399999999999999" x14ac:dyDescent="0.35">
      <c r="A17" s="13" t="s">
        <v>547</v>
      </c>
      <c r="B17" s="120">
        <f>IFERROR(VLOOKUP(A17,'EXISTENCIA EN SUCURSALES'!$A:$Z,23,0),0)</f>
        <v>0</v>
      </c>
      <c r="C17" s="120">
        <f>IFERROR(VLOOKUP(A17,'DISTRIBUCIÓN EN SUCURSALES'!$A:$Z,23,0),0)</f>
        <v>0</v>
      </c>
      <c r="D17" s="138">
        <f t="shared" si="0"/>
        <v>0</v>
      </c>
      <c r="E17" s="120">
        <f>IFERROR(VLOOKUP(A17,'GRAL. SUC. FORANEAS'!$A:$P,23,0),0)</f>
        <v>0</v>
      </c>
      <c r="F17" s="120">
        <f>IFERROR(VLOOKUP(A17,'GRAL. SUC. LOCALES'!$A:$N,27,0),0)</f>
        <v>0</v>
      </c>
      <c r="G17" s="120">
        <f t="shared" si="3"/>
        <v>0</v>
      </c>
    </row>
    <row r="18" spans="1:7" ht="17.399999999999999" x14ac:dyDescent="0.35">
      <c r="A18" s="13" t="s">
        <v>12</v>
      </c>
      <c r="B18" s="120">
        <f>IFERROR(VLOOKUP(A18,'EXISTENCIA EN SUCURSALES'!$A:$Z,23,0),0)</f>
        <v>2</v>
      </c>
      <c r="C18" s="120">
        <f>IFERROR(VLOOKUP(A18,'DISTRIBUCIÓN EN SUCURSALES'!$A:$Z,23,0),0)</f>
        <v>0</v>
      </c>
      <c r="D18" s="138">
        <f t="shared" si="0"/>
        <v>2</v>
      </c>
      <c r="E18" s="120">
        <f>IFERROR(VLOOKUP(A18,'GRAL. SUC. FORANEAS'!$A:$P,23,0),0)</f>
        <v>0</v>
      </c>
      <c r="F18" s="120">
        <f>IFERROR(VLOOKUP(A18,'GRAL. SUC. LOCALES'!$A:$N,27,0),0)</f>
        <v>0</v>
      </c>
      <c r="G18" s="120">
        <f t="shared" si="3"/>
        <v>2</v>
      </c>
    </row>
    <row r="19" spans="1:7" ht="17.399999999999999" x14ac:dyDescent="0.35">
      <c r="A19" s="13" t="s">
        <v>432</v>
      </c>
      <c r="B19" s="120">
        <f>IFERROR(VLOOKUP(A19,'EXISTENCIA EN SUCURSALES'!$A:$Z,23,0),0)</f>
        <v>0</v>
      </c>
      <c r="C19" s="120">
        <f>IFERROR(VLOOKUP(A19,'DISTRIBUCIÓN EN SUCURSALES'!$A:$Z,23,0),0)</f>
        <v>0</v>
      </c>
      <c r="D19" s="138">
        <f t="shared" si="0"/>
        <v>0</v>
      </c>
      <c r="E19" s="120">
        <f>IFERROR(VLOOKUP(A19,'GRAL. SUC. FORANEAS'!$A:$P,23,0),0)</f>
        <v>0</v>
      </c>
      <c r="F19" s="120">
        <f>IFERROR(VLOOKUP(A19,'GRAL. SUC. LOCALES'!$A:$N,27,0),0)</f>
        <v>0</v>
      </c>
      <c r="G19" s="120">
        <f t="shared" si="3"/>
        <v>0</v>
      </c>
    </row>
    <row r="20" spans="1:7" ht="18" thickBot="1" x14ac:dyDescent="0.4">
      <c r="A20" s="15" t="s">
        <v>468</v>
      </c>
      <c r="B20" s="120">
        <f>IFERROR(VLOOKUP(A20,'EXISTENCIA EN SUCURSALES'!$A:$Z,23,0),0)</f>
        <v>2</v>
      </c>
      <c r="C20" s="120">
        <f>IFERROR(VLOOKUP(A20,'DISTRIBUCIÓN EN SUCURSALES'!$A:$Z,23,0),0)</f>
        <v>0</v>
      </c>
      <c r="D20" s="138">
        <f t="shared" si="0"/>
        <v>2</v>
      </c>
      <c r="E20" s="120">
        <f>IFERROR(VLOOKUP(A20,'GRAL. SUC. FORANEAS'!$A:$P,23,0),0)</f>
        <v>0</v>
      </c>
      <c r="F20" s="120">
        <f>IFERROR(VLOOKUP(A20,'GRAL. SUC. LOCALES'!$A:$N,27,0),0)</f>
        <v>0</v>
      </c>
      <c r="G20" s="120">
        <f t="shared" si="3"/>
        <v>2</v>
      </c>
    </row>
    <row r="21" spans="1:7" ht="18" thickBot="1" x14ac:dyDescent="0.4">
      <c r="A21" s="17" t="s">
        <v>13</v>
      </c>
      <c r="B21" s="122">
        <f t="shared" ref="B21:G21" si="4">SUM(B13:B20)</f>
        <v>14</v>
      </c>
      <c r="C21" s="122">
        <f t="shared" si="4"/>
        <v>0</v>
      </c>
      <c r="D21" s="122">
        <f t="shared" si="4"/>
        <v>14</v>
      </c>
      <c r="E21" s="122">
        <f t="shared" si="4"/>
        <v>0</v>
      </c>
      <c r="F21" s="122">
        <f t="shared" si="4"/>
        <v>0</v>
      </c>
      <c r="G21" s="122">
        <f t="shared" si="4"/>
        <v>14</v>
      </c>
    </row>
    <row r="22" spans="1:7" ht="17.399999999999999" x14ac:dyDescent="0.35">
      <c r="A22" s="3" t="s">
        <v>14</v>
      </c>
      <c r="B22" s="120">
        <f>IFERROR(VLOOKUP(A22,'EXISTENCIA EN SUCURSALES'!$A:$Z,23,0),0)</f>
        <v>1</v>
      </c>
      <c r="C22" s="120">
        <f>IFERROR(VLOOKUP(A22,'DISTRIBUCIÓN EN SUCURSALES'!$A:$Z,23,0),0)</f>
        <v>0</v>
      </c>
      <c r="D22" s="138">
        <f t="shared" si="0"/>
        <v>1</v>
      </c>
      <c r="E22" s="120">
        <f>IFERROR(VLOOKUP(A22,'GRAL. SUC. FORANEAS'!$A:$P,23,0),0)</f>
        <v>0</v>
      </c>
      <c r="F22" s="120">
        <f>IFERROR(VLOOKUP(A22,'GRAL. SUC. LOCALES'!$A:$N,27,0),0)</f>
        <v>0</v>
      </c>
      <c r="G22" s="120">
        <f t="shared" ref="G22:G31" si="5">SUM(B22:C22)</f>
        <v>1</v>
      </c>
    </row>
    <row r="23" spans="1:7" ht="17.399999999999999" x14ac:dyDescent="0.35">
      <c r="A23" s="6" t="s">
        <v>15</v>
      </c>
      <c r="B23" s="120">
        <f>IFERROR(VLOOKUP(A23,'EXISTENCIA EN SUCURSALES'!$A:$Z,23,0),0)</f>
        <v>2</v>
      </c>
      <c r="C23" s="120">
        <f>IFERROR(VLOOKUP(A23,'DISTRIBUCIÓN EN SUCURSALES'!$A:$Z,23,0),0)</f>
        <v>0</v>
      </c>
      <c r="D23" s="138">
        <f t="shared" si="0"/>
        <v>2</v>
      </c>
      <c r="E23" s="120">
        <f>IFERROR(VLOOKUP(A23,'GRAL. SUC. FORANEAS'!$A:$P,23,0),0)</f>
        <v>0</v>
      </c>
      <c r="F23" s="120">
        <f>IFERROR(VLOOKUP(A23,'GRAL. SUC. LOCALES'!$A:$N,27,0),0)</f>
        <v>0</v>
      </c>
      <c r="G23" s="120">
        <f t="shared" si="5"/>
        <v>2</v>
      </c>
    </row>
    <row r="24" spans="1:7" ht="17.399999999999999" x14ac:dyDescent="0.35">
      <c r="A24" s="6" t="s">
        <v>16</v>
      </c>
      <c r="B24" s="120">
        <f>IFERROR(VLOOKUP(A24,'EXISTENCIA EN SUCURSALES'!$A:$Z,23,0),0)</f>
        <v>2</v>
      </c>
      <c r="C24" s="120">
        <f>IFERROR(VLOOKUP(A24,'DISTRIBUCIÓN EN SUCURSALES'!$A:$Z,23,0),0)</f>
        <v>0</v>
      </c>
      <c r="D24" s="138">
        <f t="shared" si="0"/>
        <v>2</v>
      </c>
      <c r="E24" s="120">
        <f>IFERROR(VLOOKUP(A24,'GRAL. SUC. FORANEAS'!$A:$P,23,0),0)</f>
        <v>0</v>
      </c>
      <c r="F24" s="120">
        <f>IFERROR(VLOOKUP(A24,'GRAL. SUC. LOCALES'!$A:$N,27,0),0)</f>
        <v>0</v>
      </c>
      <c r="G24" s="120">
        <f t="shared" si="5"/>
        <v>2</v>
      </c>
    </row>
    <row r="25" spans="1:7" ht="17.399999999999999" x14ac:dyDescent="0.35">
      <c r="A25" s="6" t="s">
        <v>17</v>
      </c>
      <c r="B25" s="120">
        <f>IFERROR(VLOOKUP(A25,'EXISTENCIA EN SUCURSALES'!$A:$Z,23,0),0)</f>
        <v>2</v>
      </c>
      <c r="C25" s="120">
        <f>IFERROR(VLOOKUP(A25,'DISTRIBUCIÓN EN SUCURSALES'!$A:$Z,23,0),0)</f>
        <v>0</v>
      </c>
      <c r="D25" s="138">
        <f t="shared" si="0"/>
        <v>2</v>
      </c>
      <c r="E25" s="120">
        <f>IFERROR(VLOOKUP(A25,'GRAL. SUC. FORANEAS'!$A:$P,23,0),0)</f>
        <v>0</v>
      </c>
      <c r="F25" s="120">
        <f>IFERROR(VLOOKUP(A25,'GRAL. SUC. LOCALES'!$A:$N,27,0),0)</f>
        <v>0</v>
      </c>
      <c r="G25" s="120">
        <f t="shared" si="5"/>
        <v>2</v>
      </c>
    </row>
    <row r="26" spans="1:7" ht="17.399999999999999" x14ac:dyDescent="0.35">
      <c r="A26" s="6" t="s">
        <v>18</v>
      </c>
      <c r="B26" s="120">
        <f>IFERROR(VLOOKUP(A26,'EXISTENCIA EN SUCURSALES'!$A:$Z,23,0),0)</f>
        <v>2</v>
      </c>
      <c r="C26" s="120">
        <f>IFERROR(VLOOKUP(A26,'DISTRIBUCIÓN EN SUCURSALES'!$A:$Z,23,0),0)</f>
        <v>0</v>
      </c>
      <c r="D26" s="138">
        <f t="shared" si="0"/>
        <v>2</v>
      </c>
      <c r="E26" s="120">
        <f>IFERROR(VLOOKUP(A26,'GRAL. SUC. FORANEAS'!$A:$P,23,0),0)</f>
        <v>0</v>
      </c>
      <c r="F26" s="120">
        <f>IFERROR(VLOOKUP(A26,'GRAL. SUC. LOCALES'!$A:$N,27,0),0)</f>
        <v>0</v>
      </c>
      <c r="G26" s="120">
        <f t="shared" si="5"/>
        <v>2</v>
      </c>
    </row>
    <row r="27" spans="1:7" ht="17.399999999999999" x14ac:dyDescent="0.35">
      <c r="A27" s="6" t="s">
        <v>22</v>
      </c>
      <c r="B27" s="120">
        <f>IFERROR(VLOOKUP(A27,'EXISTENCIA EN SUCURSALES'!$A:$Z,23,0),0)</f>
        <v>2</v>
      </c>
      <c r="C27" s="120">
        <f>IFERROR(VLOOKUP(A27,'DISTRIBUCIÓN EN SUCURSALES'!$A:$Z,23,0),0)</f>
        <v>0</v>
      </c>
      <c r="D27" s="138">
        <f t="shared" si="0"/>
        <v>2</v>
      </c>
      <c r="E27" s="120">
        <f>IFERROR(VLOOKUP(A27,'GRAL. SUC. FORANEAS'!$A:$P,23,0),0)</f>
        <v>0</v>
      </c>
      <c r="F27" s="120">
        <f>IFERROR(VLOOKUP(A27,'GRAL. SUC. LOCALES'!$A:$N,27,0),0)</f>
        <v>0</v>
      </c>
      <c r="G27" s="120">
        <f t="shared" si="5"/>
        <v>2</v>
      </c>
    </row>
    <row r="28" spans="1:7" ht="17.399999999999999" x14ac:dyDescent="0.35">
      <c r="A28" s="6" t="s">
        <v>23</v>
      </c>
      <c r="B28" s="120">
        <f>IFERROR(VLOOKUP(A28,'EXISTENCIA EN SUCURSALES'!$A:$Z,23,0),0)</f>
        <v>1</v>
      </c>
      <c r="C28" s="120">
        <f>IFERROR(VLOOKUP(A28,'DISTRIBUCIÓN EN SUCURSALES'!$A:$Z,23,0),0)</f>
        <v>0</v>
      </c>
      <c r="D28" s="138">
        <f t="shared" si="0"/>
        <v>1</v>
      </c>
      <c r="E28" s="120">
        <f>IFERROR(VLOOKUP(A28,'GRAL. SUC. FORANEAS'!$A:$P,23,0),0)</f>
        <v>0</v>
      </c>
      <c r="F28" s="120">
        <f>IFERROR(VLOOKUP(A28,'GRAL. SUC. LOCALES'!$A:$N,27,0),0)</f>
        <v>0</v>
      </c>
      <c r="G28" s="120">
        <f t="shared" si="5"/>
        <v>1</v>
      </c>
    </row>
    <row r="29" spans="1:7" ht="17.399999999999999" x14ac:dyDescent="0.35">
      <c r="A29" s="6" t="s">
        <v>24</v>
      </c>
      <c r="B29" s="120">
        <f>IFERROR(VLOOKUP(A29,'EXISTENCIA EN SUCURSALES'!$A:$Z,23,0),0)</f>
        <v>2</v>
      </c>
      <c r="C29" s="120">
        <f>IFERROR(VLOOKUP(A29,'DISTRIBUCIÓN EN SUCURSALES'!$A:$Z,23,0),0)</f>
        <v>0</v>
      </c>
      <c r="D29" s="138">
        <f t="shared" si="0"/>
        <v>2</v>
      </c>
      <c r="E29" s="120">
        <f>IFERROR(VLOOKUP(A29,'GRAL. SUC. FORANEAS'!$A:$P,23,0),0)</f>
        <v>0</v>
      </c>
      <c r="F29" s="120">
        <f>IFERROR(VLOOKUP(A29,'GRAL. SUC. LOCALES'!$A:$N,27,0),0)</f>
        <v>0</v>
      </c>
      <c r="G29" s="120">
        <f t="shared" si="5"/>
        <v>2</v>
      </c>
    </row>
    <row r="30" spans="1:7" ht="17.399999999999999" x14ac:dyDescent="0.35">
      <c r="A30" s="6" t="s">
        <v>25</v>
      </c>
      <c r="B30" s="120">
        <f>IFERROR(VLOOKUP(A30,'EXISTENCIA EN SUCURSALES'!$A:$Z,23,0),0)</f>
        <v>2</v>
      </c>
      <c r="C30" s="120">
        <f>IFERROR(VLOOKUP(A30,'DISTRIBUCIÓN EN SUCURSALES'!$A:$Z,23,0),0)</f>
        <v>0</v>
      </c>
      <c r="D30" s="138">
        <f t="shared" si="0"/>
        <v>2</v>
      </c>
      <c r="E30" s="120">
        <f>IFERROR(VLOOKUP(A30,'GRAL. SUC. FORANEAS'!$A:$P,23,0),0)</f>
        <v>0</v>
      </c>
      <c r="F30" s="120">
        <f>IFERROR(VLOOKUP(A30,'GRAL. SUC. LOCALES'!$A:$N,27,0),0)</f>
        <v>0</v>
      </c>
      <c r="G30" s="120">
        <f t="shared" si="5"/>
        <v>2</v>
      </c>
    </row>
    <row r="31" spans="1:7" ht="18" thickBot="1" x14ac:dyDescent="0.4">
      <c r="A31" s="6" t="s">
        <v>27</v>
      </c>
      <c r="B31" s="120">
        <f>IFERROR(VLOOKUP(A31,'EXISTENCIA EN SUCURSALES'!$A:$Z,23,0),0)</f>
        <v>0</v>
      </c>
      <c r="C31" s="120">
        <f>IFERROR(VLOOKUP(A31,'DISTRIBUCIÓN EN SUCURSALES'!$A:$Z,23,0),0)</f>
        <v>0</v>
      </c>
      <c r="D31" s="138">
        <f t="shared" si="0"/>
        <v>0</v>
      </c>
      <c r="E31" s="120">
        <f>IFERROR(VLOOKUP(A31,'GRAL. SUC. FORANEAS'!$A:$P,23,0),0)</f>
        <v>0</v>
      </c>
      <c r="F31" s="120">
        <f>IFERROR(VLOOKUP(A31,'GRAL. SUC. LOCALES'!$A:$N,27,0),0)</f>
        <v>0</v>
      </c>
      <c r="G31" s="120">
        <f t="shared" si="5"/>
        <v>0</v>
      </c>
    </row>
    <row r="32" spans="1:7" ht="18" thickBot="1" x14ac:dyDescent="0.4">
      <c r="A32" s="19" t="s">
        <v>29</v>
      </c>
      <c r="B32" s="123">
        <f t="shared" ref="B32:G32" si="6">SUM(B22:B31)</f>
        <v>16</v>
      </c>
      <c r="C32" s="123">
        <f t="shared" si="6"/>
        <v>0</v>
      </c>
      <c r="D32" s="123">
        <f t="shared" si="6"/>
        <v>16</v>
      </c>
      <c r="E32" s="123">
        <f t="shared" si="6"/>
        <v>0</v>
      </c>
      <c r="F32" s="123">
        <f t="shared" si="6"/>
        <v>0</v>
      </c>
      <c r="G32" s="123">
        <f t="shared" si="6"/>
        <v>16</v>
      </c>
    </row>
    <row r="33" spans="1:7" ht="17.399999999999999" x14ac:dyDescent="0.35">
      <c r="A33" s="3" t="s">
        <v>30</v>
      </c>
      <c r="B33" s="120">
        <f>IFERROR(VLOOKUP(A33,'EXISTENCIA EN SUCURSALES'!$A:$Z,23,0),0)</f>
        <v>6</v>
      </c>
      <c r="C33" s="120">
        <f>IFERROR(VLOOKUP(A33,'DISTRIBUCIÓN EN SUCURSALES'!$A:$Z,23,0),0)</f>
        <v>0</v>
      </c>
      <c r="D33" s="138">
        <f t="shared" si="0"/>
        <v>6</v>
      </c>
      <c r="E33" s="120">
        <f>IFERROR(VLOOKUP(A33,'GRAL. SUC. FORANEAS'!$A:$P,23,0),0)</f>
        <v>0</v>
      </c>
      <c r="F33" s="120">
        <f>IFERROR(VLOOKUP(A33,'GRAL. SUC. LOCALES'!$A:$N,27,0),0)</f>
        <v>0</v>
      </c>
      <c r="G33" s="120">
        <f t="shared" ref="G33:G34" si="7">SUM(B33:C33)</f>
        <v>6</v>
      </c>
    </row>
    <row r="34" spans="1:7" ht="18" thickBot="1" x14ac:dyDescent="0.4">
      <c r="A34" s="8" t="s">
        <v>31</v>
      </c>
      <c r="B34" s="120">
        <f>IFERROR(VLOOKUP(A34,'EXISTENCIA EN SUCURSALES'!$A:$Z,23,0),0)</f>
        <v>3</v>
      </c>
      <c r="C34" s="120">
        <f>IFERROR(VLOOKUP(A34,'DISTRIBUCIÓN EN SUCURSALES'!$A:$Z,23,0),0)</f>
        <v>0</v>
      </c>
      <c r="D34" s="138">
        <f t="shared" si="0"/>
        <v>3</v>
      </c>
      <c r="E34" s="120">
        <f>IFERROR(VLOOKUP(A34,'GRAL. SUC. FORANEAS'!$A:$P,23,0),0)</f>
        <v>0</v>
      </c>
      <c r="F34" s="120">
        <f>IFERROR(VLOOKUP(A34,'GRAL. SUC. LOCALES'!$A:$N,27,0),0)</f>
        <v>0</v>
      </c>
      <c r="G34" s="120">
        <f t="shared" si="7"/>
        <v>3</v>
      </c>
    </row>
    <row r="35" spans="1:7" ht="18" thickBot="1" x14ac:dyDescent="0.4">
      <c r="A35" s="21" t="s">
        <v>32</v>
      </c>
      <c r="B35" s="124">
        <f t="shared" ref="B35:G35" si="8">SUM(B33:B34)</f>
        <v>9</v>
      </c>
      <c r="C35" s="124">
        <f t="shared" si="8"/>
        <v>0</v>
      </c>
      <c r="D35" s="124">
        <f t="shared" si="8"/>
        <v>9</v>
      </c>
      <c r="E35" s="124">
        <f t="shared" si="8"/>
        <v>0</v>
      </c>
      <c r="F35" s="124">
        <f t="shared" si="8"/>
        <v>0</v>
      </c>
      <c r="G35" s="124">
        <f t="shared" si="8"/>
        <v>9</v>
      </c>
    </row>
    <row r="36" spans="1:7" ht="17.399999999999999" x14ac:dyDescent="0.35">
      <c r="A36" s="3" t="s">
        <v>33</v>
      </c>
      <c r="B36" s="120">
        <f>IFERROR(VLOOKUP(A36,'EXISTENCIA EN SUCURSALES'!$A:$Z,23,0),0)</f>
        <v>4</v>
      </c>
      <c r="C36" s="120">
        <f>IFERROR(VLOOKUP(A36,'DISTRIBUCIÓN EN SUCURSALES'!$A:$Z,23,0),0)</f>
        <v>0</v>
      </c>
      <c r="D36" s="138">
        <f t="shared" si="0"/>
        <v>4</v>
      </c>
      <c r="E36" s="120">
        <f>IFERROR(VLOOKUP(A36,'GRAL. SUC. FORANEAS'!$A:$P,23,0),0)</f>
        <v>0</v>
      </c>
      <c r="F36" s="120">
        <f>IFERROR(VLOOKUP(A36,'GRAL. SUC. LOCALES'!$A:$N,27,0),0)</f>
        <v>0</v>
      </c>
      <c r="G36" s="120">
        <f t="shared" ref="G36:G37" si="9">SUM(B36:C36)</f>
        <v>4</v>
      </c>
    </row>
    <row r="37" spans="1:7" ht="18" thickBot="1" x14ac:dyDescent="0.4">
      <c r="A37" s="8" t="s">
        <v>34</v>
      </c>
      <c r="B37" s="120">
        <f>IFERROR(VLOOKUP(A37,'EXISTENCIA EN SUCURSALES'!$A:$Z,23,0),0)</f>
        <v>5</v>
      </c>
      <c r="C37" s="120">
        <f>IFERROR(VLOOKUP(A37,'DISTRIBUCIÓN EN SUCURSALES'!$A:$Z,23,0),0)</f>
        <v>0</v>
      </c>
      <c r="D37" s="138">
        <f t="shared" si="0"/>
        <v>5</v>
      </c>
      <c r="E37" s="120">
        <f>IFERROR(VLOOKUP(A37,'GRAL. SUC. FORANEAS'!$A:$P,23,0),0)</f>
        <v>0</v>
      </c>
      <c r="F37" s="120">
        <f>IFERROR(VLOOKUP(A37,'GRAL. SUC. LOCALES'!$A:$N,27,0),0)</f>
        <v>0</v>
      </c>
      <c r="G37" s="120">
        <f t="shared" si="9"/>
        <v>5</v>
      </c>
    </row>
    <row r="38" spans="1:7" ht="18" thickBot="1" x14ac:dyDescent="0.4">
      <c r="A38" s="19" t="s">
        <v>35</v>
      </c>
      <c r="B38" s="123">
        <f t="shared" ref="B38:G38" si="10">SUM(B36:B37)</f>
        <v>9</v>
      </c>
      <c r="C38" s="123">
        <f t="shared" si="10"/>
        <v>0</v>
      </c>
      <c r="D38" s="123">
        <f t="shared" si="10"/>
        <v>9</v>
      </c>
      <c r="E38" s="123">
        <f t="shared" si="10"/>
        <v>0</v>
      </c>
      <c r="F38" s="123">
        <f t="shared" si="10"/>
        <v>0</v>
      </c>
      <c r="G38" s="123">
        <f t="shared" si="10"/>
        <v>9</v>
      </c>
    </row>
    <row r="39" spans="1:7" ht="17.399999999999999" x14ac:dyDescent="0.35">
      <c r="A39" s="3" t="s">
        <v>36</v>
      </c>
      <c r="B39" s="120">
        <f>IFERROR(VLOOKUP(A39,'EXISTENCIA EN SUCURSALES'!$A:$Z,23,0),0)</f>
        <v>1</v>
      </c>
      <c r="C39" s="120">
        <f>IFERROR(VLOOKUP(A39,'DISTRIBUCIÓN EN SUCURSALES'!$A:$Z,23,0),0)</f>
        <v>0</v>
      </c>
      <c r="D39" s="138">
        <f t="shared" si="0"/>
        <v>1</v>
      </c>
      <c r="E39" s="120">
        <f>IFERROR(VLOOKUP(A39,'GRAL. SUC. FORANEAS'!$A:$P,23,0),0)</f>
        <v>0</v>
      </c>
      <c r="F39" s="120">
        <f>IFERROR(VLOOKUP(A39,'GRAL. SUC. LOCALES'!$A:$N,27,0),0)</f>
        <v>0</v>
      </c>
      <c r="G39" s="120">
        <f t="shared" ref="G39:G54" si="11">SUM(B39:C39)</f>
        <v>1</v>
      </c>
    </row>
    <row r="40" spans="1:7" ht="17.399999999999999" x14ac:dyDescent="0.35">
      <c r="A40" s="3" t="s">
        <v>37</v>
      </c>
      <c r="B40" s="120">
        <f>IFERROR(VLOOKUP(A40,'EXISTENCIA EN SUCURSALES'!$A:$Z,23,0),0)</f>
        <v>1</v>
      </c>
      <c r="C40" s="120">
        <f>IFERROR(VLOOKUP(A40,'DISTRIBUCIÓN EN SUCURSALES'!$A:$Z,23,0),0)</f>
        <v>0</v>
      </c>
      <c r="D40" s="138">
        <f t="shared" si="0"/>
        <v>1</v>
      </c>
      <c r="E40" s="120">
        <f>IFERROR(VLOOKUP(A40,'GRAL. SUC. FORANEAS'!$A:$P,23,0),0)</f>
        <v>0</v>
      </c>
      <c r="F40" s="120">
        <f>IFERROR(VLOOKUP(A40,'GRAL. SUC. LOCALES'!$A:$N,27,0),0)</f>
        <v>0</v>
      </c>
      <c r="G40" s="120">
        <f t="shared" si="11"/>
        <v>1</v>
      </c>
    </row>
    <row r="41" spans="1:7" ht="17.399999999999999" x14ac:dyDescent="0.35">
      <c r="A41" s="3" t="s">
        <v>38</v>
      </c>
      <c r="B41" s="120">
        <f>IFERROR(VLOOKUP(A41,'EXISTENCIA EN SUCURSALES'!$A:$Z,23,0),0)</f>
        <v>0</v>
      </c>
      <c r="C41" s="120">
        <f>IFERROR(VLOOKUP(A41,'DISTRIBUCIÓN EN SUCURSALES'!$A:$Z,23,0),0)</f>
        <v>0</v>
      </c>
      <c r="D41" s="138">
        <f t="shared" si="0"/>
        <v>0</v>
      </c>
      <c r="E41" s="120">
        <f>IFERROR(VLOOKUP(A41,'GRAL. SUC. FORANEAS'!$A:$P,23,0),0)</f>
        <v>0</v>
      </c>
      <c r="F41" s="120">
        <f>IFERROR(VLOOKUP(A41,'GRAL. SUC. LOCALES'!$A:$N,27,0),0)</f>
        <v>0</v>
      </c>
      <c r="G41" s="120">
        <f t="shared" si="11"/>
        <v>0</v>
      </c>
    </row>
    <row r="42" spans="1:7" ht="17.399999999999999" x14ac:dyDescent="0.35">
      <c r="A42" s="3" t="s">
        <v>39</v>
      </c>
      <c r="B42" s="120">
        <f>IFERROR(VLOOKUP(A42,'EXISTENCIA EN SUCURSALES'!$A:$Z,23,0),0)</f>
        <v>0</v>
      </c>
      <c r="C42" s="120">
        <f>IFERROR(VLOOKUP(A42,'DISTRIBUCIÓN EN SUCURSALES'!$A:$Z,23,0),0)</f>
        <v>0</v>
      </c>
      <c r="D42" s="138">
        <f t="shared" si="0"/>
        <v>0</v>
      </c>
      <c r="E42" s="120">
        <f>IFERROR(VLOOKUP(A42,'GRAL. SUC. FORANEAS'!$A:$P,23,0),0)</f>
        <v>0</v>
      </c>
      <c r="F42" s="120">
        <f>IFERROR(VLOOKUP(A42,'GRAL. SUC. LOCALES'!$A:$N,27,0),0)</f>
        <v>0</v>
      </c>
      <c r="G42" s="120">
        <f t="shared" si="11"/>
        <v>0</v>
      </c>
    </row>
    <row r="43" spans="1:7" ht="17.399999999999999" x14ac:dyDescent="0.35">
      <c r="A43" s="3" t="s">
        <v>40</v>
      </c>
      <c r="B43" s="120">
        <f>IFERROR(VLOOKUP(A43,'EXISTENCIA EN SUCURSALES'!$A:$Z,23,0),0)</f>
        <v>1</v>
      </c>
      <c r="C43" s="120">
        <f>IFERROR(VLOOKUP(A43,'DISTRIBUCIÓN EN SUCURSALES'!$A:$Z,23,0),0)</f>
        <v>0</v>
      </c>
      <c r="D43" s="138">
        <f t="shared" si="0"/>
        <v>1</v>
      </c>
      <c r="E43" s="120">
        <f>IFERROR(VLOOKUP(A43,'GRAL. SUC. FORANEAS'!$A:$P,23,0),0)</f>
        <v>0</v>
      </c>
      <c r="F43" s="120">
        <f>IFERROR(VLOOKUP(A43,'GRAL. SUC. LOCALES'!$A:$N,27,0),0)</f>
        <v>0</v>
      </c>
      <c r="G43" s="120">
        <f t="shared" si="11"/>
        <v>1</v>
      </c>
    </row>
    <row r="44" spans="1:7" ht="17.399999999999999" x14ac:dyDescent="0.35">
      <c r="A44" s="3" t="s">
        <v>41</v>
      </c>
      <c r="B44" s="120">
        <f>IFERROR(VLOOKUP(A44,'EXISTENCIA EN SUCURSALES'!$A:$Z,23,0),0)</f>
        <v>0</v>
      </c>
      <c r="C44" s="120">
        <f>IFERROR(VLOOKUP(A44,'DISTRIBUCIÓN EN SUCURSALES'!$A:$Z,23,0),0)</f>
        <v>0</v>
      </c>
      <c r="D44" s="138">
        <f t="shared" si="0"/>
        <v>0</v>
      </c>
      <c r="E44" s="120">
        <f>IFERROR(VLOOKUP(A44,'GRAL. SUC. FORANEAS'!$A:$P,23,0),0)</f>
        <v>0</v>
      </c>
      <c r="F44" s="120">
        <f>IFERROR(VLOOKUP(A44,'GRAL. SUC. LOCALES'!$A:$N,27,0),0)</f>
        <v>0</v>
      </c>
      <c r="G44" s="120">
        <f t="shared" si="11"/>
        <v>0</v>
      </c>
    </row>
    <row r="45" spans="1:7" ht="17.399999999999999" x14ac:dyDescent="0.35">
      <c r="A45" s="22" t="s">
        <v>42</v>
      </c>
      <c r="B45" s="120">
        <f>IFERROR(VLOOKUP(A45,'EXISTENCIA EN SUCURSALES'!$A:$Z,23,0),0)</f>
        <v>1</v>
      </c>
      <c r="C45" s="120">
        <f>IFERROR(VLOOKUP(A45,'DISTRIBUCIÓN EN SUCURSALES'!$A:$Z,23,0),0)</f>
        <v>0</v>
      </c>
      <c r="D45" s="138">
        <f t="shared" si="0"/>
        <v>1</v>
      </c>
      <c r="E45" s="120">
        <f>IFERROR(VLOOKUP(A45,'GRAL. SUC. FORANEAS'!$A:$P,23,0),0)</f>
        <v>0</v>
      </c>
      <c r="F45" s="120">
        <f>IFERROR(VLOOKUP(A45,'GRAL. SUC. LOCALES'!$A:$N,27,0),0)</f>
        <v>0</v>
      </c>
      <c r="G45" s="120">
        <f t="shared" si="11"/>
        <v>1</v>
      </c>
    </row>
    <row r="46" spans="1:7" ht="17.399999999999999" x14ac:dyDescent="0.35">
      <c r="A46" s="23" t="s">
        <v>43</v>
      </c>
      <c r="B46" s="120">
        <f>IFERROR(VLOOKUP(A46,'EXISTENCIA EN SUCURSALES'!$A:$Z,23,0),0)</f>
        <v>1</v>
      </c>
      <c r="C46" s="120">
        <f>IFERROR(VLOOKUP(A46,'DISTRIBUCIÓN EN SUCURSALES'!$A:$Z,23,0),0)</f>
        <v>0</v>
      </c>
      <c r="D46" s="138">
        <f t="shared" si="0"/>
        <v>1</v>
      </c>
      <c r="E46" s="120">
        <f>IFERROR(VLOOKUP(A46,'GRAL. SUC. FORANEAS'!$A:$P,23,0),0)</f>
        <v>0</v>
      </c>
      <c r="F46" s="120">
        <f>IFERROR(VLOOKUP(A46,'GRAL. SUC. LOCALES'!$A:$N,27,0),0)</f>
        <v>0</v>
      </c>
      <c r="G46" s="120">
        <f t="shared" si="11"/>
        <v>1</v>
      </c>
    </row>
    <row r="47" spans="1:7" ht="17.399999999999999" x14ac:dyDescent="0.35">
      <c r="A47" s="3" t="s">
        <v>44</v>
      </c>
      <c r="B47" s="120">
        <f>IFERROR(VLOOKUP(A47,'EXISTENCIA EN SUCURSALES'!$A:$Z,23,0),0)</f>
        <v>1</v>
      </c>
      <c r="C47" s="120">
        <f>IFERROR(VLOOKUP(A47,'DISTRIBUCIÓN EN SUCURSALES'!$A:$Z,23,0),0)</f>
        <v>0</v>
      </c>
      <c r="D47" s="138">
        <f t="shared" si="0"/>
        <v>1</v>
      </c>
      <c r="E47" s="120">
        <f>IFERROR(VLOOKUP(A47,'GRAL. SUC. FORANEAS'!$A:$P,23,0),0)</f>
        <v>0</v>
      </c>
      <c r="F47" s="120">
        <f>IFERROR(VLOOKUP(A47,'GRAL. SUC. LOCALES'!$A:$N,27,0),0)</f>
        <v>0</v>
      </c>
      <c r="G47" s="120">
        <f t="shared" si="11"/>
        <v>1</v>
      </c>
    </row>
    <row r="48" spans="1:7" ht="17.399999999999999" x14ac:dyDescent="0.35">
      <c r="A48" s="3" t="s">
        <v>45</v>
      </c>
      <c r="B48" s="120">
        <f>IFERROR(VLOOKUP(A48,'EXISTENCIA EN SUCURSALES'!$A:$Z,23,0),0)</f>
        <v>1</v>
      </c>
      <c r="C48" s="120">
        <f>IFERROR(VLOOKUP(A48,'DISTRIBUCIÓN EN SUCURSALES'!$A:$Z,23,0),0)</f>
        <v>0</v>
      </c>
      <c r="D48" s="138">
        <f t="shared" si="0"/>
        <v>1</v>
      </c>
      <c r="E48" s="120">
        <f>IFERROR(VLOOKUP(A48,'GRAL. SUC. FORANEAS'!$A:$P,23,0),0)</f>
        <v>0</v>
      </c>
      <c r="F48" s="120">
        <f>IFERROR(VLOOKUP(A48,'GRAL. SUC. LOCALES'!$A:$N,27,0),0)</f>
        <v>0</v>
      </c>
      <c r="G48" s="120">
        <f t="shared" si="11"/>
        <v>1</v>
      </c>
    </row>
    <row r="49" spans="1:7" ht="17.399999999999999" x14ac:dyDescent="0.35">
      <c r="A49" s="6" t="s">
        <v>46</v>
      </c>
      <c r="B49" s="120">
        <f>IFERROR(VLOOKUP(A49,'EXISTENCIA EN SUCURSALES'!$A:$Z,23,0),0)</f>
        <v>4</v>
      </c>
      <c r="C49" s="120">
        <f>IFERROR(VLOOKUP(A49,'DISTRIBUCIÓN EN SUCURSALES'!$A:$Z,23,0),0)</f>
        <v>0</v>
      </c>
      <c r="D49" s="138">
        <f t="shared" si="0"/>
        <v>4</v>
      </c>
      <c r="E49" s="120">
        <f>IFERROR(VLOOKUP(A49,'GRAL. SUC. FORANEAS'!$A:$P,23,0),0)</f>
        <v>0</v>
      </c>
      <c r="F49" s="120">
        <f>IFERROR(VLOOKUP(A49,'GRAL. SUC. LOCALES'!$A:$N,27,0),0)</f>
        <v>0</v>
      </c>
      <c r="G49" s="120">
        <f t="shared" si="11"/>
        <v>4</v>
      </c>
    </row>
    <row r="50" spans="1:7" ht="17.399999999999999" x14ac:dyDescent="0.35">
      <c r="A50" s="3" t="s">
        <v>48</v>
      </c>
      <c r="B50" s="120">
        <f>IFERROR(VLOOKUP(A50,'EXISTENCIA EN SUCURSALES'!$A:$Z,23,0),0)</f>
        <v>2</v>
      </c>
      <c r="C50" s="120">
        <f>IFERROR(VLOOKUP(A50,'DISTRIBUCIÓN EN SUCURSALES'!$A:$Z,23,0),0)</f>
        <v>0</v>
      </c>
      <c r="D50" s="138">
        <f t="shared" si="0"/>
        <v>2</v>
      </c>
      <c r="E50" s="120">
        <f>IFERROR(VLOOKUP(A50,'GRAL. SUC. FORANEAS'!$A:$P,23,0),0)</f>
        <v>0</v>
      </c>
      <c r="F50" s="120">
        <f>IFERROR(VLOOKUP(A50,'GRAL. SUC. LOCALES'!$A:$N,27,0),0)</f>
        <v>0</v>
      </c>
      <c r="G50" s="120">
        <f t="shared" si="11"/>
        <v>2</v>
      </c>
    </row>
    <row r="51" spans="1:7" ht="17.399999999999999" x14ac:dyDescent="0.35">
      <c r="A51" s="3" t="s">
        <v>49</v>
      </c>
      <c r="B51" s="120">
        <f>IFERROR(VLOOKUP(A51,'EXISTENCIA EN SUCURSALES'!$A:$Z,23,0),0)</f>
        <v>0</v>
      </c>
      <c r="C51" s="120">
        <f>IFERROR(VLOOKUP(A51,'DISTRIBUCIÓN EN SUCURSALES'!$A:$Z,23,0),0)</f>
        <v>0</v>
      </c>
      <c r="D51" s="138">
        <f t="shared" si="0"/>
        <v>0</v>
      </c>
      <c r="E51" s="120">
        <f>IFERROR(VLOOKUP(A51,'GRAL. SUC. FORANEAS'!$A:$P,23,0),0)</f>
        <v>0</v>
      </c>
      <c r="F51" s="120">
        <f>IFERROR(VLOOKUP(A51,'GRAL. SUC. LOCALES'!$A:$N,27,0),0)</f>
        <v>0</v>
      </c>
      <c r="G51" s="120">
        <f t="shared" si="11"/>
        <v>0</v>
      </c>
    </row>
    <row r="52" spans="1:7" ht="17.399999999999999" x14ac:dyDescent="0.35">
      <c r="A52" s="6" t="s">
        <v>50</v>
      </c>
      <c r="B52" s="120">
        <f>IFERROR(VLOOKUP(A52,'EXISTENCIA EN SUCURSALES'!$A:$Z,23,0),0)</f>
        <v>4</v>
      </c>
      <c r="C52" s="120">
        <f>IFERROR(VLOOKUP(A52,'DISTRIBUCIÓN EN SUCURSALES'!$A:$Z,23,0),0)</f>
        <v>0</v>
      </c>
      <c r="D52" s="138">
        <f t="shared" si="0"/>
        <v>4</v>
      </c>
      <c r="E52" s="120">
        <f>IFERROR(VLOOKUP(A52,'GRAL. SUC. FORANEAS'!$A:$P,23,0),0)</f>
        <v>0</v>
      </c>
      <c r="F52" s="120">
        <f>IFERROR(VLOOKUP(A52,'GRAL. SUC. LOCALES'!$A:$N,27,0),0)</f>
        <v>0</v>
      </c>
      <c r="G52" s="120">
        <f t="shared" si="11"/>
        <v>4</v>
      </c>
    </row>
    <row r="53" spans="1:7" ht="17.399999999999999" x14ac:dyDescent="0.35">
      <c r="A53" s="3" t="s">
        <v>51</v>
      </c>
      <c r="B53" s="120">
        <f>IFERROR(VLOOKUP(A53,'EXISTENCIA EN SUCURSALES'!$A:$Z,23,0),0)</f>
        <v>1</v>
      </c>
      <c r="C53" s="120">
        <f>IFERROR(VLOOKUP(A53,'DISTRIBUCIÓN EN SUCURSALES'!$A:$Z,23,0),0)</f>
        <v>0</v>
      </c>
      <c r="D53" s="138">
        <f t="shared" si="0"/>
        <v>1</v>
      </c>
      <c r="E53" s="120">
        <f>IFERROR(VLOOKUP(A53,'GRAL. SUC. FORANEAS'!$A:$P,23,0),0)</f>
        <v>0</v>
      </c>
      <c r="F53" s="120">
        <f>IFERROR(VLOOKUP(A53,'GRAL. SUC. LOCALES'!$A:$N,27,0),0)</f>
        <v>0</v>
      </c>
      <c r="G53" s="120">
        <f t="shared" si="11"/>
        <v>1</v>
      </c>
    </row>
    <row r="54" spans="1:7" ht="18" thickBot="1" x14ac:dyDescent="0.4">
      <c r="A54" s="8" t="s">
        <v>53</v>
      </c>
      <c r="B54" s="120">
        <f>IFERROR(VLOOKUP(A54,'EXISTENCIA EN SUCURSALES'!$A:$Z,23,0),0)</f>
        <v>7</v>
      </c>
      <c r="C54" s="120">
        <f>IFERROR(VLOOKUP(A54,'DISTRIBUCIÓN EN SUCURSALES'!$A:$Z,23,0),0)</f>
        <v>0</v>
      </c>
      <c r="D54" s="138">
        <f t="shared" si="0"/>
        <v>7</v>
      </c>
      <c r="E54" s="120">
        <f>IFERROR(VLOOKUP(A54,'GRAL. SUC. FORANEAS'!$A:$P,23,0),0)</f>
        <v>0</v>
      </c>
      <c r="F54" s="120">
        <f>IFERROR(VLOOKUP(A54,'GRAL. SUC. LOCALES'!$A:$N,27,0),0)</f>
        <v>0</v>
      </c>
      <c r="G54" s="120">
        <f t="shared" si="11"/>
        <v>7</v>
      </c>
    </row>
    <row r="55" spans="1:7" ht="18" thickBot="1" x14ac:dyDescent="0.4">
      <c r="A55" s="19" t="s">
        <v>54</v>
      </c>
      <c r="B55" s="123">
        <f t="shared" ref="B55:G55" si="12">SUM(B39:B54)</f>
        <v>25</v>
      </c>
      <c r="C55" s="123">
        <f t="shared" si="12"/>
        <v>0</v>
      </c>
      <c r="D55" s="123">
        <f t="shared" ref="D55:E55" si="13">SUM(D39:D54)</f>
        <v>25</v>
      </c>
      <c r="E55" s="123">
        <f t="shared" si="13"/>
        <v>0</v>
      </c>
      <c r="F55" s="123">
        <f t="shared" ref="F55" si="14">SUM(F39:F54)</f>
        <v>0</v>
      </c>
      <c r="G55" s="123">
        <f t="shared" si="12"/>
        <v>25</v>
      </c>
    </row>
    <row r="56" spans="1:7" ht="18.600000000000001" thickBot="1" x14ac:dyDescent="0.4">
      <c r="A56" s="24" t="s">
        <v>55</v>
      </c>
      <c r="B56" s="125">
        <f t="shared" ref="B56:G56" si="15">B12+B21+B32+B35+B38+B55</f>
        <v>86</v>
      </c>
      <c r="C56" s="125">
        <f t="shared" si="15"/>
        <v>0</v>
      </c>
      <c r="D56" s="125">
        <f t="shared" ref="D56:E56" si="16">D12+D21+D32+D35+D38+D55</f>
        <v>86</v>
      </c>
      <c r="E56" s="125">
        <f t="shared" si="16"/>
        <v>0</v>
      </c>
      <c r="F56" s="125">
        <f t="shared" ref="F56" si="17">F12+F21+F32+F35+F38+F55</f>
        <v>0</v>
      </c>
      <c r="G56" s="125">
        <f t="shared" si="15"/>
        <v>86</v>
      </c>
    </row>
    <row r="57" spans="1:7" ht="17.399999999999999" x14ac:dyDescent="0.35">
      <c r="A57" s="25" t="s">
        <v>56</v>
      </c>
      <c r="B57" s="126"/>
      <c r="C57" s="126"/>
      <c r="D57" s="126"/>
      <c r="E57" s="126"/>
      <c r="F57" s="126"/>
      <c r="G57" s="126"/>
    </row>
    <row r="58" spans="1:7" ht="17.399999999999999" x14ac:dyDescent="0.35">
      <c r="A58" s="6" t="s">
        <v>57</v>
      </c>
      <c r="B58" s="120">
        <f>IFERROR(VLOOKUP(A58,'EXISTENCIA EN SUCURSALES'!$A:$Z,23,0),0)</f>
        <v>0</v>
      </c>
      <c r="C58" s="120">
        <f>IFERROR(VLOOKUP(A58,'DISTRIBUCIÓN EN SUCURSALES'!$A:$Z,23,0),0)</f>
        <v>0</v>
      </c>
      <c r="D58" s="138">
        <f t="shared" ref="D58:D63" si="18">C58+B58</f>
        <v>0</v>
      </c>
      <c r="E58" s="120">
        <f>IFERROR(VLOOKUP(A58,'GRAL. SUC. FORANEAS'!$A:$P,23,0),0)</f>
        <v>0</v>
      </c>
      <c r="F58" s="120">
        <f>IFERROR(VLOOKUP(A58,'GRAL. SUC. LOCALES'!$A:$N,27,0),0)</f>
        <v>0</v>
      </c>
      <c r="G58" s="120">
        <f t="shared" ref="G58:G63" si="19">SUM(B58:C58)</f>
        <v>0</v>
      </c>
    </row>
    <row r="59" spans="1:7" ht="17.399999999999999" x14ac:dyDescent="0.35">
      <c r="A59" s="6" t="s">
        <v>58</v>
      </c>
      <c r="B59" s="120">
        <f>IFERROR(VLOOKUP(A59,'EXISTENCIA EN SUCURSALES'!$A:$Z,23,0),0)</f>
        <v>1</v>
      </c>
      <c r="C59" s="120">
        <f>IFERROR(VLOOKUP(A59,'DISTRIBUCIÓN EN SUCURSALES'!$A:$Z,23,0),0)</f>
        <v>0</v>
      </c>
      <c r="D59" s="138">
        <f t="shared" si="18"/>
        <v>1</v>
      </c>
      <c r="E59" s="120">
        <f>IFERROR(VLOOKUP(A59,'GRAL. SUC. FORANEAS'!$A:$P,23,0),0)</f>
        <v>0</v>
      </c>
      <c r="F59" s="120">
        <f>IFERROR(VLOOKUP(A59,'GRAL. SUC. LOCALES'!$A:$N,27,0),0)</f>
        <v>0</v>
      </c>
      <c r="G59" s="120">
        <f t="shared" si="19"/>
        <v>1</v>
      </c>
    </row>
    <row r="60" spans="1:7" ht="17.399999999999999" x14ac:dyDescent="0.35">
      <c r="A60" s="6" t="s">
        <v>59</v>
      </c>
      <c r="B60" s="120">
        <f>IFERROR(VLOOKUP(A60,'EXISTENCIA EN SUCURSALES'!$A:$Z,23,0),0)</f>
        <v>0</v>
      </c>
      <c r="C60" s="120">
        <f>IFERROR(VLOOKUP(A60,'DISTRIBUCIÓN EN SUCURSALES'!$A:$Z,23,0),0)</f>
        <v>0</v>
      </c>
      <c r="D60" s="138">
        <f t="shared" si="18"/>
        <v>0</v>
      </c>
      <c r="E60" s="120">
        <f>IFERROR(VLOOKUP(A60,'GRAL. SUC. FORANEAS'!$A:$P,23,0),0)</f>
        <v>0</v>
      </c>
      <c r="F60" s="120">
        <f>IFERROR(VLOOKUP(A60,'GRAL. SUC. LOCALES'!$A:$N,27,0),0)</f>
        <v>0</v>
      </c>
      <c r="G60" s="120">
        <f t="shared" si="19"/>
        <v>0</v>
      </c>
    </row>
    <row r="61" spans="1:7" ht="17.399999999999999" x14ac:dyDescent="0.35">
      <c r="A61" s="6" t="s">
        <v>60</v>
      </c>
      <c r="B61" s="120">
        <f>IFERROR(VLOOKUP(A61,'EXISTENCIA EN SUCURSALES'!$A:$Z,23,0),0)</f>
        <v>0</v>
      </c>
      <c r="C61" s="120">
        <f>IFERROR(VLOOKUP(A61,'DISTRIBUCIÓN EN SUCURSALES'!$A:$Z,23,0),0)</f>
        <v>0</v>
      </c>
      <c r="D61" s="138">
        <f t="shared" si="18"/>
        <v>0</v>
      </c>
      <c r="E61" s="120">
        <f>IFERROR(VLOOKUP(A61,'GRAL. SUC. FORANEAS'!$A:$P,23,0),0)</f>
        <v>0</v>
      </c>
      <c r="F61" s="120">
        <f>IFERROR(VLOOKUP(A61,'GRAL. SUC. LOCALES'!$A:$N,27,0),0)</f>
        <v>0</v>
      </c>
      <c r="G61" s="120">
        <f t="shared" si="19"/>
        <v>0</v>
      </c>
    </row>
    <row r="62" spans="1:7" ht="17.399999999999999" x14ac:dyDescent="0.35">
      <c r="A62" s="6" t="s">
        <v>61</v>
      </c>
      <c r="B62" s="120">
        <f>IFERROR(VLOOKUP(A62,'EXISTENCIA EN SUCURSALES'!$A:$Z,23,0),0)</f>
        <v>1</v>
      </c>
      <c r="C62" s="120">
        <f>IFERROR(VLOOKUP(A62,'DISTRIBUCIÓN EN SUCURSALES'!$A:$Z,23,0),0)</f>
        <v>0</v>
      </c>
      <c r="D62" s="138">
        <f t="shared" si="18"/>
        <v>1</v>
      </c>
      <c r="E62" s="120">
        <f>IFERROR(VLOOKUP(A62,'GRAL. SUC. FORANEAS'!$A:$P,23,0),0)</f>
        <v>0</v>
      </c>
      <c r="F62" s="120">
        <f>IFERROR(VLOOKUP(A62,'GRAL. SUC. LOCALES'!$A:$N,27,0),0)</f>
        <v>0</v>
      </c>
      <c r="G62" s="120">
        <f t="shared" si="19"/>
        <v>1</v>
      </c>
    </row>
    <row r="63" spans="1:7" ht="18" thickBot="1" x14ac:dyDescent="0.4">
      <c r="A63" s="6" t="s">
        <v>63</v>
      </c>
      <c r="B63" s="120">
        <f>IFERROR(VLOOKUP(A63,'EXISTENCIA EN SUCURSALES'!$A:$Z,23,0),0)</f>
        <v>2</v>
      </c>
      <c r="C63" s="120">
        <f>IFERROR(VLOOKUP(A63,'DISTRIBUCIÓN EN SUCURSALES'!$A:$Z,23,0),0)</f>
        <v>0</v>
      </c>
      <c r="D63" s="138">
        <f t="shared" si="18"/>
        <v>2</v>
      </c>
      <c r="E63" s="120">
        <f>IFERROR(VLOOKUP(A63,'GRAL. SUC. FORANEAS'!$A:$P,23,0),0)</f>
        <v>0</v>
      </c>
      <c r="F63" s="120">
        <f>IFERROR(VLOOKUP(A63,'GRAL. SUC. LOCALES'!$A:$N,27,0),0)</f>
        <v>0</v>
      </c>
      <c r="G63" s="120">
        <f t="shared" si="19"/>
        <v>2</v>
      </c>
    </row>
    <row r="64" spans="1:7" ht="18.600000000000001" thickBot="1" x14ac:dyDescent="0.4">
      <c r="A64" s="28" t="s">
        <v>55</v>
      </c>
      <c r="B64" s="127">
        <f t="shared" ref="B64:G64" si="20">SUM(B58:B63)</f>
        <v>4</v>
      </c>
      <c r="C64" s="127">
        <f t="shared" si="20"/>
        <v>0</v>
      </c>
      <c r="D64" s="127">
        <f t="shared" si="20"/>
        <v>4</v>
      </c>
      <c r="E64" s="127">
        <f t="shared" si="20"/>
        <v>0</v>
      </c>
      <c r="F64" s="127">
        <f t="shared" si="20"/>
        <v>0</v>
      </c>
      <c r="G64" s="127">
        <f t="shared" si="20"/>
        <v>4</v>
      </c>
    </row>
    <row r="65" spans="1:7" ht="17.399999999999999" x14ac:dyDescent="0.35">
      <c r="A65" s="29" t="s">
        <v>64</v>
      </c>
      <c r="B65" s="128"/>
      <c r="C65" s="128"/>
      <c r="D65" s="128"/>
      <c r="E65" s="128"/>
      <c r="F65" s="128"/>
      <c r="G65" s="128"/>
    </row>
    <row r="66" spans="1:7" ht="17.399999999999999" x14ac:dyDescent="0.35">
      <c r="A66" s="6" t="s">
        <v>65</v>
      </c>
      <c r="B66" s="120">
        <f>IFERROR(VLOOKUP(A66,'EXISTENCIA EN SUCURSALES'!$A:$Z,23,0),0)</f>
        <v>0</v>
      </c>
      <c r="C66" s="120">
        <f>IFERROR(VLOOKUP(A66,'DISTRIBUCIÓN EN SUCURSALES'!$A:$Z,23,0),0)</f>
        <v>0</v>
      </c>
      <c r="D66" s="138">
        <f t="shared" ref="D66:D77" si="21">C66+B66</f>
        <v>0</v>
      </c>
      <c r="E66" s="120">
        <f>IFERROR(VLOOKUP(A66,'GRAL. SUC. FORANEAS'!$A:$P,23,0),0)</f>
        <v>0</v>
      </c>
      <c r="F66" s="120">
        <f>IFERROR(VLOOKUP(A66,'GRAL. SUC. LOCALES'!$A:$N,27,0),0)</f>
        <v>0</v>
      </c>
      <c r="G66" s="120">
        <f t="shared" ref="G66:G77" si="22">SUM(B66:C66)</f>
        <v>0</v>
      </c>
    </row>
    <row r="67" spans="1:7" ht="17.399999999999999" x14ac:dyDescent="0.35">
      <c r="A67" s="6" t="s">
        <v>66</v>
      </c>
      <c r="B67" s="120">
        <f>IFERROR(VLOOKUP(A67,'EXISTENCIA EN SUCURSALES'!$A:$Z,23,0),0)</f>
        <v>0</v>
      </c>
      <c r="C67" s="120">
        <f>IFERROR(VLOOKUP(A67,'DISTRIBUCIÓN EN SUCURSALES'!$A:$Z,23,0),0)</f>
        <v>0</v>
      </c>
      <c r="D67" s="138">
        <f t="shared" si="21"/>
        <v>0</v>
      </c>
      <c r="E67" s="120">
        <f>IFERROR(VLOOKUP(A67,'GRAL. SUC. FORANEAS'!$A:$P,23,0),0)</f>
        <v>0</v>
      </c>
      <c r="F67" s="120">
        <f>IFERROR(VLOOKUP(A67,'GRAL. SUC. LOCALES'!$A:$N,27,0),0)</f>
        <v>0</v>
      </c>
      <c r="G67" s="120">
        <f t="shared" si="22"/>
        <v>0</v>
      </c>
    </row>
    <row r="68" spans="1:7" ht="17.399999999999999" x14ac:dyDescent="0.35">
      <c r="A68" s="6" t="s">
        <v>67</v>
      </c>
      <c r="B68" s="120">
        <f>IFERROR(VLOOKUP(A68,'EXISTENCIA EN SUCURSALES'!$A:$Z,23,0),0)</f>
        <v>0</v>
      </c>
      <c r="C68" s="120">
        <f>IFERROR(VLOOKUP(A68,'DISTRIBUCIÓN EN SUCURSALES'!$A:$Z,23,0),0)</f>
        <v>0</v>
      </c>
      <c r="D68" s="138">
        <f t="shared" si="21"/>
        <v>0</v>
      </c>
      <c r="E68" s="120">
        <f>IFERROR(VLOOKUP(A68,'GRAL. SUC. FORANEAS'!$A:$P,23,0),0)</f>
        <v>0</v>
      </c>
      <c r="F68" s="120">
        <f>IFERROR(VLOOKUP(A68,'GRAL. SUC. LOCALES'!$A:$N,27,0),0)</f>
        <v>0</v>
      </c>
      <c r="G68" s="120">
        <f t="shared" si="22"/>
        <v>0</v>
      </c>
    </row>
    <row r="69" spans="1:7" ht="17.399999999999999" x14ac:dyDescent="0.35">
      <c r="A69" s="6" t="s">
        <v>68</v>
      </c>
      <c r="B69" s="120">
        <f>IFERROR(VLOOKUP(A69,'EXISTENCIA EN SUCURSALES'!$A:$Z,23,0),0)</f>
        <v>0</v>
      </c>
      <c r="C69" s="120">
        <f>IFERROR(VLOOKUP(A69,'DISTRIBUCIÓN EN SUCURSALES'!$A:$Z,23,0),0)</f>
        <v>0</v>
      </c>
      <c r="D69" s="138">
        <f t="shared" si="21"/>
        <v>0</v>
      </c>
      <c r="E69" s="120">
        <f>IFERROR(VLOOKUP(A69,'GRAL. SUC. FORANEAS'!$A:$P,23,0),0)</f>
        <v>0</v>
      </c>
      <c r="F69" s="120">
        <f>IFERROR(VLOOKUP(A69,'GRAL. SUC. LOCALES'!$A:$N,27,0),0)</f>
        <v>0</v>
      </c>
      <c r="G69" s="120">
        <f t="shared" si="22"/>
        <v>0</v>
      </c>
    </row>
    <row r="70" spans="1:7" ht="17.399999999999999" x14ac:dyDescent="0.35">
      <c r="A70" s="6" t="s">
        <v>69</v>
      </c>
      <c r="B70" s="120">
        <f>IFERROR(VLOOKUP(A70,'EXISTENCIA EN SUCURSALES'!$A:$Z,23,0),0)</f>
        <v>3</v>
      </c>
      <c r="C70" s="120">
        <f>IFERROR(VLOOKUP(A70,'DISTRIBUCIÓN EN SUCURSALES'!$A:$Z,23,0),0)</f>
        <v>0</v>
      </c>
      <c r="D70" s="138">
        <f t="shared" si="21"/>
        <v>3</v>
      </c>
      <c r="E70" s="120">
        <f>IFERROR(VLOOKUP(A70,'GRAL. SUC. FORANEAS'!$A:$P,23,0),0)</f>
        <v>0</v>
      </c>
      <c r="F70" s="120">
        <f>IFERROR(VLOOKUP(A70,'GRAL. SUC. LOCALES'!$A:$N,27,0),0)</f>
        <v>0</v>
      </c>
      <c r="G70" s="120">
        <f t="shared" si="22"/>
        <v>3</v>
      </c>
    </row>
    <row r="71" spans="1:7" ht="17.399999999999999" x14ac:dyDescent="0.35">
      <c r="A71" s="6" t="s">
        <v>70</v>
      </c>
      <c r="B71" s="120">
        <f>IFERROR(VLOOKUP(A71,'EXISTENCIA EN SUCURSALES'!$A:$Z,23,0),0)</f>
        <v>4</v>
      </c>
      <c r="C71" s="120">
        <f>IFERROR(VLOOKUP(A71,'DISTRIBUCIÓN EN SUCURSALES'!$A:$Z,23,0),0)</f>
        <v>0</v>
      </c>
      <c r="D71" s="138">
        <f t="shared" si="21"/>
        <v>4</v>
      </c>
      <c r="E71" s="120">
        <f>IFERROR(VLOOKUP(A71,'GRAL. SUC. FORANEAS'!$A:$P,23,0),0)</f>
        <v>0</v>
      </c>
      <c r="F71" s="120">
        <f>IFERROR(VLOOKUP(A71,'GRAL. SUC. LOCALES'!$A:$N,27,0),0)</f>
        <v>0</v>
      </c>
      <c r="G71" s="120">
        <f t="shared" si="22"/>
        <v>4</v>
      </c>
    </row>
    <row r="72" spans="1:7" ht="17.399999999999999" x14ac:dyDescent="0.35">
      <c r="A72" s="6" t="s">
        <v>857</v>
      </c>
      <c r="B72" s="120">
        <f>IFERROR(VLOOKUP(A72,'EXISTENCIA EN SUCURSALES'!$A:$Z,23,0),0)</f>
        <v>8</v>
      </c>
      <c r="C72" s="120">
        <f>IFERROR(VLOOKUP(A72,'DISTRIBUCIÓN EN SUCURSALES'!$A:$Z,23,0),0)</f>
        <v>0</v>
      </c>
      <c r="D72" s="138">
        <f t="shared" si="21"/>
        <v>8</v>
      </c>
      <c r="E72" s="120">
        <f>IFERROR(VLOOKUP(A72,'GRAL. SUC. FORANEAS'!$A:$P,23,0),0)</f>
        <v>0</v>
      </c>
      <c r="F72" s="120">
        <f>IFERROR(VLOOKUP(A72,'GRAL. SUC. LOCALES'!$A:$N,27,0),0)</f>
        <v>0</v>
      </c>
      <c r="G72" s="120">
        <f t="shared" si="22"/>
        <v>8</v>
      </c>
    </row>
    <row r="73" spans="1:7" ht="17.399999999999999" x14ac:dyDescent="0.35">
      <c r="A73" s="23" t="s">
        <v>835</v>
      </c>
      <c r="B73" s="120">
        <f>IFERROR(VLOOKUP(A73,'EXISTENCIA EN SUCURSALES'!$A:$Z,23,0),0)</f>
        <v>2</v>
      </c>
      <c r="C73" s="120">
        <f>IFERROR(VLOOKUP(A73,'DISTRIBUCIÓN EN SUCURSALES'!$A:$Z,23,0),0)</f>
        <v>0</v>
      </c>
      <c r="D73" s="138">
        <f t="shared" si="21"/>
        <v>2</v>
      </c>
      <c r="E73" s="120">
        <f>IFERROR(VLOOKUP(A73,'GRAL. SUC. FORANEAS'!$A:$P,23,0),0)</f>
        <v>0</v>
      </c>
      <c r="F73" s="120">
        <f>IFERROR(VLOOKUP(A73,'GRAL. SUC. LOCALES'!$A:$N,27,0),0)</f>
        <v>0</v>
      </c>
      <c r="G73" s="120">
        <f t="shared" si="22"/>
        <v>2</v>
      </c>
    </row>
    <row r="74" spans="1:7" ht="17.399999999999999" x14ac:dyDescent="0.35">
      <c r="A74" s="23" t="s">
        <v>72</v>
      </c>
      <c r="B74" s="120">
        <f>IFERROR(VLOOKUP(A74,'EXISTENCIA EN SUCURSALES'!$A:$Z,23,0),0)</f>
        <v>25</v>
      </c>
      <c r="C74" s="120">
        <f>IFERROR(VLOOKUP(A74,'DISTRIBUCIÓN EN SUCURSALES'!$A:$Z,23,0),0)</f>
        <v>0</v>
      </c>
      <c r="D74" s="138">
        <f t="shared" si="21"/>
        <v>25</v>
      </c>
      <c r="E74" s="120">
        <f>IFERROR(VLOOKUP(A74,'GRAL. SUC. FORANEAS'!$A:$P,23,0),0)</f>
        <v>0</v>
      </c>
      <c r="F74" s="120">
        <f>IFERROR(VLOOKUP(A74,'GRAL. SUC. LOCALES'!$A:$N,27,0),0)</f>
        <v>0</v>
      </c>
      <c r="G74" s="120">
        <f t="shared" si="22"/>
        <v>25</v>
      </c>
    </row>
    <row r="75" spans="1:7" ht="17.399999999999999" x14ac:dyDescent="0.35">
      <c r="A75" s="6" t="s">
        <v>73</v>
      </c>
      <c r="B75" s="120">
        <f>IFERROR(VLOOKUP(A75,'EXISTENCIA EN SUCURSALES'!$A:$Z,23,0),0)</f>
        <v>1</v>
      </c>
      <c r="C75" s="120">
        <f>IFERROR(VLOOKUP(A75,'DISTRIBUCIÓN EN SUCURSALES'!$A:$Z,23,0),0)</f>
        <v>0</v>
      </c>
      <c r="D75" s="138">
        <f t="shared" si="21"/>
        <v>1</v>
      </c>
      <c r="E75" s="120">
        <f>IFERROR(VLOOKUP(A75,'GRAL. SUC. FORANEAS'!$A:$P,23,0),0)</f>
        <v>0</v>
      </c>
      <c r="F75" s="120">
        <f>IFERROR(VLOOKUP(A75,'GRAL. SUC. LOCALES'!$A:$N,27,0),0)</f>
        <v>0</v>
      </c>
      <c r="G75" s="120">
        <f t="shared" si="22"/>
        <v>1</v>
      </c>
    </row>
    <row r="76" spans="1:7" ht="17.399999999999999" x14ac:dyDescent="0.35">
      <c r="A76" s="6" t="s">
        <v>74</v>
      </c>
      <c r="B76" s="120">
        <f>IFERROR(VLOOKUP(A76,'EXISTENCIA EN SUCURSALES'!$A:$Z,23,0),0)</f>
        <v>1</v>
      </c>
      <c r="C76" s="120">
        <f>IFERROR(VLOOKUP(A76,'DISTRIBUCIÓN EN SUCURSALES'!$A:$Z,23,0),0)</f>
        <v>0</v>
      </c>
      <c r="D76" s="138">
        <f t="shared" si="21"/>
        <v>1</v>
      </c>
      <c r="E76" s="120">
        <f>IFERROR(VLOOKUP(A76,'GRAL. SUC. FORANEAS'!$A:$P,23,0),0)</f>
        <v>0</v>
      </c>
      <c r="F76" s="120">
        <f>IFERROR(VLOOKUP(A76,'GRAL. SUC. LOCALES'!$A:$N,27,0),0)</f>
        <v>0</v>
      </c>
      <c r="G76" s="120">
        <f t="shared" si="22"/>
        <v>1</v>
      </c>
    </row>
    <row r="77" spans="1:7" ht="18" thickBot="1" x14ac:dyDescent="0.4">
      <c r="A77" s="8" t="s">
        <v>75</v>
      </c>
      <c r="B77" s="120">
        <f>IFERROR(VLOOKUP(A77,'EXISTENCIA EN SUCURSALES'!$A:$Z,23,0),0)</f>
        <v>2</v>
      </c>
      <c r="C77" s="120">
        <f>IFERROR(VLOOKUP(A77,'DISTRIBUCIÓN EN SUCURSALES'!$A:$Z,23,0),0)</f>
        <v>0</v>
      </c>
      <c r="D77" s="138">
        <f t="shared" si="21"/>
        <v>2</v>
      </c>
      <c r="E77" s="120">
        <f>IFERROR(VLOOKUP(A77,'GRAL. SUC. FORANEAS'!$A:$P,23,0),0)</f>
        <v>0</v>
      </c>
      <c r="F77" s="120">
        <f>IFERROR(VLOOKUP(A77,'GRAL. SUC. LOCALES'!$A:$N,27,0),0)</f>
        <v>0</v>
      </c>
      <c r="G77" s="120">
        <f t="shared" si="22"/>
        <v>2</v>
      </c>
    </row>
    <row r="78" spans="1:7" ht="18.600000000000001" thickBot="1" x14ac:dyDescent="0.4">
      <c r="A78" s="32" t="s">
        <v>55</v>
      </c>
      <c r="B78" s="129">
        <f t="shared" ref="B78:G78" si="23">SUM(B66:B77)</f>
        <v>46</v>
      </c>
      <c r="C78" s="129">
        <f t="shared" si="23"/>
        <v>0</v>
      </c>
      <c r="D78" s="129">
        <f t="shared" si="23"/>
        <v>46</v>
      </c>
      <c r="E78" s="129">
        <f t="shared" si="23"/>
        <v>0</v>
      </c>
      <c r="F78" s="129">
        <f t="shared" si="23"/>
        <v>0</v>
      </c>
      <c r="G78" s="129">
        <f t="shared" si="23"/>
        <v>46</v>
      </c>
    </row>
    <row r="79" spans="1:7" ht="17.399999999999999" x14ac:dyDescent="0.35">
      <c r="A79" s="33" t="s">
        <v>76</v>
      </c>
      <c r="B79" s="130"/>
      <c r="C79" s="130"/>
      <c r="D79" s="130"/>
      <c r="E79" s="130"/>
      <c r="F79" s="130"/>
      <c r="G79" s="130"/>
    </row>
    <row r="80" spans="1:7" ht="17.399999999999999" x14ac:dyDescent="0.35">
      <c r="A80" s="6" t="s">
        <v>77</v>
      </c>
      <c r="B80" s="120">
        <f>IFERROR(VLOOKUP(A80,'EXISTENCIA EN SUCURSALES'!$A:$Z,23,0),0)</f>
        <v>2</v>
      </c>
      <c r="C80" s="120">
        <f>IFERROR(VLOOKUP(A80,'DISTRIBUCIÓN EN SUCURSALES'!$A:$Z,23,0),0)</f>
        <v>0</v>
      </c>
      <c r="D80" s="138">
        <f t="shared" ref="D80:D91" si="24">C80+B80</f>
        <v>2</v>
      </c>
      <c r="E80" s="120">
        <f>IFERROR(VLOOKUP(A80,'GRAL. SUC. FORANEAS'!$A:$P,23,0),0)</f>
        <v>0</v>
      </c>
      <c r="F80" s="120">
        <f>IFERROR(VLOOKUP(A80,'GRAL. SUC. LOCALES'!$A:$N,27,0),0)</f>
        <v>0</v>
      </c>
      <c r="G80" s="120">
        <f t="shared" ref="G80:G86" si="25">SUM(B80:C80)</f>
        <v>2</v>
      </c>
    </row>
    <row r="81" spans="1:7" ht="17.399999999999999" x14ac:dyDescent="0.35">
      <c r="A81" s="6" t="s">
        <v>621</v>
      </c>
      <c r="B81" s="120">
        <f>IFERROR(VLOOKUP(A81,'EXISTENCIA EN SUCURSALES'!$A:$Z,23,0),0)</f>
        <v>0</v>
      </c>
      <c r="C81" s="120">
        <f>IFERROR(VLOOKUP(A81,'DISTRIBUCIÓN EN SUCURSALES'!$A:$Z,23,0),0)</f>
        <v>0</v>
      </c>
      <c r="D81" s="138">
        <f t="shared" si="24"/>
        <v>0</v>
      </c>
      <c r="E81" s="120">
        <f>IFERROR(VLOOKUP(A81,'GRAL. SUC. FORANEAS'!$A:$P,23,0),0)</f>
        <v>0</v>
      </c>
      <c r="F81" s="120">
        <f>IFERROR(VLOOKUP(A81,'GRAL. SUC. LOCALES'!$A:$N,27,0),0)</f>
        <v>0</v>
      </c>
      <c r="G81" s="120">
        <f t="shared" si="25"/>
        <v>0</v>
      </c>
    </row>
    <row r="82" spans="1:7" ht="17.399999999999999" x14ac:dyDescent="0.35">
      <c r="A82" s="6" t="s">
        <v>79</v>
      </c>
      <c r="B82" s="120">
        <f>IFERROR(VLOOKUP(A82,'EXISTENCIA EN SUCURSALES'!$A:$Z,23,0),0)</f>
        <v>0</v>
      </c>
      <c r="C82" s="120">
        <f>IFERROR(VLOOKUP(A82,'DISTRIBUCIÓN EN SUCURSALES'!$A:$Z,23,0),0)</f>
        <v>0</v>
      </c>
      <c r="D82" s="138">
        <f t="shared" si="24"/>
        <v>0</v>
      </c>
      <c r="E82" s="120">
        <f>IFERROR(VLOOKUP(A82,'GRAL. SUC. FORANEAS'!$A:$P,23,0),0)</f>
        <v>0</v>
      </c>
      <c r="F82" s="120">
        <f>IFERROR(VLOOKUP(A82,'GRAL. SUC. LOCALES'!$A:$N,27,0),0)</f>
        <v>0</v>
      </c>
      <c r="G82" s="120">
        <f t="shared" si="25"/>
        <v>0</v>
      </c>
    </row>
    <row r="83" spans="1:7" ht="17.399999999999999" x14ac:dyDescent="0.35">
      <c r="A83" s="6" t="s">
        <v>80</v>
      </c>
      <c r="B83" s="120">
        <f>IFERROR(VLOOKUP(A83,'EXISTENCIA EN SUCURSALES'!$A:$Z,23,0),0)</f>
        <v>8</v>
      </c>
      <c r="C83" s="120">
        <f>IFERROR(VLOOKUP(A83,'DISTRIBUCIÓN EN SUCURSALES'!$A:$Z,23,0),0)</f>
        <v>0</v>
      </c>
      <c r="D83" s="138">
        <f t="shared" si="24"/>
        <v>8</v>
      </c>
      <c r="E83" s="120">
        <f>IFERROR(VLOOKUP(A83,'GRAL. SUC. FORANEAS'!$A:$P,23,0),0)</f>
        <v>0</v>
      </c>
      <c r="F83" s="120">
        <f>IFERROR(VLOOKUP(A83,'GRAL. SUC. LOCALES'!$A:$N,27,0),0)</f>
        <v>0</v>
      </c>
      <c r="G83" s="120">
        <f t="shared" si="25"/>
        <v>8</v>
      </c>
    </row>
    <row r="84" spans="1:7" ht="17.399999999999999" x14ac:dyDescent="0.35">
      <c r="A84" s="6" t="s">
        <v>81</v>
      </c>
      <c r="B84" s="120">
        <f>IFERROR(VLOOKUP(A84,'EXISTENCIA EN SUCURSALES'!$A:$Z,23,0),0)</f>
        <v>6</v>
      </c>
      <c r="C84" s="120">
        <f>IFERROR(VLOOKUP(A84,'DISTRIBUCIÓN EN SUCURSALES'!$A:$Z,23,0),0)</f>
        <v>0</v>
      </c>
      <c r="D84" s="138">
        <f t="shared" si="24"/>
        <v>6</v>
      </c>
      <c r="E84" s="120">
        <f>IFERROR(VLOOKUP(A84,'GRAL. SUC. FORANEAS'!$A:$P,23,0),0)</f>
        <v>0</v>
      </c>
      <c r="F84" s="120">
        <f>IFERROR(VLOOKUP(A84,'GRAL. SUC. LOCALES'!$A:$N,27,0),0)</f>
        <v>0</v>
      </c>
      <c r="G84" s="120">
        <f t="shared" si="25"/>
        <v>6</v>
      </c>
    </row>
    <row r="85" spans="1:7" ht="17.399999999999999" x14ac:dyDescent="0.35">
      <c r="A85" s="6" t="s">
        <v>82</v>
      </c>
      <c r="B85" s="120">
        <f>IFERROR(VLOOKUP(A85,'EXISTENCIA EN SUCURSALES'!$A:$Z,23,0),0)</f>
        <v>0</v>
      </c>
      <c r="C85" s="120">
        <f>IFERROR(VLOOKUP(A85,'DISTRIBUCIÓN EN SUCURSALES'!$A:$Z,23,0),0)</f>
        <v>0</v>
      </c>
      <c r="D85" s="138">
        <f t="shared" si="24"/>
        <v>0</v>
      </c>
      <c r="E85" s="120">
        <f>IFERROR(VLOOKUP(A85,'GRAL. SUC. FORANEAS'!$A:$P,23,0),0)</f>
        <v>0</v>
      </c>
      <c r="F85" s="120">
        <f>IFERROR(VLOOKUP(A85,'GRAL. SUC. LOCALES'!$A:$N,27,0),0)</f>
        <v>0</v>
      </c>
      <c r="G85" s="120">
        <f t="shared" si="25"/>
        <v>0</v>
      </c>
    </row>
    <row r="86" spans="1:7" ht="18" thickBot="1" x14ac:dyDescent="0.4">
      <c r="A86" s="8" t="s">
        <v>83</v>
      </c>
      <c r="B86" s="120">
        <f>IFERROR(VLOOKUP(A86,'EXISTENCIA EN SUCURSALES'!$A:$Z,23,0),0)</f>
        <v>1</v>
      </c>
      <c r="C86" s="120">
        <f>IFERROR(VLOOKUP(A86,'DISTRIBUCIÓN EN SUCURSALES'!$A:$Z,23,0),0)</f>
        <v>0</v>
      </c>
      <c r="D86" s="138">
        <f t="shared" si="24"/>
        <v>1</v>
      </c>
      <c r="E86" s="120">
        <f>IFERROR(VLOOKUP(A86,'GRAL. SUC. FORANEAS'!$A:$P,23,0),0)</f>
        <v>0</v>
      </c>
      <c r="F86" s="120">
        <f>IFERROR(VLOOKUP(A86,'GRAL. SUC. LOCALES'!$A:$N,27,0),0)</f>
        <v>0</v>
      </c>
      <c r="G86" s="120">
        <f t="shared" si="25"/>
        <v>1</v>
      </c>
    </row>
    <row r="87" spans="1:7" ht="18" thickBot="1" x14ac:dyDescent="0.4">
      <c r="A87" s="36" t="s">
        <v>55</v>
      </c>
      <c r="B87" s="114">
        <f t="shared" ref="B87:G87" si="26">SUM(B80:B86,B88:B89)</f>
        <v>26</v>
      </c>
      <c r="C87" s="114">
        <f t="shared" si="26"/>
        <v>0</v>
      </c>
      <c r="D87" s="114">
        <f t="shared" si="26"/>
        <v>26</v>
      </c>
      <c r="E87" s="114">
        <f t="shared" si="26"/>
        <v>0</v>
      </c>
      <c r="F87" s="114">
        <f t="shared" si="26"/>
        <v>0</v>
      </c>
      <c r="G87" s="114">
        <f t="shared" si="26"/>
        <v>26</v>
      </c>
    </row>
    <row r="88" spans="1:7" ht="17.399999999999999" x14ac:dyDescent="0.35">
      <c r="A88" s="3" t="s">
        <v>84</v>
      </c>
      <c r="B88" s="120">
        <f>IFERROR(VLOOKUP(A88,'EXISTENCIA EN SUCURSALES'!$A:$Z,23,0),0)</f>
        <v>3</v>
      </c>
      <c r="C88" s="120">
        <f>IFERROR(VLOOKUP(A88,'DISTRIBUCIÓN EN SUCURSALES'!$A:$Z,23,0),0)</f>
        <v>0</v>
      </c>
      <c r="D88" s="138">
        <f t="shared" si="24"/>
        <v>3</v>
      </c>
      <c r="E88" s="120">
        <f>IFERROR(VLOOKUP(A88,'GRAL. SUC. FORANEAS'!$A:$P,23,0),0)</f>
        <v>0</v>
      </c>
      <c r="F88" s="120">
        <f>IFERROR(VLOOKUP(A88,'GRAL. SUC. LOCALES'!$A:$N,27,0),0)</f>
        <v>0</v>
      </c>
      <c r="G88" s="120">
        <f t="shared" ref="G88:G89" si="27">SUM(B88:C88)</f>
        <v>3</v>
      </c>
    </row>
    <row r="89" spans="1:7" ht="18" thickBot="1" x14ac:dyDescent="0.4">
      <c r="A89" s="8" t="s">
        <v>85</v>
      </c>
      <c r="B89" s="120">
        <f>IFERROR(VLOOKUP(A89,'EXISTENCIA EN SUCURSALES'!$A:$Z,23,0),0)</f>
        <v>6</v>
      </c>
      <c r="C89" s="120">
        <f>IFERROR(VLOOKUP(A89,'DISTRIBUCIÓN EN SUCURSALES'!$A:$Z,23,0),0)</f>
        <v>0</v>
      </c>
      <c r="D89" s="138">
        <f t="shared" si="24"/>
        <v>6</v>
      </c>
      <c r="E89" s="120">
        <f>IFERROR(VLOOKUP(A89,'GRAL. SUC. FORANEAS'!$A:$P,23,0),0)</f>
        <v>0</v>
      </c>
      <c r="F89" s="120">
        <f>IFERROR(VLOOKUP(A89,'GRAL. SUC. LOCALES'!$A:$N,27,0),0)</f>
        <v>0</v>
      </c>
      <c r="G89" s="120">
        <f t="shared" si="27"/>
        <v>6</v>
      </c>
    </row>
    <row r="90" spans="1:7" ht="18" thickBot="1" x14ac:dyDescent="0.4">
      <c r="A90" s="37" t="s">
        <v>86</v>
      </c>
      <c r="B90" s="59">
        <f t="shared" ref="B90:G90" si="28">B56+B64+B78+B87</f>
        <v>162</v>
      </c>
      <c r="C90" s="59">
        <f t="shared" si="28"/>
        <v>0</v>
      </c>
      <c r="D90" s="59">
        <f t="shared" si="28"/>
        <v>162</v>
      </c>
      <c r="E90" s="59">
        <f t="shared" si="28"/>
        <v>0</v>
      </c>
      <c r="F90" s="59">
        <f t="shared" si="28"/>
        <v>0</v>
      </c>
      <c r="G90" s="59">
        <f t="shared" si="28"/>
        <v>162</v>
      </c>
    </row>
    <row r="91" spans="1:7" ht="17.399999999999999" x14ac:dyDescent="0.35">
      <c r="A91" s="95" t="s">
        <v>879</v>
      </c>
      <c r="B91" s="120">
        <f>IFERROR(VLOOKUP(A91,'EXISTENCIA EN SUCURSALES'!$A:$Z,23,0),0)</f>
        <v>0</v>
      </c>
      <c r="C91" s="120">
        <f>IFERROR(VLOOKUP(A91,'DISTRIBUCIÓN EN SUCURSALES'!$A:$Z,23,0),0)</f>
        <v>0</v>
      </c>
      <c r="D91" s="138">
        <f t="shared" si="24"/>
        <v>0</v>
      </c>
      <c r="E91" s="120">
        <f>IFERROR(VLOOKUP(A91,'GRAL. SUC. FORANEAS'!$A:$P,23,0),0)</f>
        <v>0</v>
      </c>
      <c r="F91" s="120">
        <f>IFERROR(VLOOKUP(A91,'GRAL. SUC. LOCALES'!$A:$N,27,0),0)</f>
        <v>0</v>
      </c>
      <c r="G91" s="120">
        <f t="shared" ref="G91:G107" si="29">SUM(B91:C91)</f>
        <v>0</v>
      </c>
    </row>
    <row r="92" spans="1:7" ht="17.399999999999999" x14ac:dyDescent="0.35">
      <c r="A92" s="95" t="s">
        <v>888</v>
      </c>
      <c r="B92" s="120">
        <f>IFERROR(VLOOKUP(A92,'EXISTENCIA EN SUCURSALES'!$A:$Z,23,0),0)</f>
        <v>0</v>
      </c>
      <c r="C92" s="120">
        <f>IFERROR(VLOOKUP(A92,'DISTRIBUCIÓN EN SUCURSALES'!$A:$Z,23,0),0)</f>
        <v>0</v>
      </c>
      <c r="D92" s="138">
        <f t="shared" ref="D92:D115" si="30">C92+B92</f>
        <v>0</v>
      </c>
      <c r="E92" s="120">
        <f>IFERROR(VLOOKUP(A92,'GRAL. SUC. FORANEAS'!$A:$P,23,0),0)</f>
        <v>0</v>
      </c>
      <c r="F92" s="120">
        <f>IFERROR(VLOOKUP(A92,'GRAL. SUC. LOCALES'!$A:$N,27,0),0)</f>
        <v>0</v>
      </c>
      <c r="G92" s="120">
        <f t="shared" si="29"/>
        <v>0</v>
      </c>
    </row>
    <row r="93" spans="1:7" ht="17.399999999999999" x14ac:dyDescent="0.35">
      <c r="A93" s="95" t="s">
        <v>905</v>
      </c>
      <c r="B93" s="120">
        <f>IFERROR(VLOOKUP(A93,'EXISTENCIA EN SUCURSALES'!$A:$Z,23,0),0)</f>
        <v>0</v>
      </c>
      <c r="C93" s="120">
        <f>IFERROR(VLOOKUP(A93,'DISTRIBUCIÓN EN SUCURSALES'!$A:$Z,23,0),0)</f>
        <v>0</v>
      </c>
      <c r="D93" s="138">
        <f t="shared" si="30"/>
        <v>0</v>
      </c>
      <c r="E93" s="120">
        <f>IFERROR(VLOOKUP(A93,'GRAL. SUC. FORANEAS'!$A:$P,23,0),0)</f>
        <v>0</v>
      </c>
      <c r="F93" s="120">
        <f>IFERROR(VLOOKUP(A93,'GRAL. SUC. LOCALES'!$A:$N,27,0),0)</f>
        <v>0</v>
      </c>
      <c r="G93" s="120">
        <f t="shared" si="29"/>
        <v>0</v>
      </c>
    </row>
    <row r="94" spans="1:7" ht="17.399999999999999" x14ac:dyDescent="0.35">
      <c r="A94" s="95" t="s">
        <v>377</v>
      </c>
      <c r="B94" s="120">
        <f>IFERROR(VLOOKUP(A94,'EXISTENCIA EN SUCURSALES'!$A:$Z,23,0),0)</f>
        <v>0</v>
      </c>
      <c r="C94" s="120">
        <f>IFERROR(VLOOKUP(A94,'DISTRIBUCIÓN EN SUCURSALES'!$A:$Z,23,0),0)</f>
        <v>0</v>
      </c>
      <c r="D94" s="138">
        <f t="shared" si="30"/>
        <v>0</v>
      </c>
      <c r="E94" s="120">
        <f>IFERROR(VLOOKUP(A94,'GRAL. SUC. FORANEAS'!$A:$P,23,0),0)</f>
        <v>0</v>
      </c>
      <c r="F94" s="120">
        <f>IFERROR(VLOOKUP(A94,'GRAL. SUC. LOCALES'!$A:$N,27,0),0)</f>
        <v>0</v>
      </c>
      <c r="G94" s="120">
        <f t="shared" si="29"/>
        <v>0</v>
      </c>
    </row>
    <row r="95" spans="1:7" ht="17.399999999999999" x14ac:dyDescent="0.35">
      <c r="A95" s="95" t="s">
        <v>881</v>
      </c>
      <c r="B95" s="120">
        <f>IFERROR(VLOOKUP(A95,'EXISTENCIA EN SUCURSALES'!$A:$Z,23,0),0)</f>
        <v>5</v>
      </c>
      <c r="C95" s="120">
        <f>IFERROR(VLOOKUP(A95,'DISTRIBUCIÓN EN SUCURSALES'!$A:$Z,23,0),0)</f>
        <v>0</v>
      </c>
      <c r="D95" s="138">
        <f t="shared" si="30"/>
        <v>5</v>
      </c>
      <c r="E95" s="120">
        <f>IFERROR(VLOOKUP(A95,'GRAL. SUC. FORANEAS'!$A:$P,23,0),0)</f>
        <v>0</v>
      </c>
      <c r="F95" s="120">
        <f>IFERROR(VLOOKUP(A95,'GRAL. SUC. LOCALES'!$A:$N,27,0),0)</f>
        <v>0</v>
      </c>
      <c r="G95" s="120">
        <f t="shared" si="29"/>
        <v>5</v>
      </c>
    </row>
    <row r="96" spans="1:7" ht="17.399999999999999" x14ac:dyDescent="0.35">
      <c r="A96" s="95" t="s">
        <v>47</v>
      </c>
      <c r="B96" s="120">
        <f>IFERROR(VLOOKUP(A96,'EXISTENCIA EN SUCURSALES'!$A:$Z,23,0),0)</f>
        <v>1</v>
      </c>
      <c r="C96" s="120">
        <f>IFERROR(VLOOKUP(A96,'DISTRIBUCIÓN EN SUCURSALES'!$A:$Z,23,0),0)</f>
        <v>0</v>
      </c>
      <c r="D96" s="138">
        <f t="shared" si="30"/>
        <v>1</v>
      </c>
      <c r="E96" s="120">
        <f>IFERROR(VLOOKUP(A96,'GRAL. SUC. FORANEAS'!$A:$P,23,0),0)</f>
        <v>0</v>
      </c>
      <c r="F96" s="120">
        <f>IFERROR(VLOOKUP(A96,'GRAL. SUC. LOCALES'!$A:$N,27,0),0)</f>
        <v>0</v>
      </c>
      <c r="G96" s="120">
        <f t="shared" si="29"/>
        <v>1</v>
      </c>
    </row>
    <row r="97" spans="1:7" ht="17.399999999999999" x14ac:dyDescent="0.35">
      <c r="A97" s="95" t="s">
        <v>896</v>
      </c>
      <c r="B97" s="120">
        <f>IFERROR(VLOOKUP(A97,'EXISTENCIA EN SUCURSALES'!$A:$Z,23,0),0)</f>
        <v>0</v>
      </c>
      <c r="C97" s="120">
        <f>IFERROR(VLOOKUP(A97,'DISTRIBUCIÓN EN SUCURSALES'!$A:$Z,23,0),0)</f>
        <v>0</v>
      </c>
      <c r="D97" s="138">
        <f t="shared" si="30"/>
        <v>0</v>
      </c>
      <c r="E97" s="120">
        <f>IFERROR(VLOOKUP(A97,'GRAL. SUC. FORANEAS'!$A:$P,23,0),0)</f>
        <v>0</v>
      </c>
      <c r="F97" s="120">
        <f>IFERROR(VLOOKUP(A97,'GRAL. SUC. LOCALES'!$A:$N,27,0),0)</f>
        <v>0</v>
      </c>
      <c r="G97" s="120">
        <f t="shared" si="29"/>
        <v>0</v>
      </c>
    </row>
    <row r="98" spans="1:7" ht="17.399999999999999" x14ac:dyDescent="0.35">
      <c r="A98" s="95" t="s">
        <v>895</v>
      </c>
      <c r="B98" s="120">
        <f>IFERROR(VLOOKUP(A98,'EXISTENCIA EN SUCURSALES'!$A:$Z,23,0),0)</f>
        <v>0</v>
      </c>
      <c r="C98" s="120">
        <f>IFERROR(VLOOKUP(A98,'DISTRIBUCIÓN EN SUCURSALES'!$A:$Z,23,0),0)</f>
        <v>0</v>
      </c>
      <c r="D98" s="138">
        <f t="shared" si="30"/>
        <v>0</v>
      </c>
      <c r="E98" s="120">
        <f>IFERROR(VLOOKUP(A98,'GRAL. SUC. FORANEAS'!$A:$P,23,0),0)</f>
        <v>0</v>
      </c>
      <c r="F98" s="120">
        <f>IFERROR(VLOOKUP(A98,'GRAL. SUC. LOCALES'!$A:$N,27,0),0)</f>
        <v>0</v>
      </c>
      <c r="G98" s="120">
        <f t="shared" si="29"/>
        <v>0</v>
      </c>
    </row>
    <row r="99" spans="1:7" ht="17.399999999999999" x14ac:dyDescent="0.35">
      <c r="A99" s="95" t="s">
        <v>894</v>
      </c>
      <c r="B99" s="120">
        <f>IFERROR(VLOOKUP(A99,'EXISTENCIA EN SUCURSALES'!$A:$Z,23,0),0)</f>
        <v>0</v>
      </c>
      <c r="C99" s="120">
        <f>IFERROR(VLOOKUP(A99,'DISTRIBUCIÓN EN SUCURSALES'!$A:$Z,23,0),0)</f>
        <v>0</v>
      </c>
      <c r="D99" s="138">
        <f t="shared" si="30"/>
        <v>0</v>
      </c>
      <c r="E99" s="120">
        <f>IFERROR(VLOOKUP(A99,'GRAL. SUC. FORANEAS'!$A:$P,23,0),0)</f>
        <v>0</v>
      </c>
      <c r="F99" s="120">
        <f>IFERROR(VLOOKUP(A99,'GRAL. SUC. LOCALES'!$A:$N,27,0),0)</f>
        <v>0</v>
      </c>
      <c r="G99" s="120">
        <f t="shared" si="29"/>
        <v>0</v>
      </c>
    </row>
    <row r="100" spans="1:7" ht="17.399999999999999" x14ac:dyDescent="0.35">
      <c r="A100" s="95" t="s">
        <v>904</v>
      </c>
      <c r="B100" s="120">
        <f>IFERROR(VLOOKUP(A100,'EXISTENCIA EN SUCURSALES'!$A:$Z,23,0),0)</f>
        <v>0</v>
      </c>
      <c r="C100" s="120">
        <f>IFERROR(VLOOKUP(A100,'DISTRIBUCIÓN EN SUCURSALES'!$A:$Z,23,0),0)</f>
        <v>0</v>
      </c>
      <c r="D100" s="138">
        <f t="shared" si="30"/>
        <v>0</v>
      </c>
      <c r="E100" s="120">
        <f>IFERROR(VLOOKUP(A100,'GRAL. SUC. FORANEAS'!$A:$P,23,0),0)</f>
        <v>0</v>
      </c>
      <c r="F100" s="120">
        <f>IFERROR(VLOOKUP(A100,'GRAL. SUC. LOCALES'!$A:$N,27,0),0)</f>
        <v>0</v>
      </c>
      <c r="G100" s="120">
        <f t="shared" si="29"/>
        <v>0</v>
      </c>
    </row>
    <row r="101" spans="1:7" ht="17.399999999999999" x14ac:dyDescent="0.35">
      <c r="A101" s="95" t="s">
        <v>902</v>
      </c>
      <c r="B101" s="120">
        <f>IFERROR(VLOOKUP(A101,'EXISTENCIA EN SUCURSALES'!$A:$Z,23,0),0)</f>
        <v>0</v>
      </c>
      <c r="C101" s="120">
        <f>IFERROR(VLOOKUP(A101,'DISTRIBUCIÓN EN SUCURSALES'!$A:$Z,23,0),0)</f>
        <v>0</v>
      </c>
      <c r="D101" s="138">
        <f t="shared" si="30"/>
        <v>0</v>
      </c>
      <c r="E101" s="120">
        <f>IFERROR(VLOOKUP(A101,'GRAL. SUC. FORANEAS'!$A:$P,23,0),0)</f>
        <v>0</v>
      </c>
      <c r="F101" s="120">
        <f>IFERROR(VLOOKUP(A101,'GRAL. SUC. LOCALES'!$A:$N,27,0),0)</f>
        <v>0</v>
      </c>
      <c r="G101" s="120">
        <f t="shared" si="29"/>
        <v>0</v>
      </c>
    </row>
    <row r="102" spans="1:7" ht="17.399999999999999" x14ac:dyDescent="0.35">
      <c r="A102" s="95" t="s">
        <v>568</v>
      </c>
      <c r="B102" s="120">
        <f>IFERROR(VLOOKUP(A102,'EXISTENCIA EN SUCURSALES'!$A:$Z,23,0),0)</f>
        <v>3</v>
      </c>
      <c r="C102" s="120">
        <f>IFERROR(VLOOKUP(A102,'DISTRIBUCIÓN EN SUCURSALES'!$A:$Z,23,0),0)</f>
        <v>0</v>
      </c>
      <c r="D102" s="138">
        <f t="shared" si="30"/>
        <v>3</v>
      </c>
      <c r="E102" s="120">
        <f>IFERROR(VLOOKUP(A102,'GRAL. SUC. FORANEAS'!$A:$P,23,0),0)</f>
        <v>0</v>
      </c>
      <c r="F102" s="120">
        <f>IFERROR(VLOOKUP(A102,'GRAL. SUC. LOCALES'!$A:$N,27,0),0)</f>
        <v>0</v>
      </c>
      <c r="G102" s="120">
        <f t="shared" si="29"/>
        <v>3</v>
      </c>
    </row>
    <row r="103" spans="1:7" ht="17.399999999999999" x14ac:dyDescent="0.35">
      <c r="A103" s="95" t="s">
        <v>912</v>
      </c>
      <c r="B103" s="120">
        <f>IFERROR(VLOOKUP(A103,'EXISTENCIA EN SUCURSALES'!$A:$Z,23,0),0)</f>
        <v>1</v>
      </c>
      <c r="C103" s="120">
        <f>IFERROR(VLOOKUP(A103,'DISTRIBUCIÓN EN SUCURSALES'!$A:$Z,23,0),0)</f>
        <v>0</v>
      </c>
      <c r="D103" s="138">
        <f t="shared" si="30"/>
        <v>1</v>
      </c>
      <c r="E103" s="120">
        <f>IFERROR(VLOOKUP(A103,'GRAL. SUC. FORANEAS'!$A:$P,23,0),0)</f>
        <v>0</v>
      </c>
      <c r="F103" s="120">
        <f>IFERROR(VLOOKUP(A103,'GRAL. SUC. LOCALES'!$A:$N,27,0),0)</f>
        <v>0</v>
      </c>
      <c r="G103" s="120">
        <f t="shared" si="29"/>
        <v>1</v>
      </c>
    </row>
    <row r="104" spans="1:7" ht="17.399999999999999" x14ac:dyDescent="0.35">
      <c r="A104" s="95" t="s">
        <v>557</v>
      </c>
      <c r="B104" s="120">
        <f>IFERROR(VLOOKUP(A104,'EXISTENCIA EN SUCURSALES'!$A:$Z,23,0),0)</f>
        <v>2</v>
      </c>
      <c r="C104" s="120">
        <f>IFERROR(VLOOKUP(A104,'DISTRIBUCIÓN EN SUCURSALES'!$A:$Z,23,0),0)</f>
        <v>0</v>
      </c>
      <c r="D104" s="138">
        <f t="shared" si="30"/>
        <v>2</v>
      </c>
      <c r="E104" s="120">
        <f>IFERROR(VLOOKUP(A104,'GRAL. SUC. FORANEAS'!$A:$P,23,0),0)</f>
        <v>0</v>
      </c>
      <c r="F104" s="120">
        <f>IFERROR(VLOOKUP(A104,'GRAL. SUC. LOCALES'!$A:$N,27,0),0)</f>
        <v>0</v>
      </c>
      <c r="G104" s="120">
        <f t="shared" si="29"/>
        <v>2</v>
      </c>
    </row>
    <row r="105" spans="1:7" ht="17.399999999999999" x14ac:dyDescent="0.35">
      <c r="A105" s="95" t="s">
        <v>421</v>
      </c>
      <c r="B105" s="120">
        <f>IFERROR(VLOOKUP(A105,'EXISTENCIA EN SUCURSALES'!$A:$Z,23,0),0)</f>
        <v>2</v>
      </c>
      <c r="C105" s="120">
        <f>IFERROR(VLOOKUP(A105,'DISTRIBUCIÓN EN SUCURSALES'!$A:$Z,23,0),0)</f>
        <v>0</v>
      </c>
      <c r="D105" s="138">
        <f t="shared" si="30"/>
        <v>2</v>
      </c>
      <c r="E105" s="120">
        <f>IFERROR(VLOOKUP(A105,'GRAL. SUC. FORANEAS'!$A:$P,23,0),0)</f>
        <v>0</v>
      </c>
      <c r="F105" s="120">
        <f>IFERROR(VLOOKUP(A105,'GRAL. SUC. LOCALES'!$A:$N,27,0),0)</f>
        <v>0</v>
      </c>
      <c r="G105" s="120">
        <f t="shared" si="29"/>
        <v>2</v>
      </c>
    </row>
    <row r="106" spans="1:7" ht="17.399999999999999" x14ac:dyDescent="0.35">
      <c r="A106" s="95" t="s">
        <v>565</v>
      </c>
      <c r="B106" s="120">
        <f>IFERROR(VLOOKUP(A106,'EXISTENCIA EN SUCURSALES'!$A:$Z,23,0),0)</f>
        <v>0</v>
      </c>
      <c r="C106" s="120">
        <f>IFERROR(VLOOKUP(A106,'DISTRIBUCIÓN EN SUCURSALES'!$A:$Z,23,0),0)</f>
        <v>0</v>
      </c>
      <c r="D106" s="138">
        <f t="shared" si="30"/>
        <v>0</v>
      </c>
      <c r="E106" s="120">
        <f>IFERROR(VLOOKUP(A106,'GRAL. SUC. FORANEAS'!$A:$P,23,0),0)</f>
        <v>0</v>
      </c>
      <c r="F106" s="120">
        <f>IFERROR(VLOOKUP(A106,'GRAL. SUC. LOCALES'!$A:$N,27,0),0)</f>
        <v>0</v>
      </c>
      <c r="G106" s="120">
        <f t="shared" si="29"/>
        <v>0</v>
      </c>
    </row>
    <row r="107" spans="1:7" ht="17.399999999999999" x14ac:dyDescent="0.35">
      <c r="A107" s="95" t="s">
        <v>573</v>
      </c>
      <c r="B107" s="120">
        <f>IFERROR(VLOOKUP(A107,'EXISTENCIA EN SUCURSALES'!$A:$Z,23,0),0)</f>
        <v>1</v>
      </c>
      <c r="C107" s="120">
        <f>IFERROR(VLOOKUP(A107,'DISTRIBUCIÓN EN SUCURSALES'!$A:$Z,23,0),0)</f>
        <v>0</v>
      </c>
      <c r="D107" s="138">
        <f t="shared" si="30"/>
        <v>1</v>
      </c>
      <c r="E107" s="120">
        <f>IFERROR(VLOOKUP(A107,'GRAL. SUC. FORANEAS'!$A:$P,23,0),0)</f>
        <v>0</v>
      </c>
      <c r="F107" s="120">
        <f>IFERROR(VLOOKUP(A107,'GRAL. SUC. LOCALES'!$A:$N,27,0),0)</f>
        <v>0</v>
      </c>
      <c r="G107" s="120">
        <f t="shared" si="29"/>
        <v>1</v>
      </c>
    </row>
    <row r="108" spans="1:7" ht="17.399999999999999" x14ac:dyDescent="0.35">
      <c r="A108" s="95" t="s">
        <v>559</v>
      </c>
      <c r="B108" s="120">
        <f>IFERROR(VLOOKUP(A108,'EXISTENCIA EN SUCURSALES'!$A:$Z,23,0),0)</f>
        <v>0</v>
      </c>
      <c r="C108" s="120">
        <f>IFERROR(VLOOKUP(A108,'DISTRIBUCIÓN EN SUCURSALES'!$A:$Z,23,0),0)</f>
        <v>0</v>
      </c>
      <c r="D108" s="138">
        <f t="shared" si="30"/>
        <v>0</v>
      </c>
      <c r="E108" s="120">
        <f>IFERROR(VLOOKUP(A108,'GRAL. SUC. FORANEAS'!$A:$P,23,0),0)</f>
        <v>0</v>
      </c>
      <c r="F108" s="120">
        <f>IFERROR(VLOOKUP(A108,'GRAL. SUC. LOCALES'!$A:$N,27,0),0)</f>
        <v>0</v>
      </c>
      <c r="G108" s="120">
        <f t="shared" ref="G108:G138" si="31">SUM(B108:C108)</f>
        <v>0</v>
      </c>
    </row>
    <row r="109" spans="1:7" ht="17.399999999999999" x14ac:dyDescent="0.35">
      <c r="A109" s="95" t="s">
        <v>253</v>
      </c>
      <c r="B109" s="120">
        <f>IFERROR(VLOOKUP(A109,'EXISTENCIA EN SUCURSALES'!$A:$Z,23,0),0)</f>
        <v>2</v>
      </c>
      <c r="C109" s="120">
        <f>IFERROR(VLOOKUP(A109,'DISTRIBUCIÓN EN SUCURSALES'!$A:$Z,23,0),0)</f>
        <v>0</v>
      </c>
      <c r="D109" s="138">
        <f t="shared" si="30"/>
        <v>2</v>
      </c>
      <c r="E109" s="120">
        <f>IFERROR(VLOOKUP(A109,'GRAL. SUC. FORANEAS'!$A:$P,23,0),0)</f>
        <v>0</v>
      </c>
      <c r="F109" s="120">
        <f>IFERROR(VLOOKUP(A109,'GRAL. SUC. LOCALES'!$A:$N,27,0),0)</f>
        <v>0</v>
      </c>
      <c r="G109" s="120">
        <f t="shared" si="31"/>
        <v>2</v>
      </c>
    </row>
    <row r="110" spans="1:7" ht="17.399999999999999" x14ac:dyDescent="0.35">
      <c r="A110" s="95" t="s">
        <v>249</v>
      </c>
      <c r="B110" s="120">
        <f>IFERROR(VLOOKUP(A110,'EXISTENCIA EN SUCURSALES'!$A:$Z,23,0),0)</f>
        <v>0</v>
      </c>
      <c r="C110" s="120">
        <f>IFERROR(VLOOKUP(A110,'DISTRIBUCIÓN EN SUCURSALES'!$A:$Z,23,0),0)</f>
        <v>0</v>
      </c>
      <c r="D110" s="138">
        <f t="shared" si="30"/>
        <v>0</v>
      </c>
      <c r="E110" s="120">
        <f>IFERROR(VLOOKUP(A110,'GRAL. SUC. FORANEAS'!$A:$P,23,0),0)</f>
        <v>0</v>
      </c>
      <c r="F110" s="120">
        <f>IFERROR(VLOOKUP(A110,'GRAL. SUC. LOCALES'!$A:$N,27,0),0)</f>
        <v>0</v>
      </c>
      <c r="G110" s="120">
        <f t="shared" ref="G110:G114" si="32">SUM(B110:C110)</f>
        <v>0</v>
      </c>
    </row>
    <row r="111" spans="1:7" ht="17.399999999999999" x14ac:dyDescent="0.35">
      <c r="A111" s="95" t="s">
        <v>577</v>
      </c>
      <c r="B111" s="120">
        <f>IFERROR(VLOOKUP(A111,'EXISTENCIA EN SUCURSALES'!$A:$Z,23,0),0)</f>
        <v>0</v>
      </c>
      <c r="C111" s="120">
        <f>IFERROR(VLOOKUP(A111,'DISTRIBUCIÓN EN SUCURSALES'!$A:$Z,23,0),0)</f>
        <v>0</v>
      </c>
      <c r="D111" s="138">
        <f t="shared" si="30"/>
        <v>0</v>
      </c>
      <c r="E111" s="120">
        <f>IFERROR(VLOOKUP(A111,'GRAL. SUC. FORANEAS'!$A:$P,23,0),0)</f>
        <v>0</v>
      </c>
      <c r="F111" s="120">
        <f>IFERROR(VLOOKUP(A111,'GRAL. SUC. LOCALES'!$A:$N,27,0),0)</f>
        <v>0</v>
      </c>
      <c r="G111" s="120">
        <f t="shared" si="32"/>
        <v>0</v>
      </c>
    </row>
    <row r="112" spans="1:7" ht="17.399999999999999" x14ac:dyDescent="0.35">
      <c r="A112" s="95" t="s">
        <v>913</v>
      </c>
      <c r="B112" s="120">
        <f>IFERROR(VLOOKUP(A112,'EXISTENCIA EN SUCURSALES'!$A:$Z,23,0),0)</f>
        <v>0</v>
      </c>
      <c r="C112" s="120">
        <f>IFERROR(VLOOKUP(A112,'DISTRIBUCIÓN EN SUCURSALES'!$A:$Z,23,0),0)</f>
        <v>0</v>
      </c>
      <c r="D112" s="138">
        <f t="shared" si="30"/>
        <v>0</v>
      </c>
      <c r="E112" s="120">
        <f>IFERROR(VLOOKUP(A112,'GRAL. SUC. FORANEAS'!$A:$P,23,0),0)</f>
        <v>0</v>
      </c>
      <c r="F112" s="120">
        <f>IFERROR(VLOOKUP(A112,'GRAL. SUC. LOCALES'!$A:$N,27,0),0)</f>
        <v>0</v>
      </c>
      <c r="G112" s="120">
        <f t="shared" si="32"/>
        <v>0</v>
      </c>
    </row>
    <row r="113" spans="1:7" ht="17.399999999999999" x14ac:dyDescent="0.35">
      <c r="A113" s="95" t="s">
        <v>614</v>
      </c>
      <c r="B113" s="120">
        <f>IFERROR(VLOOKUP(A113,'EXISTENCIA EN SUCURSALES'!$A:$Z,23,0),0)</f>
        <v>0</v>
      </c>
      <c r="C113" s="120">
        <f>IFERROR(VLOOKUP(A113,'DISTRIBUCIÓN EN SUCURSALES'!$A:$Z,23,0),0)</f>
        <v>0</v>
      </c>
      <c r="D113" s="138">
        <f t="shared" si="30"/>
        <v>0</v>
      </c>
      <c r="E113" s="120">
        <f>IFERROR(VLOOKUP(A113,'GRAL. SUC. FORANEAS'!$A:$P,23,0),0)</f>
        <v>0</v>
      </c>
      <c r="F113" s="120">
        <f>IFERROR(VLOOKUP(A113,'GRAL. SUC. LOCALES'!$A:$N,27,0),0)</f>
        <v>0</v>
      </c>
      <c r="G113" s="120">
        <f t="shared" si="32"/>
        <v>0</v>
      </c>
    </row>
    <row r="114" spans="1:7" ht="17.399999999999999" x14ac:dyDescent="0.35">
      <c r="A114" s="95" t="s">
        <v>914</v>
      </c>
      <c r="B114" s="120">
        <f>IFERROR(VLOOKUP(A114,'EXISTENCIA EN SUCURSALES'!$A:$Z,23,0),0)</f>
        <v>1</v>
      </c>
      <c r="C114" s="120">
        <f>IFERROR(VLOOKUP(A114,'DISTRIBUCIÓN EN SUCURSALES'!$A:$Z,23,0),0)</f>
        <v>0</v>
      </c>
      <c r="D114" s="138">
        <f t="shared" si="30"/>
        <v>1</v>
      </c>
      <c r="E114" s="120">
        <f>IFERROR(VLOOKUP(A114,'GRAL. SUC. FORANEAS'!$A:$P,23,0),0)</f>
        <v>0</v>
      </c>
      <c r="F114" s="120">
        <f>IFERROR(VLOOKUP(A114,'GRAL. SUC. LOCALES'!$A:$N,27,0),0)</f>
        <v>0</v>
      </c>
      <c r="G114" s="120">
        <f t="shared" si="32"/>
        <v>1</v>
      </c>
    </row>
    <row r="115" spans="1:7" ht="17.399999999999999" x14ac:dyDescent="0.35">
      <c r="A115" s="95" t="s">
        <v>915</v>
      </c>
      <c r="B115" s="120">
        <f>IFERROR(VLOOKUP(A115,'EXISTENCIA EN SUCURSALES'!$A:$Z,23,0),0)</f>
        <v>0</v>
      </c>
      <c r="C115" s="120">
        <f>IFERROR(VLOOKUP(A115,'DISTRIBUCIÓN EN SUCURSALES'!$A:$Z,23,0),0)</f>
        <v>0</v>
      </c>
      <c r="D115" s="138">
        <f t="shared" si="30"/>
        <v>0</v>
      </c>
      <c r="E115" s="120">
        <f>IFERROR(VLOOKUP(A115,'GRAL. SUC. FORANEAS'!$A:$P,23,0),0)</f>
        <v>0</v>
      </c>
      <c r="F115" s="120">
        <f>IFERROR(VLOOKUP(A115,'GRAL. SUC. LOCALES'!$A:$N,27,0),0)</f>
        <v>0</v>
      </c>
      <c r="G115" s="120">
        <f t="shared" si="31"/>
        <v>0</v>
      </c>
    </row>
    <row r="116" spans="1:7" ht="17.399999999999999" x14ac:dyDescent="0.35">
      <c r="A116" s="95" t="s">
        <v>916</v>
      </c>
      <c r="B116" s="120">
        <f>IFERROR(VLOOKUP(A116,'EXISTENCIA EN SUCURSALES'!$A:$Z,23,0),0)</f>
        <v>0</v>
      </c>
      <c r="C116" s="120">
        <f>IFERROR(VLOOKUP(A116,'DISTRIBUCIÓN EN SUCURSALES'!$A:$Z,23,0),0)</f>
        <v>0</v>
      </c>
      <c r="D116" s="138">
        <f t="shared" ref="D116:D138" si="33">C116+B116</f>
        <v>0</v>
      </c>
      <c r="E116" s="120">
        <f>IFERROR(VLOOKUP(A116,'GRAL. SUC. FORANEAS'!$A:$P,23,0),0)</f>
        <v>0</v>
      </c>
      <c r="F116" s="120">
        <f>IFERROR(VLOOKUP(A116,'GRAL. SUC. LOCALES'!$A:$N,27,0),0)</f>
        <v>0</v>
      </c>
      <c r="G116" s="120">
        <f t="shared" si="31"/>
        <v>0</v>
      </c>
    </row>
    <row r="117" spans="1:7" ht="17.399999999999999" x14ac:dyDescent="0.35">
      <c r="A117" s="95" t="s">
        <v>917</v>
      </c>
      <c r="B117" s="120">
        <f>IFERROR(VLOOKUP(A117,'EXISTENCIA EN SUCURSALES'!$A:$Z,23,0),0)</f>
        <v>0</v>
      </c>
      <c r="C117" s="120">
        <f>IFERROR(VLOOKUP(A117,'DISTRIBUCIÓN EN SUCURSALES'!$A:$Z,23,0),0)</f>
        <v>0</v>
      </c>
      <c r="D117" s="138">
        <f t="shared" si="33"/>
        <v>0</v>
      </c>
      <c r="E117" s="120">
        <f>IFERROR(VLOOKUP(A117,'GRAL. SUC. FORANEAS'!$A:$P,23,0),0)</f>
        <v>0</v>
      </c>
      <c r="F117" s="120">
        <f>IFERROR(VLOOKUP(A117,'GRAL. SUC. LOCALES'!$A:$N,27,0),0)</f>
        <v>0</v>
      </c>
      <c r="G117" s="120">
        <f t="shared" si="31"/>
        <v>0</v>
      </c>
    </row>
    <row r="118" spans="1:7" ht="17.399999999999999" x14ac:dyDescent="0.35">
      <c r="A118" s="95" t="s">
        <v>240</v>
      </c>
      <c r="B118" s="120">
        <f>IFERROR(VLOOKUP(A118,'EXISTENCIA EN SUCURSALES'!$A:$Z,23,0),0)</f>
        <v>0</v>
      </c>
      <c r="C118" s="120">
        <f>IFERROR(VLOOKUP(A118,'DISTRIBUCIÓN EN SUCURSALES'!$A:$Z,23,0),0)</f>
        <v>0</v>
      </c>
      <c r="D118" s="138">
        <f t="shared" si="33"/>
        <v>0</v>
      </c>
      <c r="E118" s="120">
        <f>IFERROR(VLOOKUP(A118,'GRAL. SUC. FORANEAS'!$A:$P,23,0),0)</f>
        <v>0</v>
      </c>
      <c r="F118" s="120">
        <f>IFERROR(VLOOKUP(A118,'GRAL. SUC. LOCALES'!$A:$N,27,0),0)</f>
        <v>0</v>
      </c>
      <c r="G118" s="120">
        <f t="shared" si="31"/>
        <v>0</v>
      </c>
    </row>
    <row r="119" spans="1:7" ht="17.399999999999999" x14ac:dyDescent="0.35">
      <c r="A119" s="95" t="s">
        <v>892</v>
      </c>
      <c r="B119" s="120">
        <f>IFERROR(VLOOKUP(A119,'EXISTENCIA EN SUCURSALES'!$A:$Z,23,0),0)</f>
        <v>0</v>
      </c>
      <c r="C119" s="120">
        <f>IFERROR(VLOOKUP(A119,'DISTRIBUCIÓN EN SUCURSALES'!$A:$Z,23,0),0)</f>
        <v>0</v>
      </c>
      <c r="D119" s="138">
        <f t="shared" si="33"/>
        <v>0</v>
      </c>
      <c r="E119" s="120">
        <f>IFERROR(VLOOKUP(A119,'GRAL. SUC. FORANEAS'!$A:$P,23,0),0)</f>
        <v>0</v>
      </c>
      <c r="F119" s="120">
        <f>IFERROR(VLOOKUP(A119,'GRAL. SUC. LOCALES'!$A:$N,27,0),0)</f>
        <v>0</v>
      </c>
      <c r="G119" s="120">
        <f t="shared" si="31"/>
        <v>0</v>
      </c>
    </row>
    <row r="120" spans="1:7" ht="17.399999999999999" x14ac:dyDescent="0.35">
      <c r="A120" s="95" t="s">
        <v>893</v>
      </c>
      <c r="B120" s="120">
        <f>IFERROR(VLOOKUP(A120,'EXISTENCIA EN SUCURSALES'!$A:$Z,23,0),0)</f>
        <v>0</v>
      </c>
      <c r="C120" s="120">
        <f>IFERROR(VLOOKUP(A120,'DISTRIBUCIÓN EN SUCURSALES'!$A:$Z,23,0),0)</f>
        <v>0</v>
      </c>
      <c r="D120" s="138">
        <f t="shared" si="33"/>
        <v>0</v>
      </c>
      <c r="E120" s="120">
        <f>IFERROR(VLOOKUP(A120,'GRAL. SUC. FORANEAS'!$A:$P,23,0),0)</f>
        <v>0</v>
      </c>
      <c r="F120" s="120">
        <f>IFERROR(VLOOKUP(A120,'GRAL. SUC. LOCALES'!$A:$N,27,0),0)</f>
        <v>0</v>
      </c>
      <c r="G120" s="120">
        <f t="shared" si="31"/>
        <v>0</v>
      </c>
    </row>
    <row r="121" spans="1:7" ht="17.399999999999999" x14ac:dyDescent="0.35">
      <c r="A121" s="95" t="s">
        <v>891</v>
      </c>
      <c r="B121" s="120">
        <f>IFERROR(VLOOKUP(A121,'EXISTENCIA EN SUCURSALES'!$A:$Z,23,0),0)</f>
        <v>0</v>
      </c>
      <c r="C121" s="120">
        <f>IFERROR(VLOOKUP(A121,'DISTRIBUCIÓN EN SUCURSALES'!$A:$Z,23,0),0)</f>
        <v>0</v>
      </c>
      <c r="D121" s="138">
        <f t="shared" si="33"/>
        <v>0</v>
      </c>
      <c r="E121" s="120">
        <f>IFERROR(VLOOKUP(A121,'GRAL. SUC. FORANEAS'!$A:$P,23,0),0)</f>
        <v>0</v>
      </c>
      <c r="F121" s="120">
        <f>IFERROR(VLOOKUP(A121,'GRAL. SUC. LOCALES'!$A:$N,27,0),0)</f>
        <v>0</v>
      </c>
      <c r="G121" s="120">
        <f t="shared" ref="G121:G124" si="34">SUM(B121:C121)</f>
        <v>0</v>
      </c>
    </row>
    <row r="122" spans="1:7" ht="17.399999999999999" x14ac:dyDescent="0.35">
      <c r="A122" s="95"/>
      <c r="B122" s="120">
        <f>IFERROR(VLOOKUP(A122,'EXISTENCIA EN SUCURSALES'!$A:$Z,23,0),0)</f>
        <v>0</v>
      </c>
      <c r="C122" s="120">
        <f>IFERROR(VLOOKUP(A122,'DISTRIBUCIÓN EN SUCURSALES'!$A:$Z,23,0),0)</f>
        <v>0</v>
      </c>
      <c r="D122" s="138">
        <f t="shared" si="33"/>
        <v>0</v>
      </c>
      <c r="E122" s="120">
        <f>IFERROR(VLOOKUP(A122,'GRAL. SUC. FORANEAS'!$A:$P,23,0),0)</f>
        <v>0</v>
      </c>
      <c r="F122" s="120">
        <f>IFERROR(VLOOKUP(A122,'GRAL. SUC. LOCALES'!$A:$N,27,0),0)</f>
        <v>0</v>
      </c>
      <c r="G122" s="120">
        <f t="shared" si="34"/>
        <v>0</v>
      </c>
    </row>
    <row r="123" spans="1:7" ht="17.399999999999999" x14ac:dyDescent="0.35">
      <c r="A123" s="95"/>
      <c r="B123" s="120">
        <f>IFERROR(VLOOKUP(A123,'EXISTENCIA EN SUCURSALES'!$A:$Z,23,0),0)</f>
        <v>0</v>
      </c>
      <c r="C123" s="120">
        <f>IFERROR(VLOOKUP(A123,'DISTRIBUCIÓN EN SUCURSALES'!$A:$Z,23,0),0)</f>
        <v>0</v>
      </c>
      <c r="D123" s="138">
        <f t="shared" si="33"/>
        <v>0</v>
      </c>
      <c r="E123" s="120">
        <f>IFERROR(VLOOKUP(A123,'GRAL. SUC. FORANEAS'!$A:$P,23,0),0)</f>
        <v>0</v>
      </c>
      <c r="F123" s="120">
        <f>IFERROR(VLOOKUP(A123,'GRAL. SUC. LOCALES'!$A:$N,27,0),0)</f>
        <v>0</v>
      </c>
      <c r="G123" s="120">
        <f t="shared" si="34"/>
        <v>0</v>
      </c>
    </row>
    <row r="124" spans="1:7" ht="17.399999999999999" x14ac:dyDescent="0.35">
      <c r="A124" s="95"/>
      <c r="B124" s="120">
        <f>IFERROR(VLOOKUP(A124,'EXISTENCIA EN SUCURSALES'!$A:$Z,23,0),0)</f>
        <v>0</v>
      </c>
      <c r="C124" s="120">
        <f>IFERROR(VLOOKUP(A124,'DISTRIBUCIÓN EN SUCURSALES'!$A:$Z,23,0),0)</f>
        <v>0</v>
      </c>
      <c r="D124" s="138">
        <f t="shared" si="33"/>
        <v>0</v>
      </c>
      <c r="E124" s="120">
        <f>IFERROR(VLOOKUP(A124,'GRAL. SUC. FORANEAS'!$A:$P,23,0),0)</f>
        <v>0</v>
      </c>
      <c r="F124" s="120">
        <f>IFERROR(VLOOKUP(A124,'GRAL. SUC. LOCALES'!$A:$N,27,0),0)</f>
        <v>0</v>
      </c>
      <c r="G124" s="120">
        <f t="shared" si="34"/>
        <v>0</v>
      </c>
    </row>
    <row r="125" spans="1:7" ht="17.399999999999999" x14ac:dyDescent="0.35">
      <c r="A125" s="95"/>
      <c r="B125" s="120">
        <f>IFERROR(VLOOKUP(A125,'EXISTENCIA EN SUCURSALES'!$A:$Z,23,0),0)</f>
        <v>0</v>
      </c>
      <c r="C125" s="120">
        <f>IFERROR(VLOOKUP(A125,'DISTRIBUCIÓN EN SUCURSALES'!$A:$Z,23,0),0)</f>
        <v>0</v>
      </c>
      <c r="D125" s="138">
        <f t="shared" si="33"/>
        <v>0</v>
      </c>
      <c r="E125" s="120">
        <f>IFERROR(VLOOKUP(A125,'GRAL. SUC. FORANEAS'!$A:$P,23,0),0)</f>
        <v>0</v>
      </c>
      <c r="F125" s="120">
        <f>IFERROR(VLOOKUP(A125,'GRAL. SUC. LOCALES'!$A:$N,27,0),0)</f>
        <v>0</v>
      </c>
      <c r="G125" s="120">
        <f t="shared" si="31"/>
        <v>0</v>
      </c>
    </row>
    <row r="126" spans="1:7" ht="17.399999999999999" x14ac:dyDescent="0.35">
      <c r="A126" s="95"/>
      <c r="B126" s="120">
        <f>IFERROR(VLOOKUP(A126,'EXISTENCIA EN SUCURSALES'!$A:$Z,23,0),0)</f>
        <v>0</v>
      </c>
      <c r="C126" s="120">
        <f>IFERROR(VLOOKUP(A126,'DISTRIBUCIÓN EN SUCURSALES'!$A:$Z,23,0),0)</f>
        <v>0</v>
      </c>
      <c r="D126" s="138">
        <f t="shared" si="33"/>
        <v>0</v>
      </c>
      <c r="E126" s="120">
        <f>IFERROR(VLOOKUP(A126,'GRAL. SUC. FORANEAS'!$A:$P,23,0),0)</f>
        <v>0</v>
      </c>
      <c r="F126" s="120">
        <f>IFERROR(VLOOKUP(A126,'GRAL. SUC. LOCALES'!$A:$N,27,0),0)</f>
        <v>0</v>
      </c>
      <c r="G126" s="120">
        <f t="shared" si="31"/>
        <v>0</v>
      </c>
    </row>
    <row r="127" spans="1:7" ht="17.399999999999999" x14ac:dyDescent="0.35">
      <c r="A127" s="95"/>
      <c r="B127" s="120">
        <f>IFERROR(VLOOKUP(A127,'EXISTENCIA EN SUCURSALES'!$A:$Z,23,0),0)</f>
        <v>0</v>
      </c>
      <c r="C127" s="120">
        <f>IFERROR(VLOOKUP(A127,'DISTRIBUCIÓN EN SUCURSALES'!$A:$Z,23,0),0)</f>
        <v>0</v>
      </c>
      <c r="D127" s="138">
        <f t="shared" si="33"/>
        <v>0</v>
      </c>
      <c r="E127" s="120">
        <f>IFERROR(VLOOKUP(A127,'GRAL. SUC. FORANEAS'!$A:$P,23,0),0)</f>
        <v>0</v>
      </c>
      <c r="F127" s="120">
        <f>IFERROR(VLOOKUP(A127,'GRAL. SUC. LOCALES'!$A:$N,27,0),0)</f>
        <v>0</v>
      </c>
      <c r="G127" s="120"/>
    </row>
    <row r="128" spans="1:7" ht="17.399999999999999" x14ac:dyDescent="0.35">
      <c r="A128" s="95"/>
      <c r="B128" s="120">
        <f>IFERROR(VLOOKUP(A128,'EXISTENCIA EN SUCURSALES'!$A:$Z,23,0),0)</f>
        <v>0</v>
      </c>
      <c r="C128" s="120">
        <f>IFERROR(VLOOKUP(A128,'DISTRIBUCIÓN EN SUCURSALES'!$A:$Z,23,0),0)</f>
        <v>0</v>
      </c>
      <c r="D128" s="138">
        <f t="shared" si="33"/>
        <v>0</v>
      </c>
      <c r="E128" s="120">
        <f>IFERROR(VLOOKUP(A128,'GRAL. SUC. FORANEAS'!$A:$P,23,0),0)</f>
        <v>0</v>
      </c>
      <c r="F128" s="120">
        <f>IFERROR(VLOOKUP(A128,'GRAL. SUC. LOCALES'!$A:$N,27,0),0)</f>
        <v>0</v>
      </c>
      <c r="G128" s="120"/>
    </row>
    <row r="129" spans="1:7" ht="17.399999999999999" x14ac:dyDescent="0.35">
      <c r="A129" s="95"/>
      <c r="B129" s="120">
        <f>IFERROR(VLOOKUP(A129,'EXISTENCIA EN SUCURSALES'!$A:$Z,23,0),0)</f>
        <v>0</v>
      </c>
      <c r="C129" s="120">
        <f>IFERROR(VLOOKUP(A129,'DISTRIBUCIÓN EN SUCURSALES'!$A:$Z,23,0),0)</f>
        <v>0</v>
      </c>
      <c r="D129" s="138">
        <f t="shared" si="33"/>
        <v>0</v>
      </c>
      <c r="E129" s="120">
        <f>IFERROR(VLOOKUP(A129,'GRAL. SUC. FORANEAS'!$A:$P,23,0),0)</f>
        <v>0</v>
      </c>
      <c r="F129" s="120">
        <f>IFERROR(VLOOKUP(A129,'GRAL. SUC. LOCALES'!$A:$N,27,0),0)</f>
        <v>0</v>
      </c>
      <c r="G129" s="120"/>
    </row>
    <row r="130" spans="1:7" ht="17.399999999999999" x14ac:dyDescent="0.35">
      <c r="A130" s="95"/>
      <c r="B130" s="120">
        <f>IFERROR(VLOOKUP(A130,'EXISTENCIA EN SUCURSALES'!$A:$Z,23,0),0)</f>
        <v>0</v>
      </c>
      <c r="C130" s="120">
        <f>IFERROR(VLOOKUP(A130,'DISTRIBUCIÓN EN SUCURSALES'!$A:$Z,23,0),0)</f>
        <v>0</v>
      </c>
      <c r="D130" s="138">
        <f t="shared" si="33"/>
        <v>0</v>
      </c>
      <c r="E130" s="120">
        <f>IFERROR(VLOOKUP(A130,'GRAL. SUC. FORANEAS'!$A:$P,23,0),0)</f>
        <v>0</v>
      </c>
      <c r="F130" s="120">
        <f>IFERROR(VLOOKUP(A130,'GRAL. SUC. LOCALES'!$A:$N,27,0),0)</f>
        <v>0</v>
      </c>
      <c r="G130" s="120"/>
    </row>
    <row r="131" spans="1:7" ht="17.399999999999999" x14ac:dyDescent="0.35">
      <c r="A131" s="95"/>
      <c r="B131" s="120">
        <f>IFERROR(VLOOKUP(A131,'EXISTENCIA EN SUCURSALES'!$A:$Z,23,0),0)</f>
        <v>0</v>
      </c>
      <c r="C131" s="120">
        <f>IFERROR(VLOOKUP(A131,'DISTRIBUCIÓN EN SUCURSALES'!$A:$Z,23,0),0)</f>
        <v>0</v>
      </c>
      <c r="D131" s="138">
        <f t="shared" si="33"/>
        <v>0</v>
      </c>
      <c r="E131" s="120">
        <f>IFERROR(VLOOKUP(A131,'GRAL. SUC. FORANEAS'!$A:$P,23,0),0)</f>
        <v>0</v>
      </c>
      <c r="F131" s="120">
        <f>IFERROR(VLOOKUP(A131,'GRAL. SUC. LOCALES'!$A:$N,27,0),0)</f>
        <v>0</v>
      </c>
      <c r="G131" s="120"/>
    </row>
    <row r="132" spans="1:7" ht="17.399999999999999" x14ac:dyDescent="0.35">
      <c r="A132" s="95"/>
      <c r="B132" s="120">
        <f>IFERROR(VLOOKUP(A132,'EXISTENCIA EN SUCURSALES'!$A:$Z,23,0),0)</f>
        <v>0</v>
      </c>
      <c r="C132" s="120">
        <f>IFERROR(VLOOKUP(A132,'DISTRIBUCIÓN EN SUCURSALES'!$A:$Z,23,0),0)</f>
        <v>0</v>
      </c>
      <c r="D132" s="138">
        <f t="shared" si="33"/>
        <v>0</v>
      </c>
      <c r="E132" s="120">
        <f>IFERROR(VLOOKUP(A132,'GRAL. SUC. FORANEAS'!$A:$P,23,0),0)</f>
        <v>0</v>
      </c>
      <c r="F132" s="120">
        <f>IFERROR(VLOOKUP(A132,'GRAL. SUC. LOCALES'!$A:$N,27,0),0)</f>
        <v>0</v>
      </c>
      <c r="G132" s="120"/>
    </row>
    <row r="133" spans="1:7" ht="17.399999999999999" x14ac:dyDescent="0.35">
      <c r="A133" s="95"/>
      <c r="B133" s="120">
        <f>IFERROR(VLOOKUP(A133,'EXISTENCIA EN SUCURSALES'!$A:$Z,23,0),0)</f>
        <v>0</v>
      </c>
      <c r="C133" s="120">
        <f>IFERROR(VLOOKUP(A133,'DISTRIBUCIÓN EN SUCURSALES'!$A:$Z,23,0),0)</f>
        <v>0</v>
      </c>
      <c r="D133" s="138">
        <f t="shared" si="33"/>
        <v>0</v>
      </c>
      <c r="E133" s="120">
        <f>IFERROR(VLOOKUP(A133,'GRAL. SUC. FORANEAS'!$A:$P,23,0),0)</f>
        <v>0</v>
      </c>
      <c r="F133" s="120">
        <f>IFERROR(VLOOKUP(A133,'GRAL. SUC. LOCALES'!$A:$N,27,0),0)</f>
        <v>0</v>
      </c>
      <c r="G133" s="120"/>
    </row>
    <row r="134" spans="1:7" ht="17.399999999999999" x14ac:dyDescent="0.35">
      <c r="A134" s="95"/>
      <c r="B134" s="120">
        <f>IFERROR(VLOOKUP(A134,'EXISTENCIA EN SUCURSALES'!$A:$Z,23,0),0)</f>
        <v>0</v>
      </c>
      <c r="C134" s="120">
        <f>IFERROR(VLOOKUP(A134,'DISTRIBUCIÓN EN SUCURSALES'!$A:$Z,23,0),0)</f>
        <v>0</v>
      </c>
      <c r="D134" s="138">
        <f t="shared" si="33"/>
        <v>0</v>
      </c>
      <c r="E134" s="120">
        <f>IFERROR(VLOOKUP(A134,'GRAL. SUC. FORANEAS'!$A:$P,23,0),0)</f>
        <v>0</v>
      </c>
      <c r="F134" s="120">
        <f>IFERROR(VLOOKUP(A134,'GRAL. SUC. LOCALES'!$A:$N,27,0),0)</f>
        <v>0</v>
      </c>
      <c r="G134" s="120"/>
    </row>
    <row r="135" spans="1:7" ht="17.399999999999999" x14ac:dyDescent="0.35">
      <c r="A135" s="95"/>
      <c r="B135" s="120">
        <f>IFERROR(VLOOKUP(A135,'EXISTENCIA EN SUCURSALES'!$A:$Z,23,0),0)</f>
        <v>0</v>
      </c>
      <c r="C135" s="120">
        <f>IFERROR(VLOOKUP(A135,'DISTRIBUCIÓN EN SUCURSALES'!$A:$Z,23,0),0)</f>
        <v>0</v>
      </c>
      <c r="D135" s="138">
        <f t="shared" si="33"/>
        <v>0</v>
      </c>
      <c r="E135" s="120">
        <f>IFERROR(VLOOKUP(A135,'GRAL. SUC. FORANEAS'!$A:$P,23,0),0)</f>
        <v>0</v>
      </c>
      <c r="F135" s="120">
        <f>IFERROR(VLOOKUP(A135,'GRAL. SUC. LOCALES'!$A:$N,27,0),0)</f>
        <v>0</v>
      </c>
      <c r="G135" s="120"/>
    </row>
    <row r="136" spans="1:7" ht="17.399999999999999" x14ac:dyDescent="0.35">
      <c r="A136" s="95"/>
      <c r="B136" s="120">
        <f>IFERROR(VLOOKUP(A136,'EXISTENCIA EN SUCURSALES'!$A:$Z,23,0),0)</f>
        <v>0</v>
      </c>
      <c r="C136" s="120">
        <f>IFERROR(VLOOKUP(A136,'DISTRIBUCIÓN EN SUCURSALES'!$A:$Z,23,0),0)</f>
        <v>0</v>
      </c>
      <c r="D136" s="138">
        <f t="shared" si="33"/>
        <v>0</v>
      </c>
      <c r="E136" s="120">
        <f>IFERROR(VLOOKUP(A136,'GRAL. SUC. FORANEAS'!$A:$P,23,0),0)</f>
        <v>0</v>
      </c>
      <c r="F136" s="120">
        <f>IFERROR(VLOOKUP(A136,'GRAL. SUC. LOCALES'!$A:$N,27,0),0)</f>
        <v>0</v>
      </c>
      <c r="G136" s="120"/>
    </row>
    <row r="137" spans="1:7" ht="17.399999999999999" x14ac:dyDescent="0.35">
      <c r="A137" s="95"/>
      <c r="B137" s="120">
        <f>IFERROR(VLOOKUP(A137,'EXISTENCIA EN SUCURSALES'!$A:$Z,23,0),0)</f>
        <v>0</v>
      </c>
      <c r="C137" s="120">
        <f>IFERROR(VLOOKUP(A137,'DISTRIBUCIÓN EN SUCURSALES'!$A:$Z,23,0),0)</f>
        <v>0</v>
      </c>
      <c r="D137" s="138">
        <f t="shared" si="33"/>
        <v>0</v>
      </c>
      <c r="E137" s="120">
        <f>IFERROR(VLOOKUP(A137,'GRAL. SUC. FORANEAS'!$A:$P,23,0),0)</f>
        <v>0</v>
      </c>
      <c r="F137" s="120">
        <f>IFERROR(VLOOKUP(A137,'GRAL. SUC. LOCALES'!$A:$N,27,0),0)</f>
        <v>0</v>
      </c>
      <c r="G137" s="120">
        <f t="shared" si="31"/>
        <v>0</v>
      </c>
    </row>
    <row r="138" spans="1:7" ht="18" thickBot="1" x14ac:dyDescent="0.4">
      <c r="A138" s="95"/>
      <c r="B138" s="120">
        <f>IFERROR(VLOOKUP(A138,'EXISTENCIA EN SUCURSALES'!$A:$Z,23,0),0)</f>
        <v>0</v>
      </c>
      <c r="C138" s="120">
        <f>IFERROR(VLOOKUP(A138,'DISTRIBUCIÓN EN SUCURSALES'!$A:$Z,23,0),0)</f>
        <v>0</v>
      </c>
      <c r="D138" s="138">
        <f t="shared" si="33"/>
        <v>0</v>
      </c>
      <c r="E138" s="120">
        <f>IFERROR(VLOOKUP(A138,'GRAL. SUC. FORANEAS'!$A:$P,23,0),0)</f>
        <v>0</v>
      </c>
      <c r="F138" s="120">
        <f>IFERROR(VLOOKUP(A138,'GRAL. SUC. LOCALES'!$A:$N,27,0),0)</f>
        <v>0</v>
      </c>
      <c r="G138" s="120">
        <f t="shared" si="31"/>
        <v>0</v>
      </c>
    </row>
    <row r="139" spans="1:7" ht="18" thickBot="1" x14ac:dyDescent="0.4">
      <c r="A139" s="36"/>
      <c r="B139" s="114">
        <f t="shared" ref="B139:G139" si="35">SUM(B91:B138)</f>
        <v>18</v>
      </c>
      <c r="C139" s="114">
        <f t="shared" si="35"/>
        <v>0</v>
      </c>
      <c r="D139" s="114">
        <f t="shared" ref="D139:E139" si="36">SUM(D91:D138)</f>
        <v>18</v>
      </c>
      <c r="E139" s="114">
        <f t="shared" si="36"/>
        <v>0</v>
      </c>
      <c r="F139" s="114">
        <f t="shared" ref="F139" si="37">SUM(F91:F138)</f>
        <v>0</v>
      </c>
      <c r="G139" s="114">
        <f t="shared" si="35"/>
        <v>18</v>
      </c>
    </row>
    <row r="140" spans="1:7" ht="18" thickBot="1" x14ac:dyDescent="0.4">
      <c r="A140" s="37"/>
      <c r="B140" s="59">
        <f t="shared" ref="B140:G140" si="38">B90+B139</f>
        <v>180</v>
      </c>
      <c r="C140" s="59">
        <f t="shared" si="38"/>
        <v>0</v>
      </c>
      <c r="D140" s="59">
        <f t="shared" ref="D140:E140" si="39">D90+D139</f>
        <v>180</v>
      </c>
      <c r="E140" s="59">
        <f t="shared" si="39"/>
        <v>0</v>
      </c>
      <c r="F140" s="59">
        <f t="shared" ref="F140" si="40">F90+F139</f>
        <v>0</v>
      </c>
      <c r="G140" s="59">
        <f t="shared" si="38"/>
        <v>180</v>
      </c>
    </row>
  </sheetData>
  <mergeCells count="1">
    <mergeCell ref="B1:D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6849D-2590-45F6-9E67-DC88DC3EB1BB}">
  <dimension ref="C2:C9"/>
  <sheetViews>
    <sheetView workbookViewId="0">
      <selection activeCell="G2" sqref="G2"/>
    </sheetView>
  </sheetViews>
  <sheetFormatPr baseColWidth="10" defaultRowHeight="14.4" x14ac:dyDescent="0.3"/>
  <sheetData>
    <row r="2" spans="3:3" x14ac:dyDescent="0.3">
      <c r="C2" t="s">
        <v>729</v>
      </c>
    </row>
    <row r="3" spans="3:3" x14ac:dyDescent="0.3">
      <c r="C3" t="s">
        <v>730</v>
      </c>
    </row>
    <row r="4" spans="3:3" x14ac:dyDescent="0.3">
      <c r="C4" t="s">
        <v>731</v>
      </c>
    </row>
    <row r="5" spans="3:3" x14ac:dyDescent="0.3">
      <c r="C5" t="s">
        <v>732</v>
      </c>
    </row>
    <row r="6" spans="3:3" x14ac:dyDescent="0.3">
      <c r="C6" t="s">
        <v>733</v>
      </c>
    </row>
    <row r="7" spans="3:3" x14ac:dyDescent="0.3">
      <c r="C7" t="s">
        <v>734</v>
      </c>
    </row>
    <row r="8" spans="3:3" x14ac:dyDescent="0.3">
      <c r="C8" t="s">
        <v>735</v>
      </c>
    </row>
    <row r="9" spans="3:3" x14ac:dyDescent="0.3">
      <c r="C9" t="s">
        <v>736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34</vt:i4>
      </vt:variant>
    </vt:vector>
  </HeadingPairs>
  <TitlesOfParts>
    <vt:vector size="34" baseType="lpstr">
      <vt:lpstr>RAIZ</vt:lpstr>
      <vt:lpstr>Suc. Amado Nervo</vt:lpstr>
      <vt:lpstr>Suc. León</vt:lpstr>
      <vt:lpstr>Suc. Vistas</vt:lpstr>
      <vt:lpstr>Suc. Xalisco</vt:lpstr>
      <vt:lpstr>Suc. Dos de Agosto</vt:lpstr>
      <vt:lpstr>Suc. Mololoa</vt:lpstr>
      <vt:lpstr>Suc. Boulevard</vt:lpstr>
      <vt:lpstr>Suc. Plaza</vt:lpstr>
      <vt:lpstr>San Cayetano</vt:lpstr>
      <vt:lpstr>Suc. La Nueva Canasta</vt:lpstr>
      <vt:lpstr>LALO VARAS</vt:lpstr>
      <vt:lpstr>Suc. Santiago 2</vt:lpstr>
      <vt:lpstr>Suc. Ruiz</vt:lpstr>
      <vt:lpstr>Suc. Tuxpan</vt:lpstr>
      <vt:lpstr>Suc. Acaponeta</vt:lpstr>
      <vt:lpstr>Suc. Tecuala</vt:lpstr>
      <vt:lpstr>Suc. Compostela</vt:lpstr>
      <vt:lpstr>Suc. Sanblas</vt:lpstr>
      <vt:lpstr>Suc. Varas</vt:lpstr>
      <vt:lpstr>Suc. Santa María del Oro</vt:lpstr>
      <vt:lpstr>Suc. Villa Hidalgo</vt:lpstr>
      <vt:lpstr>Suc. Peñita</vt:lpstr>
      <vt:lpstr>ATRASADOS CF</vt:lpstr>
      <vt:lpstr>GRAL. SUC. LOCALES</vt:lpstr>
      <vt:lpstr>GRAL. SUC. FORANEAS</vt:lpstr>
      <vt:lpstr>ETIQUETAS CF</vt:lpstr>
      <vt:lpstr>EXISTENCIA EN SUCURSALES</vt:lpstr>
      <vt:lpstr>DISTRIBUCIÓN EN SUCURSALES</vt:lpstr>
      <vt:lpstr>STOCK DE SUCURSALES (2)</vt:lpstr>
      <vt:lpstr>TOTAL A TENER SUC.(EXIST.+DIST)</vt:lpstr>
      <vt:lpstr>EXIST. SUCURSALES Y RESTANTE CF</vt:lpstr>
      <vt:lpstr>EXIST. SUC.-DISTR.-C.F.-RESTANT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Pasteleria</dc:creator>
  <cp:lastModifiedBy>PLANTA3</cp:lastModifiedBy>
  <cp:lastPrinted>2024-07-09T16:01:54Z</cp:lastPrinted>
  <dcterms:created xsi:type="dcterms:W3CDTF">2024-01-18T15:04:31Z</dcterms:created>
  <dcterms:modified xsi:type="dcterms:W3CDTF">2026-10-14T21:58:15Z</dcterms:modified>
</cp:coreProperties>
</file>