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A TENER SUC.(EXIST.+DIST)" sheetId="1" r:id="rId1"/>
    <sheet name="EXIST. SUCURSALES Y RESTANTE CF" sheetId="2" r:id="rId2" state="hidden"/>
    <sheet name="EXIST. SUC.-DISTR.-C.F.-RESTANT" sheetId="3" r:id="rId3" state="hidden"/>
    <sheet name="Hoja1" sheetId="4" r:id="rId4" state="hidden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64" formatCode="[$-F800]dddd\,\ mmmm\ dd\,\ 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150"/>
  <sheetViews>
    <sheetView workbookViewId="0"/>
  </sheetViews>
  <sheetData>
    <row r="1">
      <c r="A1" s="1">
        <f>RAIZ!B1</f>
        <v>46301</v>
      </c>
      <c r="B1" t="str">
        <v>EXISTENCIA A TENER LOCALES</v>
      </c>
      <c r="M1" t="str">
        <v>EXISTENCIA A TENER FORANEAS</v>
      </c>
    </row>
    <row r="2">
      <c r="A2" t="str">
        <v xml:space="preserve">PRODUCTO </v>
      </c>
      <c r="B2" t="str">
        <v>MATRIZ</v>
      </c>
      <c r="C2" t="str">
        <v>PLANTA LEON</v>
      </c>
      <c r="D2" t="str">
        <v>SAN CAYETANO</v>
      </c>
      <c r="E2" t="str">
        <v>BOULEVARD</v>
      </c>
      <c r="F2" t="str">
        <v>DOS DE AGOSTO</v>
      </c>
      <c r="G2" t="str">
        <v>LA CANASTA</v>
      </c>
      <c r="H2" t="str">
        <v>MOLOLOA</v>
      </c>
      <c r="I2" t="str">
        <v>PLAZA</v>
      </c>
      <c r="J2" t="str">
        <v>VISTAS</v>
      </c>
      <c r="K2" t="str">
        <v>XALISCO</v>
      </c>
      <c r="L2" t="str">
        <v>TOTAL LOCALES</v>
      </c>
      <c r="M2" t="str">
        <v>ACAPONETA</v>
      </c>
      <c r="N2" t="str">
        <v>COMPOSTELA</v>
      </c>
      <c r="O2" t="str">
        <v>RUIZ</v>
      </c>
      <c r="P2" t="str">
        <v>SAN BLAS</v>
      </c>
      <c r="Q2" t="str">
        <v>SANTIAGO</v>
      </c>
      <c r="R2" t="str">
        <v>SANTIAGO 2</v>
      </c>
      <c r="S2" t="str">
        <v>TECUALA</v>
      </c>
      <c r="T2" t="str">
        <v>TUXPAN</v>
      </c>
      <c r="U2" t="str">
        <v>VARAS</v>
      </c>
      <c r="V2" t="str">
        <v>SAMAO</v>
      </c>
      <c r="W2" t="str">
        <v>VILLA HIDALGO</v>
      </c>
      <c r="X2" t="str">
        <v>LA PEÑITA</v>
      </c>
      <c r="Y2" t="str">
        <v>TOTAL FORANEAS</v>
      </c>
      <c r="Z2" t="str">
        <v>TOTAL GRAL.</v>
      </c>
      <c r="AB2" t="str">
        <v>LO QUE VA A QUEDAR EN CUARTO FRIO</v>
      </c>
      <c r="AD2" t="str">
        <v>SUMA SUC. Y C.F.</v>
      </c>
      <c r="AF2" t="str">
        <v>STOCK</v>
      </c>
      <c r="AG2" t="str">
        <v>STOCK</v>
      </c>
    </row>
    <row r="3">
      <c r="A3" t="str">
        <v>PIÑA GDE</v>
      </c>
      <c r="B3">
        <f>'EXISTENCIA EN SUCURSALES'!B3+'DISTRIBUCIÓN EN SUCURSALES'!B3</f>
        <v>3</v>
      </c>
      <c r="C3">
        <f>'EXISTENCIA EN SUCURSALES'!C3+'DISTRIBUCIÓN EN SUCURSALES'!C3</f>
        <v>3</v>
      </c>
      <c r="D3">
        <f>'EXISTENCIA EN SUCURSALES'!D3+'DISTRIBUCIÓN EN SUCURSALES'!D3</f>
        <v>2</v>
      </c>
      <c r="E3">
        <f>'EXISTENCIA EN SUCURSALES'!E3+'DISTRIBUCIÓN EN SUCURSALES'!E3</f>
        <v>2</v>
      </c>
      <c r="F3">
        <f>'EXISTENCIA EN SUCURSALES'!F3+'DISTRIBUCIÓN EN SUCURSALES'!F3</f>
        <v>1</v>
      </c>
      <c r="G3">
        <f>'EXISTENCIA EN SUCURSALES'!G3+'DISTRIBUCIÓN EN SUCURSALES'!G3</f>
        <v>0</v>
      </c>
      <c r="H3">
        <f>'EXISTENCIA EN SUCURSALES'!H3+'DISTRIBUCIÓN EN SUCURSALES'!H3</f>
        <v>1</v>
      </c>
      <c r="I3">
        <f>'EXISTENCIA EN SUCURSALES'!I3+'DISTRIBUCIÓN EN SUCURSALES'!I3</f>
        <v>1</v>
      </c>
      <c r="J3">
        <f>'EXISTENCIA EN SUCURSALES'!J3+'DISTRIBUCIÓN EN SUCURSALES'!J3</f>
        <v>2</v>
      </c>
      <c r="K3">
        <f>'EXISTENCIA EN SUCURSALES'!K3+'DISTRIBUCIÓN EN SUCURSALES'!K3</f>
        <v>2</v>
      </c>
      <c r="L3">
        <f>SUM(B3:K3)</f>
        <v>17</v>
      </c>
      <c r="M3">
        <f>'EXISTENCIA EN SUCURSALES'!M3+'DISTRIBUCIÓN EN SUCURSALES'!M3</f>
        <v>2</v>
      </c>
      <c r="N3">
        <f>'EXISTENCIA EN SUCURSALES'!N3+'DISTRIBUCIÓN EN SUCURSALES'!N3</f>
        <v>1</v>
      </c>
      <c r="O3">
        <f>'EXISTENCIA EN SUCURSALES'!O3+'DISTRIBUCIÓN EN SUCURSALES'!O3</f>
        <v>1</v>
      </c>
      <c r="P3">
        <f>'EXISTENCIA EN SUCURSALES'!P3+'DISTRIBUCIÓN EN SUCURSALES'!P3</f>
        <v>3</v>
      </c>
      <c r="Q3">
        <f>'EXISTENCIA EN SUCURSALES'!Q3+'DISTRIBUCIÓN EN SUCURSALES'!Q3</f>
        <v>1</v>
      </c>
      <c r="R3">
        <f>'EXISTENCIA EN SUCURSALES'!R3+'DISTRIBUCIÓN EN SUCURSALES'!R3</f>
        <v>1</v>
      </c>
      <c r="S3">
        <f>'EXISTENCIA EN SUCURSALES'!S3+'DISTRIBUCIÓN EN SUCURSALES'!S3</f>
        <v>4</v>
      </c>
      <c r="T3">
        <f>'EXISTENCIA EN SUCURSALES'!T3+'DISTRIBUCIÓN EN SUCURSALES'!T3</f>
        <v>2</v>
      </c>
      <c r="U3">
        <f>'EXISTENCIA EN SUCURSALES'!U3+'DISTRIBUCIÓN EN SUCURSALES'!U3</f>
        <v>1</v>
      </c>
      <c r="V3">
        <f>'EXISTENCIA EN SUCURSALES'!V3+'DISTRIBUCIÓN EN SUCURSALES'!V3</f>
        <v>0</v>
      </c>
      <c r="W3">
        <f>'EXISTENCIA EN SUCURSALES'!W3+'DISTRIBUCIÓN EN SUCURSALES'!W3</f>
        <v>1</v>
      </c>
      <c r="X3">
        <f>'EXISTENCIA EN SUCURSALES'!X3+'DISTRIBUCIÓN EN SUCURSALES'!X3</f>
        <v>0</v>
      </c>
      <c r="Y3">
        <f>SUM(M3:X3)</f>
        <v>17</v>
      </c>
      <c r="Z3">
        <f>L3+Y3</f>
        <v>34</v>
      </c>
      <c r="AB3">
        <f>IFERROR(VLOOKUP(A3,'GRAL. SUC. LOCALES'!$A:$N,14,0),0)</f>
        <v>5</v>
      </c>
      <c r="AD3">
        <f>AB3+Z3</f>
        <v>39</v>
      </c>
      <c r="AF3">
        <v>50</v>
      </c>
      <c r="AG3">
        <v>40</v>
      </c>
      <c r="AH3">
        <f>AD3-AF3</f>
        <v>-11</v>
      </c>
    </row>
    <row r="4">
      <c r="A4" t="str">
        <v>DURAZNO GDE</v>
      </c>
      <c r="B4">
        <f>'EXISTENCIA EN SUCURSALES'!B4+'DISTRIBUCIÓN EN SUCURSALES'!B4</f>
        <v>2</v>
      </c>
      <c r="C4">
        <f>'EXISTENCIA EN SUCURSALES'!C4+'DISTRIBUCIÓN EN SUCURSALES'!C4</f>
        <v>2</v>
      </c>
      <c r="D4">
        <f>'EXISTENCIA EN SUCURSALES'!D4+'DISTRIBUCIÓN EN SUCURSALES'!D4</f>
        <v>2</v>
      </c>
      <c r="E4">
        <f>'EXISTENCIA EN SUCURSALES'!E4+'DISTRIBUCIÓN EN SUCURSALES'!E4</f>
        <v>2</v>
      </c>
      <c r="F4">
        <f>'EXISTENCIA EN SUCURSALES'!F4+'DISTRIBUCIÓN EN SUCURSALES'!F4</f>
        <v>2</v>
      </c>
      <c r="G4">
        <f>'EXISTENCIA EN SUCURSALES'!G4+'DISTRIBUCIÓN EN SUCURSALES'!G4</f>
        <v>0</v>
      </c>
      <c r="H4">
        <f>'EXISTENCIA EN SUCURSALES'!H4+'DISTRIBUCIÓN EN SUCURSALES'!H4</f>
        <v>2</v>
      </c>
      <c r="I4">
        <f>'EXISTENCIA EN SUCURSALES'!I4+'DISTRIBUCIÓN EN SUCURSALES'!I4</f>
        <v>1</v>
      </c>
      <c r="J4">
        <f>'EXISTENCIA EN SUCURSALES'!J4+'DISTRIBUCIÓN EN SUCURSALES'!J4</f>
        <v>2</v>
      </c>
      <c r="K4">
        <f>'EXISTENCIA EN SUCURSALES'!K4+'DISTRIBUCIÓN EN SUCURSALES'!K4</f>
        <v>2</v>
      </c>
      <c r="L4">
        <f>SUM(B4:K4)</f>
        <v>17</v>
      </c>
      <c r="M4">
        <f>'EXISTENCIA EN SUCURSALES'!M4+'DISTRIBUCIÓN EN SUCURSALES'!M4</f>
        <v>0</v>
      </c>
      <c r="N4">
        <f>'EXISTENCIA EN SUCURSALES'!N4+'DISTRIBUCIÓN EN SUCURSALES'!N4</f>
        <v>1</v>
      </c>
      <c r="O4">
        <f>'EXISTENCIA EN SUCURSALES'!O4+'DISTRIBUCIÓN EN SUCURSALES'!O4</f>
        <v>0</v>
      </c>
      <c r="P4">
        <f>'EXISTENCIA EN SUCURSALES'!P4+'DISTRIBUCIÓN EN SUCURSALES'!P4</f>
        <v>1</v>
      </c>
      <c r="Q4">
        <f>'EXISTENCIA EN SUCURSALES'!Q4+'DISTRIBUCIÓN EN SUCURSALES'!Q4</f>
        <v>4</v>
      </c>
      <c r="R4">
        <f>'EXISTENCIA EN SUCURSALES'!R4+'DISTRIBUCIÓN EN SUCURSALES'!R4</f>
        <v>3</v>
      </c>
      <c r="S4">
        <f>'EXISTENCIA EN SUCURSALES'!S4+'DISTRIBUCIÓN EN SUCURSALES'!S4</f>
        <v>2</v>
      </c>
      <c r="T4">
        <f>'EXISTENCIA EN SUCURSALES'!T4+'DISTRIBUCIÓN EN SUCURSALES'!T4</f>
        <v>3</v>
      </c>
      <c r="U4">
        <f>'EXISTENCIA EN SUCURSALES'!U4+'DISTRIBUCIÓN EN SUCURSALES'!U4</f>
        <v>1</v>
      </c>
      <c r="V4">
        <f>'EXISTENCIA EN SUCURSALES'!V4+'DISTRIBUCIÓN EN SUCURSALES'!V4</f>
        <v>1</v>
      </c>
      <c r="W4">
        <f>'EXISTENCIA EN SUCURSALES'!W4+'DISTRIBUCIÓN EN SUCURSALES'!W4</f>
        <v>1</v>
      </c>
      <c r="X4">
        <f>'EXISTENCIA EN SUCURSALES'!X4+'DISTRIBUCIÓN EN SUCURSALES'!X4</f>
        <v>2</v>
      </c>
      <c r="Y4">
        <f>SUM(M4:X4)</f>
        <v>19</v>
      </c>
      <c r="Z4">
        <f>L4+Y4</f>
        <v>36</v>
      </c>
      <c r="AB4">
        <f>IFERROR(VLOOKUP(A4,'GRAL. SUC. LOCALES'!$A:$N,14,0),0)</f>
        <v>9</v>
      </c>
      <c r="AD4">
        <f>AB4+Z4</f>
        <v>45</v>
      </c>
      <c r="AF4">
        <v>60</v>
      </c>
      <c r="AG4">
        <v>50</v>
      </c>
      <c r="AH4">
        <f>AD4-AF4</f>
        <v>-15</v>
      </c>
    </row>
    <row r="5">
      <c r="A5" t="str">
        <v>3 LECHES GDE</v>
      </c>
      <c r="B5">
        <f>'EXISTENCIA EN SUCURSALES'!B5+'DISTRIBUCIÓN EN SUCURSALES'!B5</f>
        <v>2</v>
      </c>
      <c r="C5">
        <f>'EXISTENCIA EN SUCURSALES'!C5+'DISTRIBUCIÓN EN SUCURSALES'!C5</f>
        <v>2</v>
      </c>
      <c r="D5">
        <f>'EXISTENCIA EN SUCURSALES'!D5+'DISTRIBUCIÓN EN SUCURSALES'!D5</f>
        <v>2</v>
      </c>
      <c r="E5">
        <f>'EXISTENCIA EN SUCURSALES'!E5+'DISTRIBUCIÓN EN SUCURSALES'!E5</f>
        <v>2</v>
      </c>
      <c r="F5">
        <f>'EXISTENCIA EN SUCURSALES'!F5+'DISTRIBUCIÓN EN SUCURSALES'!F5</f>
        <v>1</v>
      </c>
      <c r="G5">
        <f>'EXISTENCIA EN SUCURSALES'!G5+'DISTRIBUCIÓN EN SUCURSALES'!G5</f>
        <v>0</v>
      </c>
      <c r="H5">
        <f>'EXISTENCIA EN SUCURSALES'!H5+'DISTRIBUCIÓN EN SUCURSALES'!H5</f>
        <v>1</v>
      </c>
      <c r="I5">
        <f>'EXISTENCIA EN SUCURSALES'!I5+'DISTRIBUCIÓN EN SUCURSALES'!I5</f>
        <v>1</v>
      </c>
      <c r="J5">
        <f>'EXISTENCIA EN SUCURSALES'!J5+'DISTRIBUCIÓN EN SUCURSALES'!J5</f>
        <v>2</v>
      </c>
      <c r="K5">
        <f>'EXISTENCIA EN SUCURSALES'!K5+'DISTRIBUCIÓN EN SUCURSALES'!K5</f>
        <v>2</v>
      </c>
      <c r="L5">
        <f>SUM(B5:K5)</f>
        <v>15</v>
      </c>
      <c r="M5">
        <f>'EXISTENCIA EN SUCURSALES'!M5+'DISTRIBUCIÓN EN SUCURSALES'!M5</f>
        <v>4</v>
      </c>
      <c r="N5">
        <f>'EXISTENCIA EN SUCURSALES'!N5+'DISTRIBUCIÓN EN SUCURSALES'!N5</f>
        <v>2</v>
      </c>
      <c r="O5">
        <f>'EXISTENCIA EN SUCURSALES'!O5+'DISTRIBUCIÓN EN SUCURSALES'!O5</f>
        <v>0</v>
      </c>
      <c r="P5">
        <f>'EXISTENCIA EN SUCURSALES'!P5+'DISTRIBUCIÓN EN SUCURSALES'!P5</f>
        <v>1</v>
      </c>
      <c r="Q5">
        <f>'EXISTENCIA EN SUCURSALES'!Q5+'DISTRIBUCIÓN EN SUCURSALES'!Q5</f>
        <v>7</v>
      </c>
      <c r="R5">
        <f>'EXISTENCIA EN SUCURSALES'!R5+'DISTRIBUCIÓN EN SUCURSALES'!R5</f>
        <v>3</v>
      </c>
      <c r="S5">
        <f>'EXISTENCIA EN SUCURSALES'!S5+'DISTRIBUCIÓN EN SUCURSALES'!S5</f>
        <v>2</v>
      </c>
      <c r="T5">
        <f>'EXISTENCIA EN SUCURSALES'!T5+'DISTRIBUCIÓN EN SUCURSALES'!T5</f>
        <v>2</v>
      </c>
      <c r="U5">
        <f>'EXISTENCIA EN SUCURSALES'!U5+'DISTRIBUCIÓN EN SUCURSALES'!U5</f>
        <v>0</v>
      </c>
      <c r="V5">
        <f>'EXISTENCIA EN SUCURSALES'!V5+'DISTRIBUCIÓN EN SUCURSALES'!V5</f>
        <v>1</v>
      </c>
      <c r="W5">
        <f>'EXISTENCIA EN SUCURSALES'!W5+'DISTRIBUCIÓN EN SUCURSALES'!W5</f>
        <v>1</v>
      </c>
      <c r="X5">
        <f>'EXISTENCIA EN SUCURSALES'!X5+'DISTRIBUCIÓN EN SUCURSALES'!X5</f>
        <v>0</v>
      </c>
      <c r="Y5">
        <f>SUM(M5:X5)</f>
        <v>23</v>
      </c>
      <c r="Z5">
        <f>L5+Y5</f>
        <v>38</v>
      </c>
      <c r="AB5">
        <f>IFERROR(VLOOKUP(A5,'GRAL. SUC. LOCALES'!$A:$N,14,0),0)</f>
        <v>2</v>
      </c>
      <c r="AD5">
        <f>AB5+Z5</f>
        <v>40</v>
      </c>
      <c r="AF5">
        <v>55</v>
      </c>
      <c r="AG5">
        <v>45</v>
      </c>
      <c r="AH5">
        <f>AD5-AF5</f>
        <v>-15</v>
      </c>
    </row>
    <row r="6">
      <c r="A6" t="str">
        <v>FRUTAS GDE</v>
      </c>
      <c r="B6">
        <f>'EXISTENCIA EN SUCURSALES'!B6+'DISTRIBUCIÓN EN SUCURSALES'!B6</f>
        <v>3</v>
      </c>
      <c r="C6">
        <f>'EXISTENCIA EN SUCURSALES'!C6+'DISTRIBUCIÓN EN SUCURSALES'!C6</f>
        <v>3</v>
      </c>
      <c r="D6">
        <f>'EXISTENCIA EN SUCURSALES'!D6+'DISTRIBUCIÓN EN SUCURSALES'!D6</f>
        <v>4</v>
      </c>
      <c r="E6">
        <f>'EXISTENCIA EN SUCURSALES'!E6+'DISTRIBUCIÓN EN SUCURSALES'!E6</f>
        <v>3</v>
      </c>
      <c r="F6">
        <f>'EXISTENCIA EN SUCURSALES'!F6+'DISTRIBUCIÓN EN SUCURSALES'!F6</f>
        <v>2</v>
      </c>
      <c r="G6">
        <f>'EXISTENCIA EN SUCURSALES'!G6+'DISTRIBUCIÓN EN SUCURSALES'!G6</f>
        <v>0</v>
      </c>
      <c r="H6">
        <f>'EXISTENCIA EN SUCURSALES'!H6+'DISTRIBUCIÓN EN SUCURSALES'!H6</f>
        <v>2</v>
      </c>
      <c r="I6">
        <f>'EXISTENCIA EN SUCURSALES'!I6+'DISTRIBUCIÓN EN SUCURSALES'!I6</f>
        <v>2</v>
      </c>
      <c r="J6">
        <f>'EXISTENCIA EN SUCURSALES'!J6+'DISTRIBUCIÓN EN SUCURSALES'!J6</f>
        <v>4</v>
      </c>
      <c r="K6">
        <f>'EXISTENCIA EN SUCURSALES'!K6+'DISTRIBUCIÓN EN SUCURSALES'!K6</f>
        <v>3</v>
      </c>
      <c r="L6">
        <f>SUM(B6:K6)</f>
        <v>26</v>
      </c>
      <c r="M6">
        <f>'EXISTENCIA EN SUCURSALES'!M6+'DISTRIBUCIÓN EN SUCURSALES'!M6</f>
        <v>3</v>
      </c>
      <c r="N6">
        <f>'EXISTENCIA EN SUCURSALES'!N6+'DISTRIBUCIÓN EN SUCURSALES'!N6</f>
        <v>2</v>
      </c>
      <c r="O6">
        <f>'EXISTENCIA EN SUCURSALES'!O6+'DISTRIBUCIÓN EN SUCURSALES'!O6</f>
        <v>2</v>
      </c>
      <c r="P6">
        <f>'EXISTENCIA EN SUCURSALES'!P6+'DISTRIBUCIÓN EN SUCURSALES'!P6</f>
        <v>1</v>
      </c>
      <c r="Q6">
        <f>'EXISTENCIA EN SUCURSALES'!Q6+'DISTRIBUCIÓN EN SUCURSALES'!Q6</f>
        <v>5</v>
      </c>
      <c r="R6">
        <f>'EXISTENCIA EN SUCURSALES'!R6+'DISTRIBUCIÓN EN SUCURSALES'!R6</f>
        <v>3</v>
      </c>
      <c r="S6">
        <f>'EXISTENCIA EN SUCURSALES'!S6+'DISTRIBUCIÓN EN SUCURSALES'!S6</f>
        <v>1</v>
      </c>
      <c r="T6">
        <f>'EXISTENCIA EN SUCURSALES'!T6+'DISTRIBUCIÓN EN SUCURSALES'!T6</f>
        <v>2</v>
      </c>
      <c r="U6">
        <f>'EXISTENCIA EN SUCURSALES'!U6+'DISTRIBUCIÓN EN SUCURSALES'!U6</f>
        <v>1</v>
      </c>
      <c r="V6">
        <f>'EXISTENCIA EN SUCURSALES'!V6+'DISTRIBUCIÓN EN SUCURSALES'!V6</f>
        <v>2</v>
      </c>
      <c r="W6">
        <f>'EXISTENCIA EN SUCURSALES'!W6+'DISTRIBUCIÓN EN SUCURSALES'!W6</f>
        <v>1</v>
      </c>
      <c r="X6">
        <f>'EXISTENCIA EN SUCURSALES'!X6+'DISTRIBUCIÓN EN SUCURSALES'!X6</f>
        <v>1</v>
      </c>
      <c r="Y6">
        <f>SUM(M6:X6)</f>
        <v>24</v>
      </c>
      <c r="Z6">
        <f>L6+Y6</f>
        <v>50</v>
      </c>
      <c r="AB6">
        <f>IFERROR(VLOOKUP(A6,'GRAL. SUC. LOCALES'!$A:$N,14,0),0)</f>
        <v>20</v>
      </c>
      <c r="AD6">
        <f>AB6+Z6</f>
        <v>70</v>
      </c>
      <c r="AF6">
        <v>95</v>
      </c>
      <c r="AG6">
        <v>90</v>
      </c>
      <c r="AH6">
        <f>AD6-AF6</f>
        <v>-25</v>
      </c>
    </row>
    <row r="7">
      <c r="A7" t="str">
        <v>DUO DURAZNO GDE</v>
      </c>
      <c r="B7">
        <f>'EXISTENCIA EN SUCURSALES'!B7+'DISTRIBUCIÓN EN SUCURSALES'!B7</f>
        <v>2</v>
      </c>
      <c r="C7">
        <f>'EXISTENCIA EN SUCURSALES'!C7+'DISTRIBUCIÓN EN SUCURSALES'!C7</f>
        <v>2</v>
      </c>
      <c r="D7">
        <f>'EXISTENCIA EN SUCURSALES'!D7+'DISTRIBUCIÓN EN SUCURSALES'!D7</f>
        <v>2</v>
      </c>
      <c r="E7">
        <f>'EXISTENCIA EN SUCURSALES'!E7+'DISTRIBUCIÓN EN SUCURSALES'!E7</f>
        <v>1</v>
      </c>
      <c r="F7">
        <f>'EXISTENCIA EN SUCURSALES'!F7+'DISTRIBUCIÓN EN SUCURSALES'!F7</f>
        <v>1</v>
      </c>
      <c r="G7">
        <f>'EXISTENCIA EN SUCURSALES'!G7+'DISTRIBUCIÓN EN SUCURSALES'!G7</f>
        <v>0</v>
      </c>
      <c r="H7">
        <f>'EXISTENCIA EN SUCURSALES'!H7+'DISTRIBUCIÓN EN SUCURSALES'!H7</f>
        <v>1</v>
      </c>
      <c r="I7">
        <f>'EXISTENCIA EN SUCURSALES'!I7+'DISTRIBUCIÓN EN SUCURSALES'!I7</f>
        <v>1</v>
      </c>
      <c r="J7">
        <f>'EXISTENCIA EN SUCURSALES'!J7+'DISTRIBUCIÓN EN SUCURSALES'!J7</f>
        <v>2</v>
      </c>
      <c r="K7">
        <f>'EXISTENCIA EN SUCURSALES'!K7+'DISTRIBUCIÓN EN SUCURSALES'!K7</f>
        <v>2</v>
      </c>
      <c r="L7">
        <f>SUM(B7:K7)</f>
        <v>14</v>
      </c>
      <c r="M7">
        <f>'EXISTENCIA EN SUCURSALES'!M7+'DISTRIBUCIÓN EN SUCURSALES'!M7</f>
        <v>2</v>
      </c>
      <c r="N7">
        <f>'EXISTENCIA EN SUCURSALES'!N7+'DISTRIBUCIÓN EN SUCURSALES'!N7</f>
        <v>2</v>
      </c>
      <c r="O7">
        <f>'EXISTENCIA EN SUCURSALES'!O7+'DISTRIBUCIÓN EN SUCURSALES'!O7</f>
        <v>1</v>
      </c>
      <c r="P7">
        <f>'EXISTENCIA EN SUCURSALES'!P7+'DISTRIBUCIÓN EN SUCURSALES'!P7</f>
        <v>2</v>
      </c>
      <c r="Q7">
        <f>'EXISTENCIA EN SUCURSALES'!Q7+'DISTRIBUCIÓN EN SUCURSALES'!Q7</f>
        <v>2</v>
      </c>
      <c r="R7">
        <f>'EXISTENCIA EN SUCURSALES'!R7+'DISTRIBUCIÓN EN SUCURSALES'!R7</f>
        <v>3</v>
      </c>
      <c r="S7">
        <f>'EXISTENCIA EN SUCURSALES'!S7+'DISTRIBUCIÓN EN SUCURSALES'!S7</f>
        <v>3</v>
      </c>
      <c r="T7">
        <f>'EXISTENCIA EN SUCURSALES'!T7+'DISTRIBUCIÓN EN SUCURSALES'!T7</f>
        <v>2</v>
      </c>
      <c r="U7">
        <f>'EXISTENCIA EN SUCURSALES'!U7+'DISTRIBUCIÓN EN SUCURSALES'!U7</f>
        <v>0</v>
      </c>
      <c r="V7">
        <f>'EXISTENCIA EN SUCURSALES'!V7+'DISTRIBUCIÓN EN SUCURSALES'!V7</f>
        <v>1</v>
      </c>
      <c r="W7">
        <f>'EXISTENCIA EN SUCURSALES'!W7+'DISTRIBUCIÓN EN SUCURSALES'!W7</f>
        <v>1</v>
      </c>
      <c r="X7">
        <f>'EXISTENCIA EN SUCURSALES'!X7+'DISTRIBUCIÓN EN SUCURSALES'!X7</f>
        <v>1</v>
      </c>
      <c r="Y7">
        <f>SUM(M7:X7)</f>
        <v>20</v>
      </c>
      <c r="Z7">
        <f>L7+Y7</f>
        <v>34</v>
      </c>
      <c r="AB7">
        <f>IFERROR(VLOOKUP(A7,'GRAL. SUC. LOCALES'!$A:$N,14,0),0)</f>
        <v>13</v>
      </c>
      <c r="AD7">
        <f>AB7+Z7</f>
        <v>47</v>
      </c>
      <c r="AF7">
        <v>60</v>
      </c>
      <c r="AG7">
        <v>55</v>
      </c>
      <c r="AH7">
        <f>AD7-AF7</f>
        <v>-13</v>
      </c>
    </row>
    <row r="8">
      <c r="A8" t="str">
        <v>MOKA GDE</v>
      </c>
      <c r="B8">
        <f>'EXISTENCIA EN SUCURSALES'!B8+'DISTRIBUCIÓN EN SUCURSALES'!B8</f>
        <v>5</v>
      </c>
      <c r="C8">
        <f>'EXISTENCIA EN SUCURSALES'!C8+'DISTRIBUCIÓN EN SUCURSALES'!C8</f>
        <v>4</v>
      </c>
      <c r="D8">
        <f>'EXISTENCIA EN SUCURSALES'!D8+'DISTRIBUCIÓN EN SUCURSALES'!D8</f>
        <v>3</v>
      </c>
      <c r="E8">
        <f>'EXISTENCIA EN SUCURSALES'!E8+'DISTRIBUCIÓN EN SUCURSALES'!E8</f>
        <v>2</v>
      </c>
      <c r="F8">
        <f>'EXISTENCIA EN SUCURSALES'!F8+'DISTRIBUCIÓN EN SUCURSALES'!F8</f>
        <v>2</v>
      </c>
      <c r="G8">
        <f>'EXISTENCIA EN SUCURSALES'!G8+'DISTRIBUCIÓN EN SUCURSALES'!G8</f>
        <v>0</v>
      </c>
      <c r="H8">
        <f>'EXISTENCIA EN SUCURSALES'!H8+'DISTRIBUCIÓN EN SUCURSALES'!H8</f>
        <v>2</v>
      </c>
      <c r="I8">
        <f>'EXISTENCIA EN SUCURSALES'!I8+'DISTRIBUCIÓN EN SUCURSALES'!I8</f>
        <v>1</v>
      </c>
      <c r="J8">
        <f>'EXISTENCIA EN SUCURSALES'!J8+'DISTRIBUCIÓN EN SUCURSALES'!J8</f>
        <v>4</v>
      </c>
      <c r="K8">
        <f>'EXISTENCIA EN SUCURSALES'!K8+'DISTRIBUCIÓN EN SUCURSALES'!K8</f>
        <v>3</v>
      </c>
      <c r="L8">
        <f>SUM(B8:K8)</f>
        <v>26</v>
      </c>
      <c r="M8">
        <f>'EXISTENCIA EN SUCURSALES'!M8+'DISTRIBUCIÓN EN SUCURSALES'!M8</f>
        <v>4</v>
      </c>
      <c r="N8">
        <f>'EXISTENCIA EN SUCURSALES'!N8+'DISTRIBUCIÓN EN SUCURSALES'!N8</f>
        <v>2</v>
      </c>
      <c r="O8">
        <f>'EXISTENCIA EN SUCURSALES'!O8+'DISTRIBUCIÓN EN SUCURSALES'!O8</f>
        <v>0</v>
      </c>
      <c r="P8">
        <f>'EXISTENCIA EN SUCURSALES'!P8+'DISTRIBUCIÓN EN SUCURSALES'!P8</f>
        <v>2</v>
      </c>
      <c r="Q8">
        <f>'EXISTENCIA EN SUCURSALES'!Q8+'DISTRIBUCIÓN EN SUCURSALES'!Q8</f>
        <v>6</v>
      </c>
      <c r="R8">
        <f>'EXISTENCIA EN SUCURSALES'!R8+'DISTRIBUCIÓN EN SUCURSALES'!R8</f>
        <v>3</v>
      </c>
      <c r="S8">
        <f>'EXISTENCIA EN SUCURSALES'!S8+'DISTRIBUCIÓN EN SUCURSALES'!S8</f>
        <v>3</v>
      </c>
      <c r="T8">
        <f>'EXISTENCIA EN SUCURSALES'!T8+'DISTRIBUCIÓN EN SUCURSALES'!T8</f>
        <v>2</v>
      </c>
      <c r="U8">
        <f>'EXISTENCIA EN SUCURSALES'!U8+'DISTRIBUCIÓN EN SUCURSALES'!U8</f>
        <v>2</v>
      </c>
      <c r="V8">
        <f>'EXISTENCIA EN SUCURSALES'!V8+'DISTRIBUCIÓN EN SUCURSALES'!V8</f>
        <v>2</v>
      </c>
      <c r="W8">
        <f>'EXISTENCIA EN SUCURSALES'!W8+'DISTRIBUCIÓN EN SUCURSALES'!W8</f>
        <v>3</v>
      </c>
      <c r="X8">
        <f>'EXISTENCIA EN SUCURSALES'!X8+'DISTRIBUCIÓN EN SUCURSALES'!X8</f>
        <v>2</v>
      </c>
      <c r="Y8">
        <f>SUM(M8:X8)</f>
        <v>31</v>
      </c>
      <c r="Z8">
        <f>L8+Y8</f>
        <v>57</v>
      </c>
      <c r="AB8">
        <f>IFERROR(VLOOKUP(A8,'GRAL. SUC. LOCALES'!$A:$N,14,0),0)</f>
        <v>10</v>
      </c>
      <c r="AD8">
        <f>AB8+Z8</f>
        <v>67</v>
      </c>
      <c r="AF8">
        <v>110</v>
      </c>
      <c r="AG8">
        <v>90</v>
      </c>
      <c r="AH8">
        <f>AD8-AF8</f>
        <v>-43</v>
      </c>
    </row>
    <row r="9">
      <c r="A9" t="str">
        <v>NUTELA GDE</v>
      </c>
      <c r="B9">
        <f>'EXISTENCIA EN SUCURSALES'!B9+'DISTRIBUCIÓN EN SUCURSALES'!B9</f>
        <v>2</v>
      </c>
      <c r="C9">
        <f>'EXISTENCIA EN SUCURSALES'!C9+'DISTRIBUCIÓN EN SUCURSALES'!C9</f>
        <v>2</v>
      </c>
      <c r="D9">
        <f>'EXISTENCIA EN SUCURSALES'!D9+'DISTRIBUCIÓN EN SUCURSALES'!D9</f>
        <v>2</v>
      </c>
      <c r="E9">
        <f>'EXISTENCIA EN SUCURSALES'!E9+'DISTRIBUCIÓN EN SUCURSALES'!E9</f>
        <v>2</v>
      </c>
      <c r="F9">
        <f>'EXISTENCIA EN SUCURSALES'!F9+'DISTRIBUCIÓN EN SUCURSALES'!F9</f>
        <v>2</v>
      </c>
      <c r="G9">
        <f>'EXISTENCIA EN SUCURSALES'!G9+'DISTRIBUCIÓN EN SUCURSALES'!G9</f>
        <v>0</v>
      </c>
      <c r="H9">
        <f>'EXISTENCIA EN SUCURSALES'!H9+'DISTRIBUCIÓN EN SUCURSALES'!H9</f>
        <v>1</v>
      </c>
      <c r="I9">
        <f>'EXISTENCIA EN SUCURSALES'!I9+'DISTRIBUCIÓN EN SUCURSALES'!I9</f>
        <v>1</v>
      </c>
      <c r="J9">
        <f>'EXISTENCIA EN SUCURSALES'!J9+'DISTRIBUCIÓN EN SUCURSALES'!J9</f>
        <v>2</v>
      </c>
      <c r="K9">
        <f>'EXISTENCIA EN SUCURSALES'!K9+'DISTRIBUCIÓN EN SUCURSALES'!K9</f>
        <v>2</v>
      </c>
      <c r="L9">
        <f>SUM(B9:K9)</f>
        <v>16</v>
      </c>
      <c r="M9">
        <f>'EXISTENCIA EN SUCURSALES'!M9+'DISTRIBUCIÓN EN SUCURSALES'!M9</f>
        <v>2</v>
      </c>
      <c r="N9">
        <f>'EXISTENCIA EN SUCURSALES'!N9+'DISTRIBUCIÓN EN SUCURSALES'!N9</f>
        <v>2</v>
      </c>
      <c r="O9">
        <f>'EXISTENCIA EN SUCURSALES'!O9+'DISTRIBUCIÓN EN SUCURSALES'!O9</f>
        <v>0</v>
      </c>
      <c r="P9">
        <f>'EXISTENCIA EN SUCURSALES'!P9+'DISTRIBUCIÓN EN SUCURSALES'!P9</f>
        <v>2</v>
      </c>
      <c r="Q9">
        <f>'EXISTENCIA EN SUCURSALES'!Q9+'DISTRIBUCIÓN EN SUCURSALES'!Q9</f>
        <v>2</v>
      </c>
      <c r="R9">
        <f>'EXISTENCIA EN SUCURSALES'!R9+'DISTRIBUCIÓN EN SUCURSALES'!R9</f>
        <v>0</v>
      </c>
      <c r="S9">
        <f>'EXISTENCIA EN SUCURSALES'!S9+'DISTRIBUCIÓN EN SUCURSALES'!S9</f>
        <v>2</v>
      </c>
      <c r="T9">
        <f>'EXISTENCIA EN SUCURSALES'!T9+'DISTRIBUCIÓN EN SUCURSALES'!T9</f>
        <v>2</v>
      </c>
      <c r="U9">
        <f>'EXISTENCIA EN SUCURSALES'!U9+'DISTRIBUCIÓN EN SUCURSALES'!U9</f>
        <v>1</v>
      </c>
      <c r="V9">
        <f>'EXISTENCIA EN SUCURSALES'!V9+'DISTRIBUCIÓN EN SUCURSALES'!V9</f>
        <v>1</v>
      </c>
      <c r="W9">
        <f>'EXISTENCIA EN SUCURSALES'!W9+'DISTRIBUCIÓN EN SUCURSALES'!W9</f>
        <v>2</v>
      </c>
      <c r="X9">
        <f>'EXISTENCIA EN SUCURSALES'!X9+'DISTRIBUCIÓN EN SUCURSALES'!X9</f>
        <v>1</v>
      </c>
      <c r="Y9">
        <f>SUM(M9:X9)</f>
        <v>17</v>
      </c>
      <c r="Z9">
        <f>L9+Y9</f>
        <v>33</v>
      </c>
      <c r="AB9">
        <f>IFERROR(VLOOKUP(A9,'GRAL. SUC. LOCALES'!$A:$N,14,0),0)</f>
        <v>4</v>
      </c>
      <c r="AD9">
        <f>AB9+Z9</f>
        <v>37</v>
      </c>
      <c r="AF9">
        <v>55</v>
      </c>
      <c r="AG9">
        <v>55</v>
      </c>
      <c r="AH9">
        <f>AD9-AF9</f>
        <v>-18</v>
      </c>
    </row>
    <row r="10">
      <c r="A10" t="str">
        <v>CHOCOLATE GDE</v>
      </c>
      <c r="B10">
        <f>'EXISTENCIA EN SUCURSALES'!B10+'DISTRIBUCIÓN EN SUCURSALES'!B10</f>
        <v>3</v>
      </c>
      <c r="C10">
        <f>'EXISTENCIA EN SUCURSALES'!C10+'DISTRIBUCIÓN EN SUCURSALES'!C10</f>
        <v>3</v>
      </c>
      <c r="D10">
        <f>'EXISTENCIA EN SUCURSALES'!D10+'DISTRIBUCIÓN EN SUCURSALES'!D10</f>
        <v>2</v>
      </c>
      <c r="E10">
        <f>'EXISTENCIA EN SUCURSALES'!E10+'DISTRIBUCIÓN EN SUCURSALES'!E10</f>
        <v>2</v>
      </c>
      <c r="F10">
        <f>'EXISTENCIA EN SUCURSALES'!F10+'DISTRIBUCIÓN EN SUCURSALES'!F10</f>
        <v>1</v>
      </c>
      <c r="G10">
        <f>'EXISTENCIA EN SUCURSALES'!G10+'DISTRIBUCIÓN EN SUCURSALES'!G10</f>
        <v>0</v>
      </c>
      <c r="H10">
        <f>'EXISTENCIA EN SUCURSALES'!H10+'DISTRIBUCIÓN EN SUCURSALES'!H10</f>
        <v>2</v>
      </c>
      <c r="I10">
        <f>'EXISTENCIA EN SUCURSALES'!I10+'DISTRIBUCIÓN EN SUCURSALES'!I10</f>
        <v>1</v>
      </c>
      <c r="J10">
        <f>'EXISTENCIA EN SUCURSALES'!J10+'DISTRIBUCIÓN EN SUCURSALES'!J10</f>
        <v>4</v>
      </c>
      <c r="K10">
        <f>'EXISTENCIA EN SUCURSALES'!K10+'DISTRIBUCIÓN EN SUCURSALES'!K10</f>
        <v>2</v>
      </c>
      <c r="L10">
        <f>SUM(B10:K10)</f>
        <v>20</v>
      </c>
      <c r="M10">
        <f>'EXISTENCIA EN SUCURSALES'!M10+'DISTRIBUCIÓN EN SUCURSALES'!M10</f>
        <v>3</v>
      </c>
      <c r="N10">
        <f>'EXISTENCIA EN SUCURSALES'!N10+'DISTRIBUCIÓN EN SUCURSALES'!N10</f>
        <v>2</v>
      </c>
      <c r="O10">
        <f>'EXISTENCIA EN SUCURSALES'!O10+'DISTRIBUCIÓN EN SUCURSALES'!O10</f>
        <v>1</v>
      </c>
      <c r="P10">
        <f>'EXISTENCIA EN SUCURSALES'!P10+'DISTRIBUCIÓN EN SUCURSALES'!P10</f>
        <v>2</v>
      </c>
      <c r="Q10">
        <f>'EXISTENCIA EN SUCURSALES'!Q10+'DISTRIBUCIÓN EN SUCURSALES'!Q10</f>
        <v>6</v>
      </c>
      <c r="R10">
        <f>'EXISTENCIA EN SUCURSALES'!R10+'DISTRIBUCIÓN EN SUCURSALES'!R10</f>
        <v>5</v>
      </c>
      <c r="S10">
        <f>'EXISTENCIA EN SUCURSALES'!S10+'DISTRIBUCIÓN EN SUCURSALES'!S10</f>
        <v>2</v>
      </c>
      <c r="T10">
        <f>'EXISTENCIA EN SUCURSALES'!T10+'DISTRIBUCIÓN EN SUCURSALES'!T10</f>
        <v>2</v>
      </c>
      <c r="U10">
        <f>'EXISTENCIA EN SUCURSALES'!U10+'DISTRIBUCIÓN EN SUCURSALES'!U10</f>
        <v>3</v>
      </c>
      <c r="V10">
        <f>'EXISTENCIA EN SUCURSALES'!V10+'DISTRIBUCIÓN EN SUCURSALES'!V10</f>
        <v>2</v>
      </c>
      <c r="W10">
        <f>'EXISTENCIA EN SUCURSALES'!W10+'DISTRIBUCIÓN EN SUCURSALES'!W10</f>
        <v>2</v>
      </c>
      <c r="X10">
        <f>'EXISTENCIA EN SUCURSALES'!X10+'DISTRIBUCIÓN EN SUCURSALES'!X10</f>
        <v>2</v>
      </c>
      <c r="Y10">
        <f>SUM(M10:X10)</f>
        <v>32</v>
      </c>
      <c r="Z10">
        <f>L10+Y10</f>
        <v>52</v>
      </c>
      <c r="AB10">
        <f>IFERROR(VLOOKUP(A10,'GRAL. SUC. LOCALES'!$A:$N,14,0),0)</f>
        <v>12</v>
      </c>
      <c r="AD10">
        <f>AB10+Z10</f>
        <v>64</v>
      </c>
      <c r="AF10">
        <v>90</v>
      </c>
      <c r="AG10">
        <v>80</v>
      </c>
      <c r="AH10">
        <f>AD10-AF10</f>
        <v>-26</v>
      </c>
    </row>
    <row r="11">
      <c r="A11" t="str">
        <v>M &amp; M GDE</v>
      </c>
      <c r="B11">
        <f>'EXISTENCIA EN SUCURSALES'!B11+'DISTRIBUCIÓN EN SUCURSALES'!B11</f>
        <v>2</v>
      </c>
      <c r="C11">
        <f>'EXISTENCIA EN SUCURSALES'!C11+'DISTRIBUCIÓN EN SUCURSALES'!C11</f>
        <v>2</v>
      </c>
      <c r="D11">
        <f>'EXISTENCIA EN SUCURSALES'!D11+'DISTRIBUCIÓN EN SUCURSALES'!D11</f>
        <v>2</v>
      </c>
      <c r="E11">
        <f>'EXISTENCIA EN SUCURSALES'!E11+'DISTRIBUCIÓN EN SUCURSALES'!E11</f>
        <v>1</v>
      </c>
      <c r="F11">
        <f>'EXISTENCIA EN SUCURSALES'!F11+'DISTRIBUCIÓN EN SUCURSALES'!F11</f>
        <v>2</v>
      </c>
      <c r="G11">
        <f>'EXISTENCIA EN SUCURSALES'!G11+'DISTRIBUCIÓN EN SUCURSALES'!G11</f>
        <v>0</v>
      </c>
      <c r="H11">
        <f>'EXISTENCIA EN SUCURSALES'!H11+'DISTRIBUCIÓN EN SUCURSALES'!H11</f>
        <v>2</v>
      </c>
      <c r="I11">
        <f>'EXISTENCIA EN SUCURSALES'!I11+'DISTRIBUCIÓN EN SUCURSALES'!I11</f>
        <v>1</v>
      </c>
      <c r="J11">
        <f>'EXISTENCIA EN SUCURSALES'!J11+'DISTRIBUCIÓN EN SUCURSALES'!J11</f>
        <v>2</v>
      </c>
      <c r="K11">
        <f>'EXISTENCIA EN SUCURSALES'!K11+'DISTRIBUCIÓN EN SUCURSALES'!K11</f>
        <v>2</v>
      </c>
      <c r="L11">
        <f>SUM(B11:K11)</f>
        <v>16</v>
      </c>
      <c r="M11">
        <f>'EXISTENCIA EN SUCURSALES'!M11+'DISTRIBUCIÓN EN SUCURSALES'!M11</f>
        <v>2</v>
      </c>
      <c r="N11">
        <f>'EXISTENCIA EN SUCURSALES'!N11+'DISTRIBUCIÓN EN SUCURSALES'!N11</f>
        <v>1</v>
      </c>
      <c r="O11">
        <f>'EXISTENCIA EN SUCURSALES'!O11+'DISTRIBUCIÓN EN SUCURSALES'!O11</f>
        <v>1</v>
      </c>
      <c r="P11">
        <f>'EXISTENCIA EN SUCURSALES'!P11+'DISTRIBUCIÓN EN SUCURSALES'!P11</f>
        <v>0</v>
      </c>
      <c r="Q11">
        <f>'EXISTENCIA EN SUCURSALES'!Q11+'DISTRIBUCIÓN EN SUCURSALES'!Q11</f>
        <v>3</v>
      </c>
      <c r="R11">
        <f>'EXISTENCIA EN SUCURSALES'!R11+'DISTRIBUCIÓN EN SUCURSALES'!R11</f>
        <v>3</v>
      </c>
      <c r="S11">
        <f>'EXISTENCIA EN SUCURSALES'!S11+'DISTRIBUCIÓN EN SUCURSALES'!S11</f>
        <v>3</v>
      </c>
      <c r="T11">
        <f>'EXISTENCIA EN SUCURSALES'!T11+'DISTRIBUCIÓN EN SUCURSALES'!T11</f>
        <v>3</v>
      </c>
      <c r="U11">
        <f>'EXISTENCIA EN SUCURSALES'!U11+'DISTRIBUCIÓN EN SUCURSALES'!U11</f>
        <v>0</v>
      </c>
      <c r="V11">
        <f>'EXISTENCIA EN SUCURSALES'!V11+'DISTRIBUCIÓN EN SUCURSALES'!V11</f>
        <v>0</v>
      </c>
      <c r="W11">
        <f>'EXISTENCIA EN SUCURSALES'!W11+'DISTRIBUCIÓN EN SUCURSALES'!W11</f>
        <v>1</v>
      </c>
      <c r="X11">
        <f>'EXISTENCIA EN SUCURSALES'!X11+'DISTRIBUCIÓN EN SUCURSALES'!X11</f>
        <v>2</v>
      </c>
      <c r="Y11">
        <f>SUM(M11:X11)</f>
        <v>19</v>
      </c>
      <c r="Z11">
        <f>L11+Y11</f>
        <v>35</v>
      </c>
      <c r="AB11">
        <f>IFERROR(VLOOKUP(A11,'GRAL. SUC. LOCALES'!$A:$N,14,0),0)</f>
        <v>4</v>
      </c>
      <c r="AD11">
        <f>AB11+Z11</f>
        <v>39</v>
      </c>
      <c r="AF11">
        <v>55</v>
      </c>
      <c r="AG11">
        <v>50</v>
      </c>
      <c r="AH11">
        <f>AD11-AF11</f>
        <v>-16</v>
      </c>
    </row>
    <row r="12">
      <c r="B12">
        <f>'EXISTENCIA EN SUCURSALES'!B12+'DISTRIBUCIÓN EN SUCURSALES'!B12</f>
        <v>0</v>
      </c>
      <c r="C12">
        <f>'EXISTENCIA EN SUCURSALES'!C12+'DISTRIBUCIÓN EN SUCURSALES'!C12</f>
        <v>0</v>
      </c>
      <c r="D12">
        <f>'EXISTENCIA EN SUCURSALES'!D12+'DISTRIBUCIÓN EN SUCURSALES'!D12</f>
        <v>0</v>
      </c>
      <c r="E12">
        <f>'EXISTENCIA EN SUCURSALES'!E12+'DISTRIBUCIÓN EN SUCURSALES'!E12</f>
        <v>0</v>
      </c>
      <c r="F12">
        <f>'EXISTENCIA EN SUCURSALES'!F12+'DISTRIBUCIÓN EN SUCURSALES'!F12</f>
        <v>0</v>
      </c>
      <c r="G12">
        <f>'EXISTENCIA EN SUCURSALES'!G12+'DISTRIBUCIÓN EN SUCURSALES'!G12</f>
        <v>0</v>
      </c>
      <c r="H12">
        <f>'EXISTENCIA EN SUCURSALES'!H12+'DISTRIBUCIÓN EN SUCURSALES'!H12</f>
        <v>0</v>
      </c>
      <c r="I12">
        <f>'EXISTENCIA EN SUCURSALES'!I12+'DISTRIBUCIÓN EN SUCURSALES'!I12</f>
        <v>0</v>
      </c>
      <c r="J12">
        <f>'EXISTENCIA EN SUCURSALES'!J12+'DISTRIBUCIÓN EN SUCURSALES'!J12</f>
        <v>0</v>
      </c>
      <c r="K12">
        <f>'EXISTENCIA EN SUCURSALES'!K12+'DISTRIBUCIÓN EN SUCURSALES'!K12</f>
        <v>0</v>
      </c>
      <c r="L12">
        <f>SUM(B12:K12)</f>
        <v>0</v>
      </c>
      <c r="M12">
        <f>'EXISTENCIA EN SUCURSALES'!M12+'DISTRIBUCIÓN EN SUCURSALES'!M12</f>
        <v>0</v>
      </c>
      <c r="N12">
        <f>'EXISTENCIA EN SUCURSALES'!N12+'DISTRIBUCIÓN EN SUCURSALES'!N12</f>
        <v>0</v>
      </c>
      <c r="O12">
        <f>'EXISTENCIA EN SUCURSALES'!O12+'DISTRIBUCIÓN EN SUCURSALES'!O12</f>
        <v>0</v>
      </c>
      <c r="P12">
        <f>'EXISTENCIA EN SUCURSALES'!P12+'DISTRIBUCIÓN EN SUCURSALES'!P12</f>
        <v>0</v>
      </c>
      <c r="Q12">
        <f>'EXISTENCIA EN SUCURSALES'!Q12+'DISTRIBUCIÓN EN SUCURSALES'!Q12</f>
        <v>0</v>
      </c>
      <c r="R12">
        <f>'EXISTENCIA EN SUCURSALES'!R12+'DISTRIBUCIÓN EN SUCURSALES'!R12</f>
        <v>0</v>
      </c>
      <c r="S12">
        <f>'EXISTENCIA EN SUCURSALES'!S12+'DISTRIBUCIÓN EN SUCURSALES'!S12</f>
        <v>0</v>
      </c>
      <c r="T12">
        <f>'EXISTENCIA EN SUCURSALES'!T12+'DISTRIBUCIÓN EN SUCURSALES'!T12</f>
        <v>0</v>
      </c>
      <c r="U12">
        <f>'EXISTENCIA EN SUCURSALES'!U12+'DISTRIBUCIÓN EN SUCURSALES'!U12</f>
        <v>0</v>
      </c>
      <c r="V12">
        <f>'EXISTENCIA EN SUCURSALES'!V12+'DISTRIBUCIÓN EN SUCURSALES'!V12</f>
        <v>0</v>
      </c>
      <c r="W12">
        <f>'EXISTENCIA EN SUCURSALES'!W12+'DISTRIBUCIÓN EN SUCURSALES'!W12</f>
        <v>0</v>
      </c>
      <c r="X12">
        <f>'EXISTENCIA EN SUCURSALES'!X12+'DISTRIBUCIÓN EN SUCURSALES'!X12</f>
        <v>0</v>
      </c>
      <c r="Y12">
        <f>SUM(M12:X12)</f>
        <v>0</v>
      </c>
      <c r="Z12">
        <f>L12+Y12</f>
        <v>0</v>
      </c>
      <c r="AB12">
        <f>IFERROR(VLOOKUP(A12,'GRAL. SUC. LOCALES'!$A:$N,14,0),0)</f>
        <v>0</v>
      </c>
      <c r="AD12">
        <f>AB12+Z12</f>
        <v>0</v>
      </c>
      <c r="AF12">
        <v>0</v>
      </c>
      <c r="AH12">
        <f>AD12-AF12</f>
        <v>0</v>
      </c>
    </row>
    <row r="13">
      <c r="B13">
        <f>'EXISTENCIA EN SUCURSALES'!B13+'DISTRIBUCIÓN EN SUCURSALES'!B13</f>
        <v>0</v>
      </c>
      <c r="C13">
        <f>'EXISTENCIA EN SUCURSALES'!C13+'DISTRIBUCIÓN EN SUCURSALES'!C13</f>
        <v>0</v>
      </c>
      <c r="D13">
        <f>'EXISTENCIA EN SUCURSALES'!D13+'DISTRIBUCIÓN EN SUCURSALES'!D13</f>
        <v>0</v>
      </c>
      <c r="E13">
        <f>'EXISTENCIA EN SUCURSALES'!E13+'DISTRIBUCIÓN EN SUCURSALES'!E13</f>
        <v>0</v>
      </c>
      <c r="F13">
        <f>'EXISTENCIA EN SUCURSALES'!F13+'DISTRIBUCIÓN EN SUCURSALES'!F13</f>
        <v>0</v>
      </c>
      <c r="G13">
        <f>'EXISTENCIA EN SUCURSALES'!G13+'DISTRIBUCIÓN EN SUCURSALES'!G13</f>
        <v>0</v>
      </c>
      <c r="H13">
        <f>'EXISTENCIA EN SUCURSALES'!H13+'DISTRIBUCIÓN EN SUCURSALES'!H13</f>
        <v>0</v>
      </c>
      <c r="I13">
        <f>'EXISTENCIA EN SUCURSALES'!I13+'DISTRIBUCIÓN EN SUCURSALES'!I13</f>
        <v>0</v>
      </c>
      <c r="J13">
        <f>'EXISTENCIA EN SUCURSALES'!J13+'DISTRIBUCIÓN EN SUCURSALES'!J13</f>
        <v>0</v>
      </c>
      <c r="K13">
        <f>'EXISTENCIA EN SUCURSALES'!K13+'DISTRIBUCIÓN EN SUCURSALES'!K13</f>
        <v>0</v>
      </c>
      <c r="L13">
        <f>SUM(B13:K13)</f>
        <v>0</v>
      </c>
      <c r="M13">
        <f>'EXISTENCIA EN SUCURSALES'!M13+'DISTRIBUCIÓN EN SUCURSALES'!M13</f>
        <v>0</v>
      </c>
      <c r="N13">
        <f>'EXISTENCIA EN SUCURSALES'!N13+'DISTRIBUCIÓN EN SUCURSALES'!N13</f>
        <v>0</v>
      </c>
      <c r="O13">
        <f>'EXISTENCIA EN SUCURSALES'!O13+'DISTRIBUCIÓN EN SUCURSALES'!O13</f>
        <v>0</v>
      </c>
      <c r="P13">
        <f>'EXISTENCIA EN SUCURSALES'!P13+'DISTRIBUCIÓN EN SUCURSALES'!P13</f>
        <v>0</v>
      </c>
      <c r="Q13">
        <f>'EXISTENCIA EN SUCURSALES'!Q13+'DISTRIBUCIÓN EN SUCURSALES'!Q13</f>
        <v>0</v>
      </c>
      <c r="R13">
        <f>'EXISTENCIA EN SUCURSALES'!R13+'DISTRIBUCIÓN EN SUCURSALES'!R13</f>
        <v>0</v>
      </c>
      <c r="S13">
        <f>'EXISTENCIA EN SUCURSALES'!S13+'DISTRIBUCIÓN EN SUCURSALES'!S13</f>
        <v>0</v>
      </c>
      <c r="T13">
        <f>'EXISTENCIA EN SUCURSALES'!T13+'DISTRIBUCIÓN EN SUCURSALES'!T13</f>
        <v>0</v>
      </c>
      <c r="U13">
        <f>'EXISTENCIA EN SUCURSALES'!U13+'DISTRIBUCIÓN EN SUCURSALES'!U13</f>
        <v>0</v>
      </c>
      <c r="V13">
        <f>'EXISTENCIA EN SUCURSALES'!V13+'DISTRIBUCIÓN EN SUCURSALES'!V13</f>
        <v>0</v>
      </c>
      <c r="W13">
        <f>'EXISTENCIA EN SUCURSALES'!W13+'DISTRIBUCIÓN EN SUCURSALES'!W13</f>
        <v>0</v>
      </c>
      <c r="X13">
        <f>'EXISTENCIA EN SUCURSALES'!X13+'DISTRIBUCIÓN EN SUCURSALES'!X13</f>
        <v>0</v>
      </c>
      <c r="Y13">
        <f>SUM(M13:X13)</f>
        <v>0</v>
      </c>
      <c r="Z13">
        <f>L13+Y13</f>
        <v>0</v>
      </c>
      <c r="AB13">
        <f>IFERROR(VLOOKUP(A13,'GRAL. SUC. LOCALES'!$A:$N,14,0),0)</f>
        <v>0</v>
      </c>
      <c r="AD13">
        <f>AB13+Z13</f>
        <v>0</v>
      </c>
      <c r="AF13">
        <v>0</v>
      </c>
      <c r="AH13">
        <f>AD13-AF13</f>
        <v>0</v>
      </c>
    </row>
    <row r="14">
      <c r="B14">
        <f>'EXISTENCIA EN SUCURSALES'!B14+'DISTRIBUCIÓN EN SUCURSALES'!B14</f>
        <v>0</v>
      </c>
      <c r="C14">
        <f>'EXISTENCIA EN SUCURSALES'!C14+'DISTRIBUCIÓN EN SUCURSALES'!C14</f>
        <v>0</v>
      </c>
      <c r="D14">
        <f>'EXISTENCIA EN SUCURSALES'!D14+'DISTRIBUCIÓN EN SUCURSALES'!D14</f>
        <v>0</v>
      </c>
      <c r="E14">
        <f>'EXISTENCIA EN SUCURSALES'!E14+'DISTRIBUCIÓN EN SUCURSALES'!E14</f>
        <v>0</v>
      </c>
      <c r="F14">
        <f>'EXISTENCIA EN SUCURSALES'!F14+'DISTRIBUCIÓN EN SUCURSALES'!F14</f>
        <v>0</v>
      </c>
      <c r="G14">
        <f>'EXISTENCIA EN SUCURSALES'!G14+'DISTRIBUCIÓN EN SUCURSALES'!G14</f>
        <v>0</v>
      </c>
      <c r="H14">
        <f>'EXISTENCIA EN SUCURSALES'!H14+'DISTRIBUCIÓN EN SUCURSALES'!H14</f>
        <v>0</v>
      </c>
      <c r="I14">
        <f>'EXISTENCIA EN SUCURSALES'!I14+'DISTRIBUCIÓN EN SUCURSALES'!I14</f>
        <v>0</v>
      </c>
      <c r="J14">
        <f>'EXISTENCIA EN SUCURSALES'!J14+'DISTRIBUCIÓN EN SUCURSALES'!J14</f>
        <v>0</v>
      </c>
      <c r="K14">
        <f>'EXISTENCIA EN SUCURSALES'!K14+'DISTRIBUCIÓN EN SUCURSALES'!K14</f>
        <v>0</v>
      </c>
      <c r="L14">
        <f>SUM(B14:K14)</f>
        <v>0</v>
      </c>
      <c r="M14">
        <f>'EXISTENCIA EN SUCURSALES'!M14+'DISTRIBUCIÓN EN SUCURSALES'!M14</f>
        <v>0</v>
      </c>
      <c r="N14">
        <f>'EXISTENCIA EN SUCURSALES'!N14+'DISTRIBUCIÓN EN SUCURSALES'!N14</f>
        <v>0</v>
      </c>
      <c r="O14">
        <f>'EXISTENCIA EN SUCURSALES'!O14+'DISTRIBUCIÓN EN SUCURSALES'!O14</f>
        <v>0</v>
      </c>
      <c r="P14">
        <f>'EXISTENCIA EN SUCURSALES'!P14+'DISTRIBUCIÓN EN SUCURSALES'!P14</f>
        <v>0</v>
      </c>
      <c r="Q14">
        <f>'EXISTENCIA EN SUCURSALES'!Q14+'DISTRIBUCIÓN EN SUCURSALES'!Q14</f>
        <v>0</v>
      </c>
      <c r="R14">
        <f>'EXISTENCIA EN SUCURSALES'!R14+'DISTRIBUCIÓN EN SUCURSALES'!R14</f>
        <v>0</v>
      </c>
      <c r="S14">
        <f>'EXISTENCIA EN SUCURSALES'!S14+'DISTRIBUCIÓN EN SUCURSALES'!S14</f>
        <v>0</v>
      </c>
      <c r="T14">
        <f>'EXISTENCIA EN SUCURSALES'!T14+'DISTRIBUCIÓN EN SUCURSALES'!T14</f>
        <v>0</v>
      </c>
      <c r="U14">
        <f>'EXISTENCIA EN SUCURSALES'!U14+'DISTRIBUCIÓN EN SUCURSALES'!U14</f>
        <v>0</v>
      </c>
      <c r="V14">
        <f>'EXISTENCIA EN SUCURSALES'!V14+'DISTRIBUCIÓN EN SUCURSALES'!V14</f>
        <v>0</v>
      </c>
      <c r="W14">
        <f>'EXISTENCIA EN SUCURSALES'!W14+'DISTRIBUCIÓN EN SUCURSALES'!W14</f>
        <v>0</v>
      </c>
      <c r="X14">
        <f>'EXISTENCIA EN SUCURSALES'!X14+'DISTRIBUCIÓN EN SUCURSALES'!X14</f>
        <v>0</v>
      </c>
      <c r="Y14">
        <f>SUM(M14:X14)</f>
        <v>0</v>
      </c>
      <c r="Z14">
        <f>L14+Y14</f>
        <v>0</v>
      </c>
      <c r="AB14">
        <f>IFERROR(VLOOKUP(A14,'GRAL. SUC. LOCALES'!$A:$N,14,0),0)</f>
        <v>0</v>
      </c>
      <c r="AD14">
        <f>AB14+Z14</f>
        <v>0</v>
      </c>
      <c r="AF14">
        <v>0</v>
      </c>
      <c r="AH14">
        <f>AD14-AF14</f>
        <v>0</v>
      </c>
    </row>
    <row r="15">
      <c r="B15">
        <f>'EXISTENCIA EN SUCURSALES'!B15+'DISTRIBUCIÓN EN SUCURSALES'!B15</f>
        <v>0</v>
      </c>
      <c r="C15">
        <f>'EXISTENCIA EN SUCURSALES'!C15+'DISTRIBUCIÓN EN SUCURSALES'!C15</f>
        <v>0</v>
      </c>
      <c r="D15">
        <f>'EXISTENCIA EN SUCURSALES'!D15+'DISTRIBUCIÓN EN SUCURSALES'!D15</f>
        <v>0</v>
      </c>
      <c r="E15">
        <f>'EXISTENCIA EN SUCURSALES'!E15+'DISTRIBUCIÓN EN SUCURSALES'!E15</f>
        <v>0</v>
      </c>
      <c r="F15">
        <f>'EXISTENCIA EN SUCURSALES'!F15+'DISTRIBUCIÓN EN SUCURSALES'!F15</f>
        <v>0</v>
      </c>
      <c r="G15">
        <f>'EXISTENCIA EN SUCURSALES'!G15+'DISTRIBUCIÓN EN SUCURSALES'!G15</f>
        <v>0</v>
      </c>
      <c r="H15">
        <f>'EXISTENCIA EN SUCURSALES'!H15+'DISTRIBUCIÓN EN SUCURSALES'!H15</f>
        <v>0</v>
      </c>
      <c r="I15">
        <f>'EXISTENCIA EN SUCURSALES'!I15+'DISTRIBUCIÓN EN SUCURSALES'!I15</f>
        <v>0</v>
      </c>
      <c r="J15">
        <f>'EXISTENCIA EN SUCURSALES'!J15+'DISTRIBUCIÓN EN SUCURSALES'!J15</f>
        <v>0</v>
      </c>
      <c r="K15">
        <f>'EXISTENCIA EN SUCURSALES'!K15+'DISTRIBUCIÓN EN SUCURSALES'!K15</f>
        <v>0</v>
      </c>
      <c r="L15">
        <f>SUM(B15:K15)</f>
        <v>0</v>
      </c>
      <c r="M15">
        <f>'EXISTENCIA EN SUCURSALES'!M15+'DISTRIBUCIÓN EN SUCURSALES'!M15</f>
        <v>0</v>
      </c>
      <c r="N15">
        <f>'EXISTENCIA EN SUCURSALES'!N15+'DISTRIBUCIÓN EN SUCURSALES'!N15</f>
        <v>0</v>
      </c>
      <c r="O15">
        <f>'EXISTENCIA EN SUCURSALES'!O15+'DISTRIBUCIÓN EN SUCURSALES'!O15</f>
        <v>0</v>
      </c>
      <c r="P15">
        <f>'EXISTENCIA EN SUCURSALES'!P15+'DISTRIBUCIÓN EN SUCURSALES'!P15</f>
        <v>0</v>
      </c>
      <c r="Q15">
        <f>'EXISTENCIA EN SUCURSALES'!Q15+'DISTRIBUCIÓN EN SUCURSALES'!Q15</f>
        <v>0</v>
      </c>
      <c r="R15">
        <f>'EXISTENCIA EN SUCURSALES'!R15+'DISTRIBUCIÓN EN SUCURSALES'!R15</f>
        <v>0</v>
      </c>
      <c r="S15">
        <f>'EXISTENCIA EN SUCURSALES'!S15+'DISTRIBUCIÓN EN SUCURSALES'!S15</f>
        <v>0</v>
      </c>
      <c r="T15">
        <f>'EXISTENCIA EN SUCURSALES'!T15+'DISTRIBUCIÓN EN SUCURSALES'!T15</f>
        <v>0</v>
      </c>
      <c r="U15">
        <f>'EXISTENCIA EN SUCURSALES'!U15+'DISTRIBUCIÓN EN SUCURSALES'!U15</f>
        <v>0</v>
      </c>
      <c r="V15">
        <f>'EXISTENCIA EN SUCURSALES'!V15+'DISTRIBUCIÓN EN SUCURSALES'!V15</f>
        <v>0</v>
      </c>
      <c r="W15">
        <f>'EXISTENCIA EN SUCURSALES'!W15+'DISTRIBUCIÓN EN SUCURSALES'!W15</f>
        <v>0</v>
      </c>
      <c r="X15">
        <f>'EXISTENCIA EN SUCURSALES'!X15+'DISTRIBUCIÓN EN SUCURSALES'!X15</f>
        <v>0</v>
      </c>
      <c r="Y15">
        <f>SUM(M15:X15)</f>
        <v>0</v>
      </c>
      <c r="Z15">
        <f>L15+Y15</f>
        <v>0</v>
      </c>
      <c r="AB15">
        <f>IFERROR(VLOOKUP(A15,'GRAL. SUC. LOCALES'!$A:$N,14,0),0)</f>
        <v>0</v>
      </c>
      <c r="AD15">
        <f>AB15+Z15</f>
        <v>0</v>
      </c>
      <c r="AF15">
        <v>0</v>
      </c>
      <c r="AH15">
        <f>AD15-AF15</f>
        <v>0</v>
      </c>
    </row>
    <row r="16">
      <c r="B16">
        <f>'EXISTENCIA EN SUCURSALES'!B16+'DISTRIBUCIÓN EN SUCURSALES'!B16</f>
        <v>0</v>
      </c>
      <c r="C16">
        <f>'EXISTENCIA EN SUCURSALES'!C16+'DISTRIBUCIÓN EN SUCURSALES'!C16</f>
        <v>0</v>
      </c>
      <c r="D16">
        <f>'EXISTENCIA EN SUCURSALES'!D16+'DISTRIBUCIÓN EN SUCURSALES'!D16</f>
        <v>0</v>
      </c>
      <c r="E16">
        <f>'EXISTENCIA EN SUCURSALES'!E16+'DISTRIBUCIÓN EN SUCURSALES'!E16</f>
        <v>0</v>
      </c>
      <c r="F16">
        <f>'EXISTENCIA EN SUCURSALES'!F16+'DISTRIBUCIÓN EN SUCURSALES'!F16</f>
        <v>0</v>
      </c>
      <c r="G16">
        <f>'EXISTENCIA EN SUCURSALES'!G16+'DISTRIBUCIÓN EN SUCURSALES'!G16</f>
        <v>0</v>
      </c>
      <c r="H16">
        <f>'EXISTENCIA EN SUCURSALES'!H16+'DISTRIBUCIÓN EN SUCURSALES'!H16</f>
        <v>0</v>
      </c>
      <c r="I16">
        <f>'EXISTENCIA EN SUCURSALES'!I16+'DISTRIBUCIÓN EN SUCURSALES'!I16</f>
        <v>0</v>
      </c>
      <c r="J16">
        <f>'EXISTENCIA EN SUCURSALES'!J16+'DISTRIBUCIÓN EN SUCURSALES'!J16</f>
        <v>0</v>
      </c>
      <c r="K16">
        <f>'EXISTENCIA EN SUCURSALES'!K16+'DISTRIBUCIÓN EN SUCURSALES'!K16</f>
        <v>0</v>
      </c>
      <c r="L16">
        <f>SUM(B16:K16)</f>
        <v>0</v>
      </c>
      <c r="M16">
        <f>'EXISTENCIA EN SUCURSALES'!M16+'DISTRIBUCIÓN EN SUCURSALES'!M16</f>
        <v>0</v>
      </c>
      <c r="N16">
        <f>'EXISTENCIA EN SUCURSALES'!N16+'DISTRIBUCIÓN EN SUCURSALES'!N16</f>
        <v>0</v>
      </c>
      <c r="O16">
        <f>'EXISTENCIA EN SUCURSALES'!O16+'DISTRIBUCIÓN EN SUCURSALES'!O16</f>
        <v>0</v>
      </c>
      <c r="P16">
        <f>'EXISTENCIA EN SUCURSALES'!P16+'DISTRIBUCIÓN EN SUCURSALES'!P16</f>
        <v>0</v>
      </c>
      <c r="Q16">
        <f>'EXISTENCIA EN SUCURSALES'!Q16+'DISTRIBUCIÓN EN SUCURSALES'!Q16</f>
        <v>0</v>
      </c>
      <c r="R16">
        <f>'EXISTENCIA EN SUCURSALES'!R16+'DISTRIBUCIÓN EN SUCURSALES'!R16</f>
        <v>0</v>
      </c>
      <c r="S16">
        <f>'EXISTENCIA EN SUCURSALES'!S16+'DISTRIBUCIÓN EN SUCURSALES'!S16</f>
        <v>0</v>
      </c>
      <c r="T16">
        <f>'EXISTENCIA EN SUCURSALES'!T16+'DISTRIBUCIÓN EN SUCURSALES'!T16</f>
        <v>0</v>
      </c>
      <c r="U16">
        <f>'EXISTENCIA EN SUCURSALES'!U16+'DISTRIBUCIÓN EN SUCURSALES'!U16</f>
        <v>0</v>
      </c>
      <c r="V16">
        <f>'EXISTENCIA EN SUCURSALES'!V16+'DISTRIBUCIÓN EN SUCURSALES'!V16</f>
        <v>0</v>
      </c>
      <c r="W16">
        <f>'EXISTENCIA EN SUCURSALES'!W16+'DISTRIBUCIÓN EN SUCURSALES'!W16</f>
        <v>0</v>
      </c>
      <c r="X16">
        <f>'EXISTENCIA EN SUCURSALES'!X16+'DISTRIBUCIÓN EN SUCURSALES'!X16</f>
        <v>0</v>
      </c>
      <c r="Y16">
        <f>SUM(M16:X16)</f>
        <v>0</v>
      </c>
      <c r="Z16">
        <f>L16+Y16</f>
        <v>0</v>
      </c>
      <c r="AB16">
        <f>IFERROR(VLOOKUP(A16,'GRAL. SUC. LOCALES'!$A:$N,14,0),0)</f>
        <v>0</v>
      </c>
      <c r="AD16">
        <f>AB16+Z16</f>
        <v>0</v>
      </c>
      <c r="AF16">
        <v>0</v>
      </c>
      <c r="AH16">
        <f>AD16-AF16</f>
        <v>0</v>
      </c>
    </row>
    <row r="17">
      <c r="B17">
        <f>'EXISTENCIA EN SUCURSALES'!B17+'DISTRIBUCIÓN EN SUCURSALES'!B17</f>
        <v>0</v>
      </c>
      <c r="C17">
        <f>'EXISTENCIA EN SUCURSALES'!C17+'DISTRIBUCIÓN EN SUCURSALES'!C17</f>
        <v>0</v>
      </c>
      <c r="D17">
        <f>'EXISTENCIA EN SUCURSALES'!D17+'DISTRIBUCIÓN EN SUCURSALES'!D17</f>
        <v>0</v>
      </c>
      <c r="E17">
        <f>'EXISTENCIA EN SUCURSALES'!E17+'DISTRIBUCIÓN EN SUCURSALES'!E17</f>
        <v>0</v>
      </c>
      <c r="F17">
        <f>'EXISTENCIA EN SUCURSALES'!F17+'DISTRIBUCIÓN EN SUCURSALES'!F17</f>
        <v>0</v>
      </c>
      <c r="G17">
        <f>'EXISTENCIA EN SUCURSALES'!G17+'DISTRIBUCIÓN EN SUCURSALES'!G17</f>
        <v>0</v>
      </c>
      <c r="H17">
        <f>'EXISTENCIA EN SUCURSALES'!H17+'DISTRIBUCIÓN EN SUCURSALES'!H17</f>
        <v>0</v>
      </c>
      <c r="I17">
        <f>'EXISTENCIA EN SUCURSALES'!I17+'DISTRIBUCIÓN EN SUCURSALES'!I17</f>
        <v>0</v>
      </c>
      <c r="J17">
        <f>'EXISTENCIA EN SUCURSALES'!J17+'DISTRIBUCIÓN EN SUCURSALES'!J17</f>
        <v>0</v>
      </c>
      <c r="K17">
        <f>'EXISTENCIA EN SUCURSALES'!K17+'DISTRIBUCIÓN EN SUCURSALES'!K17</f>
        <v>0</v>
      </c>
      <c r="L17">
        <f>SUM(B17:K17)</f>
        <v>0</v>
      </c>
      <c r="M17">
        <f>'EXISTENCIA EN SUCURSALES'!M17+'DISTRIBUCIÓN EN SUCURSALES'!M17</f>
        <v>0</v>
      </c>
      <c r="N17">
        <f>'EXISTENCIA EN SUCURSALES'!N17+'DISTRIBUCIÓN EN SUCURSALES'!N17</f>
        <v>0</v>
      </c>
      <c r="O17">
        <f>'EXISTENCIA EN SUCURSALES'!O17+'DISTRIBUCIÓN EN SUCURSALES'!O17</f>
        <v>0</v>
      </c>
      <c r="P17">
        <f>'EXISTENCIA EN SUCURSALES'!P17+'DISTRIBUCIÓN EN SUCURSALES'!P17</f>
        <v>0</v>
      </c>
      <c r="Q17">
        <f>'EXISTENCIA EN SUCURSALES'!Q17+'DISTRIBUCIÓN EN SUCURSALES'!Q17</f>
        <v>0</v>
      </c>
      <c r="R17">
        <f>'EXISTENCIA EN SUCURSALES'!R17+'DISTRIBUCIÓN EN SUCURSALES'!R17</f>
        <v>0</v>
      </c>
      <c r="S17">
        <f>'EXISTENCIA EN SUCURSALES'!S17+'DISTRIBUCIÓN EN SUCURSALES'!S17</f>
        <v>0</v>
      </c>
      <c r="T17">
        <f>'EXISTENCIA EN SUCURSALES'!T17+'DISTRIBUCIÓN EN SUCURSALES'!T17</f>
        <v>0</v>
      </c>
      <c r="U17">
        <f>'EXISTENCIA EN SUCURSALES'!U17+'DISTRIBUCIÓN EN SUCURSALES'!U17</f>
        <v>0</v>
      </c>
      <c r="V17">
        <f>'EXISTENCIA EN SUCURSALES'!V17+'DISTRIBUCIÓN EN SUCURSALES'!V17</f>
        <v>0</v>
      </c>
      <c r="W17">
        <f>'EXISTENCIA EN SUCURSALES'!W17+'DISTRIBUCIÓN EN SUCURSALES'!W17</f>
        <v>0</v>
      </c>
      <c r="X17">
        <f>'EXISTENCIA EN SUCURSALES'!X17+'DISTRIBUCIÓN EN SUCURSALES'!X17</f>
        <v>0</v>
      </c>
      <c r="Y17">
        <f>SUM(M17:X17)</f>
        <v>0</v>
      </c>
      <c r="Z17">
        <f>L17+Y17</f>
        <v>0</v>
      </c>
      <c r="AB17">
        <f>IFERROR(VLOOKUP(A17,'GRAL. SUC. LOCALES'!$A:$N,14,0),0)</f>
        <v>0</v>
      </c>
      <c r="AD17">
        <f>AB17+Z17</f>
        <v>0</v>
      </c>
      <c r="AF17">
        <v>0</v>
      </c>
      <c r="AH17">
        <f>AD17-AF17</f>
        <v>0</v>
      </c>
    </row>
    <row r="18">
      <c r="A18" t="str">
        <v xml:space="preserve">3 LECHES GRANDES </v>
      </c>
      <c r="B18">
        <f>SUM(B3:B17)</f>
        <v>24</v>
      </c>
      <c r="C18">
        <f>SUM(C3:C17)</f>
        <v>23</v>
      </c>
      <c r="D18">
        <f>SUM(D3:D17)</f>
        <v>21</v>
      </c>
      <c r="E18">
        <f>SUM(E3:E17)</f>
        <v>17</v>
      </c>
      <c r="F18">
        <f>SUM(F3:F17)</f>
        <v>14</v>
      </c>
      <c r="G18">
        <f>SUM(G3:G17)</f>
        <v>0</v>
      </c>
      <c r="H18">
        <f>SUM(H3:H17)</f>
        <v>14</v>
      </c>
      <c r="I18">
        <f>SUM(I3:I17)</f>
        <v>10</v>
      </c>
      <c r="J18">
        <f>SUM(J3:J17)</f>
        <v>24</v>
      </c>
      <c r="K18">
        <f>SUM(K3:K17)</f>
        <v>20</v>
      </c>
      <c r="L18">
        <f>SUM(L3:L17)</f>
        <v>167</v>
      </c>
      <c r="M18">
        <f>SUM(M3:M17)</f>
        <v>22</v>
      </c>
      <c r="N18">
        <f>SUM(N3:N17)</f>
        <v>15</v>
      </c>
      <c r="O18">
        <f>SUM(O3:O17)</f>
        <v>6</v>
      </c>
      <c r="P18">
        <f>SUM(P3:P17)</f>
        <v>14</v>
      </c>
      <c r="Q18">
        <f>SUM(Q3:Q17)</f>
        <v>36</v>
      </c>
      <c r="R18">
        <f>SUM(R3:R17)</f>
        <v>24</v>
      </c>
      <c r="S18">
        <f>SUM(S3:S17)</f>
        <v>22</v>
      </c>
      <c r="T18">
        <f>SUM(T3:T17)</f>
        <v>20</v>
      </c>
      <c r="U18">
        <f>SUM(U3:U17)</f>
        <v>9</v>
      </c>
      <c r="V18">
        <f>SUM(V3:V17)</f>
        <v>10</v>
      </c>
      <c r="W18">
        <f>SUM(W3:W17)</f>
        <v>13</v>
      </c>
      <c r="X18">
        <f>SUM(X3:X17)</f>
        <v>11</v>
      </c>
      <c r="Y18">
        <f>SUM(Y3:Y17)</f>
        <v>202</v>
      </c>
      <c r="Z18">
        <f>SUM(Z3:Z17)</f>
        <v>369</v>
      </c>
      <c r="AB18">
        <f>SUM(AB3:AB17)</f>
        <v>79</v>
      </c>
      <c r="AD18">
        <f>AB18+Z18</f>
        <v>448</v>
      </c>
      <c r="AF18">
        <f>SUM(AF3:AF17)</f>
        <v>630</v>
      </c>
      <c r="AG18">
        <f>SUM(AG3:AG17)</f>
        <v>555</v>
      </c>
      <c r="AH18">
        <f>AD18-AF18</f>
        <v>-182</v>
      </c>
    </row>
    <row r="19">
      <c r="A19" t="str">
        <v>TRES LECHES MEDIANO</v>
      </c>
      <c r="B19">
        <f>'EXISTENCIA EN SUCURSALES'!B19+'DISTRIBUCIÓN EN SUCURSALES'!B19</f>
        <v>2</v>
      </c>
      <c r="C19">
        <f>'EXISTENCIA EN SUCURSALES'!C19+'DISTRIBUCIÓN EN SUCURSALES'!C19</f>
        <v>2</v>
      </c>
      <c r="D19">
        <f>'EXISTENCIA EN SUCURSALES'!D19+'DISTRIBUCIÓN EN SUCURSALES'!D19</f>
        <v>2</v>
      </c>
      <c r="E19">
        <f>'EXISTENCIA EN SUCURSALES'!E19+'DISTRIBUCIÓN EN SUCURSALES'!E19</f>
        <v>0</v>
      </c>
      <c r="F19">
        <f>'EXISTENCIA EN SUCURSALES'!F19+'DISTRIBUCIÓN EN SUCURSALES'!F19</f>
        <v>1</v>
      </c>
      <c r="G19">
        <f>'EXISTENCIA EN SUCURSALES'!G19+'DISTRIBUCIÓN EN SUCURSALES'!G19</f>
        <v>0</v>
      </c>
      <c r="H19">
        <f>'EXISTENCIA EN SUCURSALES'!H19+'DISTRIBUCIÓN EN SUCURSALES'!H19</f>
        <v>1</v>
      </c>
      <c r="I19">
        <f>'EXISTENCIA EN SUCURSALES'!I19+'DISTRIBUCIÓN EN SUCURSALES'!I19</f>
        <v>1</v>
      </c>
      <c r="J19">
        <f>'EXISTENCIA EN SUCURSALES'!J19+'DISTRIBUCIÓN EN SUCURSALES'!J19</f>
        <v>2</v>
      </c>
      <c r="K19">
        <f>'EXISTENCIA EN SUCURSALES'!K19+'DISTRIBUCIÓN EN SUCURSALES'!K19</f>
        <v>1</v>
      </c>
      <c r="L19">
        <f>SUM(B19:K19)</f>
        <v>12</v>
      </c>
      <c r="M19">
        <f>'EXISTENCIA EN SUCURSALES'!M19+'DISTRIBUCIÓN EN SUCURSALES'!M19</f>
        <v>4</v>
      </c>
      <c r="N19">
        <f>'EXISTENCIA EN SUCURSALES'!N19+'DISTRIBUCIÓN EN SUCURSALES'!N19</f>
        <v>2</v>
      </c>
      <c r="O19">
        <f>'EXISTENCIA EN SUCURSALES'!O19+'DISTRIBUCIÓN EN SUCURSALES'!O19</f>
        <v>1</v>
      </c>
      <c r="P19">
        <f>'EXISTENCIA EN SUCURSALES'!P19+'DISTRIBUCIÓN EN SUCURSALES'!P19</f>
        <v>1</v>
      </c>
      <c r="Q19">
        <f>'EXISTENCIA EN SUCURSALES'!Q19+'DISTRIBUCIÓN EN SUCURSALES'!Q19</f>
        <v>4</v>
      </c>
      <c r="R19">
        <f>'EXISTENCIA EN SUCURSALES'!R19+'DISTRIBUCIÓN EN SUCURSALES'!R19</f>
        <v>4</v>
      </c>
      <c r="S19">
        <f>'EXISTENCIA EN SUCURSALES'!S19+'DISTRIBUCIÓN EN SUCURSALES'!S19</f>
        <v>2</v>
      </c>
      <c r="T19">
        <f>'EXISTENCIA EN SUCURSALES'!T19+'DISTRIBUCIÓN EN SUCURSALES'!T19</f>
        <v>3</v>
      </c>
      <c r="U19">
        <f>'EXISTENCIA EN SUCURSALES'!U19+'DISTRIBUCIÓN EN SUCURSALES'!U19</f>
        <v>0</v>
      </c>
      <c r="V19">
        <f>'EXISTENCIA EN SUCURSALES'!V19+'DISTRIBUCIÓN EN SUCURSALES'!V19</f>
        <v>3</v>
      </c>
      <c r="W19">
        <f>'EXISTENCIA EN SUCURSALES'!W19+'DISTRIBUCIÓN EN SUCURSALES'!W19</f>
        <v>2</v>
      </c>
      <c r="X19">
        <f>'EXISTENCIA EN SUCURSALES'!X19+'DISTRIBUCIÓN EN SUCURSALES'!X19</f>
        <v>2</v>
      </c>
      <c r="Y19">
        <f>SUM(M19:X19)</f>
        <v>28</v>
      </c>
      <c r="Z19">
        <f>L19+Y19</f>
        <v>40</v>
      </c>
      <c r="AB19">
        <f>IFERROR(VLOOKUP(A19,'GRAL. SUC. LOCALES'!$A:$N,14,0),0)</f>
        <v>7</v>
      </c>
      <c r="AD19">
        <f>AB19+Z19</f>
        <v>47</v>
      </c>
      <c r="AF19">
        <v>50</v>
      </c>
      <c r="AG19">
        <v>50</v>
      </c>
      <c r="AH19">
        <f>AD19-AF19</f>
        <v>-3</v>
      </c>
    </row>
    <row r="20">
      <c r="A20" t="str">
        <v>FRUTAS MED</v>
      </c>
      <c r="B20">
        <f>'EXISTENCIA EN SUCURSALES'!B20+'DISTRIBUCIÓN EN SUCURSALES'!B20</f>
        <v>2</v>
      </c>
      <c r="C20">
        <f>'EXISTENCIA EN SUCURSALES'!C20+'DISTRIBUCIÓN EN SUCURSALES'!C20</f>
        <v>3</v>
      </c>
      <c r="D20">
        <f>'EXISTENCIA EN SUCURSALES'!D20+'DISTRIBUCIÓN EN SUCURSALES'!D20</f>
        <v>4</v>
      </c>
      <c r="E20">
        <f>'EXISTENCIA EN SUCURSALES'!E20+'DISTRIBUCIÓN EN SUCURSALES'!E20</f>
        <v>3</v>
      </c>
      <c r="F20">
        <f>'EXISTENCIA EN SUCURSALES'!F20+'DISTRIBUCIÓN EN SUCURSALES'!F20</f>
        <v>3</v>
      </c>
      <c r="G20">
        <f>'EXISTENCIA EN SUCURSALES'!G20+'DISTRIBUCIÓN EN SUCURSALES'!G20</f>
        <v>0</v>
      </c>
      <c r="H20">
        <f>'EXISTENCIA EN SUCURSALES'!H20+'DISTRIBUCIÓN EN SUCURSALES'!H20</f>
        <v>2</v>
      </c>
      <c r="I20">
        <f>'EXISTENCIA EN SUCURSALES'!I20+'DISTRIBUCIÓN EN SUCURSALES'!I20</f>
        <v>1</v>
      </c>
      <c r="J20">
        <f>'EXISTENCIA EN SUCURSALES'!J20+'DISTRIBUCIÓN EN SUCURSALES'!J20</f>
        <v>4</v>
      </c>
      <c r="K20">
        <f>'EXISTENCIA EN SUCURSALES'!K20+'DISTRIBUCIÓN EN SUCURSALES'!K20</f>
        <v>3</v>
      </c>
      <c r="L20">
        <f>SUM(B20:K20)</f>
        <v>25</v>
      </c>
      <c r="M20">
        <f>'EXISTENCIA EN SUCURSALES'!M20+'DISTRIBUCIÓN EN SUCURSALES'!M20</f>
        <v>2</v>
      </c>
      <c r="N20">
        <f>'EXISTENCIA EN SUCURSALES'!N20+'DISTRIBUCIÓN EN SUCURSALES'!N20</f>
        <v>1</v>
      </c>
      <c r="O20">
        <f>'EXISTENCIA EN SUCURSALES'!O20+'DISTRIBUCIÓN EN SUCURSALES'!O20</f>
        <v>1</v>
      </c>
      <c r="P20">
        <f>'EXISTENCIA EN SUCURSALES'!P20+'DISTRIBUCIÓN EN SUCURSALES'!P20</f>
        <v>3</v>
      </c>
      <c r="Q20">
        <f>'EXISTENCIA EN SUCURSALES'!Q20+'DISTRIBUCIÓN EN SUCURSALES'!Q20</f>
        <v>6</v>
      </c>
      <c r="R20">
        <f>'EXISTENCIA EN SUCURSALES'!R20+'DISTRIBUCIÓN EN SUCURSALES'!R20</f>
        <v>5</v>
      </c>
      <c r="S20">
        <f>'EXISTENCIA EN SUCURSALES'!S20+'DISTRIBUCIÓN EN SUCURSALES'!S20</f>
        <v>3</v>
      </c>
      <c r="T20">
        <f>'EXISTENCIA EN SUCURSALES'!T20+'DISTRIBUCIÓN EN SUCURSALES'!T20</f>
        <v>2</v>
      </c>
      <c r="U20">
        <f>'EXISTENCIA EN SUCURSALES'!U20+'DISTRIBUCIÓN EN SUCURSALES'!U20</f>
        <v>0</v>
      </c>
      <c r="V20">
        <f>'EXISTENCIA EN SUCURSALES'!V20+'DISTRIBUCIÓN EN SUCURSALES'!V20</f>
        <v>4</v>
      </c>
      <c r="W20">
        <f>'EXISTENCIA EN SUCURSALES'!W20+'DISTRIBUCIÓN EN SUCURSALES'!W20</f>
        <v>3</v>
      </c>
      <c r="X20">
        <f>'EXISTENCIA EN SUCURSALES'!X20+'DISTRIBUCIÓN EN SUCURSALES'!X20</f>
        <v>1</v>
      </c>
      <c r="Y20">
        <f>SUM(M20:X20)</f>
        <v>31</v>
      </c>
      <c r="Z20">
        <f>L20+Y20</f>
        <v>56</v>
      </c>
      <c r="AB20">
        <f>IFERROR(VLOOKUP(A20,'GRAL. SUC. LOCALES'!$A:$N,14,0),0)</f>
        <v>16</v>
      </c>
      <c r="AD20">
        <f>AB20+Z20</f>
        <v>72</v>
      </c>
      <c r="AF20">
        <v>95</v>
      </c>
      <c r="AG20">
        <v>90</v>
      </c>
      <c r="AH20">
        <f>AD20-AF20</f>
        <v>-23</v>
      </c>
    </row>
    <row r="21">
      <c r="A21" t="str">
        <v>DUO DURAZNO MEDIANO</v>
      </c>
      <c r="B21">
        <f>'EXISTENCIA EN SUCURSALES'!B21+'DISTRIBUCIÓN EN SUCURSALES'!B21</f>
        <v>2</v>
      </c>
      <c r="C21">
        <f>'EXISTENCIA EN SUCURSALES'!C21+'DISTRIBUCIÓN EN SUCURSALES'!C21</f>
        <v>2</v>
      </c>
      <c r="D21">
        <f>'EXISTENCIA EN SUCURSALES'!D21+'DISTRIBUCIÓN EN SUCURSALES'!D21</f>
        <v>2</v>
      </c>
      <c r="E21">
        <f>'EXISTENCIA EN SUCURSALES'!E21+'DISTRIBUCIÓN EN SUCURSALES'!E21</f>
        <v>1</v>
      </c>
      <c r="F21">
        <f>'EXISTENCIA EN SUCURSALES'!F21+'DISTRIBUCIÓN EN SUCURSALES'!F21</f>
        <v>2</v>
      </c>
      <c r="G21">
        <f>'EXISTENCIA EN SUCURSALES'!G21+'DISTRIBUCIÓN EN SUCURSALES'!G21</f>
        <v>0</v>
      </c>
      <c r="H21">
        <f>'EXISTENCIA EN SUCURSALES'!H21+'DISTRIBUCIÓN EN SUCURSALES'!H21</f>
        <v>1</v>
      </c>
      <c r="I21">
        <f>'EXISTENCIA EN SUCURSALES'!I21+'DISTRIBUCIÓN EN SUCURSALES'!I21</f>
        <v>1</v>
      </c>
      <c r="J21">
        <f>'EXISTENCIA EN SUCURSALES'!J21+'DISTRIBUCIÓN EN SUCURSALES'!J21</f>
        <v>2</v>
      </c>
      <c r="K21">
        <f>'EXISTENCIA EN SUCURSALES'!K21+'DISTRIBUCIÓN EN SUCURSALES'!K21</f>
        <v>1</v>
      </c>
      <c r="L21">
        <f>SUM(B21:K21)</f>
        <v>14</v>
      </c>
      <c r="M21">
        <f>'EXISTENCIA EN SUCURSALES'!M21+'DISTRIBUCIÓN EN SUCURSALES'!M21</f>
        <v>3</v>
      </c>
      <c r="N21">
        <f>'EXISTENCIA EN SUCURSALES'!N21+'DISTRIBUCIÓN EN SUCURSALES'!N21</f>
        <v>1</v>
      </c>
      <c r="O21">
        <f>'EXISTENCIA EN SUCURSALES'!O21+'DISTRIBUCIÓN EN SUCURSALES'!O21</f>
        <v>3</v>
      </c>
      <c r="P21">
        <f>'EXISTENCIA EN SUCURSALES'!P21+'DISTRIBUCIÓN EN SUCURSALES'!P21</f>
        <v>3</v>
      </c>
      <c r="Q21">
        <f>'EXISTENCIA EN SUCURSALES'!Q21+'DISTRIBUCIÓN EN SUCURSALES'!Q21</f>
        <v>3</v>
      </c>
      <c r="R21">
        <f>'EXISTENCIA EN SUCURSALES'!R21+'DISTRIBUCIÓN EN SUCURSALES'!R21</f>
        <v>3</v>
      </c>
      <c r="S21">
        <f>'EXISTENCIA EN SUCURSALES'!S21+'DISTRIBUCIÓN EN SUCURSALES'!S21</f>
        <v>4</v>
      </c>
      <c r="T21">
        <f>'EXISTENCIA EN SUCURSALES'!T21+'DISTRIBUCIÓN EN SUCURSALES'!T21</f>
        <v>4</v>
      </c>
      <c r="U21">
        <f>'EXISTENCIA EN SUCURSALES'!U21+'DISTRIBUCIÓN EN SUCURSALES'!U21</f>
        <v>0</v>
      </c>
      <c r="V21">
        <f>'EXISTENCIA EN SUCURSALES'!V21+'DISTRIBUCIÓN EN SUCURSALES'!V21</f>
        <v>3</v>
      </c>
      <c r="W21">
        <f>'EXISTENCIA EN SUCURSALES'!W21+'DISTRIBUCIÓN EN SUCURSALES'!W21</f>
        <v>3</v>
      </c>
      <c r="X21">
        <f>'EXISTENCIA EN SUCURSALES'!X21+'DISTRIBUCIÓN EN SUCURSALES'!X21</f>
        <v>3</v>
      </c>
      <c r="Y21">
        <f>SUM(M21:X21)</f>
        <v>33</v>
      </c>
      <c r="Z21">
        <f>L21+Y21</f>
        <v>47</v>
      </c>
      <c r="AB21">
        <f>IFERROR(VLOOKUP(A21,'GRAL. SUC. LOCALES'!$A:$N,14,0),0)</f>
        <v>0</v>
      </c>
      <c r="AD21">
        <f>AB21+Z21</f>
        <v>47</v>
      </c>
      <c r="AF21">
        <v>65</v>
      </c>
      <c r="AG21">
        <v>60</v>
      </c>
      <c r="AH21">
        <f>AD21-AF21</f>
        <v>-18</v>
      </c>
    </row>
    <row r="22">
      <c r="A22" t="str">
        <v>PIÑA MED</v>
      </c>
      <c r="B22">
        <f>'EXISTENCIA EN SUCURSALES'!B22+'DISTRIBUCIÓN EN SUCURSALES'!B22</f>
        <v>2</v>
      </c>
      <c r="C22">
        <f>'EXISTENCIA EN SUCURSALES'!C22+'DISTRIBUCIÓN EN SUCURSALES'!C22</f>
        <v>2</v>
      </c>
      <c r="D22">
        <f>'EXISTENCIA EN SUCURSALES'!D22+'DISTRIBUCIÓN EN SUCURSALES'!D22</f>
        <v>2</v>
      </c>
      <c r="E22">
        <f>'EXISTENCIA EN SUCURSALES'!E22+'DISTRIBUCIÓN EN SUCURSALES'!E22</f>
        <v>1</v>
      </c>
      <c r="F22">
        <f>'EXISTENCIA EN SUCURSALES'!F22+'DISTRIBUCIÓN EN SUCURSALES'!F22</f>
        <v>1</v>
      </c>
      <c r="G22">
        <f>'EXISTENCIA EN SUCURSALES'!G22+'DISTRIBUCIÓN EN SUCURSALES'!G22</f>
        <v>0</v>
      </c>
      <c r="H22">
        <f>'EXISTENCIA EN SUCURSALES'!H22+'DISTRIBUCIÓN EN SUCURSALES'!H22</f>
        <v>1</v>
      </c>
      <c r="I22">
        <f>'EXISTENCIA EN SUCURSALES'!I22+'DISTRIBUCIÓN EN SUCURSALES'!I22</f>
        <v>1</v>
      </c>
      <c r="J22">
        <f>'EXISTENCIA EN SUCURSALES'!J22+'DISTRIBUCIÓN EN SUCURSALES'!J22</f>
        <v>3</v>
      </c>
      <c r="K22">
        <f>'EXISTENCIA EN SUCURSALES'!K22+'DISTRIBUCIÓN EN SUCURSALES'!K22</f>
        <v>2</v>
      </c>
      <c r="L22">
        <f>SUM(B22:K22)</f>
        <v>15</v>
      </c>
      <c r="M22">
        <f>'EXISTENCIA EN SUCURSALES'!M22+'DISTRIBUCIÓN EN SUCURSALES'!M22</f>
        <v>3</v>
      </c>
      <c r="N22">
        <f>'EXISTENCIA EN SUCURSALES'!N22+'DISTRIBUCIÓN EN SUCURSALES'!N22</f>
        <v>1</v>
      </c>
      <c r="O22">
        <f>'EXISTENCIA EN SUCURSALES'!O22+'DISTRIBUCIÓN EN SUCURSALES'!O22</f>
        <v>0</v>
      </c>
      <c r="P22">
        <f>'EXISTENCIA EN SUCURSALES'!P22+'DISTRIBUCIÓN EN SUCURSALES'!P22</f>
        <v>2</v>
      </c>
      <c r="Q22">
        <f>'EXISTENCIA EN SUCURSALES'!Q22+'DISTRIBUCIÓN EN SUCURSALES'!Q22</f>
        <v>1</v>
      </c>
      <c r="R22">
        <f>'EXISTENCIA EN SUCURSALES'!R22+'DISTRIBUCIÓN EN SUCURSALES'!R22</f>
        <v>1</v>
      </c>
      <c r="S22">
        <f>'EXISTENCIA EN SUCURSALES'!S22+'DISTRIBUCIÓN EN SUCURSALES'!S22</f>
        <v>5</v>
      </c>
      <c r="T22">
        <f>'EXISTENCIA EN SUCURSALES'!T22+'DISTRIBUCIÓN EN SUCURSALES'!T22</f>
        <v>2</v>
      </c>
      <c r="U22">
        <f>'EXISTENCIA EN SUCURSALES'!U22+'DISTRIBUCIÓN EN SUCURSALES'!U22</f>
        <v>0</v>
      </c>
      <c r="V22">
        <f>'EXISTENCIA EN SUCURSALES'!V22+'DISTRIBUCIÓN EN SUCURSALES'!V22</f>
        <v>0</v>
      </c>
      <c r="W22">
        <f>'EXISTENCIA EN SUCURSALES'!W22+'DISTRIBUCIÓN EN SUCURSALES'!W22</f>
        <v>2</v>
      </c>
      <c r="X22">
        <f>'EXISTENCIA EN SUCURSALES'!X22+'DISTRIBUCIÓN EN SUCURSALES'!X22</f>
        <v>1</v>
      </c>
      <c r="Y22">
        <f>SUM(M22:X22)</f>
        <v>18</v>
      </c>
      <c r="Z22">
        <f>L22+Y22</f>
        <v>33</v>
      </c>
      <c r="AB22">
        <f>IFERROR(VLOOKUP(A22,'GRAL. SUC. LOCALES'!$A:$N,14,0),0)</f>
        <v>19</v>
      </c>
      <c r="AD22">
        <f>AB22+Z22</f>
        <v>52</v>
      </c>
      <c r="AF22">
        <v>55</v>
      </c>
      <c r="AG22">
        <v>50</v>
      </c>
      <c r="AH22">
        <f>AD22-AF22</f>
        <v>-3</v>
      </c>
    </row>
    <row r="23">
      <c r="A23" t="str">
        <v>CHOCOLATE MED</v>
      </c>
      <c r="B23">
        <f>'EXISTENCIA EN SUCURSALES'!B23+'DISTRIBUCIÓN EN SUCURSALES'!B23</f>
        <v>2</v>
      </c>
      <c r="C23">
        <f>'EXISTENCIA EN SUCURSALES'!C23+'DISTRIBUCIÓN EN SUCURSALES'!C23</f>
        <v>3</v>
      </c>
      <c r="D23">
        <f>'EXISTENCIA EN SUCURSALES'!D23+'DISTRIBUCIÓN EN SUCURSALES'!D23</f>
        <v>2</v>
      </c>
      <c r="E23">
        <f>'EXISTENCIA EN SUCURSALES'!E23+'DISTRIBUCIÓN EN SUCURSALES'!E23</f>
        <v>2</v>
      </c>
      <c r="F23">
        <f>'EXISTENCIA EN SUCURSALES'!F23+'DISTRIBUCIÓN EN SUCURSALES'!F23</f>
        <v>2</v>
      </c>
      <c r="G23">
        <f>'EXISTENCIA EN SUCURSALES'!G23+'DISTRIBUCIÓN EN SUCURSALES'!G23</f>
        <v>0</v>
      </c>
      <c r="H23">
        <f>'EXISTENCIA EN SUCURSALES'!H23+'DISTRIBUCIÓN EN SUCURSALES'!H23</f>
        <v>2</v>
      </c>
      <c r="I23">
        <f>'EXISTENCIA EN SUCURSALES'!I23+'DISTRIBUCIÓN EN SUCURSALES'!I23</f>
        <v>1</v>
      </c>
      <c r="J23">
        <f>'EXISTENCIA EN SUCURSALES'!J23+'DISTRIBUCIÓN EN SUCURSALES'!J23</f>
        <v>4</v>
      </c>
      <c r="K23">
        <f>'EXISTENCIA EN SUCURSALES'!K23+'DISTRIBUCIÓN EN SUCURSALES'!K23</f>
        <v>3</v>
      </c>
      <c r="L23">
        <f>SUM(B23:K23)</f>
        <v>21</v>
      </c>
      <c r="M23">
        <f>'EXISTENCIA EN SUCURSALES'!M23+'DISTRIBUCIÓN EN SUCURSALES'!M23</f>
        <v>2</v>
      </c>
      <c r="N23">
        <f>'EXISTENCIA EN SUCURSALES'!N23+'DISTRIBUCIÓN EN SUCURSALES'!N23</f>
        <v>1</v>
      </c>
      <c r="O23">
        <f>'EXISTENCIA EN SUCURSALES'!O23+'DISTRIBUCIÓN EN SUCURSALES'!O23</f>
        <v>3</v>
      </c>
      <c r="P23">
        <f>'EXISTENCIA EN SUCURSALES'!P23+'DISTRIBUCIÓN EN SUCURSALES'!P23</f>
        <v>2</v>
      </c>
      <c r="Q23">
        <f>'EXISTENCIA EN SUCURSALES'!Q23+'DISTRIBUCIÓN EN SUCURSALES'!Q23</f>
        <v>8</v>
      </c>
      <c r="R23">
        <f>'EXISTENCIA EN SUCURSALES'!R23+'DISTRIBUCIÓN EN SUCURSALES'!R23</f>
        <v>3</v>
      </c>
      <c r="S23">
        <f>'EXISTENCIA EN SUCURSALES'!S23+'DISTRIBUCIÓN EN SUCURSALES'!S23</f>
        <v>2</v>
      </c>
      <c r="T23">
        <f>'EXISTENCIA EN SUCURSALES'!T23+'DISTRIBUCIÓN EN SUCURSALES'!T23</f>
        <v>2</v>
      </c>
      <c r="U23">
        <f>'EXISTENCIA EN SUCURSALES'!U23+'DISTRIBUCIÓN EN SUCURSALES'!U23</f>
        <v>3</v>
      </c>
      <c r="V23">
        <f>'EXISTENCIA EN SUCURSALES'!V23+'DISTRIBUCIÓN EN SUCURSALES'!V23</f>
        <v>3</v>
      </c>
      <c r="W23">
        <f>'EXISTENCIA EN SUCURSALES'!W23+'DISTRIBUCIÓN EN SUCURSALES'!W23</f>
        <v>2</v>
      </c>
      <c r="X23">
        <f>'EXISTENCIA EN SUCURSALES'!X23+'DISTRIBUCIÓN EN SUCURSALES'!X23</f>
        <v>0</v>
      </c>
      <c r="Y23">
        <f>SUM(M23:X23)</f>
        <v>31</v>
      </c>
      <c r="Z23">
        <f>L23+Y23</f>
        <v>52</v>
      </c>
      <c r="AB23">
        <f>IFERROR(VLOOKUP(A23,'GRAL. SUC. LOCALES'!$A:$N,14,0),0)</f>
        <v>3</v>
      </c>
      <c r="AD23">
        <f>AB23+Z23</f>
        <v>55</v>
      </c>
      <c r="AF23">
        <v>85</v>
      </c>
      <c r="AG23">
        <v>75</v>
      </c>
      <c r="AH23">
        <f>AD23-AF23</f>
        <v>-30</v>
      </c>
    </row>
    <row r="24">
      <c r="A24" t="str">
        <v>M &amp; M MEDIANO</v>
      </c>
      <c r="B24">
        <f>'EXISTENCIA EN SUCURSALES'!B24+'DISTRIBUCIÓN EN SUCURSALES'!B24</f>
        <v>1</v>
      </c>
      <c r="C24">
        <f>'EXISTENCIA EN SUCURSALES'!C24+'DISTRIBUCIÓN EN SUCURSALES'!C24</f>
        <v>0</v>
      </c>
      <c r="D24">
        <f>'EXISTENCIA EN SUCURSALES'!D24+'DISTRIBUCIÓN EN SUCURSALES'!D24</f>
        <v>2</v>
      </c>
      <c r="E24">
        <f>'EXISTENCIA EN SUCURSALES'!E24+'DISTRIBUCIÓN EN SUCURSALES'!E24</f>
        <v>0</v>
      </c>
      <c r="F24">
        <f>'EXISTENCIA EN SUCURSALES'!F24+'DISTRIBUCIÓN EN SUCURSALES'!F24</f>
        <v>0</v>
      </c>
      <c r="G24">
        <f>'EXISTENCIA EN SUCURSALES'!G24+'DISTRIBUCIÓN EN SUCURSALES'!G24</f>
        <v>0</v>
      </c>
      <c r="H24">
        <f>'EXISTENCIA EN SUCURSALES'!H24+'DISTRIBUCIÓN EN SUCURSALES'!H24</f>
        <v>0</v>
      </c>
      <c r="I24">
        <f>'EXISTENCIA EN SUCURSALES'!I24+'DISTRIBUCIÓN EN SUCURSALES'!I24</f>
        <v>0</v>
      </c>
      <c r="J24">
        <f>'EXISTENCIA EN SUCURSALES'!J24+'DISTRIBUCIÓN EN SUCURSALES'!J24</f>
        <v>0</v>
      </c>
      <c r="K24">
        <f>'EXISTENCIA EN SUCURSALES'!K24+'DISTRIBUCIÓN EN SUCURSALES'!K24</f>
        <v>0</v>
      </c>
      <c r="L24">
        <f>SUM(B24:K24)</f>
        <v>3</v>
      </c>
      <c r="M24">
        <f>'EXISTENCIA EN SUCURSALES'!M24+'DISTRIBUCIÓN EN SUCURSALES'!M24</f>
        <v>4</v>
      </c>
      <c r="N24">
        <f>'EXISTENCIA EN SUCURSALES'!N24+'DISTRIBUCIÓN EN SUCURSALES'!N24</f>
        <v>1</v>
      </c>
      <c r="O24">
        <f>'EXISTENCIA EN SUCURSALES'!O24+'DISTRIBUCIÓN EN SUCURSALES'!O24</f>
        <v>0</v>
      </c>
      <c r="P24">
        <f>'EXISTENCIA EN SUCURSALES'!P24+'DISTRIBUCIÓN EN SUCURSALES'!P24</f>
        <v>0</v>
      </c>
      <c r="Q24">
        <f>'EXISTENCIA EN SUCURSALES'!Q24+'DISTRIBUCIÓN EN SUCURSALES'!Q24</f>
        <v>1</v>
      </c>
      <c r="R24">
        <f>'EXISTENCIA EN SUCURSALES'!R24+'DISTRIBUCIÓN EN SUCURSALES'!R24</f>
        <v>3</v>
      </c>
      <c r="S24">
        <f>'EXISTENCIA EN SUCURSALES'!S24+'DISTRIBUCIÓN EN SUCURSALES'!S24</f>
        <v>3</v>
      </c>
      <c r="T24">
        <f>'EXISTENCIA EN SUCURSALES'!T24+'DISTRIBUCIÓN EN SUCURSALES'!T24</f>
        <v>0</v>
      </c>
      <c r="U24">
        <f>'EXISTENCIA EN SUCURSALES'!U24+'DISTRIBUCIÓN EN SUCURSALES'!U24</f>
        <v>1</v>
      </c>
      <c r="V24">
        <f>'EXISTENCIA EN SUCURSALES'!V24+'DISTRIBUCIÓN EN SUCURSALES'!V24</f>
        <v>0</v>
      </c>
      <c r="W24">
        <f>'EXISTENCIA EN SUCURSALES'!W24+'DISTRIBUCIÓN EN SUCURSALES'!W24</f>
        <v>0</v>
      </c>
      <c r="X24">
        <f>'EXISTENCIA EN SUCURSALES'!X24+'DISTRIBUCIÓN EN SUCURSALES'!X24</f>
        <v>2</v>
      </c>
      <c r="Y24">
        <f>SUM(M24:X24)</f>
        <v>15</v>
      </c>
      <c r="Z24">
        <f>L24+Y24</f>
        <v>18</v>
      </c>
      <c r="AB24">
        <f>IFERROR(VLOOKUP(A24,'GRAL. SUC. LOCALES'!$A:$N,14,0),0)</f>
        <v>0</v>
      </c>
      <c r="AD24">
        <f>AB24+Z24</f>
        <v>18</v>
      </c>
      <c r="AF24">
        <v>60</v>
      </c>
      <c r="AG24">
        <v>55</v>
      </c>
      <c r="AH24">
        <f>AD24-AF24</f>
        <v>-42</v>
      </c>
    </row>
    <row r="25">
      <c r="A25" t="str">
        <v>MOKA MEDIANO</v>
      </c>
      <c r="B25">
        <f>'EXISTENCIA EN SUCURSALES'!B25+'DISTRIBUCIÓN EN SUCURSALES'!B25</f>
        <v>4</v>
      </c>
      <c r="C25">
        <f>'EXISTENCIA EN SUCURSALES'!C25+'DISTRIBUCIÓN EN SUCURSALES'!C25</f>
        <v>4</v>
      </c>
      <c r="D25">
        <f>'EXISTENCIA EN SUCURSALES'!D25+'DISTRIBUCIÓN EN SUCURSALES'!D25</f>
        <v>4</v>
      </c>
      <c r="E25">
        <f>'EXISTENCIA EN SUCURSALES'!E25+'DISTRIBUCIÓN EN SUCURSALES'!E25</f>
        <v>3</v>
      </c>
      <c r="F25">
        <f>'EXISTENCIA EN SUCURSALES'!F25+'DISTRIBUCIÓN EN SUCURSALES'!F25</f>
        <v>2</v>
      </c>
      <c r="G25">
        <f>'EXISTENCIA EN SUCURSALES'!G25+'DISTRIBUCIÓN EN SUCURSALES'!G25</f>
        <v>0</v>
      </c>
      <c r="H25">
        <f>'EXISTENCIA EN SUCURSALES'!H25+'DISTRIBUCIÓN EN SUCURSALES'!H25</f>
        <v>3</v>
      </c>
      <c r="I25">
        <f>'EXISTENCIA EN SUCURSALES'!I25+'DISTRIBUCIÓN EN SUCURSALES'!I25</f>
        <v>1</v>
      </c>
      <c r="J25">
        <f>'EXISTENCIA EN SUCURSALES'!J25+'DISTRIBUCIÓN EN SUCURSALES'!J25</f>
        <v>4</v>
      </c>
      <c r="K25">
        <f>'EXISTENCIA EN SUCURSALES'!K25+'DISTRIBUCIÓN EN SUCURSALES'!K25</f>
        <v>3</v>
      </c>
      <c r="L25">
        <f>SUM(B25:K25)</f>
        <v>28</v>
      </c>
      <c r="M25">
        <f>'EXISTENCIA EN SUCURSALES'!M25+'DISTRIBUCIÓN EN SUCURSALES'!M25</f>
        <v>1</v>
      </c>
      <c r="N25">
        <f>'EXISTENCIA EN SUCURSALES'!N25+'DISTRIBUCIÓN EN SUCURSALES'!N25</f>
        <v>2</v>
      </c>
      <c r="O25">
        <f>'EXISTENCIA EN SUCURSALES'!O25+'DISTRIBUCIÓN EN SUCURSALES'!O25</f>
        <v>2</v>
      </c>
      <c r="P25">
        <f>'EXISTENCIA EN SUCURSALES'!P25+'DISTRIBUCIÓN EN SUCURSALES'!P25</f>
        <v>3</v>
      </c>
      <c r="Q25">
        <f>'EXISTENCIA EN SUCURSALES'!Q25+'DISTRIBUCIÓN EN SUCURSALES'!Q25</f>
        <v>3</v>
      </c>
      <c r="R25">
        <f>'EXISTENCIA EN SUCURSALES'!R25+'DISTRIBUCIÓN EN SUCURSALES'!R25</f>
        <v>4</v>
      </c>
      <c r="S25">
        <f>'EXISTENCIA EN SUCURSALES'!S25+'DISTRIBUCIÓN EN SUCURSALES'!S25</f>
        <v>1</v>
      </c>
      <c r="T25">
        <f>'EXISTENCIA EN SUCURSALES'!T25+'DISTRIBUCIÓN EN SUCURSALES'!T25</f>
        <v>2</v>
      </c>
      <c r="U25">
        <f>'EXISTENCIA EN SUCURSALES'!U25+'DISTRIBUCIÓN EN SUCURSALES'!U25</f>
        <v>0</v>
      </c>
      <c r="V25">
        <f>'EXISTENCIA EN SUCURSALES'!V25+'DISTRIBUCIÓN EN SUCURSALES'!V25</f>
        <v>3</v>
      </c>
      <c r="W25">
        <f>'EXISTENCIA EN SUCURSALES'!W25+'DISTRIBUCIÓN EN SUCURSALES'!W25</f>
        <v>2</v>
      </c>
      <c r="X25">
        <f>'EXISTENCIA EN SUCURSALES'!X25+'DISTRIBUCIÓN EN SUCURSALES'!X25</f>
        <v>3</v>
      </c>
      <c r="Y25">
        <f>SUM(M25:X25)</f>
        <v>26</v>
      </c>
      <c r="Z25">
        <f>L25+Y25</f>
        <v>54</v>
      </c>
      <c r="AB25">
        <f>IFERROR(VLOOKUP(A25,'GRAL. SUC. LOCALES'!$A:$N,14,0),0)</f>
        <v>34</v>
      </c>
      <c r="AD25">
        <f>AB25+Z25</f>
        <v>88</v>
      </c>
      <c r="AF25">
        <v>110</v>
      </c>
      <c r="AG25">
        <v>100</v>
      </c>
      <c r="AH25">
        <f>AD25-AF25</f>
        <v>-22</v>
      </c>
    </row>
    <row r="26">
      <c r="B26">
        <f>'EXISTENCIA EN SUCURSALES'!B26+'DISTRIBUCIÓN EN SUCURSALES'!B26</f>
        <v>0</v>
      </c>
      <c r="C26">
        <f>'EXISTENCIA EN SUCURSALES'!C26+'DISTRIBUCIÓN EN SUCURSALES'!C26</f>
        <v>0</v>
      </c>
      <c r="D26">
        <f>'EXISTENCIA EN SUCURSALES'!D26+'DISTRIBUCIÓN EN SUCURSALES'!D26</f>
        <v>0</v>
      </c>
      <c r="E26">
        <f>'EXISTENCIA EN SUCURSALES'!E26+'DISTRIBUCIÓN EN SUCURSALES'!E26</f>
        <v>0</v>
      </c>
      <c r="F26">
        <f>'EXISTENCIA EN SUCURSALES'!F26+'DISTRIBUCIÓN EN SUCURSALES'!F26</f>
        <v>0</v>
      </c>
      <c r="G26">
        <f>'EXISTENCIA EN SUCURSALES'!G26+'DISTRIBUCIÓN EN SUCURSALES'!G26</f>
        <v>0</v>
      </c>
      <c r="H26">
        <f>'EXISTENCIA EN SUCURSALES'!H26+'DISTRIBUCIÓN EN SUCURSALES'!H26</f>
        <v>0</v>
      </c>
      <c r="I26">
        <f>'EXISTENCIA EN SUCURSALES'!I26+'DISTRIBUCIÓN EN SUCURSALES'!I26</f>
        <v>0</v>
      </c>
      <c r="J26">
        <f>'EXISTENCIA EN SUCURSALES'!J26+'DISTRIBUCIÓN EN SUCURSALES'!J26</f>
        <v>0</v>
      </c>
      <c r="K26">
        <f>'EXISTENCIA EN SUCURSALES'!K26+'DISTRIBUCIÓN EN SUCURSALES'!K26</f>
        <v>0</v>
      </c>
      <c r="L26">
        <f>SUM(B26:K26)</f>
        <v>0</v>
      </c>
      <c r="M26">
        <f>'EXISTENCIA EN SUCURSALES'!M26+'DISTRIBUCIÓN EN SUCURSALES'!M26</f>
        <v>0</v>
      </c>
      <c r="N26">
        <f>'EXISTENCIA EN SUCURSALES'!N26+'DISTRIBUCIÓN EN SUCURSALES'!N26</f>
        <v>0</v>
      </c>
      <c r="O26">
        <f>'EXISTENCIA EN SUCURSALES'!O26+'DISTRIBUCIÓN EN SUCURSALES'!O26</f>
        <v>0</v>
      </c>
      <c r="P26">
        <f>'EXISTENCIA EN SUCURSALES'!P26+'DISTRIBUCIÓN EN SUCURSALES'!P26</f>
        <v>0</v>
      </c>
      <c r="Q26">
        <f>'EXISTENCIA EN SUCURSALES'!Q26+'DISTRIBUCIÓN EN SUCURSALES'!Q26</f>
        <v>0</v>
      </c>
      <c r="R26">
        <f>'EXISTENCIA EN SUCURSALES'!R26+'DISTRIBUCIÓN EN SUCURSALES'!R26</f>
        <v>0</v>
      </c>
      <c r="S26">
        <f>'EXISTENCIA EN SUCURSALES'!S26+'DISTRIBUCIÓN EN SUCURSALES'!S26</f>
        <v>0</v>
      </c>
      <c r="T26">
        <f>'EXISTENCIA EN SUCURSALES'!T26+'DISTRIBUCIÓN EN SUCURSALES'!T26</f>
        <v>0</v>
      </c>
      <c r="U26">
        <f>'EXISTENCIA EN SUCURSALES'!U26+'DISTRIBUCIÓN EN SUCURSALES'!U26</f>
        <v>0</v>
      </c>
      <c r="V26">
        <f>'EXISTENCIA EN SUCURSALES'!V26+'DISTRIBUCIÓN EN SUCURSALES'!V26</f>
        <v>0</v>
      </c>
      <c r="W26">
        <f>'EXISTENCIA EN SUCURSALES'!W26+'DISTRIBUCIÓN EN SUCURSALES'!W26</f>
        <v>0</v>
      </c>
      <c r="X26">
        <f>'EXISTENCIA EN SUCURSALES'!X26+'DISTRIBUCIÓN EN SUCURSALES'!X26</f>
        <v>0</v>
      </c>
      <c r="Y26">
        <f>SUM(M26:X26)</f>
        <v>0</v>
      </c>
      <c r="Z26">
        <f>L26+Y26</f>
        <v>0</v>
      </c>
      <c r="AB26">
        <f>IFERROR(VLOOKUP(A26,'GRAL. SUC. LOCALES'!$A:$N,14,0),0)</f>
        <v>0</v>
      </c>
      <c r="AD26">
        <f>AB26+Z26</f>
        <v>0</v>
      </c>
      <c r="AF26">
        <v>0</v>
      </c>
      <c r="AG26">
        <v>0</v>
      </c>
      <c r="AH26">
        <f>AD26-AF26</f>
        <v>0</v>
      </c>
    </row>
    <row r="27">
      <c r="B27">
        <f>'EXISTENCIA EN SUCURSALES'!B27+'DISTRIBUCIÓN EN SUCURSALES'!B27</f>
        <v>0</v>
      </c>
      <c r="C27">
        <f>'EXISTENCIA EN SUCURSALES'!C27+'DISTRIBUCIÓN EN SUCURSALES'!C27</f>
        <v>0</v>
      </c>
      <c r="D27">
        <f>'EXISTENCIA EN SUCURSALES'!D27+'DISTRIBUCIÓN EN SUCURSALES'!D27</f>
        <v>0</v>
      </c>
      <c r="E27">
        <f>'EXISTENCIA EN SUCURSALES'!E27+'DISTRIBUCIÓN EN SUCURSALES'!E27</f>
        <v>0</v>
      </c>
      <c r="F27">
        <f>'EXISTENCIA EN SUCURSALES'!F27+'DISTRIBUCIÓN EN SUCURSALES'!F27</f>
        <v>0</v>
      </c>
      <c r="G27">
        <f>'EXISTENCIA EN SUCURSALES'!G27+'DISTRIBUCIÓN EN SUCURSALES'!G27</f>
        <v>0</v>
      </c>
      <c r="H27">
        <f>'EXISTENCIA EN SUCURSALES'!H27+'DISTRIBUCIÓN EN SUCURSALES'!H27</f>
        <v>0</v>
      </c>
      <c r="I27">
        <f>'EXISTENCIA EN SUCURSALES'!I27+'DISTRIBUCIÓN EN SUCURSALES'!I27</f>
        <v>0</v>
      </c>
      <c r="J27">
        <f>'EXISTENCIA EN SUCURSALES'!J27+'DISTRIBUCIÓN EN SUCURSALES'!J27</f>
        <v>0</v>
      </c>
      <c r="K27">
        <f>'EXISTENCIA EN SUCURSALES'!K27+'DISTRIBUCIÓN EN SUCURSALES'!K27</f>
        <v>0</v>
      </c>
      <c r="L27">
        <f>SUM(B27:K27)</f>
        <v>0</v>
      </c>
      <c r="M27">
        <f>'EXISTENCIA EN SUCURSALES'!M27+'DISTRIBUCIÓN EN SUCURSALES'!M27</f>
        <v>0</v>
      </c>
      <c r="N27">
        <f>'EXISTENCIA EN SUCURSALES'!N27+'DISTRIBUCIÓN EN SUCURSALES'!N27</f>
        <v>0</v>
      </c>
      <c r="O27">
        <f>'EXISTENCIA EN SUCURSALES'!O27+'DISTRIBUCIÓN EN SUCURSALES'!O27</f>
        <v>0</v>
      </c>
      <c r="P27">
        <f>'EXISTENCIA EN SUCURSALES'!P27+'DISTRIBUCIÓN EN SUCURSALES'!P27</f>
        <v>0</v>
      </c>
      <c r="Q27">
        <f>'EXISTENCIA EN SUCURSALES'!Q27+'DISTRIBUCIÓN EN SUCURSALES'!Q27</f>
        <v>0</v>
      </c>
      <c r="R27">
        <f>'EXISTENCIA EN SUCURSALES'!R27+'DISTRIBUCIÓN EN SUCURSALES'!R27</f>
        <v>0</v>
      </c>
      <c r="S27">
        <f>'EXISTENCIA EN SUCURSALES'!S27+'DISTRIBUCIÓN EN SUCURSALES'!S27</f>
        <v>0</v>
      </c>
      <c r="T27">
        <f>'EXISTENCIA EN SUCURSALES'!T27+'DISTRIBUCIÓN EN SUCURSALES'!T27</f>
        <v>0</v>
      </c>
      <c r="U27">
        <f>'EXISTENCIA EN SUCURSALES'!U27+'DISTRIBUCIÓN EN SUCURSALES'!U27</f>
        <v>0</v>
      </c>
      <c r="V27">
        <f>'EXISTENCIA EN SUCURSALES'!V27+'DISTRIBUCIÓN EN SUCURSALES'!V27</f>
        <v>0</v>
      </c>
      <c r="W27">
        <f>'EXISTENCIA EN SUCURSALES'!W27+'DISTRIBUCIÓN EN SUCURSALES'!W27</f>
        <v>0</v>
      </c>
      <c r="X27">
        <f>'EXISTENCIA EN SUCURSALES'!X27+'DISTRIBUCIÓN EN SUCURSALES'!X27</f>
        <v>0</v>
      </c>
      <c r="Y27">
        <f>SUM(M27:X27)</f>
        <v>0</v>
      </c>
      <c r="Z27">
        <f>L27+Y27</f>
        <v>0</v>
      </c>
      <c r="AB27">
        <f>IFERROR(VLOOKUP(A27,'GRAL. SUC. LOCALES'!$A:$N,14,0),0)</f>
        <v>0</v>
      </c>
      <c r="AD27">
        <f>AB27+Z27</f>
        <v>0</v>
      </c>
      <c r="AG27">
        <v>0</v>
      </c>
      <c r="AH27">
        <f>AD27-AF27</f>
        <v>0</v>
      </c>
    </row>
    <row r="28">
      <c r="B28">
        <f>'EXISTENCIA EN SUCURSALES'!B28+'DISTRIBUCIÓN EN SUCURSALES'!B28</f>
        <v>0</v>
      </c>
      <c r="C28">
        <f>'EXISTENCIA EN SUCURSALES'!C28+'DISTRIBUCIÓN EN SUCURSALES'!C28</f>
        <v>0</v>
      </c>
      <c r="D28">
        <f>'EXISTENCIA EN SUCURSALES'!D28+'DISTRIBUCIÓN EN SUCURSALES'!D28</f>
        <v>0</v>
      </c>
      <c r="E28">
        <f>'EXISTENCIA EN SUCURSALES'!E28+'DISTRIBUCIÓN EN SUCURSALES'!E28</f>
        <v>0</v>
      </c>
      <c r="F28">
        <f>'EXISTENCIA EN SUCURSALES'!F28+'DISTRIBUCIÓN EN SUCURSALES'!F28</f>
        <v>0</v>
      </c>
      <c r="G28">
        <f>'EXISTENCIA EN SUCURSALES'!G28+'DISTRIBUCIÓN EN SUCURSALES'!G28</f>
        <v>0</v>
      </c>
      <c r="H28">
        <f>'EXISTENCIA EN SUCURSALES'!H28+'DISTRIBUCIÓN EN SUCURSALES'!H28</f>
        <v>0</v>
      </c>
      <c r="I28">
        <f>'EXISTENCIA EN SUCURSALES'!I28+'DISTRIBUCIÓN EN SUCURSALES'!I28</f>
        <v>0</v>
      </c>
      <c r="J28">
        <f>'EXISTENCIA EN SUCURSALES'!J28+'DISTRIBUCIÓN EN SUCURSALES'!J28</f>
        <v>0</v>
      </c>
      <c r="K28">
        <f>'EXISTENCIA EN SUCURSALES'!K28+'DISTRIBUCIÓN EN SUCURSALES'!K28</f>
        <v>0</v>
      </c>
      <c r="L28">
        <f>SUM(B28:K28)</f>
        <v>0</v>
      </c>
      <c r="M28">
        <f>'EXISTENCIA EN SUCURSALES'!M28+'DISTRIBUCIÓN EN SUCURSALES'!M28</f>
        <v>0</v>
      </c>
      <c r="N28">
        <f>'EXISTENCIA EN SUCURSALES'!N28+'DISTRIBUCIÓN EN SUCURSALES'!N28</f>
        <v>0</v>
      </c>
      <c r="O28">
        <f>'EXISTENCIA EN SUCURSALES'!O28+'DISTRIBUCIÓN EN SUCURSALES'!O28</f>
        <v>0</v>
      </c>
      <c r="P28">
        <f>'EXISTENCIA EN SUCURSALES'!P28+'DISTRIBUCIÓN EN SUCURSALES'!P28</f>
        <v>0</v>
      </c>
      <c r="Q28">
        <f>'EXISTENCIA EN SUCURSALES'!Q28+'DISTRIBUCIÓN EN SUCURSALES'!Q28</f>
        <v>0</v>
      </c>
      <c r="R28">
        <f>'EXISTENCIA EN SUCURSALES'!R28+'DISTRIBUCIÓN EN SUCURSALES'!R28</f>
        <v>0</v>
      </c>
      <c r="S28">
        <f>'EXISTENCIA EN SUCURSALES'!S28+'DISTRIBUCIÓN EN SUCURSALES'!S28</f>
        <v>0</v>
      </c>
      <c r="T28">
        <f>'EXISTENCIA EN SUCURSALES'!T28+'DISTRIBUCIÓN EN SUCURSALES'!T28</f>
        <v>0</v>
      </c>
      <c r="U28">
        <f>'EXISTENCIA EN SUCURSALES'!U28+'DISTRIBUCIÓN EN SUCURSALES'!U28</f>
        <v>0</v>
      </c>
      <c r="V28">
        <f>'EXISTENCIA EN SUCURSALES'!V28+'DISTRIBUCIÓN EN SUCURSALES'!V28</f>
        <v>0</v>
      </c>
      <c r="W28">
        <f>'EXISTENCIA EN SUCURSALES'!W28+'DISTRIBUCIÓN EN SUCURSALES'!W28</f>
        <v>0</v>
      </c>
      <c r="X28">
        <f>'EXISTENCIA EN SUCURSALES'!X28+'DISTRIBUCIÓN EN SUCURSALES'!X28</f>
        <v>0</v>
      </c>
      <c r="Y28">
        <f>SUM(M28:X28)</f>
        <v>0</v>
      </c>
      <c r="Z28">
        <f>L28+Y28</f>
        <v>0</v>
      </c>
      <c r="AB28">
        <f>IFERROR(VLOOKUP(A28,'GRAL. SUC. LOCALES'!$A:$N,14,0),0)</f>
        <v>0</v>
      </c>
      <c r="AD28">
        <f>AB28+Z28</f>
        <v>0</v>
      </c>
      <c r="AG28">
        <v>0</v>
      </c>
      <c r="AH28">
        <f>AD28-AF28</f>
        <v>0</v>
      </c>
    </row>
    <row r="29">
      <c r="B29">
        <f>'EXISTENCIA EN SUCURSALES'!B29+'DISTRIBUCIÓN EN SUCURSALES'!B29</f>
        <v>0</v>
      </c>
      <c r="C29">
        <f>'EXISTENCIA EN SUCURSALES'!C29+'DISTRIBUCIÓN EN SUCURSALES'!C29</f>
        <v>0</v>
      </c>
      <c r="D29">
        <f>'EXISTENCIA EN SUCURSALES'!D29+'DISTRIBUCIÓN EN SUCURSALES'!D29</f>
        <v>0</v>
      </c>
      <c r="E29">
        <f>'EXISTENCIA EN SUCURSALES'!E29+'DISTRIBUCIÓN EN SUCURSALES'!E29</f>
        <v>0</v>
      </c>
      <c r="F29">
        <f>'EXISTENCIA EN SUCURSALES'!F29+'DISTRIBUCIÓN EN SUCURSALES'!F29</f>
        <v>0</v>
      </c>
      <c r="G29">
        <f>'EXISTENCIA EN SUCURSALES'!G29+'DISTRIBUCIÓN EN SUCURSALES'!G29</f>
        <v>0</v>
      </c>
      <c r="H29">
        <f>'EXISTENCIA EN SUCURSALES'!H29+'DISTRIBUCIÓN EN SUCURSALES'!H29</f>
        <v>0</v>
      </c>
      <c r="I29">
        <f>'EXISTENCIA EN SUCURSALES'!I29+'DISTRIBUCIÓN EN SUCURSALES'!I29</f>
        <v>0</v>
      </c>
      <c r="J29">
        <f>'EXISTENCIA EN SUCURSALES'!J29+'DISTRIBUCIÓN EN SUCURSALES'!J29</f>
        <v>0</v>
      </c>
      <c r="K29">
        <f>'EXISTENCIA EN SUCURSALES'!K29+'DISTRIBUCIÓN EN SUCURSALES'!K29</f>
        <v>0</v>
      </c>
      <c r="L29">
        <f>SUM(B29:K29)</f>
        <v>0</v>
      </c>
      <c r="M29">
        <f>'EXISTENCIA EN SUCURSALES'!M29+'DISTRIBUCIÓN EN SUCURSALES'!M29</f>
        <v>0</v>
      </c>
      <c r="N29">
        <f>'EXISTENCIA EN SUCURSALES'!N29+'DISTRIBUCIÓN EN SUCURSALES'!N29</f>
        <v>0</v>
      </c>
      <c r="O29">
        <f>'EXISTENCIA EN SUCURSALES'!O29+'DISTRIBUCIÓN EN SUCURSALES'!O29</f>
        <v>0</v>
      </c>
      <c r="P29">
        <f>'EXISTENCIA EN SUCURSALES'!P29+'DISTRIBUCIÓN EN SUCURSALES'!P29</f>
        <v>0</v>
      </c>
      <c r="Q29">
        <f>'EXISTENCIA EN SUCURSALES'!Q29+'DISTRIBUCIÓN EN SUCURSALES'!Q29</f>
        <v>0</v>
      </c>
      <c r="R29">
        <f>'EXISTENCIA EN SUCURSALES'!R29+'DISTRIBUCIÓN EN SUCURSALES'!R29</f>
        <v>0</v>
      </c>
      <c r="S29">
        <f>'EXISTENCIA EN SUCURSALES'!S29+'DISTRIBUCIÓN EN SUCURSALES'!S29</f>
        <v>0</v>
      </c>
      <c r="T29">
        <f>'EXISTENCIA EN SUCURSALES'!T29+'DISTRIBUCIÓN EN SUCURSALES'!T29</f>
        <v>0</v>
      </c>
      <c r="U29">
        <f>'EXISTENCIA EN SUCURSALES'!U29+'DISTRIBUCIÓN EN SUCURSALES'!U29</f>
        <v>0</v>
      </c>
      <c r="V29">
        <f>'EXISTENCIA EN SUCURSALES'!V29+'DISTRIBUCIÓN EN SUCURSALES'!V29</f>
        <v>0</v>
      </c>
      <c r="W29">
        <f>'EXISTENCIA EN SUCURSALES'!W29+'DISTRIBUCIÓN EN SUCURSALES'!W29</f>
        <v>0</v>
      </c>
      <c r="X29">
        <f>'EXISTENCIA EN SUCURSALES'!X29+'DISTRIBUCIÓN EN SUCURSALES'!X29</f>
        <v>0</v>
      </c>
      <c r="Y29">
        <f>SUM(M29:X29)</f>
        <v>0</v>
      </c>
      <c r="Z29">
        <f>L29+Y29</f>
        <v>0</v>
      </c>
      <c r="AB29">
        <f>IFERROR(VLOOKUP(A29,'GRAL. SUC. LOCALES'!$A:$N,14,0),0)</f>
        <v>0</v>
      </c>
      <c r="AD29">
        <f>AB29+Z29</f>
        <v>0</v>
      </c>
      <c r="AG29">
        <v>0</v>
      </c>
      <c r="AH29">
        <f>AD29-AF29</f>
        <v>0</v>
      </c>
    </row>
    <row r="30">
      <c r="B30">
        <f>'EXISTENCIA EN SUCURSALES'!B30+'DISTRIBUCIÓN EN SUCURSALES'!B30</f>
        <v>0</v>
      </c>
      <c r="C30">
        <f>'EXISTENCIA EN SUCURSALES'!C30+'DISTRIBUCIÓN EN SUCURSALES'!C30</f>
        <v>0</v>
      </c>
      <c r="D30">
        <f>'EXISTENCIA EN SUCURSALES'!D30+'DISTRIBUCIÓN EN SUCURSALES'!D30</f>
        <v>0</v>
      </c>
      <c r="E30">
        <f>'EXISTENCIA EN SUCURSALES'!E30+'DISTRIBUCIÓN EN SUCURSALES'!E30</f>
        <v>0</v>
      </c>
      <c r="F30">
        <f>'EXISTENCIA EN SUCURSALES'!F30+'DISTRIBUCIÓN EN SUCURSALES'!F30</f>
        <v>0</v>
      </c>
      <c r="G30">
        <f>'EXISTENCIA EN SUCURSALES'!G30+'DISTRIBUCIÓN EN SUCURSALES'!G30</f>
        <v>0</v>
      </c>
      <c r="H30">
        <f>'EXISTENCIA EN SUCURSALES'!H30+'DISTRIBUCIÓN EN SUCURSALES'!H30</f>
        <v>0</v>
      </c>
      <c r="I30">
        <f>'EXISTENCIA EN SUCURSALES'!I30+'DISTRIBUCIÓN EN SUCURSALES'!I30</f>
        <v>0</v>
      </c>
      <c r="J30">
        <f>'EXISTENCIA EN SUCURSALES'!J30+'DISTRIBUCIÓN EN SUCURSALES'!J30</f>
        <v>0</v>
      </c>
      <c r="K30">
        <f>'EXISTENCIA EN SUCURSALES'!K30+'DISTRIBUCIÓN EN SUCURSALES'!K30</f>
        <v>0</v>
      </c>
      <c r="L30">
        <f>SUM(B30:K30)</f>
        <v>0</v>
      </c>
      <c r="M30">
        <f>'EXISTENCIA EN SUCURSALES'!M30+'DISTRIBUCIÓN EN SUCURSALES'!M30</f>
        <v>0</v>
      </c>
      <c r="N30">
        <f>'EXISTENCIA EN SUCURSALES'!N30+'DISTRIBUCIÓN EN SUCURSALES'!N30</f>
        <v>0</v>
      </c>
      <c r="O30">
        <f>'EXISTENCIA EN SUCURSALES'!O30+'DISTRIBUCIÓN EN SUCURSALES'!O30</f>
        <v>0</v>
      </c>
      <c r="P30">
        <f>'EXISTENCIA EN SUCURSALES'!P30+'DISTRIBUCIÓN EN SUCURSALES'!P30</f>
        <v>0</v>
      </c>
      <c r="Q30">
        <f>'EXISTENCIA EN SUCURSALES'!Q30+'DISTRIBUCIÓN EN SUCURSALES'!Q30</f>
        <v>0</v>
      </c>
      <c r="R30">
        <f>'EXISTENCIA EN SUCURSALES'!R30+'DISTRIBUCIÓN EN SUCURSALES'!R30</f>
        <v>0</v>
      </c>
      <c r="S30">
        <f>'EXISTENCIA EN SUCURSALES'!S30+'DISTRIBUCIÓN EN SUCURSALES'!S30</f>
        <v>0</v>
      </c>
      <c r="T30">
        <f>'EXISTENCIA EN SUCURSALES'!T30+'DISTRIBUCIÓN EN SUCURSALES'!T30</f>
        <v>0</v>
      </c>
      <c r="U30">
        <f>'EXISTENCIA EN SUCURSALES'!U30+'DISTRIBUCIÓN EN SUCURSALES'!U30</f>
        <v>0</v>
      </c>
      <c r="V30">
        <f>'EXISTENCIA EN SUCURSALES'!V30+'DISTRIBUCIÓN EN SUCURSALES'!V30</f>
        <v>0</v>
      </c>
      <c r="W30">
        <f>'EXISTENCIA EN SUCURSALES'!W30+'DISTRIBUCIÓN EN SUCURSALES'!W30</f>
        <v>0</v>
      </c>
      <c r="X30">
        <f>'EXISTENCIA EN SUCURSALES'!X30+'DISTRIBUCIÓN EN SUCURSALES'!X30</f>
        <v>0</v>
      </c>
      <c r="Y30">
        <f>SUM(M30:X30)</f>
        <v>0</v>
      </c>
      <c r="Z30">
        <f>L30+Y30</f>
        <v>0</v>
      </c>
      <c r="AB30">
        <f>IFERROR(VLOOKUP(A30,'GRAL. SUC. LOCALES'!$A:$N,14,0),0)</f>
        <v>0</v>
      </c>
      <c r="AD30">
        <f>AB30+Z30</f>
        <v>0</v>
      </c>
      <c r="AG30">
        <v>0</v>
      </c>
      <c r="AH30">
        <f>AD30-AF30</f>
        <v>0</v>
      </c>
    </row>
    <row r="31">
      <c r="B31">
        <f>'EXISTENCIA EN SUCURSALES'!B31+'DISTRIBUCIÓN EN SUCURSALES'!B31</f>
        <v>0</v>
      </c>
      <c r="C31">
        <f>'EXISTENCIA EN SUCURSALES'!C31+'DISTRIBUCIÓN EN SUCURSALES'!C31</f>
        <v>0</v>
      </c>
      <c r="D31">
        <f>'EXISTENCIA EN SUCURSALES'!D31+'DISTRIBUCIÓN EN SUCURSALES'!D31</f>
        <v>0</v>
      </c>
      <c r="E31">
        <f>'EXISTENCIA EN SUCURSALES'!E31+'DISTRIBUCIÓN EN SUCURSALES'!E31</f>
        <v>0</v>
      </c>
      <c r="F31">
        <f>'EXISTENCIA EN SUCURSALES'!F31+'DISTRIBUCIÓN EN SUCURSALES'!F31</f>
        <v>0</v>
      </c>
      <c r="G31">
        <f>'EXISTENCIA EN SUCURSALES'!G31+'DISTRIBUCIÓN EN SUCURSALES'!G31</f>
        <v>0</v>
      </c>
      <c r="H31">
        <f>'EXISTENCIA EN SUCURSALES'!H31+'DISTRIBUCIÓN EN SUCURSALES'!H31</f>
        <v>0</v>
      </c>
      <c r="I31">
        <f>'EXISTENCIA EN SUCURSALES'!I31+'DISTRIBUCIÓN EN SUCURSALES'!I31</f>
        <v>0</v>
      </c>
      <c r="J31">
        <f>'EXISTENCIA EN SUCURSALES'!J31+'DISTRIBUCIÓN EN SUCURSALES'!J31</f>
        <v>0</v>
      </c>
      <c r="K31">
        <f>'EXISTENCIA EN SUCURSALES'!K31+'DISTRIBUCIÓN EN SUCURSALES'!K31</f>
        <v>0</v>
      </c>
      <c r="L31">
        <f>SUM(B31:K31)</f>
        <v>0</v>
      </c>
      <c r="M31">
        <f>'EXISTENCIA EN SUCURSALES'!M31+'DISTRIBUCIÓN EN SUCURSALES'!M31</f>
        <v>0</v>
      </c>
      <c r="N31">
        <f>'EXISTENCIA EN SUCURSALES'!N31+'DISTRIBUCIÓN EN SUCURSALES'!N31</f>
        <v>0</v>
      </c>
      <c r="O31">
        <f>'EXISTENCIA EN SUCURSALES'!O31+'DISTRIBUCIÓN EN SUCURSALES'!O31</f>
        <v>0</v>
      </c>
      <c r="P31">
        <f>'EXISTENCIA EN SUCURSALES'!P31+'DISTRIBUCIÓN EN SUCURSALES'!P31</f>
        <v>0</v>
      </c>
      <c r="Q31">
        <f>'EXISTENCIA EN SUCURSALES'!Q31+'DISTRIBUCIÓN EN SUCURSALES'!Q31</f>
        <v>0</v>
      </c>
      <c r="R31">
        <f>'EXISTENCIA EN SUCURSALES'!R31+'DISTRIBUCIÓN EN SUCURSALES'!R31</f>
        <v>0</v>
      </c>
      <c r="S31">
        <f>'EXISTENCIA EN SUCURSALES'!S31+'DISTRIBUCIÓN EN SUCURSALES'!S31</f>
        <v>0</v>
      </c>
      <c r="T31">
        <f>'EXISTENCIA EN SUCURSALES'!T31+'DISTRIBUCIÓN EN SUCURSALES'!T31</f>
        <v>0</v>
      </c>
      <c r="U31">
        <f>'EXISTENCIA EN SUCURSALES'!U31+'DISTRIBUCIÓN EN SUCURSALES'!U31</f>
        <v>0</v>
      </c>
      <c r="V31">
        <f>'EXISTENCIA EN SUCURSALES'!V31+'DISTRIBUCIÓN EN SUCURSALES'!V31</f>
        <v>0</v>
      </c>
      <c r="W31">
        <f>'EXISTENCIA EN SUCURSALES'!W31+'DISTRIBUCIÓN EN SUCURSALES'!W31</f>
        <v>0</v>
      </c>
      <c r="X31">
        <f>'EXISTENCIA EN SUCURSALES'!X31+'DISTRIBUCIÓN EN SUCURSALES'!X31</f>
        <v>0</v>
      </c>
      <c r="Y31">
        <f>SUM(M31:X31)</f>
        <v>0</v>
      </c>
      <c r="Z31">
        <f>L31+Y31</f>
        <v>0</v>
      </c>
      <c r="AB31">
        <f>IFERROR(VLOOKUP(A31,'GRAL. SUC. LOCALES'!$A:$N,14,0),0)</f>
        <v>0</v>
      </c>
      <c r="AD31">
        <f>AB31+Z31</f>
        <v>0</v>
      </c>
      <c r="AG31">
        <v>0</v>
      </c>
      <c r="AH31">
        <f>AD31-AF31</f>
        <v>0</v>
      </c>
    </row>
    <row r="32">
      <c r="A32" t="str">
        <v xml:space="preserve">3 LECHES MEDIANOS </v>
      </c>
      <c r="B32">
        <f>SUM(B19:B31)</f>
        <v>15</v>
      </c>
      <c r="C32">
        <f>SUM(C19:C31)</f>
        <v>16</v>
      </c>
      <c r="D32">
        <f>SUM(D19:D31)</f>
        <v>18</v>
      </c>
      <c r="E32">
        <f>SUM(E19:E31)</f>
        <v>10</v>
      </c>
      <c r="F32">
        <f>SUM(F19:F31)</f>
        <v>11</v>
      </c>
      <c r="G32">
        <f>SUM(G19:G31)</f>
        <v>0</v>
      </c>
      <c r="H32">
        <f>SUM(H19:H31)</f>
        <v>10</v>
      </c>
      <c r="I32">
        <f>SUM(I19:I31)</f>
        <v>6</v>
      </c>
      <c r="J32">
        <f>SUM(J19:J31)</f>
        <v>19</v>
      </c>
      <c r="K32">
        <f>SUM(K19:K31)</f>
        <v>13</v>
      </c>
      <c r="L32">
        <f>SUM(L19:L31)</f>
        <v>118</v>
      </c>
      <c r="M32">
        <f>SUM(M19:M31)</f>
        <v>19</v>
      </c>
      <c r="N32">
        <f>SUM(N19:N31)</f>
        <v>9</v>
      </c>
      <c r="O32">
        <f>SUM(O19:O31)</f>
        <v>10</v>
      </c>
      <c r="P32">
        <f>SUM(P19:P31)</f>
        <v>14</v>
      </c>
      <c r="Q32">
        <f>SUM(Q19:Q31)</f>
        <v>26</v>
      </c>
      <c r="R32">
        <f>SUM(R19:R31)</f>
        <v>23</v>
      </c>
      <c r="S32">
        <f>SUM(S19:S31)</f>
        <v>20</v>
      </c>
      <c r="T32">
        <f>SUM(T19:T31)</f>
        <v>15</v>
      </c>
      <c r="U32">
        <f>SUM(U19:U31)</f>
        <v>4</v>
      </c>
      <c r="V32">
        <f>SUM(V19:V31)</f>
        <v>16</v>
      </c>
      <c r="W32">
        <f>SUM(W19:W31)</f>
        <v>14</v>
      </c>
      <c r="X32">
        <f>SUM(X19:X31)</f>
        <v>12</v>
      </c>
      <c r="Y32">
        <f>SUM(Y19:Y31)</f>
        <v>182</v>
      </c>
      <c r="Z32">
        <f>SUM(Z19:Z31)</f>
        <v>300</v>
      </c>
      <c r="AB32">
        <f>SUM(AB19:AB31)</f>
        <v>79</v>
      </c>
      <c r="AD32">
        <f>AB32+Z32</f>
        <v>379</v>
      </c>
      <c r="AF32">
        <f>SUM(AF19:AF31)</f>
        <v>520</v>
      </c>
      <c r="AG32">
        <f>SUM(AG19:AG31)</f>
        <v>480</v>
      </c>
      <c r="AH32">
        <f>AD32-AF32</f>
        <v>-141</v>
      </c>
    </row>
    <row r="33">
      <c r="A33" t="str">
        <v>PIÑA CH</v>
      </c>
      <c r="B33">
        <f>'EXISTENCIA EN SUCURSALES'!B33+'DISTRIBUCIÓN EN SUCURSALES'!B33</f>
        <v>3</v>
      </c>
      <c r="C33">
        <f>'EXISTENCIA EN SUCURSALES'!C33+'DISTRIBUCIÓN EN SUCURSALES'!C33</f>
        <v>3</v>
      </c>
      <c r="D33">
        <f>'EXISTENCIA EN SUCURSALES'!D33+'DISTRIBUCIÓN EN SUCURSALES'!D33</f>
        <v>2</v>
      </c>
      <c r="E33">
        <f>'EXISTENCIA EN SUCURSALES'!E33+'DISTRIBUCIÓN EN SUCURSALES'!E33</f>
        <v>2</v>
      </c>
      <c r="F33">
        <f>'EXISTENCIA EN SUCURSALES'!F33+'DISTRIBUCIÓN EN SUCURSALES'!F33</f>
        <v>2</v>
      </c>
      <c r="G33">
        <f>'EXISTENCIA EN SUCURSALES'!G33+'DISTRIBUCIÓN EN SUCURSALES'!G33</f>
        <v>0</v>
      </c>
      <c r="H33">
        <f>'EXISTENCIA EN SUCURSALES'!H33+'DISTRIBUCIÓN EN SUCURSALES'!H33</f>
        <v>2</v>
      </c>
      <c r="I33">
        <f>'EXISTENCIA EN SUCURSALES'!I33+'DISTRIBUCIÓN EN SUCURSALES'!I33</f>
        <v>1</v>
      </c>
      <c r="J33">
        <f>'EXISTENCIA EN SUCURSALES'!J33+'DISTRIBUCIÓN EN SUCURSALES'!J33</f>
        <v>2</v>
      </c>
      <c r="K33">
        <f>'EXISTENCIA EN SUCURSALES'!K33+'DISTRIBUCIÓN EN SUCURSALES'!K33</f>
        <v>2</v>
      </c>
      <c r="L33">
        <f>SUM(B33:K33)</f>
        <v>19</v>
      </c>
      <c r="M33">
        <f>'EXISTENCIA EN SUCURSALES'!M33+'DISTRIBUCIÓN EN SUCURSALES'!M33</f>
        <v>3</v>
      </c>
      <c r="N33">
        <f>'EXISTENCIA EN SUCURSALES'!N33+'DISTRIBUCIÓN EN SUCURSALES'!N33</f>
        <v>1</v>
      </c>
      <c r="O33">
        <f>'EXISTENCIA EN SUCURSALES'!O33+'DISTRIBUCIÓN EN SUCURSALES'!O33</f>
        <v>0</v>
      </c>
      <c r="P33">
        <f>'EXISTENCIA EN SUCURSALES'!P33+'DISTRIBUCIÓN EN SUCURSALES'!P33</f>
        <v>0</v>
      </c>
      <c r="Q33">
        <f>'EXISTENCIA EN SUCURSALES'!Q33+'DISTRIBUCIÓN EN SUCURSALES'!Q33</f>
        <v>2</v>
      </c>
      <c r="R33">
        <f>'EXISTENCIA EN SUCURSALES'!R33+'DISTRIBUCIÓN EN SUCURSALES'!R33</f>
        <v>1</v>
      </c>
      <c r="S33">
        <f>'EXISTENCIA EN SUCURSALES'!S33+'DISTRIBUCIÓN EN SUCURSALES'!S33</f>
        <v>4</v>
      </c>
      <c r="T33">
        <f>'EXISTENCIA EN SUCURSALES'!T33+'DISTRIBUCIÓN EN SUCURSALES'!T33</f>
        <v>4</v>
      </c>
      <c r="U33">
        <f>'EXISTENCIA EN SUCURSALES'!U33+'DISTRIBUCIÓN EN SUCURSALES'!U33</f>
        <v>0</v>
      </c>
      <c r="V33">
        <f>'EXISTENCIA EN SUCURSALES'!V33+'DISTRIBUCIÓN EN SUCURSALES'!V33</f>
        <v>0</v>
      </c>
      <c r="W33">
        <f>'EXISTENCIA EN SUCURSALES'!W33+'DISTRIBUCIÓN EN SUCURSALES'!W33</f>
        <v>1</v>
      </c>
      <c r="X33">
        <f>'EXISTENCIA EN SUCURSALES'!X33+'DISTRIBUCIÓN EN SUCURSALES'!X33</f>
        <v>0</v>
      </c>
      <c r="Y33">
        <f>SUM(M33:X33)</f>
        <v>16</v>
      </c>
      <c r="Z33">
        <f>L33+Y33</f>
        <v>35</v>
      </c>
      <c r="AB33">
        <f>IFERROR(VLOOKUP(A33,'GRAL. SUC. LOCALES'!$A:$N,14,0),0)</f>
        <v>5</v>
      </c>
      <c r="AD33">
        <f>AB33+Z33</f>
        <v>40</v>
      </c>
      <c r="AF33">
        <v>55</v>
      </c>
      <c r="AG33">
        <v>50</v>
      </c>
      <c r="AH33">
        <f>AD33-AF33</f>
        <v>-15</v>
      </c>
    </row>
    <row r="34">
      <c r="A34" t="str">
        <v>DURAZNO CH</v>
      </c>
      <c r="B34">
        <f>'EXISTENCIA EN SUCURSALES'!B34+'DISTRIBUCIÓN EN SUCURSALES'!B34</f>
        <v>3</v>
      </c>
      <c r="C34">
        <f>'EXISTENCIA EN SUCURSALES'!C34+'DISTRIBUCIÓN EN SUCURSALES'!C34</f>
        <v>2</v>
      </c>
      <c r="D34">
        <f>'EXISTENCIA EN SUCURSALES'!D34+'DISTRIBUCIÓN EN SUCURSALES'!D34</f>
        <v>2</v>
      </c>
      <c r="E34">
        <f>'EXISTENCIA EN SUCURSALES'!E34+'DISTRIBUCIÓN EN SUCURSALES'!E34</f>
        <v>1</v>
      </c>
      <c r="F34">
        <f>'EXISTENCIA EN SUCURSALES'!F34+'DISTRIBUCIÓN EN SUCURSALES'!F34</f>
        <v>2</v>
      </c>
      <c r="G34">
        <f>'EXISTENCIA EN SUCURSALES'!G34+'DISTRIBUCIÓN EN SUCURSALES'!G34</f>
        <v>0</v>
      </c>
      <c r="H34">
        <f>'EXISTENCIA EN SUCURSALES'!H34+'DISTRIBUCIÓN EN SUCURSALES'!H34</f>
        <v>2</v>
      </c>
      <c r="I34">
        <f>'EXISTENCIA EN SUCURSALES'!I34+'DISTRIBUCIÓN EN SUCURSALES'!I34</f>
        <v>1</v>
      </c>
      <c r="J34">
        <f>'EXISTENCIA EN SUCURSALES'!J34+'DISTRIBUCIÓN EN SUCURSALES'!J34</f>
        <v>2</v>
      </c>
      <c r="K34">
        <f>'EXISTENCIA EN SUCURSALES'!K34+'DISTRIBUCIÓN EN SUCURSALES'!K34</f>
        <v>2</v>
      </c>
      <c r="L34">
        <f>SUM(B34:K34)</f>
        <v>17</v>
      </c>
      <c r="M34">
        <f>'EXISTENCIA EN SUCURSALES'!M34+'DISTRIBUCIÓN EN SUCURSALES'!M34</f>
        <v>2</v>
      </c>
      <c r="N34">
        <f>'EXISTENCIA EN SUCURSALES'!N34+'DISTRIBUCIÓN EN SUCURSALES'!N34</f>
        <v>2</v>
      </c>
      <c r="O34">
        <f>'EXISTENCIA EN SUCURSALES'!O34+'DISTRIBUCIÓN EN SUCURSALES'!O34</f>
        <v>0</v>
      </c>
      <c r="P34">
        <f>'EXISTENCIA EN SUCURSALES'!P34+'DISTRIBUCIÓN EN SUCURSALES'!P34</f>
        <v>1</v>
      </c>
      <c r="Q34">
        <f>'EXISTENCIA EN SUCURSALES'!Q34+'DISTRIBUCIÓN EN SUCURSALES'!Q34</f>
        <v>3</v>
      </c>
      <c r="R34">
        <f>'EXISTENCIA EN SUCURSALES'!R34+'DISTRIBUCIÓN EN SUCURSALES'!R34</f>
        <v>2</v>
      </c>
      <c r="S34">
        <f>'EXISTENCIA EN SUCURSALES'!S34+'DISTRIBUCIÓN EN SUCURSALES'!S34</f>
        <v>4</v>
      </c>
      <c r="T34">
        <f>'EXISTENCIA EN SUCURSALES'!T34+'DISTRIBUCIÓN EN SUCURSALES'!T34</f>
        <v>4</v>
      </c>
      <c r="U34">
        <f>'EXISTENCIA EN SUCURSALES'!U34+'DISTRIBUCIÓN EN SUCURSALES'!U34</f>
        <v>2</v>
      </c>
      <c r="V34">
        <f>'EXISTENCIA EN SUCURSALES'!V34+'DISTRIBUCIÓN EN SUCURSALES'!V34</f>
        <v>3</v>
      </c>
      <c r="W34">
        <f>'EXISTENCIA EN SUCURSALES'!W34+'DISTRIBUCIÓN EN SUCURSALES'!W34</f>
        <v>2</v>
      </c>
      <c r="X34">
        <f>'EXISTENCIA EN SUCURSALES'!X34+'DISTRIBUCIÓN EN SUCURSALES'!X34</f>
        <v>2</v>
      </c>
      <c r="Y34">
        <f>SUM(M34:X34)</f>
        <v>27</v>
      </c>
      <c r="Z34">
        <f>L34+Y34</f>
        <v>44</v>
      </c>
      <c r="AB34">
        <f>IFERROR(VLOOKUP(A34,'GRAL. SUC. LOCALES'!$A:$N,14,0),0)</f>
        <v>6</v>
      </c>
      <c r="AD34">
        <f>AB34+Z34</f>
        <v>50</v>
      </c>
      <c r="AF34">
        <v>65</v>
      </c>
      <c r="AG34">
        <v>60</v>
      </c>
      <c r="AH34">
        <f>AD34-AF34</f>
        <v>-15</v>
      </c>
    </row>
    <row r="35">
      <c r="A35" t="str">
        <v>FRESA CH</v>
      </c>
      <c r="B35">
        <f>'EXISTENCIA EN SUCURSALES'!B35+'DISTRIBUCIÓN EN SUCURSALES'!B35</f>
        <v>2</v>
      </c>
      <c r="C35">
        <f>'EXISTENCIA EN SUCURSALES'!C35+'DISTRIBUCIÓN EN SUCURSALES'!C35</f>
        <v>2</v>
      </c>
      <c r="D35">
        <f>'EXISTENCIA EN SUCURSALES'!D35+'DISTRIBUCIÓN EN SUCURSALES'!D35</f>
        <v>1</v>
      </c>
      <c r="E35">
        <f>'EXISTENCIA EN SUCURSALES'!E35+'DISTRIBUCIÓN EN SUCURSALES'!E35</f>
        <v>1</v>
      </c>
      <c r="F35">
        <f>'EXISTENCIA EN SUCURSALES'!F35+'DISTRIBUCIÓN EN SUCURSALES'!F35</f>
        <v>1</v>
      </c>
      <c r="G35">
        <f>'EXISTENCIA EN SUCURSALES'!G35+'DISTRIBUCIÓN EN SUCURSALES'!G35</f>
        <v>0</v>
      </c>
      <c r="H35">
        <f>'EXISTENCIA EN SUCURSALES'!H35+'DISTRIBUCIÓN EN SUCURSALES'!H35</f>
        <v>2</v>
      </c>
      <c r="I35">
        <f>'EXISTENCIA EN SUCURSALES'!I35+'DISTRIBUCIÓN EN SUCURSALES'!I35</f>
        <v>1</v>
      </c>
      <c r="J35">
        <f>'EXISTENCIA EN SUCURSALES'!J35+'DISTRIBUCIÓN EN SUCURSALES'!J35</f>
        <v>2</v>
      </c>
      <c r="K35">
        <f>'EXISTENCIA EN SUCURSALES'!K35+'DISTRIBUCIÓN EN SUCURSALES'!K35</f>
        <v>2</v>
      </c>
      <c r="L35">
        <f>SUM(B35:K35)</f>
        <v>14</v>
      </c>
      <c r="M35">
        <f>'EXISTENCIA EN SUCURSALES'!M35+'DISTRIBUCIÓN EN SUCURSALES'!M35</f>
        <v>3</v>
      </c>
      <c r="N35">
        <f>'EXISTENCIA EN SUCURSALES'!N35+'DISTRIBUCIÓN EN SUCURSALES'!N35</f>
        <v>1</v>
      </c>
      <c r="O35">
        <f>'EXISTENCIA EN SUCURSALES'!O35+'DISTRIBUCIÓN EN SUCURSALES'!O35</f>
        <v>1</v>
      </c>
      <c r="P35">
        <f>'EXISTENCIA EN SUCURSALES'!P35+'DISTRIBUCIÓN EN SUCURSALES'!P35</f>
        <v>3</v>
      </c>
      <c r="Q35">
        <f>'EXISTENCIA EN SUCURSALES'!Q35+'DISTRIBUCIÓN EN SUCURSALES'!Q35</f>
        <v>5</v>
      </c>
      <c r="R35">
        <f>'EXISTENCIA EN SUCURSALES'!R35+'DISTRIBUCIÓN EN SUCURSALES'!R35</f>
        <v>3</v>
      </c>
      <c r="S35">
        <f>'EXISTENCIA EN SUCURSALES'!S35+'DISTRIBUCIÓN EN SUCURSALES'!S35</f>
        <v>1</v>
      </c>
      <c r="T35">
        <f>'EXISTENCIA EN SUCURSALES'!T35+'DISTRIBUCIÓN EN SUCURSALES'!T35</f>
        <v>4</v>
      </c>
      <c r="U35">
        <f>'EXISTENCIA EN SUCURSALES'!U35+'DISTRIBUCIÓN EN SUCURSALES'!U35</f>
        <v>0</v>
      </c>
      <c r="V35">
        <f>'EXISTENCIA EN SUCURSALES'!V35+'DISTRIBUCIÓN EN SUCURSALES'!V35</f>
        <v>2</v>
      </c>
      <c r="W35">
        <f>'EXISTENCIA EN SUCURSALES'!W35+'DISTRIBUCIÓN EN SUCURSALES'!W35</f>
        <v>2</v>
      </c>
      <c r="X35">
        <f>'EXISTENCIA EN SUCURSALES'!X35+'DISTRIBUCIÓN EN SUCURSALES'!X35</f>
        <v>2</v>
      </c>
      <c r="Y35">
        <f>SUM(M35:X35)</f>
        <v>27</v>
      </c>
      <c r="Z35">
        <f>L35+Y35</f>
        <v>41</v>
      </c>
      <c r="AB35">
        <f>IFERROR(VLOOKUP(A35,'GRAL. SUC. LOCALES'!$A:$N,14,0),0)</f>
        <v>7</v>
      </c>
      <c r="AD35">
        <f>AB35+Z35</f>
        <v>48</v>
      </c>
      <c r="AF35">
        <v>55</v>
      </c>
      <c r="AG35">
        <v>45</v>
      </c>
      <c r="AH35">
        <f>AD35-AF35</f>
        <v>-7</v>
      </c>
    </row>
    <row r="36">
      <c r="A36" t="str">
        <v>3 LECHES CH</v>
      </c>
      <c r="B36">
        <f>'EXISTENCIA EN SUCURSALES'!B36+'DISTRIBUCIÓN EN SUCURSALES'!B36</f>
        <v>3</v>
      </c>
      <c r="C36">
        <f>'EXISTENCIA EN SUCURSALES'!C36+'DISTRIBUCIÓN EN SUCURSALES'!C36</f>
        <v>2</v>
      </c>
      <c r="D36">
        <f>'EXISTENCIA EN SUCURSALES'!D36+'DISTRIBUCIÓN EN SUCURSALES'!D36</f>
        <v>2</v>
      </c>
      <c r="E36">
        <f>'EXISTENCIA EN SUCURSALES'!E36+'DISTRIBUCIÓN EN SUCURSALES'!E36</f>
        <v>0</v>
      </c>
      <c r="F36">
        <f>'EXISTENCIA EN SUCURSALES'!F36+'DISTRIBUCIÓN EN SUCURSALES'!F36</f>
        <v>1</v>
      </c>
      <c r="G36">
        <f>'EXISTENCIA EN SUCURSALES'!G36+'DISTRIBUCIÓN EN SUCURSALES'!G36</f>
        <v>0</v>
      </c>
      <c r="H36">
        <f>'EXISTENCIA EN SUCURSALES'!H36+'DISTRIBUCIÓN EN SUCURSALES'!H36</f>
        <v>1</v>
      </c>
      <c r="I36">
        <f>'EXISTENCIA EN SUCURSALES'!I36+'DISTRIBUCIÓN EN SUCURSALES'!I36</f>
        <v>1</v>
      </c>
      <c r="J36">
        <f>'EXISTENCIA EN SUCURSALES'!J36+'DISTRIBUCIÓN EN SUCURSALES'!J36</f>
        <v>2</v>
      </c>
      <c r="K36">
        <f>'EXISTENCIA EN SUCURSALES'!K36+'DISTRIBUCIÓN EN SUCURSALES'!K36</f>
        <v>2</v>
      </c>
      <c r="L36">
        <f>SUM(B36:K36)</f>
        <v>14</v>
      </c>
      <c r="M36">
        <f>'EXISTENCIA EN SUCURSALES'!M36+'DISTRIBUCIÓN EN SUCURSALES'!M36</f>
        <v>3</v>
      </c>
      <c r="N36">
        <f>'EXISTENCIA EN SUCURSALES'!N36+'DISTRIBUCIÓN EN SUCURSALES'!N36</f>
        <v>2</v>
      </c>
      <c r="O36">
        <f>'EXISTENCIA EN SUCURSALES'!O36+'DISTRIBUCIÓN EN SUCURSALES'!O36</f>
        <v>4</v>
      </c>
      <c r="P36">
        <f>'EXISTENCIA EN SUCURSALES'!P36+'DISTRIBUCIÓN EN SUCURSALES'!P36</f>
        <v>1</v>
      </c>
      <c r="Q36">
        <f>'EXISTENCIA EN SUCURSALES'!Q36+'DISTRIBUCIÓN EN SUCURSALES'!Q36</f>
        <v>5</v>
      </c>
      <c r="R36">
        <f>'EXISTENCIA EN SUCURSALES'!R36+'DISTRIBUCIÓN EN SUCURSALES'!R36</f>
        <v>3</v>
      </c>
      <c r="S36">
        <f>'EXISTENCIA EN SUCURSALES'!S36+'DISTRIBUCIÓN EN SUCURSALES'!S36</f>
        <v>0</v>
      </c>
      <c r="T36">
        <f>'EXISTENCIA EN SUCURSALES'!T36+'DISTRIBUCIÓN EN SUCURSALES'!T36</f>
        <v>2</v>
      </c>
      <c r="U36">
        <f>'EXISTENCIA EN SUCURSALES'!U36+'DISTRIBUCIÓN EN SUCURSALES'!U36</f>
        <v>1</v>
      </c>
      <c r="V36">
        <f>'EXISTENCIA EN SUCURSALES'!V36+'DISTRIBUCIÓN EN SUCURSALES'!V36</f>
        <v>2</v>
      </c>
      <c r="W36">
        <f>'EXISTENCIA EN SUCURSALES'!W36+'DISTRIBUCIÓN EN SUCURSALES'!W36</f>
        <v>2</v>
      </c>
      <c r="X36">
        <f>'EXISTENCIA EN SUCURSALES'!X36+'DISTRIBUCIÓN EN SUCURSALES'!X36</f>
        <v>1</v>
      </c>
      <c r="Y36">
        <f>SUM(M36:X36)</f>
        <v>26</v>
      </c>
      <c r="Z36">
        <f>L36+Y36</f>
        <v>40</v>
      </c>
      <c r="AB36">
        <f>IFERROR(VLOOKUP(A36,'GRAL. SUC. LOCALES'!$A:$N,14,0),0)</f>
        <v>6</v>
      </c>
      <c r="AD36">
        <f>AB36+Z36</f>
        <v>46</v>
      </c>
      <c r="AF36">
        <v>55</v>
      </c>
      <c r="AG36">
        <v>45</v>
      </c>
      <c r="AH36">
        <f>AD36-AF36</f>
        <v>-9</v>
      </c>
    </row>
    <row r="37">
      <c r="A37" t="str">
        <v>FRUTAS CH</v>
      </c>
      <c r="B37">
        <f>'EXISTENCIA EN SUCURSALES'!B37+'DISTRIBUCIÓN EN SUCURSALES'!B37</f>
        <v>3</v>
      </c>
      <c r="C37">
        <f>'EXISTENCIA EN SUCURSALES'!C37+'DISTRIBUCIÓN EN SUCURSALES'!C37</f>
        <v>3</v>
      </c>
      <c r="D37">
        <f>'EXISTENCIA EN SUCURSALES'!D37+'DISTRIBUCIÓN EN SUCURSALES'!D37</f>
        <v>3</v>
      </c>
      <c r="E37">
        <f>'EXISTENCIA EN SUCURSALES'!E37+'DISTRIBUCIÓN EN SUCURSALES'!E37</f>
        <v>3</v>
      </c>
      <c r="F37">
        <f>'EXISTENCIA EN SUCURSALES'!F37+'DISTRIBUCIÓN EN SUCURSALES'!F37</f>
        <v>2</v>
      </c>
      <c r="G37">
        <f>'EXISTENCIA EN SUCURSALES'!G37+'DISTRIBUCIÓN EN SUCURSALES'!G37</f>
        <v>0</v>
      </c>
      <c r="H37">
        <f>'EXISTENCIA EN SUCURSALES'!H37+'DISTRIBUCIÓN EN SUCURSALES'!H37</f>
        <v>2</v>
      </c>
      <c r="I37">
        <f>'EXISTENCIA EN SUCURSALES'!I37+'DISTRIBUCIÓN EN SUCURSALES'!I37</f>
        <v>1</v>
      </c>
      <c r="J37">
        <f>'EXISTENCIA EN SUCURSALES'!J37+'DISTRIBUCIÓN EN SUCURSALES'!J37</f>
        <v>4</v>
      </c>
      <c r="K37">
        <f>'EXISTENCIA EN SUCURSALES'!K37+'DISTRIBUCIÓN EN SUCURSALES'!K37</f>
        <v>3</v>
      </c>
      <c r="L37">
        <f>SUM(B37:K37)</f>
        <v>24</v>
      </c>
      <c r="M37">
        <f>'EXISTENCIA EN SUCURSALES'!M37+'DISTRIBUCIÓN EN SUCURSALES'!M37</f>
        <v>2</v>
      </c>
      <c r="N37">
        <f>'EXISTENCIA EN SUCURSALES'!N37+'DISTRIBUCIÓN EN SUCURSALES'!N37</f>
        <v>2</v>
      </c>
      <c r="O37">
        <f>'EXISTENCIA EN SUCURSALES'!O37+'DISTRIBUCIÓN EN SUCURSALES'!O37</f>
        <v>3</v>
      </c>
      <c r="P37">
        <f>'EXISTENCIA EN SUCURSALES'!P37+'DISTRIBUCIÓN EN SUCURSALES'!P37</f>
        <v>3</v>
      </c>
      <c r="Q37">
        <f>'EXISTENCIA EN SUCURSALES'!Q37+'DISTRIBUCIÓN EN SUCURSALES'!Q37</f>
        <v>5</v>
      </c>
      <c r="R37">
        <f>'EXISTENCIA EN SUCURSALES'!R37+'DISTRIBUCIÓN EN SUCURSALES'!R37</f>
        <v>0</v>
      </c>
      <c r="S37">
        <f>'EXISTENCIA EN SUCURSALES'!S37+'DISTRIBUCIÓN EN SUCURSALES'!S37</f>
        <v>3</v>
      </c>
      <c r="T37">
        <f>'EXISTENCIA EN SUCURSALES'!T37+'DISTRIBUCIÓN EN SUCURSALES'!T37</f>
        <v>4</v>
      </c>
      <c r="U37">
        <f>'EXISTENCIA EN SUCURSALES'!U37+'DISTRIBUCIÓN EN SUCURSALES'!U37</f>
        <v>1</v>
      </c>
      <c r="V37">
        <f>'EXISTENCIA EN SUCURSALES'!V37+'DISTRIBUCIÓN EN SUCURSALES'!V37</f>
        <v>3</v>
      </c>
      <c r="W37">
        <f>'EXISTENCIA EN SUCURSALES'!W37+'DISTRIBUCIÓN EN SUCURSALES'!W37</f>
        <v>2</v>
      </c>
      <c r="X37">
        <f>'EXISTENCIA EN SUCURSALES'!X37+'DISTRIBUCIÓN EN SUCURSALES'!X37</f>
        <v>1</v>
      </c>
      <c r="Y37">
        <f>SUM(M37:X37)</f>
        <v>29</v>
      </c>
      <c r="Z37">
        <f>L37+Y37</f>
        <v>53</v>
      </c>
      <c r="AB37">
        <f>IFERROR(VLOOKUP(A37,'GRAL. SUC. LOCALES'!$A:$N,14,0),0)</f>
        <v>12</v>
      </c>
      <c r="AD37">
        <f>AB37+Z37</f>
        <v>65</v>
      </c>
      <c r="AF37">
        <v>90</v>
      </c>
      <c r="AG37">
        <v>90</v>
      </c>
      <c r="AH37">
        <f>AD37-AF37</f>
        <v>-25</v>
      </c>
    </row>
    <row r="38">
      <c r="A38" t="str">
        <v>MOKA CH</v>
      </c>
      <c r="B38">
        <f>'EXISTENCIA EN SUCURSALES'!B38+'DISTRIBUCIÓN EN SUCURSALES'!B38</f>
        <v>3</v>
      </c>
      <c r="C38">
        <f>'EXISTENCIA EN SUCURSALES'!C38+'DISTRIBUCIÓN EN SUCURSALES'!C38</f>
        <v>3</v>
      </c>
      <c r="D38">
        <f>'EXISTENCIA EN SUCURSALES'!D38+'DISTRIBUCIÓN EN SUCURSALES'!D38</f>
        <v>3</v>
      </c>
      <c r="E38">
        <f>'EXISTENCIA EN SUCURSALES'!E38+'DISTRIBUCIÓN EN SUCURSALES'!E38</f>
        <v>2</v>
      </c>
      <c r="F38">
        <f>'EXISTENCIA EN SUCURSALES'!F38+'DISTRIBUCIÓN EN SUCURSALES'!F38</f>
        <v>3</v>
      </c>
      <c r="G38">
        <f>'EXISTENCIA EN SUCURSALES'!G38+'DISTRIBUCIÓN EN SUCURSALES'!G38</f>
        <v>0</v>
      </c>
      <c r="H38">
        <f>'EXISTENCIA EN SUCURSALES'!H38+'DISTRIBUCIÓN EN SUCURSALES'!H38</f>
        <v>3</v>
      </c>
      <c r="I38">
        <f>'EXISTENCIA EN SUCURSALES'!I38+'DISTRIBUCIÓN EN SUCURSALES'!I38</f>
        <v>1</v>
      </c>
      <c r="J38">
        <f>'EXISTENCIA EN SUCURSALES'!J38+'DISTRIBUCIÓN EN SUCURSALES'!J38</f>
        <v>4</v>
      </c>
      <c r="K38">
        <f>'EXISTENCIA EN SUCURSALES'!K38+'DISTRIBUCIÓN EN SUCURSALES'!K38</f>
        <v>3</v>
      </c>
      <c r="L38">
        <f>SUM(B38:K38)</f>
        <v>25</v>
      </c>
      <c r="M38">
        <f>'EXISTENCIA EN SUCURSALES'!M38+'DISTRIBUCIÓN EN SUCURSALES'!M38</f>
        <v>2</v>
      </c>
      <c r="N38">
        <f>'EXISTENCIA EN SUCURSALES'!N38+'DISTRIBUCIÓN EN SUCURSALES'!N38</f>
        <v>2</v>
      </c>
      <c r="O38">
        <f>'EXISTENCIA EN SUCURSALES'!O38+'DISTRIBUCIÓN EN SUCURSALES'!O38</f>
        <v>3</v>
      </c>
      <c r="P38">
        <f>'EXISTENCIA EN SUCURSALES'!P38+'DISTRIBUCIÓN EN SUCURSALES'!P38</f>
        <v>3</v>
      </c>
      <c r="Q38">
        <f>'EXISTENCIA EN SUCURSALES'!Q38+'DISTRIBUCIÓN EN SUCURSALES'!Q38</f>
        <v>6</v>
      </c>
      <c r="R38">
        <f>'EXISTENCIA EN SUCURSALES'!R38+'DISTRIBUCIÓN EN SUCURSALES'!R38</f>
        <v>3</v>
      </c>
      <c r="S38">
        <f>'EXISTENCIA EN SUCURSALES'!S38+'DISTRIBUCIÓN EN SUCURSALES'!S38</f>
        <v>3</v>
      </c>
      <c r="T38">
        <f>'EXISTENCIA EN SUCURSALES'!T38+'DISTRIBUCIÓN EN SUCURSALES'!T38</f>
        <v>2</v>
      </c>
      <c r="U38">
        <f>'EXISTENCIA EN SUCURSALES'!U38+'DISTRIBUCIÓN EN SUCURSALES'!U38</f>
        <v>3</v>
      </c>
      <c r="V38">
        <f>'EXISTENCIA EN SUCURSALES'!V38+'DISTRIBUCIÓN EN SUCURSALES'!V38</f>
        <v>4</v>
      </c>
      <c r="W38">
        <f>'EXISTENCIA EN SUCURSALES'!W38+'DISTRIBUCIÓN EN SUCURSALES'!W38</f>
        <v>2</v>
      </c>
      <c r="X38">
        <f>'EXISTENCIA EN SUCURSALES'!X38+'DISTRIBUCIÓN EN SUCURSALES'!X38</f>
        <v>2</v>
      </c>
      <c r="Y38">
        <f>SUM(M38:X38)</f>
        <v>35</v>
      </c>
      <c r="Z38">
        <f>L38+Y38</f>
        <v>60</v>
      </c>
      <c r="AB38">
        <f>IFERROR(VLOOKUP(A38,'GRAL. SUC. LOCALES'!$A:$N,14,0),0)</f>
        <v>10</v>
      </c>
      <c r="AD38">
        <f>AB38+Z38</f>
        <v>70</v>
      </c>
      <c r="AF38">
        <v>100</v>
      </c>
      <c r="AG38">
        <v>90</v>
      </c>
      <c r="AH38">
        <f>AD38-AF38</f>
        <v>-30</v>
      </c>
    </row>
    <row r="39">
      <c r="A39" t="str">
        <v>NUTELA CH</v>
      </c>
      <c r="B39">
        <f>'EXISTENCIA EN SUCURSALES'!B39+'DISTRIBUCIÓN EN SUCURSALES'!B39</f>
        <v>2</v>
      </c>
      <c r="C39">
        <f>'EXISTENCIA EN SUCURSALES'!C39+'DISTRIBUCIÓN EN SUCURSALES'!C39</f>
        <v>2</v>
      </c>
      <c r="D39">
        <f>'EXISTENCIA EN SUCURSALES'!D39+'DISTRIBUCIÓN EN SUCURSALES'!D39</f>
        <v>2</v>
      </c>
      <c r="E39">
        <f>'EXISTENCIA EN SUCURSALES'!E39+'DISTRIBUCIÓN EN SUCURSALES'!E39</f>
        <v>1</v>
      </c>
      <c r="F39">
        <f>'EXISTENCIA EN SUCURSALES'!F39+'DISTRIBUCIÓN EN SUCURSALES'!F39</f>
        <v>2</v>
      </c>
      <c r="G39">
        <f>'EXISTENCIA EN SUCURSALES'!G39+'DISTRIBUCIÓN EN SUCURSALES'!G39</f>
        <v>0</v>
      </c>
      <c r="H39">
        <f>'EXISTENCIA EN SUCURSALES'!H39+'DISTRIBUCIÓN EN SUCURSALES'!H39</f>
        <v>2</v>
      </c>
      <c r="I39">
        <f>'EXISTENCIA EN SUCURSALES'!I39+'DISTRIBUCIÓN EN SUCURSALES'!I39</f>
        <v>1</v>
      </c>
      <c r="J39">
        <f>'EXISTENCIA EN SUCURSALES'!J39+'DISTRIBUCIÓN EN SUCURSALES'!J39</f>
        <v>2</v>
      </c>
      <c r="K39">
        <f>'EXISTENCIA EN SUCURSALES'!K39+'DISTRIBUCIÓN EN SUCURSALES'!K39</f>
        <v>2</v>
      </c>
      <c r="L39">
        <f>SUM(B39:K39)</f>
        <v>16</v>
      </c>
      <c r="M39">
        <f>'EXISTENCIA EN SUCURSALES'!M39+'DISTRIBUCIÓN EN SUCURSALES'!M39</f>
        <v>2</v>
      </c>
      <c r="N39">
        <f>'EXISTENCIA EN SUCURSALES'!N39+'DISTRIBUCIÓN EN SUCURSALES'!N39</f>
        <v>2</v>
      </c>
      <c r="O39">
        <f>'EXISTENCIA EN SUCURSALES'!O39+'DISTRIBUCIÓN EN SUCURSALES'!O39</f>
        <v>2</v>
      </c>
      <c r="P39">
        <f>'EXISTENCIA EN SUCURSALES'!P39+'DISTRIBUCIÓN EN SUCURSALES'!P39</f>
        <v>1</v>
      </c>
      <c r="Q39">
        <f>'EXISTENCIA EN SUCURSALES'!Q39+'DISTRIBUCIÓN EN SUCURSALES'!Q39</f>
        <v>4</v>
      </c>
      <c r="R39">
        <f>'EXISTENCIA EN SUCURSALES'!R39+'DISTRIBUCIÓN EN SUCURSALES'!R39</f>
        <v>3</v>
      </c>
      <c r="S39">
        <f>'EXISTENCIA EN SUCURSALES'!S39+'DISTRIBUCIÓN EN SUCURSALES'!S39</f>
        <v>2</v>
      </c>
      <c r="T39">
        <f>'EXISTENCIA EN SUCURSALES'!T39+'DISTRIBUCIÓN EN SUCURSALES'!T39</f>
        <v>2</v>
      </c>
      <c r="U39">
        <f>'EXISTENCIA EN SUCURSALES'!U39+'DISTRIBUCIÓN EN SUCURSALES'!U39</f>
        <v>0</v>
      </c>
      <c r="V39">
        <f>'EXISTENCIA EN SUCURSALES'!V39+'DISTRIBUCIÓN EN SUCURSALES'!V39</f>
        <v>3</v>
      </c>
      <c r="W39">
        <f>'EXISTENCIA EN SUCURSALES'!W39+'DISTRIBUCIÓN EN SUCURSALES'!W39</f>
        <v>1</v>
      </c>
      <c r="X39">
        <f>'EXISTENCIA EN SUCURSALES'!X39+'DISTRIBUCIÓN EN SUCURSALES'!X39</f>
        <v>3</v>
      </c>
      <c r="Y39">
        <f>SUM(M39:X39)</f>
        <v>25</v>
      </c>
      <c r="Z39">
        <f>L39+Y39</f>
        <v>41</v>
      </c>
      <c r="AB39">
        <f>IFERROR(VLOOKUP(A39,'GRAL. SUC. LOCALES'!$A:$N,14,0),0)</f>
        <v>0</v>
      </c>
      <c r="AD39">
        <f>AB39+Z39</f>
        <v>41</v>
      </c>
      <c r="AF39">
        <v>55</v>
      </c>
      <c r="AG39">
        <v>50</v>
      </c>
      <c r="AH39">
        <f>AD39-AF39</f>
        <v>-14</v>
      </c>
    </row>
    <row r="40">
      <c r="A40" t="str">
        <v>CHOCOLATE CH</v>
      </c>
      <c r="B40">
        <f>'EXISTENCIA EN SUCURSALES'!B40+'DISTRIBUCIÓN EN SUCURSALES'!B40</f>
        <v>2</v>
      </c>
      <c r="C40">
        <f>'EXISTENCIA EN SUCURSALES'!C40+'DISTRIBUCIÓN EN SUCURSALES'!C40</f>
        <v>3</v>
      </c>
      <c r="D40">
        <f>'EXISTENCIA EN SUCURSALES'!D40+'DISTRIBUCIÓN EN SUCURSALES'!D40</f>
        <v>2</v>
      </c>
      <c r="E40">
        <f>'EXISTENCIA EN SUCURSALES'!E40+'DISTRIBUCIÓN EN SUCURSALES'!E40</f>
        <v>2</v>
      </c>
      <c r="F40">
        <f>'EXISTENCIA EN SUCURSALES'!F40+'DISTRIBUCIÓN EN SUCURSALES'!F40</f>
        <v>2</v>
      </c>
      <c r="G40">
        <f>'EXISTENCIA EN SUCURSALES'!G40+'DISTRIBUCIÓN EN SUCURSALES'!G40</f>
        <v>0</v>
      </c>
      <c r="H40">
        <f>'EXISTENCIA EN SUCURSALES'!H40+'DISTRIBUCIÓN EN SUCURSALES'!H40</f>
        <v>2</v>
      </c>
      <c r="I40">
        <f>'EXISTENCIA EN SUCURSALES'!I40+'DISTRIBUCIÓN EN SUCURSALES'!I40</f>
        <v>1</v>
      </c>
      <c r="J40">
        <f>'EXISTENCIA EN SUCURSALES'!J40+'DISTRIBUCIÓN EN SUCURSALES'!J40</f>
        <v>4</v>
      </c>
      <c r="K40">
        <f>'EXISTENCIA EN SUCURSALES'!K40+'DISTRIBUCIÓN EN SUCURSALES'!K40</f>
        <v>1</v>
      </c>
      <c r="L40">
        <f>SUM(B40:K40)</f>
        <v>19</v>
      </c>
      <c r="M40">
        <f>'EXISTENCIA EN SUCURSALES'!M40+'DISTRIBUCIÓN EN SUCURSALES'!M40</f>
        <v>1</v>
      </c>
      <c r="N40">
        <f>'EXISTENCIA EN SUCURSALES'!N40+'DISTRIBUCIÓN EN SUCURSALES'!N40</f>
        <v>2</v>
      </c>
      <c r="O40">
        <f>'EXISTENCIA EN SUCURSALES'!O40+'DISTRIBUCIÓN EN SUCURSALES'!O40</f>
        <v>2</v>
      </c>
      <c r="P40">
        <f>'EXISTENCIA EN SUCURSALES'!P40+'DISTRIBUCIÓN EN SUCURSALES'!P40</f>
        <v>3</v>
      </c>
      <c r="Q40">
        <f>'EXISTENCIA EN SUCURSALES'!Q40+'DISTRIBUCIÓN EN SUCURSALES'!Q40</f>
        <v>5</v>
      </c>
      <c r="R40">
        <f>'EXISTENCIA EN SUCURSALES'!R40+'DISTRIBUCIÓN EN SUCURSALES'!R40</f>
        <v>3</v>
      </c>
      <c r="S40">
        <f>'EXISTENCIA EN SUCURSALES'!S40+'DISTRIBUCIÓN EN SUCURSALES'!S40</f>
        <v>1</v>
      </c>
      <c r="T40">
        <f>'EXISTENCIA EN SUCURSALES'!T40+'DISTRIBUCIÓN EN SUCURSALES'!T40</f>
        <v>2</v>
      </c>
      <c r="U40">
        <f>'EXISTENCIA EN SUCURSALES'!U40+'DISTRIBUCIÓN EN SUCURSALES'!U40</f>
        <v>2</v>
      </c>
      <c r="V40">
        <f>'EXISTENCIA EN SUCURSALES'!V40+'DISTRIBUCIÓN EN SUCURSALES'!V40</f>
        <v>3</v>
      </c>
      <c r="W40">
        <f>'EXISTENCIA EN SUCURSALES'!W40+'DISTRIBUCIÓN EN SUCURSALES'!W40</f>
        <v>2</v>
      </c>
      <c r="X40">
        <f>'EXISTENCIA EN SUCURSALES'!X40+'DISTRIBUCIÓN EN SUCURSALES'!X40</f>
        <v>1</v>
      </c>
      <c r="Y40">
        <f>SUM(M40:X40)</f>
        <v>27</v>
      </c>
      <c r="Z40">
        <f>L40+Y40</f>
        <v>46</v>
      </c>
      <c r="AB40">
        <f>IFERROR(VLOOKUP(A40,'GRAL. SUC. LOCALES'!$A:$N,14,0),0)</f>
        <v>12</v>
      </c>
      <c r="AD40">
        <f>AB40+Z40</f>
        <v>58</v>
      </c>
      <c r="AF40">
        <v>80</v>
      </c>
      <c r="AG40">
        <v>70</v>
      </c>
      <c r="AH40">
        <f>AD40-AF40</f>
        <v>-22</v>
      </c>
    </row>
    <row r="41">
      <c r="A41" t="str">
        <v>M &amp; M CH</v>
      </c>
      <c r="B41">
        <f>'EXISTENCIA EN SUCURSALES'!B41+'DISTRIBUCIÓN EN SUCURSALES'!B41</f>
        <v>2</v>
      </c>
      <c r="C41">
        <f>'EXISTENCIA EN SUCURSALES'!C41+'DISTRIBUCIÓN EN SUCURSALES'!C41</f>
        <v>2</v>
      </c>
      <c r="D41">
        <f>'EXISTENCIA EN SUCURSALES'!D41+'DISTRIBUCIÓN EN SUCURSALES'!D41</f>
        <v>2</v>
      </c>
      <c r="E41">
        <f>'EXISTENCIA EN SUCURSALES'!E41+'DISTRIBUCIÓN EN SUCURSALES'!E41</f>
        <v>1</v>
      </c>
      <c r="F41">
        <f>'EXISTENCIA EN SUCURSALES'!F41+'DISTRIBUCIÓN EN SUCURSALES'!F41</f>
        <v>2</v>
      </c>
      <c r="G41">
        <f>'EXISTENCIA EN SUCURSALES'!G41+'DISTRIBUCIÓN EN SUCURSALES'!G41</f>
        <v>0</v>
      </c>
      <c r="H41">
        <f>'EXISTENCIA EN SUCURSALES'!H41+'DISTRIBUCIÓN EN SUCURSALES'!H41</f>
        <v>2</v>
      </c>
      <c r="I41">
        <f>'EXISTENCIA EN SUCURSALES'!I41+'DISTRIBUCIÓN EN SUCURSALES'!I41</f>
        <v>1</v>
      </c>
      <c r="J41">
        <f>'EXISTENCIA EN SUCURSALES'!J41+'DISTRIBUCIÓN EN SUCURSALES'!J41</f>
        <v>2</v>
      </c>
      <c r="K41">
        <f>'EXISTENCIA EN SUCURSALES'!K41+'DISTRIBUCIÓN EN SUCURSALES'!K41</f>
        <v>1</v>
      </c>
      <c r="L41">
        <f>SUM(B41:K41)</f>
        <v>15</v>
      </c>
      <c r="M41">
        <f>'EXISTENCIA EN SUCURSALES'!M41+'DISTRIBUCIÓN EN SUCURSALES'!M41</f>
        <v>3</v>
      </c>
      <c r="N41">
        <f>'EXISTENCIA EN SUCURSALES'!N41+'DISTRIBUCIÓN EN SUCURSALES'!N41</f>
        <v>2</v>
      </c>
      <c r="O41">
        <f>'EXISTENCIA EN SUCURSALES'!O41+'DISTRIBUCIÓN EN SUCURSALES'!O41</f>
        <v>1</v>
      </c>
      <c r="P41">
        <f>'EXISTENCIA EN SUCURSALES'!P41+'DISTRIBUCIÓN EN SUCURSALES'!P41</f>
        <v>2</v>
      </c>
      <c r="Q41">
        <f>'EXISTENCIA EN SUCURSALES'!Q41+'DISTRIBUCIÓN EN SUCURSALES'!Q41</f>
        <v>2</v>
      </c>
      <c r="R41">
        <f>'EXISTENCIA EN SUCURSALES'!R41+'DISTRIBUCIÓN EN SUCURSALES'!R41</f>
        <v>3</v>
      </c>
      <c r="S41">
        <f>'EXISTENCIA EN SUCURSALES'!S41+'DISTRIBUCIÓN EN SUCURSALES'!S41</f>
        <v>1</v>
      </c>
      <c r="T41">
        <f>'EXISTENCIA EN SUCURSALES'!T41+'DISTRIBUCIÓN EN SUCURSALES'!T41</f>
        <v>3</v>
      </c>
      <c r="U41">
        <f>'EXISTENCIA EN SUCURSALES'!U41+'DISTRIBUCIÓN EN SUCURSALES'!U41</f>
        <v>1</v>
      </c>
      <c r="V41">
        <f>'EXISTENCIA EN SUCURSALES'!V41+'DISTRIBUCIÓN EN SUCURSALES'!V41</f>
        <v>1</v>
      </c>
      <c r="W41">
        <f>'EXISTENCIA EN SUCURSALES'!W41+'DISTRIBUCIÓN EN SUCURSALES'!W41</f>
        <v>2</v>
      </c>
      <c r="X41">
        <f>'EXISTENCIA EN SUCURSALES'!X41+'DISTRIBUCIÓN EN SUCURSALES'!X41</f>
        <v>2</v>
      </c>
      <c r="Y41">
        <f>SUM(M41:X41)</f>
        <v>23</v>
      </c>
      <c r="Z41">
        <f>L41+Y41</f>
        <v>38</v>
      </c>
      <c r="AB41">
        <f>IFERROR(VLOOKUP(A41,'GRAL. SUC. LOCALES'!$A:$N,14,0),0)</f>
        <v>5</v>
      </c>
      <c r="AD41">
        <f>AB41+Z41</f>
        <v>43</v>
      </c>
      <c r="AF41">
        <v>60</v>
      </c>
      <c r="AG41">
        <v>50</v>
      </c>
      <c r="AH41">
        <f>AD41-AF41</f>
        <v>-17</v>
      </c>
    </row>
    <row r="42">
      <c r="B42">
        <f>'EXISTENCIA EN SUCURSALES'!B42+'DISTRIBUCIÓN EN SUCURSALES'!B42</f>
        <v>0</v>
      </c>
      <c r="C42">
        <f>'EXISTENCIA EN SUCURSALES'!C42+'DISTRIBUCIÓN EN SUCURSALES'!C42</f>
        <v>0</v>
      </c>
      <c r="D42">
        <f>'EXISTENCIA EN SUCURSALES'!D42+'DISTRIBUCIÓN EN SUCURSALES'!D42</f>
        <v>0</v>
      </c>
      <c r="E42">
        <f>'EXISTENCIA EN SUCURSALES'!E42+'DISTRIBUCIÓN EN SUCURSALES'!E42</f>
        <v>0</v>
      </c>
      <c r="F42">
        <f>'EXISTENCIA EN SUCURSALES'!F42+'DISTRIBUCIÓN EN SUCURSALES'!F42</f>
        <v>0</v>
      </c>
      <c r="G42">
        <f>'EXISTENCIA EN SUCURSALES'!G42+'DISTRIBUCIÓN EN SUCURSALES'!G42</f>
        <v>0</v>
      </c>
      <c r="H42">
        <f>'EXISTENCIA EN SUCURSALES'!H42+'DISTRIBUCIÓN EN SUCURSALES'!H42</f>
        <v>0</v>
      </c>
      <c r="I42">
        <f>'EXISTENCIA EN SUCURSALES'!I42+'DISTRIBUCIÓN EN SUCURSALES'!I42</f>
        <v>0</v>
      </c>
      <c r="J42">
        <f>'EXISTENCIA EN SUCURSALES'!J42+'DISTRIBUCIÓN EN SUCURSALES'!J42</f>
        <v>0</v>
      </c>
      <c r="K42">
        <f>'EXISTENCIA EN SUCURSALES'!K42+'DISTRIBUCIÓN EN SUCURSALES'!K42</f>
        <v>0</v>
      </c>
      <c r="L42">
        <f>SUM(B42:K42)</f>
        <v>0</v>
      </c>
      <c r="M42">
        <f>'EXISTENCIA EN SUCURSALES'!M42+'DISTRIBUCIÓN EN SUCURSALES'!M42</f>
        <v>0</v>
      </c>
      <c r="N42">
        <f>'EXISTENCIA EN SUCURSALES'!N42+'DISTRIBUCIÓN EN SUCURSALES'!N42</f>
        <v>0</v>
      </c>
      <c r="O42">
        <f>'EXISTENCIA EN SUCURSALES'!O42+'DISTRIBUCIÓN EN SUCURSALES'!O42</f>
        <v>0</v>
      </c>
      <c r="P42">
        <f>'EXISTENCIA EN SUCURSALES'!P42+'DISTRIBUCIÓN EN SUCURSALES'!P42</f>
        <v>0</v>
      </c>
      <c r="Q42">
        <f>'EXISTENCIA EN SUCURSALES'!Q42+'DISTRIBUCIÓN EN SUCURSALES'!Q42</f>
        <v>0</v>
      </c>
      <c r="R42">
        <f>'EXISTENCIA EN SUCURSALES'!R42+'DISTRIBUCIÓN EN SUCURSALES'!R42</f>
        <v>0</v>
      </c>
      <c r="S42">
        <f>'EXISTENCIA EN SUCURSALES'!S42+'DISTRIBUCIÓN EN SUCURSALES'!S42</f>
        <v>0</v>
      </c>
      <c r="T42">
        <f>'EXISTENCIA EN SUCURSALES'!T42+'DISTRIBUCIÓN EN SUCURSALES'!T42</f>
        <v>0</v>
      </c>
      <c r="U42">
        <f>'EXISTENCIA EN SUCURSALES'!U42+'DISTRIBUCIÓN EN SUCURSALES'!U42</f>
        <v>0</v>
      </c>
      <c r="V42">
        <f>'EXISTENCIA EN SUCURSALES'!V42+'DISTRIBUCIÓN EN SUCURSALES'!V42</f>
        <v>0</v>
      </c>
      <c r="W42">
        <f>'EXISTENCIA EN SUCURSALES'!W42+'DISTRIBUCIÓN EN SUCURSALES'!W42</f>
        <v>0</v>
      </c>
      <c r="X42">
        <f>'EXISTENCIA EN SUCURSALES'!X42+'DISTRIBUCIÓN EN SUCURSALES'!X42</f>
        <v>0</v>
      </c>
      <c r="Y42">
        <f>SUM(M42:X42)</f>
        <v>0</v>
      </c>
      <c r="Z42">
        <f>L42+Y42</f>
        <v>0</v>
      </c>
      <c r="AB42">
        <f>IFERROR(VLOOKUP(A42,'GRAL. SUC. LOCALES'!$A:$N,14,0),0)</f>
        <v>0</v>
      </c>
      <c r="AD42">
        <f>AB42+Z42</f>
        <v>0</v>
      </c>
      <c r="AF42">
        <v>0</v>
      </c>
      <c r="AH42">
        <f>AD42-AF42</f>
        <v>0</v>
      </c>
    </row>
    <row r="43">
      <c r="B43">
        <f>'EXISTENCIA EN SUCURSALES'!B43+'DISTRIBUCIÓN EN SUCURSALES'!B43</f>
        <v>0</v>
      </c>
      <c r="C43">
        <f>'EXISTENCIA EN SUCURSALES'!C43+'DISTRIBUCIÓN EN SUCURSALES'!C43</f>
        <v>0</v>
      </c>
      <c r="D43">
        <f>'EXISTENCIA EN SUCURSALES'!D43+'DISTRIBUCIÓN EN SUCURSALES'!D43</f>
        <v>0</v>
      </c>
      <c r="E43">
        <f>'EXISTENCIA EN SUCURSALES'!E43+'DISTRIBUCIÓN EN SUCURSALES'!E43</f>
        <v>0</v>
      </c>
      <c r="F43">
        <f>'EXISTENCIA EN SUCURSALES'!F43+'DISTRIBUCIÓN EN SUCURSALES'!F43</f>
        <v>0</v>
      </c>
      <c r="G43">
        <f>'EXISTENCIA EN SUCURSALES'!G43+'DISTRIBUCIÓN EN SUCURSALES'!G43</f>
        <v>0</v>
      </c>
      <c r="H43">
        <f>'EXISTENCIA EN SUCURSALES'!H43+'DISTRIBUCIÓN EN SUCURSALES'!H43</f>
        <v>0</v>
      </c>
      <c r="I43">
        <f>'EXISTENCIA EN SUCURSALES'!I43+'DISTRIBUCIÓN EN SUCURSALES'!I43</f>
        <v>0</v>
      </c>
      <c r="J43">
        <f>'EXISTENCIA EN SUCURSALES'!J43+'DISTRIBUCIÓN EN SUCURSALES'!J43</f>
        <v>0</v>
      </c>
      <c r="K43">
        <f>'EXISTENCIA EN SUCURSALES'!K43+'DISTRIBUCIÓN EN SUCURSALES'!K43</f>
        <v>0</v>
      </c>
      <c r="L43">
        <f>SUM(B43:K43)</f>
        <v>0</v>
      </c>
      <c r="M43">
        <f>'EXISTENCIA EN SUCURSALES'!M43+'DISTRIBUCIÓN EN SUCURSALES'!M43</f>
        <v>0</v>
      </c>
      <c r="N43">
        <f>'EXISTENCIA EN SUCURSALES'!N43+'DISTRIBUCIÓN EN SUCURSALES'!N43</f>
        <v>0</v>
      </c>
      <c r="O43">
        <f>'EXISTENCIA EN SUCURSALES'!O43+'DISTRIBUCIÓN EN SUCURSALES'!O43</f>
        <v>0</v>
      </c>
      <c r="P43">
        <f>'EXISTENCIA EN SUCURSALES'!P43+'DISTRIBUCIÓN EN SUCURSALES'!P43</f>
        <v>0</v>
      </c>
      <c r="Q43">
        <f>'EXISTENCIA EN SUCURSALES'!Q43+'DISTRIBUCIÓN EN SUCURSALES'!Q43</f>
        <v>0</v>
      </c>
      <c r="R43">
        <f>'EXISTENCIA EN SUCURSALES'!R43+'DISTRIBUCIÓN EN SUCURSALES'!R43</f>
        <v>0</v>
      </c>
      <c r="S43">
        <f>'EXISTENCIA EN SUCURSALES'!S43+'DISTRIBUCIÓN EN SUCURSALES'!S43</f>
        <v>0</v>
      </c>
      <c r="T43">
        <f>'EXISTENCIA EN SUCURSALES'!T43+'DISTRIBUCIÓN EN SUCURSALES'!T43</f>
        <v>0</v>
      </c>
      <c r="U43">
        <f>'EXISTENCIA EN SUCURSALES'!U43+'DISTRIBUCIÓN EN SUCURSALES'!U43</f>
        <v>0</v>
      </c>
      <c r="V43">
        <f>'EXISTENCIA EN SUCURSALES'!V43+'DISTRIBUCIÓN EN SUCURSALES'!V43</f>
        <v>0</v>
      </c>
      <c r="W43">
        <f>'EXISTENCIA EN SUCURSALES'!W43+'DISTRIBUCIÓN EN SUCURSALES'!W43</f>
        <v>0</v>
      </c>
      <c r="X43">
        <f>'EXISTENCIA EN SUCURSALES'!X43+'DISTRIBUCIÓN EN SUCURSALES'!X43</f>
        <v>0</v>
      </c>
      <c r="Y43">
        <f>SUM(M43:X43)</f>
        <v>0</v>
      </c>
      <c r="Z43">
        <f>L43+Y43</f>
        <v>0</v>
      </c>
      <c r="AB43">
        <f>IFERROR(VLOOKUP(A43,'GRAL. SUC. LOCALES'!$A:$N,14,0),0)</f>
        <v>0</v>
      </c>
      <c r="AD43">
        <f>AB43+Z43</f>
        <v>0</v>
      </c>
      <c r="AF43">
        <v>0</v>
      </c>
      <c r="AH43">
        <f>AD43-AF43</f>
        <v>0</v>
      </c>
    </row>
    <row r="44">
      <c r="B44">
        <f>'EXISTENCIA EN SUCURSALES'!B44+'DISTRIBUCIÓN EN SUCURSALES'!B44</f>
        <v>0</v>
      </c>
      <c r="C44">
        <f>'EXISTENCIA EN SUCURSALES'!C44+'DISTRIBUCIÓN EN SUCURSALES'!C44</f>
        <v>0</v>
      </c>
      <c r="D44">
        <f>'EXISTENCIA EN SUCURSALES'!D44+'DISTRIBUCIÓN EN SUCURSALES'!D44</f>
        <v>0</v>
      </c>
      <c r="E44">
        <f>'EXISTENCIA EN SUCURSALES'!E44+'DISTRIBUCIÓN EN SUCURSALES'!E44</f>
        <v>0</v>
      </c>
      <c r="F44">
        <f>'EXISTENCIA EN SUCURSALES'!F44+'DISTRIBUCIÓN EN SUCURSALES'!F44</f>
        <v>0</v>
      </c>
      <c r="G44">
        <f>'EXISTENCIA EN SUCURSALES'!G44+'DISTRIBUCIÓN EN SUCURSALES'!G44</f>
        <v>0</v>
      </c>
      <c r="H44">
        <f>'EXISTENCIA EN SUCURSALES'!H44+'DISTRIBUCIÓN EN SUCURSALES'!H44</f>
        <v>0</v>
      </c>
      <c r="I44">
        <f>'EXISTENCIA EN SUCURSALES'!I44+'DISTRIBUCIÓN EN SUCURSALES'!I44</f>
        <v>0</v>
      </c>
      <c r="J44">
        <f>'EXISTENCIA EN SUCURSALES'!J44+'DISTRIBUCIÓN EN SUCURSALES'!J44</f>
        <v>0</v>
      </c>
      <c r="K44">
        <f>'EXISTENCIA EN SUCURSALES'!K44+'DISTRIBUCIÓN EN SUCURSALES'!K44</f>
        <v>0</v>
      </c>
      <c r="L44">
        <f>SUM(B44:K44)</f>
        <v>0</v>
      </c>
      <c r="M44">
        <f>'EXISTENCIA EN SUCURSALES'!M44+'DISTRIBUCIÓN EN SUCURSALES'!M44</f>
        <v>0</v>
      </c>
      <c r="N44">
        <f>'EXISTENCIA EN SUCURSALES'!N44+'DISTRIBUCIÓN EN SUCURSALES'!N44</f>
        <v>0</v>
      </c>
      <c r="O44">
        <f>'EXISTENCIA EN SUCURSALES'!O44+'DISTRIBUCIÓN EN SUCURSALES'!O44</f>
        <v>0</v>
      </c>
      <c r="P44">
        <f>'EXISTENCIA EN SUCURSALES'!P44+'DISTRIBUCIÓN EN SUCURSALES'!P44</f>
        <v>0</v>
      </c>
      <c r="Q44">
        <f>'EXISTENCIA EN SUCURSALES'!Q44+'DISTRIBUCIÓN EN SUCURSALES'!Q44</f>
        <v>0</v>
      </c>
      <c r="R44">
        <f>'EXISTENCIA EN SUCURSALES'!R44+'DISTRIBUCIÓN EN SUCURSALES'!R44</f>
        <v>0</v>
      </c>
      <c r="S44">
        <f>'EXISTENCIA EN SUCURSALES'!S44+'DISTRIBUCIÓN EN SUCURSALES'!S44</f>
        <v>0</v>
      </c>
      <c r="T44">
        <f>'EXISTENCIA EN SUCURSALES'!T44+'DISTRIBUCIÓN EN SUCURSALES'!T44</f>
        <v>0</v>
      </c>
      <c r="U44">
        <f>'EXISTENCIA EN SUCURSALES'!U44+'DISTRIBUCIÓN EN SUCURSALES'!U44</f>
        <v>0</v>
      </c>
      <c r="V44">
        <f>'EXISTENCIA EN SUCURSALES'!V44+'DISTRIBUCIÓN EN SUCURSALES'!V44</f>
        <v>0</v>
      </c>
      <c r="W44">
        <f>'EXISTENCIA EN SUCURSALES'!W44+'DISTRIBUCIÓN EN SUCURSALES'!W44</f>
        <v>0</v>
      </c>
      <c r="X44">
        <f>'EXISTENCIA EN SUCURSALES'!X44+'DISTRIBUCIÓN EN SUCURSALES'!X44</f>
        <v>0</v>
      </c>
      <c r="Y44">
        <f>SUM(M44:X44)</f>
        <v>0</v>
      </c>
      <c r="Z44">
        <f>L44+Y44</f>
        <v>0</v>
      </c>
      <c r="AB44">
        <f>IFERROR(VLOOKUP(A44,'GRAL. SUC. LOCALES'!$A:$N,14,0),0)</f>
        <v>0</v>
      </c>
      <c r="AD44">
        <f>AB44+Z44</f>
        <v>0</v>
      </c>
      <c r="AH44">
        <f>AD44-AF44</f>
        <v>0</v>
      </c>
    </row>
    <row r="45">
      <c r="B45">
        <f>'EXISTENCIA EN SUCURSALES'!B45+'DISTRIBUCIÓN EN SUCURSALES'!B45</f>
        <v>0</v>
      </c>
      <c r="C45">
        <f>'EXISTENCIA EN SUCURSALES'!C45+'DISTRIBUCIÓN EN SUCURSALES'!C45</f>
        <v>0</v>
      </c>
      <c r="D45">
        <f>'EXISTENCIA EN SUCURSALES'!D45+'DISTRIBUCIÓN EN SUCURSALES'!D45</f>
        <v>0</v>
      </c>
      <c r="E45">
        <f>'EXISTENCIA EN SUCURSALES'!E45+'DISTRIBUCIÓN EN SUCURSALES'!E45</f>
        <v>0</v>
      </c>
      <c r="F45">
        <f>'EXISTENCIA EN SUCURSALES'!F45+'DISTRIBUCIÓN EN SUCURSALES'!F45</f>
        <v>0</v>
      </c>
      <c r="G45">
        <f>'EXISTENCIA EN SUCURSALES'!G45+'DISTRIBUCIÓN EN SUCURSALES'!G45</f>
        <v>0</v>
      </c>
      <c r="H45">
        <f>'EXISTENCIA EN SUCURSALES'!H45+'DISTRIBUCIÓN EN SUCURSALES'!H45</f>
        <v>0</v>
      </c>
      <c r="I45">
        <f>'EXISTENCIA EN SUCURSALES'!I45+'DISTRIBUCIÓN EN SUCURSALES'!I45</f>
        <v>0</v>
      </c>
      <c r="J45">
        <f>'EXISTENCIA EN SUCURSALES'!J45+'DISTRIBUCIÓN EN SUCURSALES'!J45</f>
        <v>0</v>
      </c>
      <c r="K45">
        <f>'EXISTENCIA EN SUCURSALES'!K45+'DISTRIBUCIÓN EN SUCURSALES'!K45</f>
        <v>0</v>
      </c>
      <c r="L45">
        <f>SUM(B45:K45)</f>
        <v>0</v>
      </c>
      <c r="M45">
        <f>'EXISTENCIA EN SUCURSALES'!M45+'DISTRIBUCIÓN EN SUCURSALES'!M45</f>
        <v>0</v>
      </c>
      <c r="N45">
        <f>'EXISTENCIA EN SUCURSALES'!N45+'DISTRIBUCIÓN EN SUCURSALES'!N45</f>
        <v>0</v>
      </c>
      <c r="O45">
        <f>'EXISTENCIA EN SUCURSALES'!O45+'DISTRIBUCIÓN EN SUCURSALES'!O45</f>
        <v>0</v>
      </c>
      <c r="P45">
        <f>'EXISTENCIA EN SUCURSALES'!P45+'DISTRIBUCIÓN EN SUCURSALES'!P45</f>
        <v>0</v>
      </c>
      <c r="Q45">
        <f>'EXISTENCIA EN SUCURSALES'!Q45+'DISTRIBUCIÓN EN SUCURSALES'!Q45</f>
        <v>0</v>
      </c>
      <c r="R45">
        <f>'EXISTENCIA EN SUCURSALES'!R45+'DISTRIBUCIÓN EN SUCURSALES'!R45</f>
        <v>0</v>
      </c>
      <c r="S45">
        <f>'EXISTENCIA EN SUCURSALES'!S45+'DISTRIBUCIÓN EN SUCURSALES'!S45</f>
        <v>0</v>
      </c>
      <c r="T45">
        <f>'EXISTENCIA EN SUCURSALES'!T45+'DISTRIBUCIÓN EN SUCURSALES'!T45</f>
        <v>0</v>
      </c>
      <c r="U45">
        <f>'EXISTENCIA EN SUCURSALES'!U45+'DISTRIBUCIÓN EN SUCURSALES'!U45</f>
        <v>0</v>
      </c>
      <c r="V45">
        <f>'EXISTENCIA EN SUCURSALES'!V45+'DISTRIBUCIÓN EN SUCURSALES'!V45</f>
        <v>0</v>
      </c>
      <c r="W45">
        <f>'EXISTENCIA EN SUCURSALES'!W45+'DISTRIBUCIÓN EN SUCURSALES'!W45</f>
        <v>0</v>
      </c>
      <c r="X45">
        <f>'EXISTENCIA EN SUCURSALES'!X45+'DISTRIBUCIÓN EN SUCURSALES'!X45</f>
        <v>0</v>
      </c>
      <c r="Y45">
        <f>SUM(M45:X45)</f>
        <v>0</v>
      </c>
      <c r="Z45">
        <f>L45+Y45</f>
        <v>0</v>
      </c>
      <c r="AB45">
        <f>IFERROR(VLOOKUP(A45,'GRAL. SUC. LOCALES'!$A:$N,14,0),0)</f>
        <v>0</v>
      </c>
      <c r="AD45">
        <f>AB45+Z45</f>
        <v>0</v>
      </c>
      <c r="AH45">
        <f>AD45-AF45</f>
        <v>0</v>
      </c>
    </row>
    <row r="46">
      <c r="B46">
        <f>'EXISTENCIA EN SUCURSALES'!B46+'DISTRIBUCIÓN EN SUCURSALES'!B46</f>
        <v>0</v>
      </c>
      <c r="C46">
        <f>'EXISTENCIA EN SUCURSALES'!C46+'DISTRIBUCIÓN EN SUCURSALES'!C46</f>
        <v>0</v>
      </c>
      <c r="D46">
        <f>'EXISTENCIA EN SUCURSALES'!D46+'DISTRIBUCIÓN EN SUCURSALES'!D46</f>
        <v>0</v>
      </c>
      <c r="E46">
        <f>'EXISTENCIA EN SUCURSALES'!E46+'DISTRIBUCIÓN EN SUCURSALES'!E46</f>
        <v>0</v>
      </c>
      <c r="F46">
        <f>'EXISTENCIA EN SUCURSALES'!F46+'DISTRIBUCIÓN EN SUCURSALES'!F46</f>
        <v>0</v>
      </c>
      <c r="G46">
        <f>'EXISTENCIA EN SUCURSALES'!G46+'DISTRIBUCIÓN EN SUCURSALES'!G46</f>
        <v>0</v>
      </c>
      <c r="H46">
        <f>'EXISTENCIA EN SUCURSALES'!H46+'DISTRIBUCIÓN EN SUCURSALES'!H46</f>
        <v>0</v>
      </c>
      <c r="I46">
        <f>'EXISTENCIA EN SUCURSALES'!I46+'DISTRIBUCIÓN EN SUCURSALES'!I46</f>
        <v>0</v>
      </c>
      <c r="J46">
        <f>'EXISTENCIA EN SUCURSALES'!J46+'DISTRIBUCIÓN EN SUCURSALES'!J46</f>
        <v>0</v>
      </c>
      <c r="K46">
        <f>'EXISTENCIA EN SUCURSALES'!K46+'DISTRIBUCIÓN EN SUCURSALES'!K46</f>
        <v>0</v>
      </c>
      <c r="L46">
        <f>SUM(B46:K46)</f>
        <v>0</v>
      </c>
      <c r="M46">
        <f>'EXISTENCIA EN SUCURSALES'!M46+'DISTRIBUCIÓN EN SUCURSALES'!M46</f>
        <v>0</v>
      </c>
      <c r="N46">
        <f>'EXISTENCIA EN SUCURSALES'!N46+'DISTRIBUCIÓN EN SUCURSALES'!N46</f>
        <v>0</v>
      </c>
      <c r="O46">
        <f>'EXISTENCIA EN SUCURSALES'!O46+'DISTRIBUCIÓN EN SUCURSALES'!O46</f>
        <v>0</v>
      </c>
      <c r="P46">
        <f>'EXISTENCIA EN SUCURSALES'!P46+'DISTRIBUCIÓN EN SUCURSALES'!P46</f>
        <v>0</v>
      </c>
      <c r="Q46">
        <f>'EXISTENCIA EN SUCURSALES'!Q46+'DISTRIBUCIÓN EN SUCURSALES'!Q46</f>
        <v>0</v>
      </c>
      <c r="R46">
        <f>'EXISTENCIA EN SUCURSALES'!R46+'DISTRIBUCIÓN EN SUCURSALES'!R46</f>
        <v>0</v>
      </c>
      <c r="S46">
        <f>'EXISTENCIA EN SUCURSALES'!S46+'DISTRIBUCIÓN EN SUCURSALES'!S46</f>
        <v>0</v>
      </c>
      <c r="T46">
        <f>'EXISTENCIA EN SUCURSALES'!T46+'DISTRIBUCIÓN EN SUCURSALES'!T46</f>
        <v>0</v>
      </c>
      <c r="U46">
        <f>'EXISTENCIA EN SUCURSALES'!U46+'DISTRIBUCIÓN EN SUCURSALES'!U46</f>
        <v>0</v>
      </c>
      <c r="V46">
        <f>'EXISTENCIA EN SUCURSALES'!V46+'DISTRIBUCIÓN EN SUCURSALES'!V46</f>
        <v>0</v>
      </c>
      <c r="W46">
        <f>'EXISTENCIA EN SUCURSALES'!W46+'DISTRIBUCIÓN EN SUCURSALES'!W46</f>
        <v>0</v>
      </c>
      <c r="X46">
        <f>'EXISTENCIA EN SUCURSALES'!X46+'DISTRIBUCIÓN EN SUCURSALES'!X46</f>
        <v>0</v>
      </c>
      <c r="Y46">
        <f>SUM(M46:X46)</f>
        <v>0</v>
      </c>
      <c r="Z46">
        <f>L46+Y46</f>
        <v>0</v>
      </c>
      <c r="AB46">
        <f>IFERROR(VLOOKUP(A46,'GRAL. SUC. LOCALES'!$A:$N,14,0),0)</f>
        <v>0</v>
      </c>
      <c r="AD46">
        <f>AB46+Z46</f>
        <v>0</v>
      </c>
      <c r="AH46">
        <f>AD46-AF46</f>
        <v>0</v>
      </c>
    </row>
    <row r="47">
      <c r="B47">
        <f>'EXISTENCIA EN SUCURSALES'!B47+'DISTRIBUCIÓN EN SUCURSALES'!B47</f>
        <v>0</v>
      </c>
      <c r="C47">
        <f>'EXISTENCIA EN SUCURSALES'!C47+'DISTRIBUCIÓN EN SUCURSALES'!C47</f>
        <v>0</v>
      </c>
      <c r="D47">
        <f>'EXISTENCIA EN SUCURSALES'!D47+'DISTRIBUCIÓN EN SUCURSALES'!D47</f>
        <v>0</v>
      </c>
      <c r="E47">
        <f>'EXISTENCIA EN SUCURSALES'!E47+'DISTRIBUCIÓN EN SUCURSALES'!E47</f>
        <v>0</v>
      </c>
      <c r="F47">
        <f>'EXISTENCIA EN SUCURSALES'!F47+'DISTRIBUCIÓN EN SUCURSALES'!F47</f>
        <v>0</v>
      </c>
      <c r="G47">
        <f>'EXISTENCIA EN SUCURSALES'!G47+'DISTRIBUCIÓN EN SUCURSALES'!G47</f>
        <v>0</v>
      </c>
      <c r="H47">
        <f>'EXISTENCIA EN SUCURSALES'!H47+'DISTRIBUCIÓN EN SUCURSALES'!H47</f>
        <v>0</v>
      </c>
      <c r="I47">
        <f>'EXISTENCIA EN SUCURSALES'!I47+'DISTRIBUCIÓN EN SUCURSALES'!I47</f>
        <v>0</v>
      </c>
      <c r="J47">
        <f>'EXISTENCIA EN SUCURSALES'!J47+'DISTRIBUCIÓN EN SUCURSALES'!J47</f>
        <v>0</v>
      </c>
      <c r="K47">
        <f>'EXISTENCIA EN SUCURSALES'!K47+'DISTRIBUCIÓN EN SUCURSALES'!K47</f>
        <v>0</v>
      </c>
      <c r="L47">
        <f>SUM(B47:K47)</f>
        <v>0</v>
      </c>
      <c r="M47">
        <f>'EXISTENCIA EN SUCURSALES'!M47+'DISTRIBUCIÓN EN SUCURSALES'!M47</f>
        <v>0</v>
      </c>
      <c r="N47">
        <f>'EXISTENCIA EN SUCURSALES'!N47+'DISTRIBUCIÓN EN SUCURSALES'!N47</f>
        <v>0</v>
      </c>
      <c r="O47">
        <f>'EXISTENCIA EN SUCURSALES'!O47+'DISTRIBUCIÓN EN SUCURSALES'!O47</f>
        <v>0</v>
      </c>
      <c r="P47">
        <f>'EXISTENCIA EN SUCURSALES'!P47+'DISTRIBUCIÓN EN SUCURSALES'!P47</f>
        <v>0</v>
      </c>
      <c r="Q47">
        <f>'EXISTENCIA EN SUCURSALES'!Q47+'DISTRIBUCIÓN EN SUCURSALES'!Q47</f>
        <v>0</v>
      </c>
      <c r="R47">
        <f>'EXISTENCIA EN SUCURSALES'!R47+'DISTRIBUCIÓN EN SUCURSALES'!R47</f>
        <v>0</v>
      </c>
      <c r="S47">
        <f>'EXISTENCIA EN SUCURSALES'!S47+'DISTRIBUCIÓN EN SUCURSALES'!S47</f>
        <v>0</v>
      </c>
      <c r="T47">
        <f>'EXISTENCIA EN SUCURSALES'!T47+'DISTRIBUCIÓN EN SUCURSALES'!T47</f>
        <v>0</v>
      </c>
      <c r="U47">
        <f>'EXISTENCIA EN SUCURSALES'!U47+'DISTRIBUCIÓN EN SUCURSALES'!U47</f>
        <v>0</v>
      </c>
      <c r="V47">
        <f>'EXISTENCIA EN SUCURSALES'!V47+'DISTRIBUCIÓN EN SUCURSALES'!V47</f>
        <v>0</v>
      </c>
      <c r="W47">
        <f>'EXISTENCIA EN SUCURSALES'!W47+'DISTRIBUCIÓN EN SUCURSALES'!W47</f>
        <v>0</v>
      </c>
      <c r="X47">
        <f>'EXISTENCIA EN SUCURSALES'!X47+'DISTRIBUCIÓN EN SUCURSALES'!X47</f>
        <v>0</v>
      </c>
      <c r="Y47">
        <f>SUM(M47:X47)</f>
        <v>0</v>
      </c>
      <c r="Z47">
        <f>L47+Y47</f>
        <v>0</v>
      </c>
      <c r="AB47">
        <f>IFERROR(VLOOKUP(A47,'GRAL. SUC. LOCALES'!$A:$N,14,0),0)</f>
        <v>0</v>
      </c>
      <c r="AD47">
        <f>AB47+Z47</f>
        <v>0</v>
      </c>
      <c r="AH47">
        <f>AD47-AF47</f>
        <v>0</v>
      </c>
    </row>
    <row r="48">
      <c r="B48">
        <f>'EXISTENCIA EN SUCURSALES'!B48+'DISTRIBUCIÓN EN SUCURSALES'!B48</f>
        <v>0</v>
      </c>
      <c r="C48">
        <f>'EXISTENCIA EN SUCURSALES'!C48+'DISTRIBUCIÓN EN SUCURSALES'!C48</f>
        <v>0</v>
      </c>
      <c r="D48">
        <f>'EXISTENCIA EN SUCURSALES'!D48+'DISTRIBUCIÓN EN SUCURSALES'!D48</f>
        <v>0</v>
      </c>
      <c r="E48">
        <f>'EXISTENCIA EN SUCURSALES'!E48+'DISTRIBUCIÓN EN SUCURSALES'!E48</f>
        <v>0</v>
      </c>
      <c r="F48">
        <f>'EXISTENCIA EN SUCURSALES'!F48+'DISTRIBUCIÓN EN SUCURSALES'!F48</f>
        <v>0</v>
      </c>
      <c r="G48">
        <f>'EXISTENCIA EN SUCURSALES'!G48+'DISTRIBUCIÓN EN SUCURSALES'!G48</f>
        <v>0</v>
      </c>
      <c r="H48">
        <f>'EXISTENCIA EN SUCURSALES'!H48+'DISTRIBUCIÓN EN SUCURSALES'!H48</f>
        <v>0</v>
      </c>
      <c r="I48">
        <f>'EXISTENCIA EN SUCURSALES'!I48+'DISTRIBUCIÓN EN SUCURSALES'!I48</f>
        <v>0</v>
      </c>
      <c r="J48">
        <f>'EXISTENCIA EN SUCURSALES'!J48+'DISTRIBUCIÓN EN SUCURSALES'!J48</f>
        <v>0</v>
      </c>
      <c r="K48">
        <f>'EXISTENCIA EN SUCURSALES'!K48+'DISTRIBUCIÓN EN SUCURSALES'!K48</f>
        <v>0</v>
      </c>
      <c r="L48">
        <f>SUM(B48:K48)</f>
        <v>0</v>
      </c>
      <c r="M48">
        <f>'EXISTENCIA EN SUCURSALES'!M48+'DISTRIBUCIÓN EN SUCURSALES'!M48</f>
        <v>0</v>
      </c>
      <c r="N48">
        <f>'EXISTENCIA EN SUCURSALES'!N48+'DISTRIBUCIÓN EN SUCURSALES'!N48</f>
        <v>0</v>
      </c>
      <c r="O48">
        <f>'EXISTENCIA EN SUCURSALES'!O48+'DISTRIBUCIÓN EN SUCURSALES'!O48</f>
        <v>0</v>
      </c>
      <c r="P48">
        <f>'EXISTENCIA EN SUCURSALES'!P48+'DISTRIBUCIÓN EN SUCURSALES'!P48</f>
        <v>0</v>
      </c>
      <c r="Q48">
        <f>'EXISTENCIA EN SUCURSALES'!Q48+'DISTRIBUCIÓN EN SUCURSALES'!Q48</f>
        <v>0</v>
      </c>
      <c r="R48">
        <f>'EXISTENCIA EN SUCURSALES'!R48+'DISTRIBUCIÓN EN SUCURSALES'!R48</f>
        <v>0</v>
      </c>
      <c r="S48">
        <f>'EXISTENCIA EN SUCURSALES'!S48+'DISTRIBUCIÓN EN SUCURSALES'!S48</f>
        <v>0</v>
      </c>
      <c r="T48">
        <f>'EXISTENCIA EN SUCURSALES'!T48+'DISTRIBUCIÓN EN SUCURSALES'!T48</f>
        <v>0</v>
      </c>
      <c r="U48">
        <f>'EXISTENCIA EN SUCURSALES'!U48+'DISTRIBUCIÓN EN SUCURSALES'!U48</f>
        <v>0</v>
      </c>
      <c r="V48">
        <f>'EXISTENCIA EN SUCURSALES'!V48+'DISTRIBUCIÓN EN SUCURSALES'!V48</f>
        <v>0</v>
      </c>
      <c r="W48">
        <f>'EXISTENCIA EN SUCURSALES'!W48+'DISTRIBUCIÓN EN SUCURSALES'!W48</f>
        <v>0</v>
      </c>
      <c r="X48">
        <f>'EXISTENCIA EN SUCURSALES'!X48+'DISTRIBUCIÓN EN SUCURSALES'!X48</f>
        <v>0</v>
      </c>
      <c r="Y48">
        <f>SUM(M48:X48)</f>
        <v>0</v>
      </c>
      <c r="Z48">
        <f>L48+Y48</f>
        <v>0</v>
      </c>
      <c r="AB48">
        <f>IFERROR(VLOOKUP(A48,'GRAL. SUC. LOCALES'!$A:$N,14,0),0)</f>
        <v>0</v>
      </c>
      <c r="AD48">
        <f>AB48+Z48</f>
        <v>0</v>
      </c>
      <c r="AH48">
        <f>AD48-AF48</f>
        <v>0</v>
      </c>
    </row>
    <row r="49">
      <c r="A49" t="str">
        <v xml:space="preserve">3 LECHES CHICOS </v>
      </c>
      <c r="B49">
        <f>SUM(B33:B48)</f>
        <v>23</v>
      </c>
      <c r="C49">
        <f>SUM(C33:C48)</f>
        <v>22</v>
      </c>
      <c r="D49">
        <f>SUM(D33:D48)</f>
        <v>19</v>
      </c>
      <c r="E49">
        <f>SUM(E33:E48)</f>
        <v>13</v>
      </c>
      <c r="F49">
        <f>SUM(F33:F48)</f>
        <v>17</v>
      </c>
      <c r="G49">
        <f>SUM(G33:G48)</f>
        <v>0</v>
      </c>
      <c r="H49">
        <f>SUM(H33:H48)</f>
        <v>18</v>
      </c>
      <c r="I49">
        <f>SUM(I33:I48)</f>
        <v>9</v>
      </c>
      <c r="J49">
        <f>SUM(J33:J48)</f>
        <v>24</v>
      </c>
      <c r="K49">
        <f>SUM(K33:K48)</f>
        <v>18</v>
      </c>
      <c r="L49">
        <f>SUM(L33:L48)</f>
        <v>163</v>
      </c>
      <c r="M49">
        <f>SUM(M33:M48)</f>
        <v>21</v>
      </c>
      <c r="N49">
        <f>SUM(N33:N48)</f>
        <v>16</v>
      </c>
      <c r="O49">
        <f>SUM(O33:O48)</f>
        <v>16</v>
      </c>
      <c r="P49">
        <f>SUM(P33:P48)</f>
        <v>17</v>
      </c>
      <c r="Q49">
        <f>SUM(Q33:Q48)</f>
        <v>37</v>
      </c>
      <c r="R49">
        <f>SUM(R33:R48)</f>
        <v>21</v>
      </c>
      <c r="S49">
        <f>SUM(S33:S48)</f>
        <v>19</v>
      </c>
      <c r="T49">
        <f>SUM(T33:T48)</f>
        <v>27</v>
      </c>
      <c r="U49">
        <f>SUM(U33:U48)</f>
        <v>10</v>
      </c>
      <c r="V49">
        <f>SUM(V33:V48)</f>
        <v>21</v>
      </c>
      <c r="W49">
        <f>SUM(W33:W48)</f>
        <v>16</v>
      </c>
      <c r="X49">
        <f>SUM(X33:X48)</f>
        <v>14</v>
      </c>
      <c r="Y49">
        <f>SUM(Y33:Y48)</f>
        <v>235</v>
      </c>
      <c r="Z49">
        <f>SUM(Z33:Z48)</f>
        <v>398</v>
      </c>
      <c r="AB49">
        <f>SUM(AB33:AB48)</f>
        <v>63</v>
      </c>
      <c r="AD49">
        <f>AB49+Z49</f>
        <v>461</v>
      </c>
      <c r="AF49">
        <f>SUM(AF33:AF48)</f>
        <v>615</v>
      </c>
      <c r="AG49">
        <f>SUM(AG33:AG48)</f>
        <v>550</v>
      </c>
      <c r="AH49">
        <f>AD49-AF49</f>
        <v>-154</v>
      </c>
    </row>
    <row r="50">
      <c r="A50" t="str">
        <v>MINI MEDIANO PIÑERO</v>
      </c>
      <c r="B50">
        <f>'EXISTENCIA EN SUCURSALES'!B50+'DISTRIBUCIÓN EN SUCURSALES'!B50</f>
        <v>6</v>
      </c>
      <c r="C50">
        <f>'EXISTENCIA EN SUCURSALES'!C50+'DISTRIBUCIÓN EN SUCURSALES'!C50</f>
        <v>7</v>
      </c>
      <c r="D50">
        <f>'EXISTENCIA EN SUCURSALES'!D50+'DISTRIBUCIÓN EN SUCURSALES'!D50</f>
        <v>6</v>
      </c>
      <c r="E50">
        <f>'EXISTENCIA EN SUCURSALES'!E50+'DISTRIBUCIÓN EN SUCURSALES'!E50</f>
        <v>3</v>
      </c>
      <c r="F50">
        <f>'EXISTENCIA EN SUCURSALES'!F50+'DISTRIBUCIÓN EN SUCURSALES'!F50</f>
        <v>6</v>
      </c>
      <c r="G50">
        <f>'EXISTENCIA EN SUCURSALES'!G50+'DISTRIBUCIÓN EN SUCURSALES'!G50</f>
        <v>0</v>
      </c>
      <c r="H50">
        <f>'EXISTENCIA EN SUCURSALES'!H50+'DISTRIBUCIÓN EN SUCURSALES'!H50</f>
        <v>5</v>
      </c>
      <c r="I50">
        <f>'EXISTENCIA EN SUCURSALES'!I50+'DISTRIBUCIÓN EN SUCURSALES'!I50</f>
        <v>5</v>
      </c>
      <c r="J50">
        <f>'EXISTENCIA EN SUCURSALES'!J50+'DISTRIBUCIÓN EN SUCURSALES'!J50</f>
        <v>8</v>
      </c>
      <c r="K50">
        <f>'EXISTENCIA EN SUCURSALES'!K50+'DISTRIBUCIÓN EN SUCURSALES'!K50</f>
        <v>3</v>
      </c>
      <c r="L50">
        <f>SUM(B50:K50)</f>
        <v>49</v>
      </c>
      <c r="M50">
        <f>'EXISTENCIA EN SUCURSALES'!M50+'DISTRIBUCIÓN EN SUCURSALES'!M50</f>
        <v>9</v>
      </c>
      <c r="N50">
        <f>'EXISTENCIA EN SUCURSALES'!N50+'DISTRIBUCIÓN EN SUCURSALES'!N50</f>
        <v>5</v>
      </c>
      <c r="O50">
        <f>'EXISTENCIA EN SUCURSALES'!O50+'DISTRIBUCIÓN EN SUCURSALES'!O50</f>
        <v>3</v>
      </c>
      <c r="P50">
        <f>'EXISTENCIA EN SUCURSALES'!P50+'DISTRIBUCIÓN EN SUCURSALES'!P50</f>
        <v>8</v>
      </c>
      <c r="Q50">
        <f>'EXISTENCIA EN SUCURSALES'!Q50+'DISTRIBUCIÓN EN SUCURSALES'!Q50</f>
        <v>5</v>
      </c>
      <c r="R50">
        <f>'EXISTENCIA EN SUCURSALES'!R50+'DISTRIBUCIÓN EN SUCURSALES'!R50</f>
        <v>9</v>
      </c>
      <c r="S50">
        <f>'EXISTENCIA EN SUCURSALES'!S50+'DISTRIBUCIÓN EN SUCURSALES'!S50</f>
        <v>3</v>
      </c>
      <c r="T50">
        <f>'EXISTENCIA EN SUCURSALES'!T50+'DISTRIBUCIÓN EN SUCURSALES'!T50</f>
        <v>8</v>
      </c>
      <c r="U50">
        <f>'EXISTENCIA EN SUCURSALES'!U50+'DISTRIBUCIÓN EN SUCURSALES'!U50</f>
        <v>0</v>
      </c>
      <c r="V50">
        <f>'EXISTENCIA EN SUCURSALES'!V50+'DISTRIBUCIÓN EN SUCURSALES'!V50</f>
        <v>6</v>
      </c>
      <c r="W50">
        <f>'EXISTENCIA EN SUCURSALES'!W50+'DISTRIBUCIÓN EN SUCURSALES'!W50</f>
        <v>6</v>
      </c>
      <c r="X50">
        <f>'EXISTENCIA EN SUCURSALES'!X50+'DISTRIBUCIÓN EN SUCURSALES'!X50</f>
        <v>2</v>
      </c>
      <c r="Y50">
        <f>SUM(M50:X50)</f>
        <v>64</v>
      </c>
      <c r="Z50">
        <f>L50+Y50</f>
        <v>113</v>
      </c>
      <c r="AB50">
        <f>IFERROR(VLOOKUP(A50,'GRAL. SUC. LOCALES'!$A:$N,14,0),0)</f>
        <v>22</v>
      </c>
      <c r="AD50">
        <f>AB50+Z50</f>
        <v>135</v>
      </c>
      <c r="AF50">
        <v>180</v>
      </c>
      <c r="AG50">
        <v>180</v>
      </c>
      <c r="AH50">
        <f>AD50-AF50</f>
        <v>-45</v>
      </c>
    </row>
    <row r="51">
      <c r="A51" t="str">
        <v>MINI MEDIANO CHOCOLATE</v>
      </c>
      <c r="B51">
        <f>'EXISTENCIA EN SUCURSALES'!B51+'DISTRIBUCIÓN EN SUCURSALES'!B51</f>
        <v>6</v>
      </c>
      <c r="C51">
        <f>'EXISTENCIA EN SUCURSALES'!C51+'DISTRIBUCIÓN EN SUCURSALES'!C51</f>
        <v>7</v>
      </c>
      <c r="D51">
        <f>'EXISTENCIA EN SUCURSALES'!D51+'DISTRIBUCIÓN EN SUCURSALES'!D51</f>
        <v>6</v>
      </c>
      <c r="E51">
        <f>'EXISTENCIA EN SUCURSALES'!E51+'DISTRIBUCIÓN EN SUCURSALES'!E51</f>
        <v>4</v>
      </c>
      <c r="F51">
        <f>'EXISTENCIA EN SUCURSALES'!F51+'DISTRIBUCIÓN EN SUCURSALES'!F51</f>
        <v>6</v>
      </c>
      <c r="G51">
        <f>'EXISTENCIA EN SUCURSALES'!G51+'DISTRIBUCIÓN EN SUCURSALES'!G51</f>
        <v>0</v>
      </c>
      <c r="H51">
        <f>'EXISTENCIA EN SUCURSALES'!H51+'DISTRIBUCIÓN EN SUCURSALES'!H51</f>
        <v>5</v>
      </c>
      <c r="I51">
        <f>'EXISTENCIA EN SUCURSALES'!I51+'DISTRIBUCIÓN EN SUCURSALES'!I51</f>
        <v>5</v>
      </c>
      <c r="J51">
        <f>'EXISTENCIA EN SUCURSALES'!J51+'DISTRIBUCIÓN EN SUCURSALES'!J51</f>
        <v>8</v>
      </c>
      <c r="K51">
        <f>'EXISTENCIA EN SUCURSALES'!K51+'DISTRIBUCIÓN EN SUCURSALES'!K51</f>
        <v>3</v>
      </c>
      <c r="L51">
        <f>SUM(B51:K51)</f>
        <v>50</v>
      </c>
      <c r="M51">
        <f>'EXISTENCIA EN SUCURSALES'!M51+'DISTRIBUCIÓN EN SUCURSALES'!M51</f>
        <v>11</v>
      </c>
      <c r="N51">
        <f>'EXISTENCIA EN SUCURSALES'!N51+'DISTRIBUCIÓN EN SUCURSALES'!N51</f>
        <v>5</v>
      </c>
      <c r="O51">
        <f>'EXISTENCIA EN SUCURSALES'!O51+'DISTRIBUCIÓN EN SUCURSALES'!O51</f>
        <v>5</v>
      </c>
      <c r="P51">
        <f>'EXISTENCIA EN SUCURSALES'!P51+'DISTRIBUCIÓN EN SUCURSALES'!P51</f>
        <v>8</v>
      </c>
      <c r="Q51">
        <f>'EXISTENCIA EN SUCURSALES'!Q51+'DISTRIBUCIÓN EN SUCURSALES'!Q51</f>
        <v>7</v>
      </c>
      <c r="R51">
        <f>'EXISTENCIA EN SUCURSALES'!R51+'DISTRIBUCIÓN EN SUCURSALES'!R51</f>
        <v>9</v>
      </c>
      <c r="S51">
        <f>'EXISTENCIA EN SUCURSALES'!S51+'DISTRIBUCIÓN EN SUCURSALES'!S51</f>
        <v>5</v>
      </c>
      <c r="T51">
        <f>'EXISTENCIA EN SUCURSALES'!T51+'DISTRIBUCIÓN EN SUCURSALES'!T51</f>
        <v>8</v>
      </c>
      <c r="U51">
        <f>'EXISTENCIA EN SUCURSALES'!U51+'DISTRIBUCIÓN EN SUCURSALES'!U51</f>
        <v>3</v>
      </c>
      <c r="V51">
        <f>'EXISTENCIA EN SUCURSALES'!V51+'DISTRIBUCIÓN EN SUCURSALES'!V51</f>
        <v>5</v>
      </c>
      <c r="W51">
        <f>'EXISTENCIA EN SUCURSALES'!W51+'DISTRIBUCIÓN EN SUCURSALES'!W51</f>
        <v>3</v>
      </c>
      <c r="X51">
        <f>'EXISTENCIA EN SUCURSALES'!X51+'DISTRIBUCIÓN EN SUCURSALES'!X51</f>
        <v>0</v>
      </c>
      <c r="Y51">
        <f>SUM(M51:X51)</f>
        <v>69</v>
      </c>
      <c r="Z51">
        <f>L51+Y51</f>
        <v>119</v>
      </c>
      <c r="AB51">
        <f>IFERROR(VLOOKUP(A51,'GRAL. SUC. LOCALES'!$A:$N,14,0),0)</f>
        <v>39</v>
      </c>
      <c r="AD51">
        <f>AB51+Z51</f>
        <v>158</v>
      </c>
      <c r="AF51">
        <v>200</v>
      </c>
      <c r="AG51">
        <v>200</v>
      </c>
      <c r="AH51">
        <f>AD51-AF51</f>
        <v>-42</v>
      </c>
    </row>
    <row r="52">
      <c r="A52" t="str">
        <v>MINI MEDIANOS 3 LECHES</v>
      </c>
      <c r="B52">
        <f>SUM(B50:B51)</f>
        <v>12</v>
      </c>
      <c r="C52">
        <f>SUM(C50:C51)</f>
        <v>14</v>
      </c>
      <c r="D52">
        <f>SUM(D50:D51)</f>
        <v>12</v>
      </c>
      <c r="E52">
        <f>SUM(E50:E51)</f>
        <v>7</v>
      </c>
      <c r="F52">
        <f>SUM(F50:F51)</f>
        <v>12</v>
      </c>
      <c r="G52">
        <f>SUM(G50:G51)</f>
        <v>0</v>
      </c>
      <c r="H52">
        <f>SUM(H50:H51)</f>
        <v>10</v>
      </c>
      <c r="I52">
        <f>SUM(I50:I51)</f>
        <v>10</v>
      </c>
      <c r="J52">
        <f>SUM(J50:J51)</f>
        <v>16</v>
      </c>
      <c r="K52">
        <f>SUM(K50:K51)</f>
        <v>6</v>
      </c>
      <c r="L52">
        <f>SUM(L50:L51)</f>
        <v>99</v>
      </c>
      <c r="M52">
        <f>SUM(M50:M51)</f>
        <v>20</v>
      </c>
      <c r="N52">
        <f>SUM(N50:N51)</f>
        <v>10</v>
      </c>
      <c r="O52">
        <f>SUM(O50:O51)</f>
        <v>8</v>
      </c>
      <c r="P52">
        <f>SUM(P50:P51)</f>
        <v>16</v>
      </c>
      <c r="Q52">
        <f>SUM(Q50:Q51)</f>
        <v>12</v>
      </c>
      <c r="R52">
        <f>SUM(R50:R51)</f>
        <v>18</v>
      </c>
      <c r="S52">
        <f>SUM(S50:S51)</f>
        <v>8</v>
      </c>
      <c r="T52">
        <f>SUM(T50:T51)</f>
        <v>16</v>
      </c>
      <c r="U52">
        <f>SUM(U50:U51)</f>
        <v>3</v>
      </c>
      <c r="V52">
        <f>SUM(V50:V51)</f>
        <v>11</v>
      </c>
      <c r="W52">
        <f>SUM(W50:W51)</f>
        <v>9</v>
      </c>
      <c r="X52">
        <f>SUM(X50:X51)</f>
        <v>2</v>
      </c>
      <c r="Y52">
        <f>SUM(Y50:Y51)</f>
        <v>133</v>
      </c>
      <c r="Z52">
        <f>SUM(Z50:Z51)</f>
        <v>232</v>
      </c>
      <c r="AB52">
        <f>SUM(AB50:AB51)</f>
        <v>61</v>
      </c>
      <c r="AD52">
        <f>AB52+Z52</f>
        <v>293</v>
      </c>
      <c r="AF52">
        <f>SUM(AF50:AF51)</f>
        <v>380</v>
      </c>
      <c r="AG52">
        <f>SUM(AG50:AG51)</f>
        <v>380</v>
      </c>
      <c r="AH52">
        <f>AD52-AF52</f>
        <v>-87</v>
      </c>
    </row>
    <row r="53">
      <c r="A53" t="str">
        <v>MINI PASTELITO PIÑERO</v>
      </c>
      <c r="B53">
        <f>'EXISTENCIA EN SUCURSALES'!B53+'DISTRIBUCIÓN EN SUCURSALES'!B53</f>
        <v>6</v>
      </c>
      <c r="C53">
        <f>'EXISTENCIA EN SUCURSALES'!C53+'DISTRIBUCIÓN EN SUCURSALES'!C53</f>
        <v>7</v>
      </c>
      <c r="D53">
        <f>'EXISTENCIA EN SUCURSALES'!D53+'DISTRIBUCIÓN EN SUCURSALES'!D53</f>
        <v>6</v>
      </c>
      <c r="E53">
        <f>'EXISTENCIA EN SUCURSALES'!E53+'DISTRIBUCIÓN EN SUCURSALES'!E53</f>
        <v>3</v>
      </c>
      <c r="F53">
        <f>'EXISTENCIA EN SUCURSALES'!F53+'DISTRIBUCIÓN EN SUCURSALES'!F53</f>
        <v>8</v>
      </c>
      <c r="G53">
        <f>'EXISTENCIA EN SUCURSALES'!G53+'DISTRIBUCIÓN EN SUCURSALES'!G53</f>
        <v>0</v>
      </c>
      <c r="H53">
        <f>'EXISTENCIA EN SUCURSALES'!H53+'DISTRIBUCIÓN EN SUCURSALES'!H53</f>
        <v>6</v>
      </c>
      <c r="I53">
        <f>'EXISTENCIA EN SUCURSALES'!I53+'DISTRIBUCIÓN EN SUCURSALES'!I53</f>
        <v>2</v>
      </c>
      <c r="J53">
        <f>'EXISTENCIA EN SUCURSALES'!J53+'DISTRIBUCIÓN EN SUCURSALES'!J53</f>
        <v>10</v>
      </c>
      <c r="K53">
        <f>'EXISTENCIA EN SUCURSALES'!K53+'DISTRIBUCIÓN EN SUCURSALES'!K53</f>
        <v>3</v>
      </c>
      <c r="L53">
        <f>SUM(B53:K53)</f>
        <v>51</v>
      </c>
      <c r="M53">
        <f>'EXISTENCIA EN SUCURSALES'!M53+'DISTRIBUCIÓN EN SUCURSALES'!M53</f>
        <v>1</v>
      </c>
      <c r="N53">
        <f>'EXISTENCIA EN SUCURSALES'!N53+'DISTRIBUCIÓN EN SUCURSALES'!N53</f>
        <v>5</v>
      </c>
      <c r="O53">
        <f>'EXISTENCIA EN SUCURSALES'!O53+'DISTRIBUCIÓN EN SUCURSALES'!O53</f>
        <v>4</v>
      </c>
      <c r="P53">
        <f>'EXISTENCIA EN SUCURSALES'!P53+'DISTRIBUCIÓN EN SUCURSALES'!P53</f>
        <v>10</v>
      </c>
      <c r="Q53">
        <f>'EXISTENCIA EN SUCURSALES'!Q53+'DISTRIBUCIÓN EN SUCURSALES'!Q53</f>
        <v>13</v>
      </c>
      <c r="R53">
        <f>'EXISTENCIA EN SUCURSALES'!R53+'DISTRIBUCIÓN EN SUCURSALES'!R53</f>
        <v>9</v>
      </c>
      <c r="S53">
        <f>'EXISTENCIA EN SUCURSALES'!S53+'DISTRIBUCIÓN EN SUCURSALES'!S53</f>
        <v>5</v>
      </c>
      <c r="T53">
        <f>'EXISTENCIA EN SUCURSALES'!T53+'DISTRIBUCIÓN EN SUCURSALES'!T53</f>
        <v>5</v>
      </c>
      <c r="U53">
        <f>'EXISTENCIA EN SUCURSALES'!U53+'DISTRIBUCIÓN EN SUCURSALES'!U53</f>
        <v>2</v>
      </c>
      <c r="V53">
        <f>'EXISTENCIA EN SUCURSALES'!V53+'DISTRIBUCIÓN EN SUCURSALES'!V53</f>
        <v>5</v>
      </c>
      <c r="W53">
        <f>'EXISTENCIA EN SUCURSALES'!W53+'DISTRIBUCIÓN EN SUCURSALES'!W53</f>
        <v>4</v>
      </c>
      <c r="X53">
        <f>'EXISTENCIA EN SUCURSALES'!X53+'DISTRIBUCIÓN EN SUCURSALES'!X53</f>
        <v>3</v>
      </c>
      <c r="Y53">
        <f>SUM(M53:X53)</f>
        <v>66</v>
      </c>
      <c r="Z53">
        <f>L53+Y53</f>
        <v>117</v>
      </c>
      <c r="AB53">
        <f>IFERROR(VLOOKUP(A53,'GRAL. SUC. LOCALES'!$A:$N,14,0),0)</f>
        <v>19</v>
      </c>
      <c r="AD53">
        <f>AB53+Z53</f>
        <v>136</v>
      </c>
      <c r="AF53">
        <v>180</v>
      </c>
      <c r="AG53">
        <v>180</v>
      </c>
      <c r="AH53">
        <f>AD53-AF53</f>
        <v>-44</v>
      </c>
    </row>
    <row r="54">
      <c r="A54" t="str">
        <v>MINI PASTELITO CHOCOLATE</v>
      </c>
      <c r="B54">
        <f>'EXISTENCIA EN SUCURSALES'!B54+'DISTRIBUCIÓN EN SUCURSALES'!B54</f>
        <v>6</v>
      </c>
      <c r="C54">
        <f>'EXISTENCIA EN SUCURSALES'!C54+'DISTRIBUCIÓN EN SUCURSALES'!C54</f>
        <v>7</v>
      </c>
      <c r="D54">
        <f>'EXISTENCIA EN SUCURSALES'!D54+'DISTRIBUCIÓN EN SUCURSALES'!D54</f>
        <v>6</v>
      </c>
      <c r="E54">
        <f>'EXISTENCIA EN SUCURSALES'!E54+'DISTRIBUCIÓN EN SUCURSALES'!E54</f>
        <v>3</v>
      </c>
      <c r="F54">
        <f>'EXISTENCIA EN SUCURSALES'!F54+'DISTRIBUCIÓN EN SUCURSALES'!F54</f>
        <v>8</v>
      </c>
      <c r="G54">
        <f>'EXISTENCIA EN SUCURSALES'!G54+'DISTRIBUCIÓN EN SUCURSALES'!G54</f>
        <v>0</v>
      </c>
      <c r="H54">
        <f>'EXISTENCIA EN SUCURSALES'!H54+'DISTRIBUCIÓN EN SUCURSALES'!H54</f>
        <v>6</v>
      </c>
      <c r="I54">
        <f>'EXISTENCIA EN SUCURSALES'!I54+'DISTRIBUCIÓN EN SUCURSALES'!I54</f>
        <v>2</v>
      </c>
      <c r="J54">
        <f>'EXISTENCIA EN SUCURSALES'!J54+'DISTRIBUCIÓN EN SUCURSALES'!J54</f>
        <v>10</v>
      </c>
      <c r="K54">
        <f>'EXISTENCIA EN SUCURSALES'!K54+'DISTRIBUCIÓN EN SUCURSALES'!K54</f>
        <v>3</v>
      </c>
      <c r="L54">
        <f>SUM(B54:K54)</f>
        <v>51</v>
      </c>
      <c r="M54">
        <f>'EXISTENCIA EN SUCURSALES'!M54+'DISTRIBUCIÓN EN SUCURSALES'!M54</f>
        <v>1</v>
      </c>
      <c r="N54">
        <f>'EXISTENCIA EN SUCURSALES'!N54+'DISTRIBUCIÓN EN SUCURSALES'!N54</f>
        <v>8</v>
      </c>
      <c r="O54">
        <f>'EXISTENCIA EN SUCURSALES'!O54+'DISTRIBUCIÓN EN SUCURSALES'!O54</f>
        <v>4</v>
      </c>
      <c r="P54">
        <f>'EXISTENCIA EN SUCURSALES'!P54+'DISTRIBUCIÓN EN SUCURSALES'!P54</f>
        <v>8</v>
      </c>
      <c r="Q54">
        <f>'EXISTENCIA EN SUCURSALES'!Q54+'DISTRIBUCIÓN EN SUCURSALES'!Q54</f>
        <v>10</v>
      </c>
      <c r="R54">
        <f>'EXISTENCIA EN SUCURSALES'!R54+'DISTRIBUCIÓN EN SUCURSALES'!R54</f>
        <v>9</v>
      </c>
      <c r="S54">
        <f>'EXISTENCIA EN SUCURSALES'!S54+'DISTRIBUCIÓN EN SUCURSALES'!S54</f>
        <v>3</v>
      </c>
      <c r="T54">
        <f>'EXISTENCIA EN SUCURSALES'!T54+'DISTRIBUCIÓN EN SUCURSALES'!T54</f>
        <v>3</v>
      </c>
      <c r="U54">
        <f>'EXISTENCIA EN SUCURSALES'!U54+'DISTRIBUCIÓN EN SUCURSALES'!U54</f>
        <v>2</v>
      </c>
      <c r="V54">
        <f>'EXISTENCIA EN SUCURSALES'!V54+'DISTRIBUCIÓN EN SUCURSALES'!V54</f>
        <v>5</v>
      </c>
      <c r="W54">
        <f>'EXISTENCIA EN SUCURSALES'!W54+'DISTRIBUCIÓN EN SUCURSALES'!W54</f>
        <v>5</v>
      </c>
      <c r="X54">
        <f>'EXISTENCIA EN SUCURSALES'!X54+'DISTRIBUCIÓN EN SUCURSALES'!X54</f>
        <v>3</v>
      </c>
      <c r="Y54">
        <f>SUM(M54:X54)</f>
        <v>61</v>
      </c>
      <c r="Z54">
        <f>L54+Y54</f>
        <v>112</v>
      </c>
      <c r="AB54">
        <f>IFERROR(VLOOKUP(A54,'GRAL. SUC. LOCALES'!$A:$N,14,0),0)</f>
        <v>31</v>
      </c>
      <c r="AD54">
        <f>AB54+Z54</f>
        <v>143</v>
      </c>
      <c r="AF54">
        <v>200</v>
      </c>
      <c r="AG54">
        <v>190</v>
      </c>
      <c r="AH54">
        <f>AD54-AF54</f>
        <v>-57</v>
      </c>
    </row>
    <row r="55">
      <c r="A55" t="str">
        <v xml:space="preserve">MINI MINI 3 LECHES </v>
      </c>
      <c r="B55">
        <f>SUM(B53:B54)</f>
        <v>12</v>
      </c>
      <c r="C55">
        <f>SUM(C53:C54)</f>
        <v>14</v>
      </c>
      <c r="D55">
        <f>SUM(D53:D54)</f>
        <v>12</v>
      </c>
      <c r="E55">
        <f>SUM(E53:E54)</f>
        <v>6</v>
      </c>
      <c r="F55">
        <f>SUM(F53:F54)</f>
        <v>16</v>
      </c>
      <c r="G55">
        <f>SUM(G53:G54)</f>
        <v>0</v>
      </c>
      <c r="H55">
        <f>SUM(H53:H54)</f>
        <v>12</v>
      </c>
      <c r="I55">
        <f>SUM(I53:I54)</f>
        <v>4</v>
      </c>
      <c r="J55">
        <f>SUM(J53:J54)</f>
        <v>20</v>
      </c>
      <c r="K55">
        <f>SUM(K53:K54)</f>
        <v>6</v>
      </c>
      <c r="L55">
        <f>SUM(L53:L54)</f>
        <v>102</v>
      </c>
      <c r="M55">
        <f>SUM(M53:M54)</f>
        <v>2</v>
      </c>
      <c r="N55">
        <f>SUM(N53:N54)</f>
        <v>13</v>
      </c>
      <c r="O55">
        <f>SUM(O53:O54)</f>
        <v>8</v>
      </c>
      <c r="P55">
        <f>SUM(P53:P54)</f>
        <v>18</v>
      </c>
      <c r="Q55">
        <f>SUM(Q53:Q54)</f>
        <v>23</v>
      </c>
      <c r="R55">
        <f>SUM(R53:R54)</f>
        <v>18</v>
      </c>
      <c r="S55">
        <f>SUM(S53:S54)</f>
        <v>8</v>
      </c>
      <c r="T55">
        <f>SUM(T53:T54)</f>
        <v>8</v>
      </c>
      <c r="U55">
        <f>SUM(U53:U54)</f>
        <v>4</v>
      </c>
      <c r="V55">
        <f>SUM(V53:V54)</f>
        <v>10</v>
      </c>
      <c r="W55">
        <f>SUM(W53:W54)</f>
        <v>9</v>
      </c>
      <c r="X55">
        <f>SUM(X53:X54)</f>
        <v>6</v>
      </c>
      <c r="Y55">
        <f>SUM(Y53:Y54)</f>
        <v>127</v>
      </c>
      <c r="Z55">
        <f>SUM(Z53:Z54)</f>
        <v>229</v>
      </c>
      <c r="AB55">
        <f>SUM(AB53:AB54)</f>
        <v>50</v>
      </c>
      <c r="AD55">
        <f>AB55+Z55</f>
        <v>279</v>
      </c>
      <c r="AF55">
        <f>SUM(AF53:AF54)</f>
        <v>380</v>
      </c>
      <c r="AG55">
        <f>SUM(AG53:AG54)</f>
        <v>370</v>
      </c>
      <c r="AH55">
        <f>AD55-AF55</f>
        <v>-101</v>
      </c>
    </row>
    <row r="56">
      <c r="A56" t="str">
        <v>3 LECHES QUESO GDE</v>
      </c>
      <c r="B56">
        <f>'EXISTENCIA EN SUCURSALES'!B56+'DISTRIBUCIÓN EN SUCURSALES'!B56</f>
        <v>2</v>
      </c>
      <c r="C56">
        <f>'EXISTENCIA EN SUCURSALES'!C56+'DISTRIBUCIÓN EN SUCURSALES'!C56</f>
        <v>2</v>
      </c>
      <c r="D56">
        <f>'EXISTENCIA EN SUCURSALES'!D56+'DISTRIBUCIÓN EN SUCURSALES'!D56</f>
        <v>1</v>
      </c>
      <c r="E56">
        <f>'EXISTENCIA EN SUCURSALES'!E56+'DISTRIBUCIÓN EN SUCURSALES'!E56</f>
        <v>1</v>
      </c>
      <c r="F56">
        <f>'EXISTENCIA EN SUCURSALES'!F56+'DISTRIBUCIÓN EN SUCURSALES'!F56</f>
        <v>1</v>
      </c>
      <c r="G56">
        <f>'EXISTENCIA EN SUCURSALES'!G56+'DISTRIBUCIÓN EN SUCURSALES'!G56</f>
        <v>0</v>
      </c>
      <c r="H56">
        <f>'EXISTENCIA EN SUCURSALES'!H56+'DISTRIBUCIÓN EN SUCURSALES'!H56</f>
        <v>1</v>
      </c>
      <c r="I56">
        <f>'EXISTENCIA EN SUCURSALES'!I56+'DISTRIBUCIÓN EN SUCURSALES'!I56</f>
        <v>1</v>
      </c>
      <c r="J56">
        <f>'EXISTENCIA EN SUCURSALES'!J56+'DISTRIBUCIÓN EN SUCURSALES'!J56</f>
        <v>2</v>
      </c>
      <c r="K56">
        <f>'EXISTENCIA EN SUCURSALES'!K56+'DISTRIBUCIÓN EN SUCURSALES'!K56</f>
        <v>1</v>
      </c>
      <c r="L56">
        <f>SUM(B56:K56)</f>
        <v>12</v>
      </c>
      <c r="M56">
        <f>'EXISTENCIA EN SUCURSALES'!M56+'DISTRIBUCIÓN EN SUCURSALES'!M56</f>
        <v>3</v>
      </c>
      <c r="N56">
        <f>'EXISTENCIA EN SUCURSALES'!N56+'DISTRIBUCIÓN EN SUCURSALES'!N56</f>
        <v>1</v>
      </c>
      <c r="O56">
        <f>'EXISTENCIA EN SUCURSALES'!O56+'DISTRIBUCIÓN EN SUCURSALES'!O56</f>
        <v>0</v>
      </c>
      <c r="P56">
        <f>'EXISTENCIA EN SUCURSALES'!P56+'DISTRIBUCIÓN EN SUCURSALES'!P56</f>
        <v>1</v>
      </c>
      <c r="Q56">
        <f>'EXISTENCIA EN SUCURSALES'!Q56+'DISTRIBUCIÓN EN SUCURSALES'!Q56</f>
        <v>2</v>
      </c>
      <c r="R56">
        <f>'EXISTENCIA EN SUCURSALES'!R56+'DISTRIBUCIÓN EN SUCURSALES'!R56</f>
        <v>2</v>
      </c>
      <c r="S56">
        <f>'EXISTENCIA EN SUCURSALES'!S56+'DISTRIBUCIÓN EN SUCURSALES'!S56</f>
        <v>1</v>
      </c>
      <c r="T56">
        <f>'EXISTENCIA EN SUCURSALES'!T56+'DISTRIBUCIÓN EN SUCURSALES'!T56</f>
        <v>1</v>
      </c>
      <c r="U56">
        <f>'EXISTENCIA EN SUCURSALES'!U56+'DISTRIBUCIÓN EN SUCURSALES'!U56</f>
        <v>1</v>
      </c>
      <c r="V56">
        <f>'EXISTENCIA EN SUCURSALES'!V56+'DISTRIBUCIÓN EN SUCURSALES'!V56</f>
        <v>0</v>
      </c>
      <c r="W56">
        <f>'EXISTENCIA EN SUCURSALES'!W56+'DISTRIBUCIÓN EN SUCURSALES'!W56</f>
        <v>1</v>
      </c>
      <c r="X56">
        <f>'EXISTENCIA EN SUCURSALES'!X56+'DISTRIBUCIÓN EN SUCURSALES'!X56</f>
        <v>1</v>
      </c>
      <c r="Y56">
        <f>SUM(M56:X56)</f>
        <v>14</v>
      </c>
      <c r="Z56">
        <f>L56+Y56</f>
        <v>26</v>
      </c>
      <c r="AB56">
        <f>IFERROR(VLOOKUP(A56,'GRAL. SUC. LOCALES'!$A:$N,14,0),0)</f>
        <v>12</v>
      </c>
      <c r="AD56">
        <f>AB56+Z56</f>
        <v>38</v>
      </c>
      <c r="AF56">
        <v>45</v>
      </c>
      <c r="AG56">
        <v>45</v>
      </c>
      <c r="AH56">
        <f>AD56-AF56</f>
        <v>-7</v>
      </c>
    </row>
    <row r="57">
      <c r="A57" t="str">
        <v>3 LECHES QUESO CH</v>
      </c>
      <c r="B57">
        <f>'EXISTENCIA EN SUCURSALES'!B57+'DISTRIBUCIÓN EN SUCURSALES'!B57</f>
        <v>2</v>
      </c>
      <c r="C57">
        <f>'EXISTENCIA EN SUCURSALES'!C57+'DISTRIBUCIÓN EN SUCURSALES'!C57</f>
        <v>2</v>
      </c>
      <c r="D57">
        <f>'EXISTENCIA EN SUCURSALES'!D57+'DISTRIBUCIÓN EN SUCURSALES'!D57</f>
        <v>1</v>
      </c>
      <c r="E57">
        <f>'EXISTENCIA EN SUCURSALES'!E57+'DISTRIBUCIÓN EN SUCURSALES'!E57</f>
        <v>2</v>
      </c>
      <c r="F57">
        <f>'EXISTENCIA EN SUCURSALES'!F57+'DISTRIBUCIÓN EN SUCURSALES'!F57</f>
        <v>1</v>
      </c>
      <c r="G57">
        <f>'EXISTENCIA EN SUCURSALES'!G57+'DISTRIBUCIÓN EN SUCURSALES'!G57</f>
        <v>0</v>
      </c>
      <c r="H57">
        <f>'EXISTENCIA EN SUCURSALES'!H57+'DISTRIBUCIÓN EN SUCURSALES'!H57</f>
        <v>1</v>
      </c>
      <c r="I57">
        <f>'EXISTENCIA EN SUCURSALES'!I57+'DISTRIBUCIÓN EN SUCURSALES'!I57</f>
        <v>2</v>
      </c>
      <c r="J57">
        <f>'EXISTENCIA EN SUCURSALES'!J57+'DISTRIBUCIÓN EN SUCURSALES'!J57</f>
        <v>2</v>
      </c>
      <c r="K57">
        <f>'EXISTENCIA EN SUCURSALES'!K57+'DISTRIBUCIÓN EN SUCURSALES'!K57</f>
        <v>1</v>
      </c>
      <c r="L57">
        <f>SUM(B57:K57)</f>
        <v>14</v>
      </c>
      <c r="M57">
        <f>'EXISTENCIA EN SUCURSALES'!M57+'DISTRIBUCIÓN EN SUCURSALES'!M57</f>
        <v>2</v>
      </c>
      <c r="N57">
        <f>'EXISTENCIA EN SUCURSALES'!N57+'DISTRIBUCIÓN EN SUCURSALES'!N57</f>
        <v>1</v>
      </c>
      <c r="O57">
        <f>'EXISTENCIA EN SUCURSALES'!O57+'DISTRIBUCIÓN EN SUCURSALES'!O57</f>
        <v>0</v>
      </c>
      <c r="P57">
        <f>'EXISTENCIA EN SUCURSALES'!P57+'DISTRIBUCIÓN EN SUCURSALES'!P57</f>
        <v>1</v>
      </c>
      <c r="Q57">
        <f>'EXISTENCIA EN SUCURSALES'!Q57+'DISTRIBUCIÓN EN SUCURSALES'!Q57</f>
        <v>1</v>
      </c>
      <c r="R57">
        <f>'EXISTENCIA EN SUCURSALES'!R57+'DISTRIBUCIÓN EN SUCURSALES'!R57</f>
        <v>2</v>
      </c>
      <c r="S57">
        <f>'EXISTENCIA EN SUCURSALES'!S57+'DISTRIBUCIÓN EN SUCURSALES'!S57</f>
        <v>4</v>
      </c>
      <c r="T57">
        <f>'EXISTENCIA EN SUCURSALES'!T57+'DISTRIBUCIÓN EN SUCURSALES'!T57</f>
        <v>0</v>
      </c>
      <c r="U57">
        <f>'EXISTENCIA EN SUCURSALES'!U57+'DISTRIBUCIÓN EN SUCURSALES'!U57</f>
        <v>1</v>
      </c>
      <c r="V57">
        <f>'EXISTENCIA EN SUCURSALES'!V57+'DISTRIBUCIÓN EN SUCURSALES'!V57</f>
        <v>1</v>
      </c>
      <c r="W57">
        <f>'EXISTENCIA EN SUCURSALES'!W57+'DISTRIBUCIÓN EN SUCURSALES'!W57</f>
        <v>1</v>
      </c>
      <c r="X57">
        <f>'EXISTENCIA EN SUCURSALES'!X57+'DISTRIBUCIÓN EN SUCURSALES'!X57</f>
        <v>0</v>
      </c>
      <c r="Y57">
        <f>SUM(M57:X57)</f>
        <v>14</v>
      </c>
      <c r="Z57">
        <f>L57+Y57</f>
        <v>28</v>
      </c>
      <c r="AB57">
        <f>IFERROR(VLOOKUP(A57,'GRAL. SUC. LOCALES'!$A:$N,14,0),0)</f>
        <v>8</v>
      </c>
      <c r="AD57">
        <f>AB57+Z57</f>
        <v>36</v>
      </c>
      <c r="AF57">
        <v>40</v>
      </c>
      <c r="AG57">
        <v>45</v>
      </c>
      <c r="AH57">
        <f>AD57-AF57</f>
        <v>-4</v>
      </c>
    </row>
    <row r="58">
      <c r="A58" t="str">
        <v>SELVA NEGRA CH</v>
      </c>
      <c r="B58">
        <f>'EXISTENCIA EN SUCURSALES'!B58+'DISTRIBUCIÓN EN SUCURSALES'!B58</f>
        <v>2</v>
      </c>
      <c r="C58">
        <f>'EXISTENCIA EN SUCURSALES'!C58+'DISTRIBUCIÓN EN SUCURSALES'!C58</f>
        <v>2</v>
      </c>
      <c r="D58">
        <f>'EXISTENCIA EN SUCURSALES'!D58+'DISTRIBUCIÓN EN SUCURSALES'!D58</f>
        <v>1</v>
      </c>
      <c r="E58">
        <f>'EXISTENCIA EN SUCURSALES'!E58+'DISTRIBUCIÓN EN SUCURSALES'!E58</f>
        <v>1</v>
      </c>
      <c r="F58">
        <f>'EXISTENCIA EN SUCURSALES'!F58+'DISTRIBUCIÓN EN SUCURSALES'!F58</f>
        <v>1</v>
      </c>
      <c r="G58">
        <f>'EXISTENCIA EN SUCURSALES'!G58+'DISTRIBUCIÓN EN SUCURSALES'!G58</f>
        <v>0</v>
      </c>
      <c r="H58">
        <f>'EXISTENCIA EN SUCURSALES'!H58+'DISTRIBUCIÓN EN SUCURSALES'!H58</f>
        <v>1</v>
      </c>
      <c r="I58">
        <f>'EXISTENCIA EN SUCURSALES'!I58+'DISTRIBUCIÓN EN SUCURSALES'!I58</f>
        <v>1</v>
      </c>
      <c r="J58">
        <f>'EXISTENCIA EN SUCURSALES'!J58+'DISTRIBUCIÓN EN SUCURSALES'!J58</f>
        <v>1</v>
      </c>
      <c r="K58">
        <f>'EXISTENCIA EN SUCURSALES'!K58+'DISTRIBUCIÓN EN SUCURSALES'!K58</f>
        <v>0</v>
      </c>
      <c r="L58">
        <f>SUM(B58:K58)</f>
        <v>10</v>
      </c>
      <c r="M58">
        <f>'EXISTENCIA EN SUCURSALES'!M58+'DISTRIBUCIÓN EN SUCURSALES'!M58</f>
        <v>2</v>
      </c>
      <c r="N58">
        <f>'EXISTENCIA EN SUCURSALES'!N58+'DISTRIBUCIÓN EN SUCURSALES'!N58</f>
        <v>1</v>
      </c>
      <c r="O58">
        <f>'EXISTENCIA EN SUCURSALES'!O58+'DISTRIBUCIÓN EN SUCURSALES'!O58</f>
        <v>0</v>
      </c>
      <c r="P58">
        <f>'EXISTENCIA EN SUCURSALES'!P58+'DISTRIBUCIÓN EN SUCURSALES'!P58</f>
        <v>1</v>
      </c>
      <c r="Q58">
        <f>'EXISTENCIA EN SUCURSALES'!Q58+'DISTRIBUCIÓN EN SUCURSALES'!Q58</f>
        <v>2</v>
      </c>
      <c r="R58">
        <f>'EXISTENCIA EN SUCURSALES'!R58+'DISTRIBUCIÓN EN SUCURSALES'!R58</f>
        <v>1</v>
      </c>
      <c r="S58">
        <f>'EXISTENCIA EN SUCURSALES'!S58+'DISTRIBUCIÓN EN SUCURSALES'!S58</f>
        <v>1</v>
      </c>
      <c r="T58">
        <f>'EXISTENCIA EN SUCURSALES'!T58+'DISTRIBUCIÓN EN SUCURSALES'!T58</f>
        <v>0</v>
      </c>
      <c r="U58">
        <f>'EXISTENCIA EN SUCURSALES'!U58+'DISTRIBUCIÓN EN SUCURSALES'!U58</f>
        <v>0</v>
      </c>
      <c r="V58">
        <f>'EXISTENCIA EN SUCURSALES'!V58+'DISTRIBUCIÓN EN SUCURSALES'!V58</f>
        <v>1</v>
      </c>
      <c r="W58">
        <f>'EXISTENCIA EN SUCURSALES'!W58+'DISTRIBUCIÓN EN SUCURSALES'!W58</f>
        <v>0</v>
      </c>
      <c r="X58">
        <f>'EXISTENCIA EN SUCURSALES'!X58+'DISTRIBUCIÓN EN SUCURSALES'!X58</f>
        <v>1</v>
      </c>
      <c r="Y58">
        <f>SUM(M58:X58)</f>
        <v>10</v>
      </c>
      <c r="Z58">
        <f>L58+Y58</f>
        <v>20</v>
      </c>
      <c r="AB58">
        <f>IFERROR(VLOOKUP(A58,'GRAL. SUC. LOCALES'!$A:$N,14,0),0)</f>
        <v>5</v>
      </c>
      <c r="AD58">
        <f>AB58+Z58</f>
        <v>25</v>
      </c>
      <c r="AF58">
        <v>25</v>
      </c>
      <c r="AG58">
        <v>20</v>
      </c>
      <c r="AH58">
        <f>AD58-AF58</f>
        <v>0</v>
      </c>
    </row>
    <row r="59">
      <c r="A59" t="str">
        <v>CHOCOQUESO</v>
      </c>
      <c r="B59">
        <f>'EXISTENCIA EN SUCURSALES'!B59+'DISTRIBUCIÓN EN SUCURSALES'!B59</f>
        <v>2</v>
      </c>
      <c r="C59">
        <f>'EXISTENCIA EN SUCURSALES'!C59+'DISTRIBUCIÓN EN SUCURSALES'!C59</f>
        <v>2</v>
      </c>
      <c r="D59">
        <f>'EXISTENCIA EN SUCURSALES'!D59+'DISTRIBUCIÓN EN SUCURSALES'!D59</f>
        <v>1</v>
      </c>
      <c r="E59">
        <f>'EXISTENCIA EN SUCURSALES'!E59+'DISTRIBUCIÓN EN SUCURSALES'!E59</f>
        <v>1</v>
      </c>
      <c r="F59">
        <f>'EXISTENCIA EN SUCURSALES'!F59+'DISTRIBUCIÓN EN SUCURSALES'!F59</f>
        <v>1</v>
      </c>
      <c r="G59">
        <f>'EXISTENCIA EN SUCURSALES'!G59+'DISTRIBUCIÓN EN SUCURSALES'!G59</f>
        <v>0</v>
      </c>
      <c r="H59">
        <f>'EXISTENCIA EN SUCURSALES'!H59+'DISTRIBUCIÓN EN SUCURSALES'!H59</f>
        <v>1</v>
      </c>
      <c r="I59">
        <f>'EXISTENCIA EN SUCURSALES'!I59+'DISTRIBUCIÓN EN SUCURSALES'!I59</f>
        <v>1</v>
      </c>
      <c r="J59">
        <f>'EXISTENCIA EN SUCURSALES'!J59+'DISTRIBUCIÓN EN SUCURSALES'!J59</f>
        <v>1</v>
      </c>
      <c r="K59">
        <f>'EXISTENCIA EN SUCURSALES'!K59+'DISTRIBUCIÓN EN SUCURSALES'!K59</f>
        <v>0</v>
      </c>
      <c r="L59">
        <f>SUM(B59:K59)</f>
        <v>10</v>
      </c>
      <c r="M59">
        <f>'EXISTENCIA EN SUCURSALES'!M59+'DISTRIBUCIÓN EN SUCURSALES'!M59</f>
        <v>2</v>
      </c>
      <c r="N59">
        <f>'EXISTENCIA EN SUCURSALES'!N59+'DISTRIBUCIÓN EN SUCURSALES'!N59</f>
        <v>1</v>
      </c>
      <c r="O59">
        <f>'EXISTENCIA EN SUCURSALES'!O59+'DISTRIBUCIÓN EN SUCURSALES'!O59</f>
        <v>0</v>
      </c>
      <c r="P59">
        <f>'EXISTENCIA EN SUCURSALES'!P59+'DISTRIBUCIÓN EN SUCURSALES'!P59</f>
        <v>0</v>
      </c>
      <c r="Q59">
        <f>'EXISTENCIA EN SUCURSALES'!Q59+'DISTRIBUCIÓN EN SUCURSALES'!Q59</f>
        <v>1</v>
      </c>
      <c r="R59">
        <f>'EXISTENCIA EN SUCURSALES'!R59+'DISTRIBUCIÓN EN SUCURSALES'!R59</f>
        <v>1</v>
      </c>
      <c r="S59">
        <f>'EXISTENCIA EN SUCURSALES'!S59+'DISTRIBUCIÓN EN SUCURSALES'!S59</f>
        <v>0</v>
      </c>
      <c r="T59">
        <f>'EXISTENCIA EN SUCURSALES'!T59+'DISTRIBUCIÓN EN SUCURSALES'!T59</f>
        <v>1</v>
      </c>
      <c r="U59">
        <f>'EXISTENCIA EN SUCURSALES'!U59+'DISTRIBUCIÓN EN SUCURSALES'!U59</f>
        <v>0</v>
      </c>
      <c r="V59">
        <f>'EXISTENCIA EN SUCURSALES'!V59+'DISTRIBUCIÓN EN SUCURSALES'!V59</f>
        <v>0</v>
      </c>
      <c r="W59">
        <f>'EXISTENCIA EN SUCURSALES'!W59+'DISTRIBUCIÓN EN SUCURSALES'!W59</f>
        <v>1</v>
      </c>
      <c r="X59">
        <f>'EXISTENCIA EN SUCURSALES'!X59+'DISTRIBUCIÓN EN SUCURSALES'!X59</f>
        <v>1</v>
      </c>
      <c r="Y59">
        <f>SUM(M59:X59)</f>
        <v>8</v>
      </c>
      <c r="Z59">
        <f>L59+Y59</f>
        <v>18</v>
      </c>
      <c r="AB59">
        <f>IFERROR(VLOOKUP(A59,'GRAL. SUC. LOCALES'!$A:$N,14,0),0)</f>
        <v>0</v>
      </c>
      <c r="AD59">
        <f>AB59+Z59</f>
        <v>18</v>
      </c>
      <c r="AF59">
        <v>20</v>
      </c>
      <c r="AG59">
        <v>20</v>
      </c>
      <c r="AH59">
        <f>AD59-AF59</f>
        <v>-2</v>
      </c>
    </row>
    <row r="60">
      <c r="A60" t="str">
        <v>CHOCOQUESO CH</v>
      </c>
      <c r="B60">
        <f>'EXISTENCIA EN SUCURSALES'!B60+'DISTRIBUCIÓN EN SUCURSALES'!B60</f>
        <v>2</v>
      </c>
      <c r="C60">
        <f>'EXISTENCIA EN SUCURSALES'!C60+'DISTRIBUCIÓN EN SUCURSALES'!C60</f>
        <v>1</v>
      </c>
      <c r="D60">
        <f>'EXISTENCIA EN SUCURSALES'!D60+'DISTRIBUCIÓN EN SUCURSALES'!D60</f>
        <v>1</v>
      </c>
      <c r="E60">
        <f>'EXISTENCIA EN SUCURSALES'!E60+'DISTRIBUCIÓN EN SUCURSALES'!E60</f>
        <v>1</v>
      </c>
      <c r="F60">
        <f>'EXISTENCIA EN SUCURSALES'!F60+'DISTRIBUCIÓN EN SUCURSALES'!F60</f>
        <v>0</v>
      </c>
      <c r="G60">
        <f>'EXISTENCIA EN SUCURSALES'!G60+'DISTRIBUCIÓN EN SUCURSALES'!G60</f>
        <v>0</v>
      </c>
      <c r="H60">
        <f>'EXISTENCIA EN SUCURSALES'!H60+'DISTRIBUCIÓN EN SUCURSALES'!H60</f>
        <v>1</v>
      </c>
      <c r="I60">
        <f>'EXISTENCIA EN SUCURSALES'!I60+'DISTRIBUCIÓN EN SUCURSALES'!I60</f>
        <v>1</v>
      </c>
      <c r="J60">
        <f>'EXISTENCIA EN SUCURSALES'!J60+'DISTRIBUCIÓN EN SUCURSALES'!J60</f>
        <v>1</v>
      </c>
      <c r="K60">
        <f>'EXISTENCIA EN SUCURSALES'!K60+'DISTRIBUCIÓN EN SUCURSALES'!K60</f>
        <v>1</v>
      </c>
      <c r="L60">
        <f>SUM(B60:K60)</f>
        <v>9</v>
      </c>
      <c r="M60">
        <f>'EXISTENCIA EN SUCURSALES'!M60+'DISTRIBUCIÓN EN SUCURSALES'!M60</f>
        <v>2</v>
      </c>
      <c r="N60">
        <f>'EXISTENCIA EN SUCURSALES'!N60+'DISTRIBUCIÓN EN SUCURSALES'!N60</f>
        <v>1</v>
      </c>
      <c r="O60">
        <f>'EXISTENCIA EN SUCURSALES'!O60+'DISTRIBUCIÓN EN SUCURSALES'!O60</f>
        <v>0</v>
      </c>
      <c r="P60">
        <f>'EXISTENCIA EN SUCURSALES'!P60+'DISTRIBUCIÓN EN SUCURSALES'!P60</f>
        <v>1</v>
      </c>
      <c r="Q60">
        <f>'EXISTENCIA EN SUCURSALES'!Q60+'DISTRIBUCIÓN EN SUCURSALES'!Q60</f>
        <v>0</v>
      </c>
      <c r="R60">
        <f>'EXISTENCIA EN SUCURSALES'!R60+'DISTRIBUCIÓN EN SUCURSALES'!R60</f>
        <v>1</v>
      </c>
      <c r="S60">
        <f>'EXISTENCIA EN SUCURSALES'!S60+'DISTRIBUCIÓN EN SUCURSALES'!S60</f>
        <v>2</v>
      </c>
      <c r="T60">
        <f>'EXISTENCIA EN SUCURSALES'!T60+'DISTRIBUCIÓN EN SUCURSALES'!T60</f>
        <v>0</v>
      </c>
      <c r="U60">
        <f>'EXISTENCIA EN SUCURSALES'!U60+'DISTRIBUCIÓN EN SUCURSALES'!U60</f>
        <v>1</v>
      </c>
      <c r="V60">
        <f>'EXISTENCIA EN SUCURSALES'!V60+'DISTRIBUCIÓN EN SUCURSALES'!V60</f>
        <v>0</v>
      </c>
      <c r="W60">
        <f>'EXISTENCIA EN SUCURSALES'!W60+'DISTRIBUCIÓN EN SUCURSALES'!W60</f>
        <v>0</v>
      </c>
      <c r="X60">
        <f>'EXISTENCIA EN SUCURSALES'!X60+'DISTRIBUCIÓN EN SUCURSALES'!X60</f>
        <v>1</v>
      </c>
      <c r="Y60">
        <f>SUM(M60:X60)</f>
        <v>9</v>
      </c>
      <c r="Z60">
        <f>L60+Y60</f>
        <v>18</v>
      </c>
      <c r="AB60">
        <f>IFERROR(VLOOKUP(A60,'GRAL. SUC. LOCALES'!$A:$N,14,0),0)</f>
        <v>0</v>
      </c>
      <c r="AD60">
        <f>AB60+Z60</f>
        <v>18</v>
      </c>
      <c r="AF60">
        <v>25</v>
      </c>
      <c r="AG60">
        <v>20</v>
      </c>
      <c r="AH60">
        <f>AD60-AF60</f>
        <v>-7</v>
      </c>
    </row>
    <row r="61">
      <c r="A61" t="str">
        <v>RED VELVET CHEESE CAKE GDE</v>
      </c>
      <c r="B61">
        <f>'EXISTENCIA EN SUCURSALES'!B61+'DISTRIBUCIÓN EN SUCURSALES'!B61</f>
        <v>2</v>
      </c>
      <c r="C61">
        <f>'EXISTENCIA EN SUCURSALES'!C61+'DISTRIBUCIÓN EN SUCURSALES'!C61</f>
        <v>2</v>
      </c>
      <c r="D61">
        <f>'EXISTENCIA EN SUCURSALES'!D61+'DISTRIBUCIÓN EN SUCURSALES'!D61</f>
        <v>1</v>
      </c>
      <c r="E61">
        <f>'EXISTENCIA EN SUCURSALES'!E61+'DISTRIBUCIÓN EN SUCURSALES'!E61</f>
        <v>1</v>
      </c>
      <c r="F61">
        <f>'EXISTENCIA EN SUCURSALES'!F61+'DISTRIBUCIÓN EN SUCURSALES'!F61</f>
        <v>1</v>
      </c>
      <c r="G61">
        <f>'EXISTENCIA EN SUCURSALES'!G61+'DISTRIBUCIÓN EN SUCURSALES'!G61</f>
        <v>0</v>
      </c>
      <c r="H61">
        <f>'EXISTENCIA EN SUCURSALES'!H61+'DISTRIBUCIÓN EN SUCURSALES'!H61</f>
        <v>1</v>
      </c>
      <c r="I61">
        <f>'EXISTENCIA EN SUCURSALES'!I61+'DISTRIBUCIÓN EN SUCURSALES'!I61</f>
        <v>0</v>
      </c>
      <c r="J61">
        <f>'EXISTENCIA EN SUCURSALES'!J61+'DISTRIBUCIÓN EN SUCURSALES'!J61</f>
        <v>1</v>
      </c>
      <c r="K61">
        <f>'EXISTENCIA EN SUCURSALES'!K61+'DISTRIBUCIÓN EN SUCURSALES'!K61</f>
        <v>0</v>
      </c>
      <c r="L61">
        <f>SUM(B61:K61)</f>
        <v>9</v>
      </c>
      <c r="M61">
        <f>'EXISTENCIA EN SUCURSALES'!M61+'DISTRIBUCIÓN EN SUCURSALES'!M61</f>
        <v>2</v>
      </c>
      <c r="N61">
        <f>'EXISTENCIA EN SUCURSALES'!N61+'DISTRIBUCIÓN EN SUCURSALES'!N61</f>
        <v>0</v>
      </c>
      <c r="O61">
        <f>'EXISTENCIA EN SUCURSALES'!O61+'DISTRIBUCIÓN EN SUCURSALES'!O61</f>
        <v>0</v>
      </c>
      <c r="P61">
        <f>'EXISTENCIA EN SUCURSALES'!P61+'DISTRIBUCIÓN EN SUCURSALES'!P61</f>
        <v>3</v>
      </c>
      <c r="Q61">
        <f>'EXISTENCIA EN SUCURSALES'!Q61+'DISTRIBUCIÓN EN SUCURSALES'!Q61</f>
        <v>1</v>
      </c>
      <c r="R61">
        <f>'EXISTENCIA EN SUCURSALES'!R61+'DISTRIBUCIÓN EN SUCURSALES'!R61</f>
        <v>2</v>
      </c>
      <c r="S61">
        <f>'EXISTENCIA EN SUCURSALES'!S61+'DISTRIBUCIÓN EN SUCURSALES'!S61</f>
        <v>2</v>
      </c>
      <c r="T61">
        <f>'EXISTENCIA EN SUCURSALES'!T61+'DISTRIBUCIÓN EN SUCURSALES'!T61</f>
        <v>2</v>
      </c>
      <c r="U61">
        <f>'EXISTENCIA EN SUCURSALES'!U61+'DISTRIBUCIÓN EN SUCURSALES'!U61</f>
        <v>0</v>
      </c>
      <c r="V61">
        <f>'EXISTENCIA EN SUCURSALES'!V61+'DISTRIBUCIÓN EN SUCURSALES'!V61</f>
        <v>1</v>
      </c>
      <c r="W61">
        <f>'EXISTENCIA EN SUCURSALES'!W61+'DISTRIBUCIÓN EN SUCURSALES'!W61</f>
        <v>1</v>
      </c>
      <c r="X61">
        <f>'EXISTENCIA EN SUCURSALES'!X61+'DISTRIBUCIÓN EN SUCURSALES'!X61</f>
        <v>1</v>
      </c>
      <c r="Y61">
        <f>SUM(M61:X61)</f>
        <v>15</v>
      </c>
      <c r="Z61">
        <f>L61+Y61</f>
        <v>24</v>
      </c>
      <c r="AB61">
        <f>IFERROR(VLOOKUP(A61,'GRAL. SUC. LOCALES'!$A:$N,14,0),0)</f>
        <v>0</v>
      </c>
      <c r="AD61">
        <f>AB61+Z61</f>
        <v>24</v>
      </c>
      <c r="AF61">
        <v>30</v>
      </c>
      <c r="AG61">
        <v>30</v>
      </c>
      <c r="AH61">
        <f>AD61-AF61</f>
        <v>-6</v>
      </c>
    </row>
    <row r="62">
      <c r="A62" t="str">
        <v>RED VELVET CHEESE CAKE MINI MEDIANO</v>
      </c>
      <c r="B62">
        <f>'EXISTENCIA EN SUCURSALES'!B62+'DISTRIBUCIÓN EN SUCURSALES'!B62</f>
        <v>2</v>
      </c>
      <c r="C62">
        <f>'EXISTENCIA EN SUCURSALES'!C62+'DISTRIBUCIÓN EN SUCURSALES'!C62</f>
        <v>2</v>
      </c>
      <c r="D62">
        <f>'EXISTENCIA EN SUCURSALES'!D62+'DISTRIBUCIÓN EN SUCURSALES'!D62</f>
        <v>1</v>
      </c>
      <c r="E62">
        <f>'EXISTENCIA EN SUCURSALES'!E62+'DISTRIBUCIÓN EN SUCURSALES'!E62</f>
        <v>1</v>
      </c>
      <c r="F62">
        <f>'EXISTENCIA EN SUCURSALES'!F62+'DISTRIBUCIÓN EN SUCURSALES'!F62</f>
        <v>1</v>
      </c>
      <c r="G62">
        <f>'EXISTENCIA EN SUCURSALES'!G62+'DISTRIBUCIÓN EN SUCURSALES'!G62</f>
        <v>0</v>
      </c>
      <c r="H62">
        <f>'EXISTENCIA EN SUCURSALES'!H62+'DISTRIBUCIÓN EN SUCURSALES'!H62</f>
        <v>1</v>
      </c>
      <c r="I62">
        <f>'EXISTENCIA EN SUCURSALES'!I62+'DISTRIBUCIÓN EN SUCURSALES'!I62</f>
        <v>1</v>
      </c>
      <c r="J62">
        <f>'EXISTENCIA EN SUCURSALES'!J62+'DISTRIBUCIÓN EN SUCURSALES'!J62</f>
        <v>1</v>
      </c>
      <c r="K62">
        <f>'EXISTENCIA EN SUCURSALES'!K62+'DISTRIBUCIÓN EN SUCURSALES'!K62</f>
        <v>0</v>
      </c>
      <c r="L62">
        <f>SUM(B62:K62)</f>
        <v>10</v>
      </c>
      <c r="M62">
        <f>'EXISTENCIA EN SUCURSALES'!M62+'DISTRIBUCIÓN EN SUCURSALES'!M62</f>
        <v>0</v>
      </c>
      <c r="N62">
        <f>'EXISTENCIA EN SUCURSALES'!N62+'DISTRIBUCIÓN EN SUCURSALES'!N62</f>
        <v>1</v>
      </c>
      <c r="O62">
        <f>'EXISTENCIA EN SUCURSALES'!O62+'DISTRIBUCIÓN EN SUCURSALES'!O62</f>
        <v>0</v>
      </c>
      <c r="P62">
        <f>'EXISTENCIA EN SUCURSALES'!P62+'DISTRIBUCIÓN EN SUCURSALES'!P62</f>
        <v>0</v>
      </c>
      <c r="Q62">
        <f>'EXISTENCIA EN SUCURSALES'!Q62+'DISTRIBUCIÓN EN SUCURSALES'!Q62</f>
        <v>2</v>
      </c>
      <c r="R62">
        <f>'EXISTENCIA EN SUCURSALES'!R62+'DISTRIBUCIÓN EN SUCURSALES'!R62</f>
        <v>2</v>
      </c>
      <c r="S62">
        <f>'EXISTENCIA EN SUCURSALES'!S62+'DISTRIBUCIÓN EN SUCURSALES'!S62</f>
        <v>2</v>
      </c>
      <c r="T62">
        <f>'EXISTENCIA EN SUCURSALES'!T62+'DISTRIBUCIÓN EN SUCURSALES'!T62</f>
        <v>1</v>
      </c>
      <c r="U62">
        <f>'EXISTENCIA EN SUCURSALES'!U62+'DISTRIBUCIÓN EN SUCURSALES'!U62</f>
        <v>1</v>
      </c>
      <c r="V62">
        <f>'EXISTENCIA EN SUCURSALES'!V62+'DISTRIBUCIÓN EN SUCURSALES'!V62</f>
        <v>3</v>
      </c>
      <c r="W62">
        <f>'EXISTENCIA EN SUCURSALES'!W62+'DISTRIBUCIÓN EN SUCURSALES'!W62</f>
        <v>1</v>
      </c>
      <c r="X62">
        <f>'EXISTENCIA EN SUCURSALES'!X62+'DISTRIBUCIÓN EN SUCURSALES'!X62</f>
        <v>0</v>
      </c>
      <c r="Y62">
        <f>SUM(M62:X62)</f>
        <v>13</v>
      </c>
      <c r="Z62">
        <f>L62+Y62</f>
        <v>23</v>
      </c>
      <c r="AB62">
        <f>IFERROR(VLOOKUP(A62,'GRAL. SUC. LOCALES'!$A:$N,14,0),0)</f>
        <v>4</v>
      </c>
      <c r="AD62">
        <f>AB62+Z62</f>
        <v>27</v>
      </c>
      <c r="AF62">
        <v>40</v>
      </c>
      <c r="AG62">
        <v>35</v>
      </c>
      <c r="AH62">
        <f>AD62-AF62</f>
        <v>-13</v>
      </c>
    </row>
    <row r="63">
      <c r="A63" t="str">
        <v>CHESSECAKE GDE</v>
      </c>
      <c r="B63">
        <f>'EXISTENCIA EN SUCURSALES'!B63+'DISTRIBUCIÓN EN SUCURSALES'!B63</f>
        <v>2</v>
      </c>
      <c r="C63">
        <f>'EXISTENCIA EN SUCURSALES'!C63+'DISTRIBUCIÓN EN SUCURSALES'!C63</f>
        <v>2</v>
      </c>
      <c r="D63">
        <f>'EXISTENCIA EN SUCURSALES'!D63+'DISTRIBUCIÓN EN SUCURSALES'!D63</f>
        <v>2</v>
      </c>
      <c r="E63">
        <f>'EXISTENCIA EN SUCURSALES'!E63+'DISTRIBUCIÓN EN SUCURSALES'!E63</f>
        <v>1</v>
      </c>
      <c r="F63">
        <f>'EXISTENCIA EN SUCURSALES'!F63+'DISTRIBUCIÓN EN SUCURSALES'!F63</f>
        <v>1</v>
      </c>
      <c r="G63">
        <f>'EXISTENCIA EN SUCURSALES'!G63+'DISTRIBUCIÓN EN SUCURSALES'!G63</f>
        <v>0</v>
      </c>
      <c r="H63">
        <f>'EXISTENCIA EN SUCURSALES'!H63+'DISTRIBUCIÓN EN SUCURSALES'!H63</f>
        <v>1</v>
      </c>
      <c r="I63">
        <f>'EXISTENCIA EN SUCURSALES'!I63+'DISTRIBUCIÓN EN SUCURSALES'!I63</f>
        <v>0</v>
      </c>
      <c r="J63">
        <f>'EXISTENCIA EN SUCURSALES'!J63+'DISTRIBUCIÓN EN SUCURSALES'!J63</f>
        <v>1</v>
      </c>
      <c r="K63">
        <f>'EXISTENCIA EN SUCURSALES'!K63+'DISTRIBUCIÓN EN SUCURSALES'!K63</f>
        <v>1</v>
      </c>
      <c r="L63">
        <f>SUM(B63:K63)</f>
        <v>11</v>
      </c>
      <c r="M63">
        <f>'EXISTENCIA EN SUCURSALES'!M63+'DISTRIBUCIÓN EN SUCURSALES'!M63</f>
        <v>2</v>
      </c>
      <c r="N63">
        <f>'EXISTENCIA EN SUCURSALES'!N63+'DISTRIBUCIÓN EN SUCURSALES'!N63</f>
        <v>1</v>
      </c>
      <c r="O63">
        <f>'EXISTENCIA EN SUCURSALES'!O63+'DISTRIBUCIÓN EN SUCURSALES'!O63</f>
        <v>1</v>
      </c>
      <c r="P63">
        <f>'EXISTENCIA EN SUCURSALES'!P63+'DISTRIBUCIÓN EN SUCURSALES'!P63</f>
        <v>1</v>
      </c>
      <c r="Q63">
        <f>'EXISTENCIA EN SUCURSALES'!Q63+'DISTRIBUCIÓN EN SUCURSALES'!Q63</f>
        <v>0</v>
      </c>
      <c r="R63">
        <f>'EXISTENCIA EN SUCURSALES'!R63+'DISTRIBUCIÓN EN SUCURSALES'!R63</f>
        <v>2</v>
      </c>
      <c r="S63">
        <f>'EXISTENCIA EN SUCURSALES'!S63+'DISTRIBUCIÓN EN SUCURSALES'!S63</f>
        <v>1</v>
      </c>
      <c r="T63">
        <f>'EXISTENCIA EN SUCURSALES'!T63+'DISTRIBUCIÓN EN SUCURSALES'!T63</f>
        <v>0</v>
      </c>
      <c r="U63">
        <f>'EXISTENCIA EN SUCURSALES'!U63+'DISTRIBUCIÓN EN SUCURSALES'!U63</f>
        <v>2</v>
      </c>
      <c r="V63">
        <f>'EXISTENCIA EN SUCURSALES'!V63+'DISTRIBUCIÓN EN SUCURSALES'!V63</f>
        <v>0</v>
      </c>
      <c r="W63">
        <f>'EXISTENCIA EN SUCURSALES'!W63+'DISTRIBUCIÓN EN SUCURSALES'!W63</f>
        <v>1</v>
      </c>
      <c r="X63">
        <f>'EXISTENCIA EN SUCURSALES'!X63+'DISTRIBUCIÓN EN SUCURSALES'!X63</f>
        <v>1</v>
      </c>
      <c r="Y63">
        <f>SUM(M63:X63)</f>
        <v>12</v>
      </c>
      <c r="Z63">
        <f>L63+Y63</f>
        <v>23</v>
      </c>
      <c r="AB63">
        <f>IFERROR(VLOOKUP(A63,'GRAL. SUC. LOCALES'!$A:$N,14,0),0)</f>
        <v>5</v>
      </c>
      <c r="AD63">
        <f>AB63+Z63</f>
        <v>28</v>
      </c>
      <c r="AF63">
        <v>35</v>
      </c>
      <c r="AG63">
        <v>35</v>
      </c>
      <c r="AH63">
        <f>AD63-AF63</f>
        <v>-7</v>
      </c>
    </row>
    <row r="64">
      <c r="A64" t="str">
        <v>CHESSECAKE MINIMED</v>
      </c>
      <c r="B64">
        <f>'EXISTENCIA EN SUCURSALES'!B64+'DISTRIBUCIÓN EN SUCURSALES'!B64</f>
        <v>1</v>
      </c>
      <c r="C64">
        <f>'EXISTENCIA EN SUCURSALES'!C64+'DISTRIBUCIÓN EN SUCURSALES'!C64</f>
        <v>2</v>
      </c>
      <c r="D64">
        <f>'EXISTENCIA EN SUCURSALES'!D64+'DISTRIBUCIÓN EN SUCURSALES'!D64</f>
        <v>1</v>
      </c>
      <c r="E64">
        <f>'EXISTENCIA EN SUCURSALES'!E64+'DISTRIBUCIÓN EN SUCURSALES'!E64</f>
        <v>1</v>
      </c>
      <c r="F64">
        <f>'EXISTENCIA EN SUCURSALES'!F64+'DISTRIBUCIÓN EN SUCURSALES'!F64</f>
        <v>1</v>
      </c>
      <c r="G64">
        <f>'EXISTENCIA EN SUCURSALES'!G64+'DISTRIBUCIÓN EN SUCURSALES'!G64</f>
        <v>0</v>
      </c>
      <c r="H64">
        <f>'EXISTENCIA EN SUCURSALES'!H64+'DISTRIBUCIÓN EN SUCURSALES'!H64</f>
        <v>2</v>
      </c>
      <c r="I64">
        <f>'EXISTENCIA EN SUCURSALES'!I64+'DISTRIBUCIÓN EN SUCURSALES'!I64</f>
        <v>3</v>
      </c>
      <c r="J64">
        <f>'EXISTENCIA EN SUCURSALES'!J64+'DISTRIBUCIÓN EN SUCURSALES'!J64</f>
        <v>2</v>
      </c>
      <c r="K64">
        <f>'EXISTENCIA EN SUCURSALES'!K64+'DISTRIBUCIÓN EN SUCURSALES'!K64</f>
        <v>1</v>
      </c>
      <c r="L64">
        <f>SUM(B64:K64)</f>
        <v>14</v>
      </c>
      <c r="M64">
        <f>'EXISTENCIA EN SUCURSALES'!M64+'DISTRIBUCIÓN EN SUCURSALES'!M64</f>
        <v>2</v>
      </c>
      <c r="N64">
        <f>'EXISTENCIA EN SUCURSALES'!N64+'DISTRIBUCIÓN EN SUCURSALES'!N64</f>
        <v>1</v>
      </c>
      <c r="O64">
        <f>'EXISTENCIA EN SUCURSALES'!O64+'DISTRIBUCIÓN EN SUCURSALES'!O64</f>
        <v>2</v>
      </c>
      <c r="P64">
        <f>'EXISTENCIA EN SUCURSALES'!P64+'DISTRIBUCIÓN EN SUCURSALES'!P64</f>
        <v>2</v>
      </c>
      <c r="Q64">
        <f>'EXISTENCIA EN SUCURSALES'!Q64+'DISTRIBUCIÓN EN SUCURSALES'!Q64</f>
        <v>1</v>
      </c>
      <c r="R64">
        <f>'EXISTENCIA EN SUCURSALES'!R64+'DISTRIBUCIÓN EN SUCURSALES'!R64</f>
        <v>2</v>
      </c>
      <c r="S64">
        <f>'EXISTENCIA EN SUCURSALES'!S64+'DISTRIBUCIÓN EN SUCURSALES'!S64</f>
        <v>1</v>
      </c>
      <c r="T64">
        <f>'EXISTENCIA EN SUCURSALES'!T64+'DISTRIBUCIÓN EN SUCURSALES'!T64</f>
        <v>0</v>
      </c>
      <c r="U64">
        <f>'EXISTENCIA EN SUCURSALES'!U64+'DISTRIBUCIÓN EN SUCURSALES'!U64</f>
        <v>4</v>
      </c>
      <c r="V64">
        <f>'EXISTENCIA EN SUCURSALES'!V64+'DISTRIBUCIÓN EN SUCURSALES'!V64</f>
        <v>3</v>
      </c>
      <c r="W64">
        <f>'EXISTENCIA EN SUCURSALES'!W64+'DISTRIBUCIÓN EN SUCURSALES'!W64</f>
        <v>1</v>
      </c>
      <c r="X64">
        <f>'EXISTENCIA EN SUCURSALES'!X64+'DISTRIBUCIÓN EN SUCURSALES'!X64</f>
        <v>0</v>
      </c>
      <c r="Y64">
        <f>SUM(M64:X64)</f>
        <v>19</v>
      </c>
      <c r="Z64">
        <f>L64+Y64</f>
        <v>33</v>
      </c>
      <c r="AB64">
        <f>IFERROR(VLOOKUP(A64,'GRAL. SUC. LOCALES'!$A:$N,14,0),0)</f>
        <v>7</v>
      </c>
      <c r="AD64">
        <f>AB64+Z64</f>
        <v>40</v>
      </c>
      <c r="AF64">
        <v>45</v>
      </c>
      <c r="AG64">
        <v>45</v>
      </c>
      <c r="AH64">
        <f>AD64-AF64</f>
        <v>-5</v>
      </c>
    </row>
    <row r="65">
      <c r="A65" t="str">
        <v>CHESSECAKE PETIT</v>
      </c>
      <c r="B65">
        <f>'EXISTENCIA EN SUCURSALES'!B65+'DISTRIBUCIÓN EN SUCURSALES'!B65</f>
        <v>3</v>
      </c>
      <c r="C65">
        <f>'EXISTENCIA EN SUCURSALES'!C65+'DISTRIBUCIÓN EN SUCURSALES'!C65</f>
        <v>3</v>
      </c>
      <c r="D65">
        <f>'EXISTENCIA EN SUCURSALES'!D65+'DISTRIBUCIÓN EN SUCURSALES'!D65</f>
        <v>3</v>
      </c>
      <c r="E65">
        <f>'EXISTENCIA EN SUCURSALES'!E65+'DISTRIBUCIÓN EN SUCURSALES'!E65</f>
        <v>2</v>
      </c>
      <c r="F65">
        <f>'EXISTENCIA EN SUCURSALES'!F65+'DISTRIBUCIÓN EN SUCURSALES'!F65</f>
        <v>2</v>
      </c>
      <c r="G65">
        <f>'EXISTENCIA EN SUCURSALES'!G65+'DISTRIBUCIÓN EN SUCURSALES'!G65</f>
        <v>0</v>
      </c>
      <c r="H65">
        <f>'EXISTENCIA EN SUCURSALES'!H65+'DISTRIBUCIÓN EN SUCURSALES'!H65</f>
        <v>2</v>
      </c>
      <c r="I65">
        <f>'EXISTENCIA EN SUCURSALES'!I65+'DISTRIBUCIÓN EN SUCURSALES'!I65</f>
        <v>4</v>
      </c>
      <c r="J65">
        <f>'EXISTENCIA EN SUCURSALES'!J65+'DISTRIBUCIÓN EN SUCURSALES'!J65</f>
        <v>3</v>
      </c>
      <c r="K65">
        <f>'EXISTENCIA EN SUCURSALES'!K65+'DISTRIBUCIÓN EN SUCURSALES'!K65</f>
        <v>3</v>
      </c>
      <c r="L65">
        <f>SUM(B65:K65)</f>
        <v>25</v>
      </c>
      <c r="M65">
        <f>'EXISTENCIA EN SUCURSALES'!M65+'DISTRIBUCIÓN EN SUCURSALES'!M65</f>
        <v>2</v>
      </c>
      <c r="N65">
        <f>'EXISTENCIA EN SUCURSALES'!N65+'DISTRIBUCIÓN EN SUCURSALES'!N65</f>
        <v>3</v>
      </c>
      <c r="O65">
        <f>'EXISTENCIA EN SUCURSALES'!O65+'DISTRIBUCIÓN EN SUCURSALES'!O65</f>
        <v>2</v>
      </c>
      <c r="P65">
        <f>'EXISTENCIA EN SUCURSALES'!P65+'DISTRIBUCIÓN EN SUCURSALES'!P65</f>
        <v>3</v>
      </c>
      <c r="Q65">
        <f>'EXISTENCIA EN SUCURSALES'!Q65+'DISTRIBUCIÓN EN SUCURSALES'!Q65</f>
        <v>2</v>
      </c>
      <c r="R65">
        <f>'EXISTENCIA EN SUCURSALES'!R65+'DISTRIBUCIÓN EN SUCURSALES'!R65</f>
        <v>3</v>
      </c>
      <c r="S65">
        <f>'EXISTENCIA EN SUCURSALES'!S65+'DISTRIBUCIÓN EN SUCURSALES'!S65</f>
        <v>2</v>
      </c>
      <c r="T65">
        <f>'EXISTENCIA EN SUCURSALES'!T65+'DISTRIBUCIÓN EN SUCURSALES'!T65</f>
        <v>3</v>
      </c>
      <c r="U65">
        <f>'EXISTENCIA EN SUCURSALES'!U65+'DISTRIBUCIÓN EN SUCURSALES'!U65</f>
        <v>3</v>
      </c>
      <c r="V65">
        <f>'EXISTENCIA EN SUCURSALES'!V65+'DISTRIBUCIÓN EN SUCURSALES'!V65</f>
        <v>2</v>
      </c>
      <c r="W65">
        <f>'EXISTENCIA EN SUCURSALES'!W65+'DISTRIBUCIÓN EN SUCURSALES'!W65</f>
        <v>4</v>
      </c>
      <c r="X65">
        <f>'EXISTENCIA EN SUCURSALES'!X65+'DISTRIBUCIÓN EN SUCURSALES'!X65</f>
        <v>1</v>
      </c>
      <c r="Y65">
        <f>SUM(M65:X65)</f>
        <v>30</v>
      </c>
      <c r="Z65">
        <f>L65+Y65</f>
        <v>55</v>
      </c>
      <c r="AB65">
        <f>IFERROR(VLOOKUP(A65,'GRAL. SUC. LOCALES'!$A:$N,14,0),0)</f>
        <v>14</v>
      </c>
      <c r="AD65">
        <f>AB65+Z65</f>
        <v>69</v>
      </c>
      <c r="AF65">
        <v>90</v>
      </c>
      <c r="AG65">
        <v>90</v>
      </c>
      <c r="AH65">
        <f>AD65-AF65</f>
        <v>-21</v>
      </c>
    </row>
    <row r="66">
      <c r="A66" t="str">
        <v>ZANAHORIA GDE</v>
      </c>
      <c r="B66">
        <f>'EXISTENCIA EN SUCURSALES'!B66+'DISTRIBUCIÓN EN SUCURSALES'!B66</f>
        <v>2</v>
      </c>
      <c r="C66">
        <f>'EXISTENCIA EN SUCURSALES'!C66+'DISTRIBUCIÓN EN SUCURSALES'!C66</f>
        <v>2</v>
      </c>
      <c r="D66">
        <f>'EXISTENCIA EN SUCURSALES'!D66+'DISTRIBUCIÓN EN SUCURSALES'!D66</f>
        <v>1</v>
      </c>
      <c r="E66">
        <f>'EXISTENCIA EN SUCURSALES'!E66+'DISTRIBUCIÓN EN SUCURSALES'!E66</f>
        <v>1</v>
      </c>
      <c r="F66">
        <f>'EXISTENCIA EN SUCURSALES'!F66+'DISTRIBUCIÓN EN SUCURSALES'!F66</f>
        <v>1</v>
      </c>
      <c r="G66">
        <f>'EXISTENCIA EN SUCURSALES'!G66+'DISTRIBUCIÓN EN SUCURSALES'!G66</f>
        <v>0</v>
      </c>
      <c r="H66">
        <f>'EXISTENCIA EN SUCURSALES'!H66+'DISTRIBUCIÓN EN SUCURSALES'!H66</f>
        <v>1</v>
      </c>
      <c r="I66">
        <f>'EXISTENCIA EN SUCURSALES'!I66+'DISTRIBUCIÓN EN SUCURSALES'!I66</f>
        <v>1</v>
      </c>
      <c r="J66">
        <f>'EXISTENCIA EN SUCURSALES'!J66+'DISTRIBUCIÓN EN SUCURSALES'!J66</f>
        <v>1</v>
      </c>
      <c r="K66">
        <f>'EXISTENCIA EN SUCURSALES'!K66+'DISTRIBUCIÓN EN SUCURSALES'!K66</f>
        <v>1</v>
      </c>
      <c r="L66">
        <f>SUM(B66:K66)</f>
        <v>11</v>
      </c>
      <c r="M66">
        <f>'EXISTENCIA EN SUCURSALES'!M66+'DISTRIBUCIÓN EN SUCURSALES'!M66</f>
        <v>2</v>
      </c>
      <c r="N66">
        <f>'EXISTENCIA EN SUCURSALES'!N66+'DISTRIBUCIÓN EN SUCURSALES'!N66</f>
        <v>1</v>
      </c>
      <c r="O66">
        <f>'EXISTENCIA EN SUCURSALES'!O66+'DISTRIBUCIÓN EN SUCURSALES'!O66</f>
        <v>0</v>
      </c>
      <c r="P66">
        <f>'EXISTENCIA EN SUCURSALES'!P66+'DISTRIBUCIÓN EN SUCURSALES'!P66</f>
        <v>0</v>
      </c>
      <c r="Q66">
        <f>'EXISTENCIA EN SUCURSALES'!Q66+'DISTRIBUCIÓN EN SUCURSALES'!Q66</f>
        <v>2</v>
      </c>
      <c r="R66">
        <f>'EXISTENCIA EN SUCURSALES'!R66+'DISTRIBUCIÓN EN SUCURSALES'!R66</f>
        <v>1</v>
      </c>
      <c r="S66">
        <f>'EXISTENCIA EN SUCURSALES'!S66+'DISTRIBUCIÓN EN SUCURSALES'!S66</f>
        <v>3</v>
      </c>
      <c r="T66">
        <f>'EXISTENCIA EN SUCURSALES'!T66+'DISTRIBUCIÓN EN SUCURSALES'!T66</f>
        <v>2</v>
      </c>
      <c r="U66">
        <f>'EXISTENCIA EN SUCURSALES'!U66+'DISTRIBUCIÓN EN SUCURSALES'!U66</f>
        <v>0</v>
      </c>
      <c r="V66">
        <f>'EXISTENCIA EN SUCURSALES'!V66+'DISTRIBUCIÓN EN SUCURSALES'!V66</f>
        <v>1</v>
      </c>
      <c r="W66">
        <f>'EXISTENCIA EN SUCURSALES'!W66+'DISTRIBUCIÓN EN SUCURSALES'!W66</f>
        <v>2</v>
      </c>
      <c r="X66">
        <f>'EXISTENCIA EN SUCURSALES'!X66+'DISTRIBUCIÓN EN SUCURSALES'!X66</f>
        <v>2</v>
      </c>
      <c r="Y66">
        <f>SUM(M66:X66)</f>
        <v>16</v>
      </c>
      <c r="Z66">
        <f>L66+Y66</f>
        <v>27</v>
      </c>
      <c r="AB66">
        <f>IFERROR(VLOOKUP(A66,'GRAL. SUC. LOCALES'!$A:$N,14,0),0)</f>
        <v>5</v>
      </c>
      <c r="AD66">
        <f>AB66+Z66</f>
        <v>32</v>
      </c>
      <c r="AF66">
        <v>30</v>
      </c>
      <c r="AG66">
        <v>30</v>
      </c>
      <c r="AH66">
        <f>AD66-AF66</f>
        <v>2</v>
      </c>
    </row>
    <row r="67">
      <c r="A67" t="str">
        <v>ZANAHORIA CH</v>
      </c>
      <c r="B67">
        <f>'EXISTENCIA EN SUCURSALES'!B67+'DISTRIBUCIÓN EN SUCURSALES'!B67</f>
        <v>2</v>
      </c>
      <c r="C67">
        <f>'EXISTENCIA EN SUCURSALES'!C67+'DISTRIBUCIÓN EN SUCURSALES'!C67</f>
        <v>2</v>
      </c>
      <c r="D67">
        <f>'EXISTENCIA EN SUCURSALES'!D67+'DISTRIBUCIÓN EN SUCURSALES'!D67</f>
        <v>1</v>
      </c>
      <c r="E67">
        <f>'EXISTENCIA EN SUCURSALES'!E67+'DISTRIBUCIÓN EN SUCURSALES'!E67</f>
        <v>1</v>
      </c>
      <c r="F67">
        <f>'EXISTENCIA EN SUCURSALES'!F67+'DISTRIBUCIÓN EN SUCURSALES'!F67</f>
        <v>1</v>
      </c>
      <c r="G67">
        <f>'EXISTENCIA EN SUCURSALES'!G67+'DISTRIBUCIÓN EN SUCURSALES'!G67</f>
        <v>0</v>
      </c>
      <c r="H67">
        <f>'EXISTENCIA EN SUCURSALES'!H67+'DISTRIBUCIÓN EN SUCURSALES'!H67</f>
        <v>1</v>
      </c>
      <c r="I67">
        <f>'EXISTENCIA EN SUCURSALES'!I67+'DISTRIBUCIÓN EN SUCURSALES'!I67</f>
        <v>1</v>
      </c>
      <c r="J67">
        <f>'EXISTENCIA EN SUCURSALES'!J67+'DISTRIBUCIÓN EN SUCURSALES'!J67</f>
        <v>1</v>
      </c>
      <c r="K67">
        <f>'EXISTENCIA EN SUCURSALES'!K67+'DISTRIBUCIÓN EN SUCURSALES'!K67</f>
        <v>1</v>
      </c>
      <c r="L67">
        <f>SUM(B67:K67)</f>
        <v>11</v>
      </c>
      <c r="M67">
        <f>'EXISTENCIA EN SUCURSALES'!M67+'DISTRIBUCIÓN EN SUCURSALES'!M67</f>
        <v>2</v>
      </c>
      <c r="N67">
        <f>'EXISTENCIA EN SUCURSALES'!N67+'DISTRIBUCIÓN EN SUCURSALES'!N67</f>
        <v>1</v>
      </c>
      <c r="O67">
        <f>'EXISTENCIA EN SUCURSALES'!O67+'DISTRIBUCIÓN EN SUCURSALES'!O67</f>
        <v>1</v>
      </c>
      <c r="P67">
        <f>'EXISTENCIA EN SUCURSALES'!P67+'DISTRIBUCIÓN EN SUCURSALES'!P67</f>
        <v>0</v>
      </c>
      <c r="Q67">
        <f>'EXISTENCIA EN SUCURSALES'!Q67+'DISTRIBUCIÓN EN SUCURSALES'!Q67</f>
        <v>3</v>
      </c>
      <c r="R67">
        <f>'EXISTENCIA EN SUCURSALES'!R67+'DISTRIBUCIÓN EN SUCURSALES'!R67</f>
        <v>2</v>
      </c>
      <c r="S67">
        <f>'EXISTENCIA EN SUCURSALES'!S67+'DISTRIBUCIÓN EN SUCURSALES'!S67</f>
        <v>0</v>
      </c>
      <c r="T67">
        <f>'EXISTENCIA EN SUCURSALES'!T67+'DISTRIBUCIÓN EN SUCURSALES'!T67</f>
        <v>0</v>
      </c>
      <c r="U67">
        <f>'EXISTENCIA EN SUCURSALES'!U67+'DISTRIBUCIÓN EN SUCURSALES'!U67</f>
        <v>0</v>
      </c>
      <c r="V67">
        <f>'EXISTENCIA EN SUCURSALES'!V67+'DISTRIBUCIÓN EN SUCURSALES'!V67</f>
        <v>2</v>
      </c>
      <c r="W67">
        <f>'EXISTENCIA EN SUCURSALES'!W67+'DISTRIBUCIÓN EN SUCURSALES'!W67</f>
        <v>0</v>
      </c>
      <c r="X67">
        <f>'EXISTENCIA EN SUCURSALES'!X67+'DISTRIBUCIÓN EN SUCURSALES'!X67</f>
        <v>1</v>
      </c>
      <c r="Y67">
        <f>SUM(M67:X67)</f>
        <v>12</v>
      </c>
      <c r="Z67">
        <f>L67+Y67</f>
        <v>23</v>
      </c>
      <c r="AB67">
        <f>IFERROR(VLOOKUP(A67,'GRAL. SUC. LOCALES'!$A:$N,14,0),0)</f>
        <v>14</v>
      </c>
      <c r="AD67">
        <f>AB67+Z67</f>
        <v>37</v>
      </c>
      <c r="AF67">
        <v>45</v>
      </c>
      <c r="AG67">
        <v>45</v>
      </c>
      <c r="AH67">
        <f>AD67-AF67</f>
        <v>-8</v>
      </c>
    </row>
    <row r="68">
      <c r="A68" t="str">
        <v>ZANAHORIA PETIT</v>
      </c>
      <c r="B68">
        <f>'EXISTENCIA EN SUCURSALES'!B68+'DISTRIBUCIÓN EN SUCURSALES'!B68</f>
        <v>4</v>
      </c>
      <c r="C68">
        <f>'EXISTENCIA EN SUCURSALES'!C68+'DISTRIBUCIÓN EN SUCURSALES'!C68</f>
        <v>4</v>
      </c>
      <c r="D68">
        <f>'EXISTENCIA EN SUCURSALES'!D68+'DISTRIBUCIÓN EN SUCURSALES'!D68</f>
        <v>3</v>
      </c>
      <c r="E68">
        <f>'EXISTENCIA EN SUCURSALES'!E68+'DISTRIBUCIÓN EN SUCURSALES'!E68</f>
        <v>2</v>
      </c>
      <c r="F68">
        <f>'EXISTENCIA EN SUCURSALES'!F68+'DISTRIBUCIÓN EN SUCURSALES'!F68</f>
        <v>1</v>
      </c>
      <c r="G68">
        <f>'EXISTENCIA EN SUCURSALES'!G68+'DISTRIBUCIÓN EN SUCURSALES'!G68</f>
        <v>0</v>
      </c>
      <c r="H68">
        <f>'EXISTENCIA EN SUCURSALES'!H68+'DISTRIBUCIÓN EN SUCURSALES'!H68</f>
        <v>2</v>
      </c>
      <c r="I68">
        <f>'EXISTENCIA EN SUCURSALES'!I68+'DISTRIBUCIÓN EN SUCURSALES'!I68</f>
        <v>3</v>
      </c>
      <c r="J68">
        <f>'EXISTENCIA EN SUCURSALES'!J68+'DISTRIBUCIÓN EN SUCURSALES'!J68</f>
        <v>2</v>
      </c>
      <c r="K68">
        <f>'EXISTENCIA EN SUCURSALES'!K68+'DISTRIBUCIÓN EN SUCURSALES'!K68</f>
        <v>0</v>
      </c>
      <c r="L68">
        <f>SUM(B68:K68)</f>
        <v>21</v>
      </c>
      <c r="M68">
        <f>'EXISTENCIA EN SUCURSALES'!M68+'DISTRIBUCIÓN EN SUCURSALES'!M68</f>
        <v>3</v>
      </c>
      <c r="N68">
        <f>'EXISTENCIA EN SUCURSALES'!N68+'DISTRIBUCIÓN EN SUCURSALES'!N68</f>
        <v>2</v>
      </c>
      <c r="O68">
        <f>'EXISTENCIA EN SUCURSALES'!O68+'DISTRIBUCIÓN EN SUCURSALES'!O68</f>
        <v>1</v>
      </c>
      <c r="P68">
        <f>'EXISTENCIA EN SUCURSALES'!P68+'DISTRIBUCIÓN EN SUCURSALES'!P68</f>
        <v>3</v>
      </c>
      <c r="Q68">
        <f>'EXISTENCIA EN SUCURSALES'!Q68+'DISTRIBUCIÓN EN SUCURSALES'!Q68</f>
        <v>2</v>
      </c>
      <c r="R68">
        <f>'EXISTENCIA EN SUCURSALES'!R68+'DISTRIBUCIÓN EN SUCURSALES'!R68</f>
        <v>2</v>
      </c>
      <c r="S68">
        <f>'EXISTENCIA EN SUCURSALES'!S68+'DISTRIBUCIÓN EN SUCURSALES'!S68</f>
        <v>2</v>
      </c>
      <c r="T68">
        <f>'EXISTENCIA EN SUCURSALES'!T68+'DISTRIBUCIÓN EN SUCURSALES'!T68</f>
        <v>0</v>
      </c>
      <c r="U68">
        <f>'EXISTENCIA EN SUCURSALES'!U68+'DISTRIBUCIÓN EN SUCURSALES'!U68</f>
        <v>1</v>
      </c>
      <c r="V68">
        <f>'EXISTENCIA EN SUCURSALES'!V68+'DISTRIBUCIÓN EN SUCURSALES'!V68</f>
        <v>1</v>
      </c>
      <c r="W68">
        <f>'EXISTENCIA EN SUCURSALES'!W68+'DISTRIBUCIÓN EN SUCURSALES'!W68</f>
        <v>4</v>
      </c>
      <c r="X68">
        <f>'EXISTENCIA EN SUCURSALES'!X68+'DISTRIBUCIÓN EN SUCURSALES'!X68</f>
        <v>2</v>
      </c>
      <c r="Y68">
        <f>SUM(M68:X68)</f>
        <v>23</v>
      </c>
      <c r="Z68">
        <f>L68+Y68</f>
        <v>44</v>
      </c>
      <c r="AB68">
        <f>IFERROR(VLOOKUP(A68,'GRAL. SUC. LOCALES'!$A:$N,14,0),0)</f>
        <v>4</v>
      </c>
      <c r="AD68">
        <f>AB68+Z68</f>
        <v>48</v>
      </c>
      <c r="AF68">
        <v>60</v>
      </c>
      <c r="AG68">
        <v>60</v>
      </c>
      <c r="AH68">
        <f>AD68-AF68</f>
        <v>-12</v>
      </c>
    </row>
    <row r="69">
      <c r="A69" t="str">
        <v>ROSCA C/CAJETA</v>
      </c>
      <c r="B69">
        <f>'EXISTENCIA EN SUCURSALES'!B69+'DISTRIBUCIÓN EN SUCURSALES'!B69</f>
        <v>2</v>
      </c>
      <c r="C69">
        <f>'EXISTENCIA EN SUCURSALES'!C69+'DISTRIBUCIÓN EN SUCURSALES'!C69</f>
        <v>0</v>
      </c>
      <c r="D69">
        <f>'EXISTENCIA EN SUCURSALES'!D69+'DISTRIBUCIÓN EN SUCURSALES'!D69</f>
        <v>1</v>
      </c>
      <c r="E69">
        <f>'EXISTENCIA EN SUCURSALES'!E69+'DISTRIBUCIÓN EN SUCURSALES'!E69</f>
        <v>1</v>
      </c>
      <c r="F69">
        <f>'EXISTENCIA EN SUCURSALES'!F69+'DISTRIBUCIÓN EN SUCURSALES'!F69</f>
        <v>1</v>
      </c>
      <c r="G69">
        <f>'EXISTENCIA EN SUCURSALES'!G69+'DISTRIBUCIÓN EN SUCURSALES'!G69</f>
        <v>0</v>
      </c>
      <c r="H69">
        <f>'EXISTENCIA EN SUCURSALES'!H69+'DISTRIBUCIÓN EN SUCURSALES'!H69</f>
        <v>1</v>
      </c>
      <c r="I69">
        <f>'EXISTENCIA EN SUCURSALES'!I69+'DISTRIBUCIÓN EN SUCURSALES'!I69</f>
        <v>0</v>
      </c>
      <c r="J69">
        <f>'EXISTENCIA EN SUCURSALES'!J69+'DISTRIBUCIÓN EN SUCURSALES'!J69</f>
        <v>1</v>
      </c>
      <c r="K69">
        <f>'EXISTENCIA EN SUCURSALES'!K69+'DISTRIBUCIÓN EN SUCURSALES'!K69</f>
        <v>1</v>
      </c>
      <c r="L69">
        <f>SUM(B69:K69)</f>
        <v>8</v>
      </c>
      <c r="M69">
        <f>'EXISTENCIA EN SUCURSALES'!M69+'DISTRIBUCIÓN EN SUCURSALES'!M69</f>
        <v>3</v>
      </c>
      <c r="N69">
        <f>'EXISTENCIA EN SUCURSALES'!N69+'DISTRIBUCIÓN EN SUCURSALES'!N69</f>
        <v>1</v>
      </c>
      <c r="O69">
        <f>'EXISTENCIA EN SUCURSALES'!O69+'DISTRIBUCIÓN EN SUCURSALES'!O69</f>
        <v>1</v>
      </c>
      <c r="P69">
        <f>'EXISTENCIA EN SUCURSALES'!P69+'DISTRIBUCIÓN EN SUCURSALES'!P69</f>
        <v>0</v>
      </c>
      <c r="Q69">
        <f>'EXISTENCIA EN SUCURSALES'!Q69+'DISTRIBUCIÓN EN SUCURSALES'!Q69</f>
        <v>0</v>
      </c>
      <c r="R69">
        <f>'EXISTENCIA EN SUCURSALES'!R69+'DISTRIBUCIÓN EN SUCURSALES'!R69</f>
        <v>0</v>
      </c>
      <c r="S69">
        <f>'EXISTENCIA EN SUCURSALES'!S69+'DISTRIBUCIÓN EN SUCURSALES'!S69</f>
        <v>0</v>
      </c>
      <c r="T69">
        <f>'EXISTENCIA EN SUCURSALES'!T69+'DISTRIBUCIÓN EN SUCURSALES'!T69</f>
        <v>1</v>
      </c>
      <c r="U69">
        <f>'EXISTENCIA EN SUCURSALES'!U69+'DISTRIBUCIÓN EN SUCURSALES'!U69</f>
        <v>0</v>
      </c>
      <c r="V69">
        <f>'EXISTENCIA EN SUCURSALES'!V69+'DISTRIBUCIÓN EN SUCURSALES'!V69</f>
        <v>1</v>
      </c>
      <c r="W69">
        <f>'EXISTENCIA EN SUCURSALES'!W69+'DISTRIBUCIÓN EN SUCURSALES'!W69</f>
        <v>1</v>
      </c>
      <c r="X69">
        <f>'EXISTENCIA EN SUCURSALES'!X69+'DISTRIBUCIÓN EN SUCURSALES'!X69</f>
        <v>0</v>
      </c>
      <c r="Y69">
        <f>SUM(M69:X69)</f>
        <v>8</v>
      </c>
      <c r="Z69">
        <f>L69+Y69</f>
        <v>16</v>
      </c>
      <c r="AB69">
        <v>0</v>
      </c>
      <c r="AD69">
        <f>AB69+Z69</f>
        <v>16</v>
      </c>
      <c r="AF69">
        <v>20</v>
      </c>
      <c r="AG69">
        <v>15</v>
      </c>
      <c r="AH69">
        <f>AD69-AF69</f>
        <v>-4</v>
      </c>
    </row>
    <row r="70">
      <c r="A70" t="str">
        <v>CAJITA DE TRES LECHES</v>
      </c>
      <c r="B70">
        <f>'EXISTENCIA EN SUCURSALES'!B70+'DISTRIBUCIÓN EN SUCURSALES'!B70</f>
        <v>2</v>
      </c>
      <c r="C70">
        <f>'EXISTENCIA EN SUCURSALES'!C70+'DISTRIBUCIÓN EN SUCURSALES'!C70</f>
        <v>3</v>
      </c>
      <c r="D70">
        <f>'EXISTENCIA EN SUCURSALES'!D70+'DISTRIBUCIÓN EN SUCURSALES'!D70</f>
        <v>3</v>
      </c>
      <c r="E70">
        <f>'EXISTENCIA EN SUCURSALES'!E70+'DISTRIBUCIÓN EN SUCURSALES'!E70</f>
        <v>1</v>
      </c>
      <c r="F70">
        <f>'EXISTENCIA EN SUCURSALES'!F70+'DISTRIBUCIÓN EN SUCURSALES'!F70</f>
        <v>3</v>
      </c>
      <c r="G70">
        <f>'EXISTENCIA EN SUCURSALES'!G70+'DISTRIBUCIÓN EN SUCURSALES'!G70</f>
        <v>0</v>
      </c>
      <c r="H70">
        <f>'EXISTENCIA EN SUCURSALES'!H70+'DISTRIBUCIÓN EN SUCURSALES'!H70</f>
        <v>2</v>
      </c>
      <c r="I70">
        <f>'EXISTENCIA EN SUCURSALES'!I70+'DISTRIBUCIÓN EN SUCURSALES'!I70</f>
        <v>3</v>
      </c>
      <c r="J70">
        <f>'EXISTENCIA EN SUCURSALES'!J70+'DISTRIBUCIÓN EN SUCURSALES'!J70</f>
        <v>3</v>
      </c>
      <c r="K70">
        <f>'EXISTENCIA EN SUCURSALES'!K70+'DISTRIBUCIÓN EN SUCURSALES'!K70</f>
        <v>3</v>
      </c>
      <c r="L70">
        <f>SUM(B70:K70)</f>
        <v>23</v>
      </c>
      <c r="M70">
        <f>'EXISTENCIA EN SUCURSALES'!M70+'DISTRIBUCIÓN EN SUCURSALES'!M70</f>
        <v>5</v>
      </c>
      <c r="N70">
        <f>'EXISTENCIA EN SUCURSALES'!N70+'DISTRIBUCIÓN EN SUCURSALES'!N70</f>
        <v>2</v>
      </c>
      <c r="O70">
        <f>'EXISTENCIA EN SUCURSALES'!O70+'DISTRIBUCIÓN EN SUCURSALES'!O70</f>
        <v>1</v>
      </c>
      <c r="P70">
        <f>'EXISTENCIA EN SUCURSALES'!P70+'DISTRIBUCIÓN EN SUCURSALES'!P70</f>
        <v>3</v>
      </c>
      <c r="Q70">
        <f>'EXISTENCIA EN SUCURSALES'!Q70+'DISTRIBUCIÓN EN SUCURSALES'!Q70</f>
        <v>4</v>
      </c>
      <c r="R70">
        <f>'EXISTENCIA EN SUCURSALES'!R70+'DISTRIBUCIÓN EN SUCURSALES'!R70</f>
        <v>6</v>
      </c>
      <c r="S70">
        <f>'EXISTENCIA EN SUCURSALES'!S70+'DISTRIBUCIÓN EN SUCURSALES'!S70</f>
        <v>5</v>
      </c>
      <c r="T70">
        <f>'EXISTENCIA EN SUCURSALES'!T70+'DISTRIBUCIÓN EN SUCURSALES'!T70</f>
        <v>6</v>
      </c>
      <c r="U70">
        <f>'EXISTENCIA EN SUCURSALES'!U70+'DISTRIBUCIÓN EN SUCURSALES'!U70</f>
        <v>1</v>
      </c>
      <c r="V70">
        <f>'EXISTENCIA EN SUCURSALES'!V70+'DISTRIBUCIÓN EN SUCURSALES'!V70</f>
        <v>5</v>
      </c>
      <c r="W70">
        <f>'EXISTENCIA EN SUCURSALES'!W70+'DISTRIBUCIÓN EN SUCURSALES'!W70</f>
        <v>7</v>
      </c>
      <c r="X70">
        <f>'EXISTENCIA EN SUCURSALES'!X70+'DISTRIBUCIÓN EN SUCURSALES'!X70</f>
        <v>0</v>
      </c>
      <c r="Y70">
        <f>SUM(M70:X70)</f>
        <v>45</v>
      </c>
      <c r="Z70">
        <f>L70+Y70</f>
        <v>68</v>
      </c>
      <c r="AB70">
        <f>IFERROR(VLOOKUP(A70,'GRAL. SUC. LOCALES'!$A:$N,14,0),0)</f>
        <v>8</v>
      </c>
      <c r="AD70">
        <f>AB70+Z70</f>
        <v>76</v>
      </c>
      <c r="AF70">
        <v>90</v>
      </c>
      <c r="AG70">
        <v>100</v>
      </c>
      <c r="AH70">
        <f>AD70-AF70</f>
        <v>-14</v>
      </c>
    </row>
    <row r="71">
      <c r="A71" t="str">
        <v>CHOCOFLAN MINI MEDIANO</v>
      </c>
      <c r="B71">
        <f>'EXISTENCIA EN SUCURSALES'!B71+'DISTRIBUCIÓN EN SUCURSALES'!B71</f>
        <v>2</v>
      </c>
      <c r="C71">
        <f>'EXISTENCIA EN SUCURSALES'!C71+'DISTRIBUCIÓN EN SUCURSALES'!C71</f>
        <v>2</v>
      </c>
      <c r="D71">
        <f>'EXISTENCIA EN SUCURSALES'!D71+'DISTRIBUCIÓN EN SUCURSALES'!D71</f>
        <v>1</v>
      </c>
      <c r="E71">
        <f>'EXISTENCIA EN SUCURSALES'!E71+'DISTRIBUCIÓN EN SUCURSALES'!E71</f>
        <v>2</v>
      </c>
      <c r="F71">
        <f>'EXISTENCIA EN SUCURSALES'!F71+'DISTRIBUCIÓN EN SUCURSALES'!F71</f>
        <v>1</v>
      </c>
      <c r="G71">
        <f>'EXISTENCIA EN SUCURSALES'!G71+'DISTRIBUCIÓN EN SUCURSALES'!G71</f>
        <v>0</v>
      </c>
      <c r="H71">
        <f>'EXISTENCIA EN SUCURSALES'!H71+'DISTRIBUCIÓN EN SUCURSALES'!H71</f>
        <v>1</v>
      </c>
      <c r="I71">
        <f>'EXISTENCIA EN SUCURSALES'!I71+'DISTRIBUCIÓN EN SUCURSALES'!I71</f>
        <v>2</v>
      </c>
      <c r="J71">
        <f>'EXISTENCIA EN SUCURSALES'!J71+'DISTRIBUCIÓN EN SUCURSALES'!J71</f>
        <v>2</v>
      </c>
      <c r="K71">
        <f>'EXISTENCIA EN SUCURSALES'!K71+'DISTRIBUCIÓN EN SUCURSALES'!K71</f>
        <v>1</v>
      </c>
      <c r="L71">
        <f>SUM(B71:K71)</f>
        <v>14</v>
      </c>
      <c r="M71">
        <f>'EXISTENCIA EN SUCURSALES'!M71+'DISTRIBUCIÓN EN SUCURSALES'!M71</f>
        <v>2</v>
      </c>
      <c r="N71">
        <f>'EXISTENCIA EN SUCURSALES'!N71+'DISTRIBUCIÓN EN SUCURSALES'!N71</f>
        <v>1</v>
      </c>
      <c r="O71">
        <f>'EXISTENCIA EN SUCURSALES'!O71+'DISTRIBUCIÓN EN SUCURSALES'!O71</f>
        <v>1</v>
      </c>
      <c r="P71">
        <f>'EXISTENCIA EN SUCURSALES'!P71+'DISTRIBUCIÓN EN SUCURSALES'!P71</f>
        <v>0</v>
      </c>
      <c r="Q71">
        <f>'EXISTENCIA EN SUCURSALES'!Q71+'DISTRIBUCIÓN EN SUCURSALES'!Q71</f>
        <v>0</v>
      </c>
      <c r="R71">
        <f>'EXISTENCIA EN SUCURSALES'!R71+'DISTRIBUCIÓN EN SUCURSALES'!R71</f>
        <v>1</v>
      </c>
      <c r="S71">
        <f>'EXISTENCIA EN SUCURSALES'!S71+'DISTRIBUCIÓN EN SUCURSALES'!S71</f>
        <v>1</v>
      </c>
      <c r="T71">
        <f>'EXISTENCIA EN SUCURSALES'!T71+'DISTRIBUCIÓN EN SUCURSALES'!T71</f>
        <v>0</v>
      </c>
      <c r="U71">
        <f>'EXISTENCIA EN SUCURSALES'!U71+'DISTRIBUCIÓN EN SUCURSALES'!U71</f>
        <v>2</v>
      </c>
      <c r="V71">
        <f>'EXISTENCIA EN SUCURSALES'!V71+'DISTRIBUCIÓN EN SUCURSALES'!V71</f>
        <v>2</v>
      </c>
      <c r="W71">
        <f>'EXISTENCIA EN SUCURSALES'!W71+'DISTRIBUCIÓN EN SUCURSALES'!W71</f>
        <v>1</v>
      </c>
      <c r="X71">
        <f>'EXISTENCIA EN SUCURSALES'!X71+'DISTRIBUCIÓN EN SUCURSALES'!X71</f>
        <v>0</v>
      </c>
      <c r="Y71">
        <f>SUM(M71:X71)</f>
        <v>11</v>
      </c>
      <c r="Z71">
        <f>L71+Y71</f>
        <v>25</v>
      </c>
      <c r="AB71">
        <f>IFERROR(VLOOKUP(A71,'GRAL. SUC. LOCALES'!$A:$N,14,0),0)</f>
        <v>1</v>
      </c>
      <c r="AD71">
        <f>AB71+Z71</f>
        <v>26</v>
      </c>
      <c r="AF71">
        <v>25</v>
      </c>
      <c r="AG71">
        <v>25</v>
      </c>
      <c r="AH71">
        <f>AD71-AF71</f>
        <v>1</v>
      </c>
    </row>
    <row r="72">
      <c r="A72" t="str">
        <v>MINI DELICIA KINDER</v>
      </c>
      <c r="B72">
        <f>'EXISTENCIA EN SUCURSALES'!B72+'DISTRIBUCIÓN EN SUCURSALES'!B72</f>
        <v>0</v>
      </c>
      <c r="C72">
        <f>'EXISTENCIA EN SUCURSALES'!C72+'DISTRIBUCIÓN EN SUCURSALES'!C72</f>
        <v>0</v>
      </c>
      <c r="D72">
        <f>'EXISTENCIA EN SUCURSALES'!D72+'DISTRIBUCIÓN EN SUCURSALES'!D72</f>
        <v>0</v>
      </c>
      <c r="E72">
        <f>'EXISTENCIA EN SUCURSALES'!E72+'DISTRIBUCIÓN EN SUCURSALES'!E72</f>
        <v>0</v>
      </c>
      <c r="F72">
        <f>'EXISTENCIA EN SUCURSALES'!F72+'DISTRIBUCIÓN EN SUCURSALES'!F72</f>
        <v>0</v>
      </c>
      <c r="G72">
        <f>'EXISTENCIA EN SUCURSALES'!G72+'DISTRIBUCIÓN EN SUCURSALES'!G72</f>
        <v>0</v>
      </c>
      <c r="H72">
        <f>'EXISTENCIA EN SUCURSALES'!H72+'DISTRIBUCIÓN EN SUCURSALES'!H72</f>
        <v>0</v>
      </c>
      <c r="I72">
        <f>'EXISTENCIA EN SUCURSALES'!I72+'DISTRIBUCIÓN EN SUCURSALES'!I72</f>
        <v>0</v>
      </c>
      <c r="J72">
        <f>'EXISTENCIA EN SUCURSALES'!J72+'DISTRIBUCIÓN EN SUCURSALES'!J72</f>
        <v>0</v>
      </c>
      <c r="K72">
        <f>'EXISTENCIA EN SUCURSALES'!K72+'DISTRIBUCIÓN EN SUCURSALES'!K72</f>
        <v>0</v>
      </c>
      <c r="L72">
        <f>SUM(B72:K72)</f>
        <v>0</v>
      </c>
      <c r="M72">
        <f>'EXISTENCIA EN SUCURSALES'!M72+'DISTRIBUCIÓN EN SUCURSALES'!M72</f>
        <v>0</v>
      </c>
      <c r="N72">
        <f>'EXISTENCIA EN SUCURSALES'!N72+'DISTRIBUCIÓN EN SUCURSALES'!N72</f>
        <v>0</v>
      </c>
      <c r="O72">
        <f>'EXISTENCIA EN SUCURSALES'!O72+'DISTRIBUCIÓN EN SUCURSALES'!O72</f>
        <v>0</v>
      </c>
      <c r="P72">
        <f>'EXISTENCIA EN SUCURSALES'!P72+'DISTRIBUCIÓN EN SUCURSALES'!P72</f>
        <v>0</v>
      </c>
      <c r="Q72">
        <f>'EXISTENCIA EN SUCURSALES'!Q72+'DISTRIBUCIÓN EN SUCURSALES'!Q72</f>
        <v>0</v>
      </c>
      <c r="R72">
        <f>'EXISTENCIA EN SUCURSALES'!R72+'DISTRIBUCIÓN EN SUCURSALES'!R72</f>
        <v>0</v>
      </c>
      <c r="S72">
        <f>'EXISTENCIA EN SUCURSALES'!S72+'DISTRIBUCIÓN EN SUCURSALES'!S72</f>
        <v>0</v>
      </c>
      <c r="T72">
        <f>'EXISTENCIA EN SUCURSALES'!T72+'DISTRIBUCIÓN EN SUCURSALES'!T72</f>
        <v>0</v>
      </c>
      <c r="U72">
        <f>'EXISTENCIA EN SUCURSALES'!U72+'DISTRIBUCIÓN EN SUCURSALES'!U72</f>
        <v>0</v>
      </c>
      <c r="V72">
        <f>'EXISTENCIA EN SUCURSALES'!V72+'DISTRIBUCIÓN EN SUCURSALES'!V72</f>
        <v>0</v>
      </c>
      <c r="W72">
        <f>'EXISTENCIA EN SUCURSALES'!W72+'DISTRIBUCIÓN EN SUCURSALES'!W72</f>
        <v>0</v>
      </c>
      <c r="X72">
        <f>'EXISTENCIA EN SUCURSALES'!X72+'DISTRIBUCIÓN EN SUCURSALES'!X72</f>
        <v>0</v>
      </c>
      <c r="Y72">
        <f>SUM(M72:X72)</f>
        <v>0</v>
      </c>
      <c r="Z72">
        <f>L72+Y72</f>
        <v>0</v>
      </c>
      <c r="AB72">
        <f>IFERROR(VLOOKUP(A72,'GRAL. SUC. LOCALES'!$A:$N,14,0),0)</f>
        <v>0</v>
      </c>
      <c r="AD72">
        <f>AB72+Z72</f>
        <v>0</v>
      </c>
      <c r="AG72">
        <v>0</v>
      </c>
      <c r="AH72">
        <f>AD72-AF72</f>
        <v>0</v>
      </c>
    </row>
    <row r="73">
      <c r="B73">
        <f>'EXISTENCIA EN SUCURSALES'!B73+'DISTRIBUCIÓN EN SUCURSALES'!B73</f>
        <v>0</v>
      </c>
      <c r="C73">
        <f>'EXISTENCIA EN SUCURSALES'!C73+'DISTRIBUCIÓN EN SUCURSALES'!C73</f>
        <v>0</v>
      </c>
      <c r="D73">
        <f>'EXISTENCIA EN SUCURSALES'!D73+'DISTRIBUCIÓN EN SUCURSALES'!D73</f>
        <v>0</v>
      </c>
      <c r="E73">
        <f>'EXISTENCIA EN SUCURSALES'!E73+'DISTRIBUCIÓN EN SUCURSALES'!E73</f>
        <v>0</v>
      </c>
      <c r="F73">
        <f>'EXISTENCIA EN SUCURSALES'!F73+'DISTRIBUCIÓN EN SUCURSALES'!F73</f>
        <v>0</v>
      </c>
      <c r="G73">
        <f>'EXISTENCIA EN SUCURSALES'!G73+'DISTRIBUCIÓN EN SUCURSALES'!G73</f>
        <v>0</v>
      </c>
      <c r="H73">
        <f>'EXISTENCIA EN SUCURSALES'!H73+'DISTRIBUCIÓN EN SUCURSALES'!H73</f>
        <v>0</v>
      </c>
      <c r="I73">
        <f>'EXISTENCIA EN SUCURSALES'!I73+'DISTRIBUCIÓN EN SUCURSALES'!I73</f>
        <v>0</v>
      </c>
      <c r="J73">
        <f>'EXISTENCIA EN SUCURSALES'!J73+'DISTRIBUCIÓN EN SUCURSALES'!J73</f>
        <v>0</v>
      </c>
      <c r="K73">
        <f>'EXISTENCIA EN SUCURSALES'!K73+'DISTRIBUCIÓN EN SUCURSALES'!K73</f>
        <v>0</v>
      </c>
      <c r="L73">
        <f>SUM(B73:K73)</f>
        <v>0</v>
      </c>
      <c r="M73">
        <f>'EXISTENCIA EN SUCURSALES'!M73+'DISTRIBUCIÓN EN SUCURSALES'!M73</f>
        <v>0</v>
      </c>
      <c r="N73">
        <f>'EXISTENCIA EN SUCURSALES'!N73+'DISTRIBUCIÓN EN SUCURSALES'!N73</f>
        <v>0</v>
      </c>
      <c r="O73">
        <f>'EXISTENCIA EN SUCURSALES'!O73+'DISTRIBUCIÓN EN SUCURSALES'!O73</f>
        <v>0</v>
      </c>
      <c r="P73">
        <f>'EXISTENCIA EN SUCURSALES'!P73+'DISTRIBUCIÓN EN SUCURSALES'!P73</f>
        <v>0</v>
      </c>
      <c r="Q73">
        <f>'EXISTENCIA EN SUCURSALES'!Q73+'DISTRIBUCIÓN EN SUCURSALES'!Q73</f>
        <v>0</v>
      </c>
      <c r="R73">
        <f>'EXISTENCIA EN SUCURSALES'!R73+'DISTRIBUCIÓN EN SUCURSALES'!R73</f>
        <v>0</v>
      </c>
      <c r="S73">
        <f>'EXISTENCIA EN SUCURSALES'!S73+'DISTRIBUCIÓN EN SUCURSALES'!S73</f>
        <v>0</v>
      </c>
      <c r="T73">
        <f>'EXISTENCIA EN SUCURSALES'!T73+'DISTRIBUCIÓN EN SUCURSALES'!T73</f>
        <v>0</v>
      </c>
      <c r="U73">
        <f>'EXISTENCIA EN SUCURSALES'!U73+'DISTRIBUCIÓN EN SUCURSALES'!U73</f>
        <v>0</v>
      </c>
      <c r="V73">
        <f>'EXISTENCIA EN SUCURSALES'!V73+'DISTRIBUCIÓN EN SUCURSALES'!V73</f>
        <v>0</v>
      </c>
      <c r="W73">
        <f>'EXISTENCIA EN SUCURSALES'!W73+'DISTRIBUCIÓN EN SUCURSALES'!W73</f>
        <v>0</v>
      </c>
      <c r="X73">
        <f>'EXISTENCIA EN SUCURSALES'!X73+'DISTRIBUCIÓN EN SUCURSALES'!X73</f>
        <v>0</v>
      </c>
      <c r="Y73">
        <f>SUM(M73:X73)</f>
        <v>0</v>
      </c>
      <c r="Z73">
        <f>L73+Y73</f>
        <v>0</v>
      </c>
      <c r="AB73">
        <f>IFERROR(VLOOKUP(A73,'GRAL. SUC. LOCALES'!$A:$N,14,0),0)</f>
        <v>0</v>
      </c>
      <c r="AD73">
        <f>AB73+Z73</f>
        <v>0</v>
      </c>
      <c r="AH73">
        <f>AD73-AF73</f>
        <v>0</v>
      </c>
    </row>
    <row r="74">
      <c r="B74">
        <f>'EXISTENCIA EN SUCURSALES'!B74+'DISTRIBUCIÓN EN SUCURSALES'!B74</f>
        <v>0</v>
      </c>
      <c r="C74">
        <f>'EXISTENCIA EN SUCURSALES'!C74+'DISTRIBUCIÓN EN SUCURSALES'!C74</f>
        <v>0</v>
      </c>
      <c r="D74">
        <f>'EXISTENCIA EN SUCURSALES'!D74+'DISTRIBUCIÓN EN SUCURSALES'!D74</f>
        <v>0</v>
      </c>
      <c r="E74">
        <f>'EXISTENCIA EN SUCURSALES'!E74+'DISTRIBUCIÓN EN SUCURSALES'!E74</f>
        <v>0</v>
      </c>
      <c r="F74">
        <f>'EXISTENCIA EN SUCURSALES'!F74+'DISTRIBUCIÓN EN SUCURSALES'!F74</f>
        <v>0</v>
      </c>
      <c r="G74">
        <f>'EXISTENCIA EN SUCURSALES'!G74+'DISTRIBUCIÓN EN SUCURSALES'!G74</f>
        <v>0</v>
      </c>
      <c r="H74">
        <f>'EXISTENCIA EN SUCURSALES'!H74+'DISTRIBUCIÓN EN SUCURSALES'!H74</f>
        <v>0</v>
      </c>
      <c r="I74">
        <f>'EXISTENCIA EN SUCURSALES'!I74+'DISTRIBUCIÓN EN SUCURSALES'!I74</f>
        <v>0</v>
      </c>
      <c r="J74">
        <f>'EXISTENCIA EN SUCURSALES'!J74+'DISTRIBUCIÓN EN SUCURSALES'!J74</f>
        <v>0</v>
      </c>
      <c r="K74">
        <f>'EXISTENCIA EN SUCURSALES'!K74+'DISTRIBUCIÓN EN SUCURSALES'!K74</f>
        <v>0</v>
      </c>
      <c r="L74">
        <f>SUM(B74:K74)</f>
        <v>0</v>
      </c>
      <c r="M74">
        <f>'EXISTENCIA EN SUCURSALES'!M74+'DISTRIBUCIÓN EN SUCURSALES'!M74</f>
        <v>0</v>
      </c>
      <c r="N74">
        <f>'EXISTENCIA EN SUCURSALES'!N74+'DISTRIBUCIÓN EN SUCURSALES'!N74</f>
        <v>0</v>
      </c>
      <c r="O74">
        <f>'EXISTENCIA EN SUCURSALES'!O74+'DISTRIBUCIÓN EN SUCURSALES'!O74</f>
        <v>0</v>
      </c>
      <c r="P74">
        <f>'EXISTENCIA EN SUCURSALES'!P74+'DISTRIBUCIÓN EN SUCURSALES'!P74</f>
        <v>0</v>
      </c>
      <c r="Q74">
        <f>'EXISTENCIA EN SUCURSALES'!Q74+'DISTRIBUCIÓN EN SUCURSALES'!Q74</f>
        <v>0</v>
      </c>
      <c r="R74">
        <f>'EXISTENCIA EN SUCURSALES'!R74+'DISTRIBUCIÓN EN SUCURSALES'!R74</f>
        <v>0</v>
      </c>
      <c r="S74">
        <f>'EXISTENCIA EN SUCURSALES'!S74+'DISTRIBUCIÓN EN SUCURSALES'!S74</f>
        <v>0</v>
      </c>
      <c r="T74">
        <f>'EXISTENCIA EN SUCURSALES'!T74+'DISTRIBUCIÓN EN SUCURSALES'!T74</f>
        <v>0</v>
      </c>
      <c r="U74">
        <f>'EXISTENCIA EN SUCURSALES'!U74+'DISTRIBUCIÓN EN SUCURSALES'!U74</f>
        <v>0</v>
      </c>
      <c r="V74">
        <f>'EXISTENCIA EN SUCURSALES'!V74+'DISTRIBUCIÓN EN SUCURSALES'!V74</f>
        <v>0</v>
      </c>
      <c r="W74">
        <f>'EXISTENCIA EN SUCURSALES'!W74+'DISTRIBUCIÓN EN SUCURSALES'!W74</f>
        <v>0</v>
      </c>
      <c r="X74">
        <f>'EXISTENCIA EN SUCURSALES'!X74+'DISTRIBUCIÓN EN SUCURSALES'!X74</f>
        <v>0</v>
      </c>
      <c r="Y74">
        <f>SUM(M74:X74)</f>
        <v>0</v>
      </c>
      <c r="Z74">
        <f>L74+Y74</f>
        <v>0</v>
      </c>
      <c r="AB74">
        <f>IFERROR(VLOOKUP(A74,'GRAL. SUC. LOCALES'!$A:$N,14,0),0)</f>
        <v>0</v>
      </c>
      <c r="AD74">
        <f>AB74+Z74</f>
        <v>0</v>
      </c>
      <c r="AH74">
        <f>AD74-AF74</f>
        <v>0</v>
      </c>
    </row>
    <row r="75">
      <c r="B75">
        <f>'EXISTENCIA EN SUCURSALES'!B75+'DISTRIBUCIÓN EN SUCURSALES'!B75</f>
        <v>0</v>
      </c>
      <c r="C75">
        <f>'EXISTENCIA EN SUCURSALES'!C75+'DISTRIBUCIÓN EN SUCURSALES'!C75</f>
        <v>0</v>
      </c>
      <c r="D75">
        <f>'EXISTENCIA EN SUCURSALES'!D75+'DISTRIBUCIÓN EN SUCURSALES'!D75</f>
        <v>0</v>
      </c>
      <c r="E75">
        <f>'EXISTENCIA EN SUCURSALES'!E75+'DISTRIBUCIÓN EN SUCURSALES'!E75</f>
        <v>0</v>
      </c>
      <c r="F75">
        <f>'EXISTENCIA EN SUCURSALES'!F75+'DISTRIBUCIÓN EN SUCURSALES'!F75</f>
        <v>0</v>
      </c>
      <c r="G75">
        <f>'EXISTENCIA EN SUCURSALES'!G75+'DISTRIBUCIÓN EN SUCURSALES'!G75</f>
        <v>0</v>
      </c>
      <c r="H75">
        <f>'EXISTENCIA EN SUCURSALES'!H75+'DISTRIBUCIÓN EN SUCURSALES'!H75</f>
        <v>0</v>
      </c>
      <c r="I75">
        <f>'EXISTENCIA EN SUCURSALES'!I75+'DISTRIBUCIÓN EN SUCURSALES'!I75</f>
        <v>0</v>
      </c>
      <c r="J75">
        <f>'EXISTENCIA EN SUCURSALES'!J75+'DISTRIBUCIÓN EN SUCURSALES'!J75</f>
        <v>0</v>
      </c>
      <c r="K75">
        <f>'EXISTENCIA EN SUCURSALES'!K75+'DISTRIBUCIÓN EN SUCURSALES'!K75</f>
        <v>0</v>
      </c>
      <c r="L75">
        <f>SUM(B75:K75)</f>
        <v>0</v>
      </c>
      <c r="M75">
        <f>'EXISTENCIA EN SUCURSALES'!M75+'DISTRIBUCIÓN EN SUCURSALES'!M75</f>
        <v>0</v>
      </c>
      <c r="N75">
        <f>'EXISTENCIA EN SUCURSALES'!N75+'DISTRIBUCIÓN EN SUCURSALES'!N75</f>
        <v>0</v>
      </c>
      <c r="O75">
        <f>'EXISTENCIA EN SUCURSALES'!O75+'DISTRIBUCIÓN EN SUCURSALES'!O75</f>
        <v>0</v>
      </c>
      <c r="P75">
        <f>'EXISTENCIA EN SUCURSALES'!P75+'DISTRIBUCIÓN EN SUCURSALES'!P75</f>
        <v>0</v>
      </c>
      <c r="Q75">
        <f>'EXISTENCIA EN SUCURSALES'!Q75+'DISTRIBUCIÓN EN SUCURSALES'!Q75</f>
        <v>0</v>
      </c>
      <c r="R75">
        <f>'EXISTENCIA EN SUCURSALES'!R75+'DISTRIBUCIÓN EN SUCURSALES'!R75</f>
        <v>0</v>
      </c>
      <c r="S75">
        <f>'EXISTENCIA EN SUCURSALES'!S75+'DISTRIBUCIÓN EN SUCURSALES'!S75</f>
        <v>0</v>
      </c>
      <c r="T75">
        <f>'EXISTENCIA EN SUCURSALES'!T75+'DISTRIBUCIÓN EN SUCURSALES'!T75</f>
        <v>0</v>
      </c>
      <c r="U75">
        <f>'EXISTENCIA EN SUCURSALES'!U75+'DISTRIBUCIÓN EN SUCURSALES'!U75</f>
        <v>0</v>
      </c>
      <c r="V75">
        <f>'EXISTENCIA EN SUCURSALES'!V75+'DISTRIBUCIÓN EN SUCURSALES'!V75</f>
        <v>0</v>
      </c>
      <c r="W75">
        <f>'EXISTENCIA EN SUCURSALES'!W75+'DISTRIBUCIÓN EN SUCURSALES'!W75</f>
        <v>0</v>
      </c>
      <c r="X75">
        <f>'EXISTENCIA EN SUCURSALES'!X75+'DISTRIBUCIÓN EN SUCURSALES'!X75</f>
        <v>0</v>
      </c>
      <c r="Y75">
        <f>SUM(M75:X75)</f>
        <v>0</v>
      </c>
      <c r="Z75">
        <f>L75+Y75</f>
        <v>0</v>
      </c>
      <c r="AB75">
        <f>IFERROR(VLOOKUP(A75,'GRAL. SUC. LOCALES'!$A:$N,14,0),0)</f>
        <v>0</v>
      </c>
      <c r="AD75">
        <f>AB75+Z75</f>
        <v>0</v>
      </c>
      <c r="AH75">
        <f>AD75-AF75</f>
        <v>0</v>
      </c>
    </row>
    <row r="76">
      <c r="B76">
        <f>'EXISTENCIA EN SUCURSALES'!B76+'DISTRIBUCIÓN EN SUCURSALES'!B76</f>
        <v>0</v>
      </c>
      <c r="C76">
        <f>'EXISTENCIA EN SUCURSALES'!C76+'DISTRIBUCIÓN EN SUCURSALES'!C76</f>
        <v>0</v>
      </c>
      <c r="D76">
        <f>'EXISTENCIA EN SUCURSALES'!D76+'DISTRIBUCIÓN EN SUCURSALES'!D76</f>
        <v>0</v>
      </c>
      <c r="E76">
        <f>'EXISTENCIA EN SUCURSALES'!E76+'DISTRIBUCIÓN EN SUCURSALES'!E76</f>
        <v>0</v>
      </c>
      <c r="F76">
        <f>'EXISTENCIA EN SUCURSALES'!F76+'DISTRIBUCIÓN EN SUCURSALES'!F76</f>
        <v>0</v>
      </c>
      <c r="G76">
        <f>'EXISTENCIA EN SUCURSALES'!G76+'DISTRIBUCIÓN EN SUCURSALES'!G76</f>
        <v>0</v>
      </c>
      <c r="H76">
        <f>'EXISTENCIA EN SUCURSALES'!H76+'DISTRIBUCIÓN EN SUCURSALES'!H76</f>
        <v>0</v>
      </c>
      <c r="I76">
        <f>'EXISTENCIA EN SUCURSALES'!I76+'DISTRIBUCIÓN EN SUCURSALES'!I76</f>
        <v>0</v>
      </c>
      <c r="J76">
        <f>'EXISTENCIA EN SUCURSALES'!J76+'DISTRIBUCIÓN EN SUCURSALES'!J76</f>
        <v>0</v>
      </c>
      <c r="K76">
        <f>'EXISTENCIA EN SUCURSALES'!K76+'DISTRIBUCIÓN EN SUCURSALES'!K76</f>
        <v>0</v>
      </c>
      <c r="L76">
        <f>SUM(B76:K76)</f>
        <v>0</v>
      </c>
      <c r="M76">
        <f>'EXISTENCIA EN SUCURSALES'!M76+'DISTRIBUCIÓN EN SUCURSALES'!M76</f>
        <v>0</v>
      </c>
      <c r="N76">
        <f>'EXISTENCIA EN SUCURSALES'!N76+'DISTRIBUCIÓN EN SUCURSALES'!N76</f>
        <v>0</v>
      </c>
      <c r="O76">
        <f>'EXISTENCIA EN SUCURSALES'!O76+'DISTRIBUCIÓN EN SUCURSALES'!O76</f>
        <v>0</v>
      </c>
      <c r="P76">
        <f>'EXISTENCIA EN SUCURSALES'!P76+'DISTRIBUCIÓN EN SUCURSALES'!P76</f>
        <v>0</v>
      </c>
      <c r="Q76">
        <f>'EXISTENCIA EN SUCURSALES'!Q76+'DISTRIBUCIÓN EN SUCURSALES'!Q76</f>
        <v>0</v>
      </c>
      <c r="R76">
        <f>'EXISTENCIA EN SUCURSALES'!R76+'DISTRIBUCIÓN EN SUCURSALES'!R76</f>
        <v>0</v>
      </c>
      <c r="S76">
        <f>'EXISTENCIA EN SUCURSALES'!S76+'DISTRIBUCIÓN EN SUCURSALES'!S76</f>
        <v>0</v>
      </c>
      <c r="T76">
        <f>'EXISTENCIA EN SUCURSALES'!T76+'DISTRIBUCIÓN EN SUCURSALES'!T76</f>
        <v>0</v>
      </c>
      <c r="U76">
        <f>'EXISTENCIA EN SUCURSALES'!U76+'DISTRIBUCIÓN EN SUCURSALES'!U76</f>
        <v>0</v>
      </c>
      <c r="V76">
        <f>'EXISTENCIA EN SUCURSALES'!V76+'DISTRIBUCIÓN EN SUCURSALES'!V76</f>
        <v>0</v>
      </c>
      <c r="W76">
        <f>'EXISTENCIA EN SUCURSALES'!W76+'DISTRIBUCIÓN EN SUCURSALES'!W76</f>
        <v>0</v>
      </c>
      <c r="X76">
        <f>'EXISTENCIA EN SUCURSALES'!X76+'DISTRIBUCIÓN EN SUCURSALES'!X76</f>
        <v>0</v>
      </c>
      <c r="Y76">
        <f>SUM(M76:X76)</f>
        <v>0</v>
      </c>
      <c r="Z76">
        <f>L76+Y76</f>
        <v>0</v>
      </c>
      <c r="AB76">
        <f>IFERROR(VLOOKUP(A76,'GRAL. SUC. LOCALES'!$A:$N,14,0),0)</f>
        <v>0</v>
      </c>
      <c r="AD76">
        <f>AB76+Z76</f>
        <v>0</v>
      </c>
      <c r="AH76">
        <f>AD76-AF76</f>
        <v>0</v>
      </c>
    </row>
    <row r="77">
      <c r="B77">
        <f>'EXISTENCIA EN SUCURSALES'!B77+'DISTRIBUCIÓN EN SUCURSALES'!B77</f>
        <v>0</v>
      </c>
      <c r="C77">
        <f>'EXISTENCIA EN SUCURSALES'!C77+'DISTRIBUCIÓN EN SUCURSALES'!C77</f>
        <v>0</v>
      </c>
      <c r="D77">
        <f>'EXISTENCIA EN SUCURSALES'!D77+'DISTRIBUCIÓN EN SUCURSALES'!D77</f>
        <v>0</v>
      </c>
      <c r="E77">
        <f>'EXISTENCIA EN SUCURSALES'!E77+'DISTRIBUCIÓN EN SUCURSALES'!E77</f>
        <v>0</v>
      </c>
      <c r="F77">
        <f>'EXISTENCIA EN SUCURSALES'!F77+'DISTRIBUCIÓN EN SUCURSALES'!F77</f>
        <v>0</v>
      </c>
      <c r="G77">
        <f>'EXISTENCIA EN SUCURSALES'!G77+'DISTRIBUCIÓN EN SUCURSALES'!G77</f>
        <v>0</v>
      </c>
      <c r="H77">
        <f>'EXISTENCIA EN SUCURSALES'!H77+'DISTRIBUCIÓN EN SUCURSALES'!H77</f>
        <v>0</v>
      </c>
      <c r="I77">
        <f>'EXISTENCIA EN SUCURSALES'!I77+'DISTRIBUCIÓN EN SUCURSALES'!I77</f>
        <v>0</v>
      </c>
      <c r="J77">
        <f>'EXISTENCIA EN SUCURSALES'!J77+'DISTRIBUCIÓN EN SUCURSALES'!J77</f>
        <v>0</v>
      </c>
      <c r="K77">
        <f>'EXISTENCIA EN SUCURSALES'!K77+'DISTRIBUCIÓN EN SUCURSALES'!K77</f>
        <v>0</v>
      </c>
      <c r="L77">
        <f>SUM(B77:K77)</f>
        <v>0</v>
      </c>
      <c r="M77">
        <f>'EXISTENCIA EN SUCURSALES'!M77+'DISTRIBUCIÓN EN SUCURSALES'!M77</f>
        <v>0</v>
      </c>
      <c r="N77">
        <f>'EXISTENCIA EN SUCURSALES'!N77+'DISTRIBUCIÓN EN SUCURSALES'!N77</f>
        <v>0</v>
      </c>
      <c r="O77">
        <f>'EXISTENCIA EN SUCURSALES'!O77+'DISTRIBUCIÓN EN SUCURSALES'!O77</f>
        <v>0</v>
      </c>
      <c r="P77">
        <f>'EXISTENCIA EN SUCURSALES'!P77+'DISTRIBUCIÓN EN SUCURSALES'!P77</f>
        <v>0</v>
      </c>
      <c r="Q77">
        <f>'EXISTENCIA EN SUCURSALES'!Q77+'DISTRIBUCIÓN EN SUCURSALES'!Q77</f>
        <v>0</v>
      </c>
      <c r="R77">
        <f>'EXISTENCIA EN SUCURSALES'!R77+'DISTRIBUCIÓN EN SUCURSALES'!R77</f>
        <v>0</v>
      </c>
      <c r="S77">
        <f>'EXISTENCIA EN SUCURSALES'!S77+'DISTRIBUCIÓN EN SUCURSALES'!S77</f>
        <v>0</v>
      </c>
      <c r="T77">
        <f>'EXISTENCIA EN SUCURSALES'!T77+'DISTRIBUCIÓN EN SUCURSALES'!T77</f>
        <v>0</v>
      </c>
      <c r="U77">
        <f>'EXISTENCIA EN SUCURSALES'!U77+'DISTRIBUCIÓN EN SUCURSALES'!U77</f>
        <v>0</v>
      </c>
      <c r="V77">
        <f>'EXISTENCIA EN SUCURSALES'!V77+'DISTRIBUCIÓN EN SUCURSALES'!V77</f>
        <v>0</v>
      </c>
      <c r="W77">
        <f>'EXISTENCIA EN SUCURSALES'!W77+'DISTRIBUCIÓN EN SUCURSALES'!W77</f>
        <v>0</v>
      </c>
      <c r="X77">
        <f>'EXISTENCIA EN SUCURSALES'!X77+'DISTRIBUCIÓN EN SUCURSALES'!X77</f>
        <v>0</v>
      </c>
      <c r="Y77">
        <f>SUM(M77:X77)</f>
        <v>0</v>
      </c>
      <c r="Z77">
        <f>L77+Y77</f>
        <v>0</v>
      </c>
      <c r="AB77">
        <f>IFERROR(VLOOKUP(A77,'GRAL. SUC. LOCALES'!$A:$N,14,0),0)</f>
        <v>0</v>
      </c>
      <c r="AD77">
        <f>AB77+Z77</f>
        <v>0</v>
      </c>
      <c r="AH77">
        <f>AD77-AF77</f>
        <v>0</v>
      </c>
    </row>
    <row r="78">
      <c r="A78" t="str">
        <v>ESPECIALIDAD</v>
      </c>
      <c r="B78">
        <f>SUM(B56:B77)</f>
        <v>34</v>
      </c>
      <c r="C78">
        <f>SUM(C56:C77)</f>
        <v>33</v>
      </c>
      <c r="D78">
        <f>SUM(D56:D77)</f>
        <v>23</v>
      </c>
      <c r="E78">
        <f>SUM(E56:E77)</f>
        <v>20</v>
      </c>
      <c r="F78">
        <f>SUM(F56:F77)</f>
        <v>18</v>
      </c>
      <c r="G78">
        <f>SUM(G56:G77)</f>
        <v>0</v>
      </c>
      <c r="H78">
        <f>SUM(H56:H77)</f>
        <v>20</v>
      </c>
      <c r="I78">
        <f>SUM(I56:I77)</f>
        <v>24</v>
      </c>
      <c r="J78">
        <f>SUM(J56:J77)</f>
        <v>25</v>
      </c>
      <c r="K78">
        <f>SUM(K56:K77)</f>
        <v>15</v>
      </c>
      <c r="L78">
        <f>SUM(L56:L77)</f>
        <v>212</v>
      </c>
      <c r="M78">
        <f>SUM(M56:M77)</f>
        <v>36</v>
      </c>
      <c r="N78">
        <f>SUM(N56:N77)</f>
        <v>19</v>
      </c>
      <c r="O78">
        <f>SUM(O56:O77)</f>
        <v>10</v>
      </c>
      <c r="P78">
        <f>SUM(P56:P77)</f>
        <v>19</v>
      </c>
      <c r="Q78">
        <f>SUM(Q56:Q77)</f>
        <v>23</v>
      </c>
      <c r="R78">
        <f>SUM(R56:R77)</f>
        <v>30</v>
      </c>
      <c r="S78">
        <f>SUM(S56:S77)</f>
        <v>27</v>
      </c>
      <c r="T78">
        <f>SUM(T56:T77)</f>
        <v>17</v>
      </c>
      <c r="U78">
        <f>SUM(U56:U77)</f>
        <v>17</v>
      </c>
      <c r="V78">
        <f>SUM(V56:V77)</f>
        <v>23</v>
      </c>
      <c r="W78">
        <f>SUM(W56:W77)</f>
        <v>26</v>
      </c>
      <c r="X78">
        <f>SUM(X56:X77)</f>
        <v>12</v>
      </c>
      <c r="Y78">
        <f>SUM(Y56:Y77)</f>
        <v>259</v>
      </c>
      <c r="Z78">
        <f>SUM(Z56:Z77)</f>
        <v>471</v>
      </c>
      <c r="AB78">
        <f>SUM(AB56:AB77)</f>
        <v>87</v>
      </c>
      <c r="AD78">
        <f>AB78+Z78</f>
        <v>558</v>
      </c>
      <c r="AF78">
        <f>SUM(AF56:AF77)</f>
        <v>665</v>
      </c>
      <c r="AG78">
        <f>SUM(AG56:AG77)</f>
        <v>660</v>
      </c>
      <c r="AH78">
        <f>AD78-AF78</f>
        <v>-107</v>
      </c>
    </row>
    <row r="79">
      <c r="A79" t="str">
        <v>Total Area</v>
      </c>
      <c r="B79">
        <f>B18+B32+B49+B52+B55+B78</f>
        <v>120</v>
      </c>
      <c r="C79">
        <f>C18+C32+C49+C52+C55+C78</f>
        <v>122</v>
      </c>
      <c r="D79">
        <f>D18+D32+D49+D52+D55+D78</f>
        <v>105</v>
      </c>
      <c r="E79">
        <f>E18+E32+E49+E52+E55+E78</f>
        <v>73</v>
      </c>
      <c r="F79">
        <f>F18+F32+F49+F52+F55+F78</f>
        <v>88</v>
      </c>
      <c r="G79">
        <f>G18+G32+G49+G52+G55+G78</f>
        <v>0</v>
      </c>
      <c r="H79">
        <f>H18+H32+H49+H52+H55+H78</f>
        <v>84</v>
      </c>
      <c r="I79">
        <f>I18+I32+I49+I52+I55+I78</f>
        <v>63</v>
      </c>
      <c r="J79">
        <f>J18+J32+J49+J52+J55+J78</f>
        <v>128</v>
      </c>
      <c r="K79">
        <f>K18+K32+K49+K52+K55+K78</f>
        <v>78</v>
      </c>
      <c r="L79">
        <f>L18+L32+L49+L52+L55+L78</f>
        <v>861</v>
      </c>
      <c r="M79">
        <f>M18+M32+M49+M52+M55+M78</f>
        <v>120</v>
      </c>
      <c r="N79">
        <f>N18+N32+N49+N52+N55+N78</f>
        <v>82</v>
      </c>
      <c r="O79">
        <f>O18+O32+O49+O52+O55+O78</f>
        <v>58</v>
      </c>
      <c r="P79">
        <f>P18+P32+P49+P52+P55+P78</f>
        <v>98</v>
      </c>
      <c r="Q79">
        <f>Q18+Q32+Q49+Q52+Q55+Q78</f>
        <v>157</v>
      </c>
      <c r="R79">
        <f>R18+R32+R49+R52+R55+R78</f>
        <v>134</v>
      </c>
      <c r="S79">
        <f>S18+S32+S49+S52+S55+S78</f>
        <v>104</v>
      </c>
      <c r="T79">
        <f>T18+T32+T49+T52+T55+T78</f>
        <v>103</v>
      </c>
      <c r="U79">
        <f>U18+U32+U49+U52+U55+U78</f>
        <v>47</v>
      </c>
      <c r="V79">
        <f>V18+V32+V49+V52+V55+V78</f>
        <v>91</v>
      </c>
      <c r="W79">
        <f>W18+W32+W49+W52+W55+W78</f>
        <v>87</v>
      </c>
      <c r="X79">
        <f>X18+X32+X49+X52+X55+X78</f>
        <v>57</v>
      </c>
      <c r="Y79">
        <f>Y18+Y32+Y49+Y52+Y55+Y78</f>
        <v>1138</v>
      </c>
      <c r="Z79">
        <f>Z18+Z32+Z49+Z52+Z55+Z78</f>
        <v>1999</v>
      </c>
      <c r="AB79">
        <f>AB18+AB32+AB49+AB52+AB55+AB78</f>
        <v>419</v>
      </c>
      <c r="AD79">
        <f>AB79+Z79</f>
        <v>2418</v>
      </c>
      <c r="AF79">
        <f>AF18+AF32+AF49+AF52+AF55+AF78</f>
        <v>3190</v>
      </c>
      <c r="AG79">
        <f>AG18+AG32+AG49+AG52+AG55+AG78</f>
        <v>2995</v>
      </c>
      <c r="AH79">
        <f>AD79-AF79</f>
        <v>-772</v>
      </c>
    </row>
    <row r="80">
      <c r="A80" t="str">
        <v>VAINILLAS</v>
      </c>
      <c r="AD80">
        <f>AB80+Z80</f>
        <v>0</v>
      </c>
      <c r="AH80">
        <f>AD80-AF80</f>
        <v>0</v>
      </c>
    </row>
    <row r="81">
      <c r="A81" t="str">
        <v>VAINILLA MARMOLEADO</v>
      </c>
      <c r="B81">
        <f>'EXISTENCIA EN SUCURSALES'!B81+'DISTRIBUCIÓN EN SUCURSALES'!B81</f>
        <v>3</v>
      </c>
      <c r="C81">
        <f>'EXISTENCIA EN SUCURSALES'!C81+'DISTRIBUCIÓN EN SUCURSALES'!C81</f>
        <v>3</v>
      </c>
      <c r="D81">
        <f>'EXISTENCIA EN SUCURSALES'!D81+'DISTRIBUCIÓN EN SUCURSALES'!D81</f>
        <v>1</v>
      </c>
      <c r="E81">
        <f>'EXISTENCIA EN SUCURSALES'!E81+'DISTRIBUCIÓN EN SUCURSALES'!E81</f>
        <v>1</v>
      </c>
      <c r="F81">
        <f>'EXISTENCIA EN SUCURSALES'!F81+'DISTRIBUCIÓN EN SUCURSALES'!F81</f>
        <v>2</v>
      </c>
      <c r="G81">
        <f>'EXISTENCIA EN SUCURSALES'!G81+'DISTRIBUCIÓN EN SUCURSALES'!G81</f>
        <v>0</v>
      </c>
      <c r="H81">
        <f>'EXISTENCIA EN SUCURSALES'!H81+'DISTRIBUCIÓN EN SUCURSALES'!H81</f>
        <v>1</v>
      </c>
      <c r="I81">
        <f>'EXISTENCIA EN SUCURSALES'!I81+'DISTRIBUCIÓN EN SUCURSALES'!I81</f>
        <v>1</v>
      </c>
      <c r="J81">
        <f>'EXISTENCIA EN SUCURSALES'!J81+'DISTRIBUCIÓN EN SUCURSALES'!J81</f>
        <v>1</v>
      </c>
      <c r="K81">
        <f>'EXISTENCIA EN SUCURSALES'!K81+'DISTRIBUCIÓN EN SUCURSALES'!K81</f>
        <v>1</v>
      </c>
      <c r="L81">
        <f>SUM(B81:K81)</f>
        <v>14</v>
      </c>
      <c r="M81">
        <f>'EXISTENCIA EN SUCURSALES'!M81+'DISTRIBUCIÓN EN SUCURSALES'!M81</f>
        <v>0</v>
      </c>
      <c r="N81">
        <f>'EXISTENCIA EN SUCURSALES'!N81+'DISTRIBUCIÓN EN SUCURSALES'!N81</f>
        <v>1</v>
      </c>
      <c r="O81">
        <f>'EXISTENCIA EN SUCURSALES'!O81+'DISTRIBUCIÓN EN SUCURSALES'!O81</f>
        <v>0</v>
      </c>
      <c r="P81">
        <f>'EXISTENCIA EN SUCURSALES'!P81+'DISTRIBUCIÓN EN SUCURSALES'!P81</f>
        <v>0</v>
      </c>
      <c r="Q81">
        <f>'EXISTENCIA EN SUCURSALES'!Q81+'DISTRIBUCIÓN EN SUCURSALES'!Q81</f>
        <v>0</v>
      </c>
      <c r="R81">
        <f>'EXISTENCIA EN SUCURSALES'!R81+'DISTRIBUCIÓN EN SUCURSALES'!R81</f>
        <v>0</v>
      </c>
      <c r="S81">
        <f>'EXISTENCIA EN SUCURSALES'!S81+'DISTRIBUCIÓN EN SUCURSALES'!S81</f>
        <v>0</v>
      </c>
      <c r="T81">
        <f>'EXISTENCIA EN SUCURSALES'!T81+'DISTRIBUCIÓN EN SUCURSALES'!T81</f>
        <v>1</v>
      </c>
      <c r="U81">
        <f>'EXISTENCIA EN SUCURSALES'!U81+'DISTRIBUCIÓN EN SUCURSALES'!U81</f>
        <v>0</v>
      </c>
      <c r="V81">
        <f>'EXISTENCIA EN SUCURSALES'!V81+'DISTRIBUCIÓN EN SUCURSALES'!V81</f>
        <v>0</v>
      </c>
      <c r="W81">
        <f>'EXISTENCIA EN SUCURSALES'!W81+'DISTRIBUCIÓN EN SUCURSALES'!W81</f>
        <v>0</v>
      </c>
      <c r="X81">
        <f>'EXISTENCIA EN SUCURSALES'!X81+'DISTRIBUCIÓN EN SUCURSALES'!X81</f>
        <v>0</v>
      </c>
      <c r="Y81">
        <f>SUM(M81:X81)</f>
        <v>2</v>
      </c>
      <c r="Z81">
        <f>L81+Y81</f>
        <v>16</v>
      </c>
      <c r="AB81">
        <f>IFERROR(VLOOKUP(A81,'GRAL. SUC. LOCALES'!$A:$N,14,0),0)</f>
        <v>4</v>
      </c>
      <c r="AD81">
        <f>AB81+Z81</f>
        <v>20</v>
      </c>
      <c r="AF81">
        <v>30</v>
      </c>
      <c r="AG81">
        <v>35</v>
      </c>
      <c r="AH81">
        <f>AD81-AF81</f>
        <v>-10</v>
      </c>
    </row>
    <row r="82">
      <c r="A82" t="str">
        <v>VAINILLA NARANJA</v>
      </c>
      <c r="B82">
        <f>'EXISTENCIA EN SUCURSALES'!B82+'DISTRIBUCIÓN EN SUCURSALES'!B82</f>
        <v>1</v>
      </c>
      <c r="C82">
        <f>'EXISTENCIA EN SUCURSALES'!C82+'DISTRIBUCIÓN EN SUCURSALES'!C82</f>
        <v>2</v>
      </c>
      <c r="D82">
        <f>'EXISTENCIA EN SUCURSALES'!D82+'DISTRIBUCIÓN EN SUCURSALES'!D82</f>
        <v>1</v>
      </c>
      <c r="E82">
        <f>'EXISTENCIA EN SUCURSALES'!E82+'DISTRIBUCIÓN EN SUCURSALES'!E82</f>
        <v>1</v>
      </c>
      <c r="F82">
        <f>'EXISTENCIA EN SUCURSALES'!F82+'DISTRIBUCIÓN EN SUCURSALES'!F82</f>
        <v>1</v>
      </c>
      <c r="G82">
        <f>'EXISTENCIA EN SUCURSALES'!G82+'DISTRIBUCIÓN EN SUCURSALES'!G82</f>
        <v>0</v>
      </c>
      <c r="H82">
        <f>'EXISTENCIA EN SUCURSALES'!H82+'DISTRIBUCIÓN EN SUCURSALES'!H82</f>
        <v>1</v>
      </c>
      <c r="I82">
        <f>'EXISTENCIA EN SUCURSALES'!I82+'DISTRIBUCIÓN EN SUCURSALES'!I82</f>
        <v>1</v>
      </c>
      <c r="J82">
        <f>'EXISTENCIA EN SUCURSALES'!J82+'DISTRIBUCIÓN EN SUCURSALES'!J82</f>
        <v>1</v>
      </c>
      <c r="K82">
        <f>'EXISTENCIA EN SUCURSALES'!K82+'DISTRIBUCIÓN EN SUCURSALES'!K82</f>
        <v>1</v>
      </c>
      <c r="L82">
        <f>SUM(B82:K82)</f>
        <v>10</v>
      </c>
      <c r="M82">
        <f>'EXISTENCIA EN SUCURSALES'!M82+'DISTRIBUCIÓN EN SUCURSALES'!M82</f>
        <v>2</v>
      </c>
      <c r="N82">
        <f>'EXISTENCIA EN SUCURSALES'!N82+'DISTRIBUCIÓN EN SUCURSALES'!N82</f>
        <v>0</v>
      </c>
      <c r="O82">
        <f>'EXISTENCIA EN SUCURSALES'!O82+'DISTRIBUCIÓN EN SUCURSALES'!O82</f>
        <v>1</v>
      </c>
      <c r="P82">
        <f>'EXISTENCIA EN SUCURSALES'!P82+'DISTRIBUCIÓN EN SUCURSALES'!P82</f>
        <v>0</v>
      </c>
      <c r="Q82">
        <f>'EXISTENCIA EN SUCURSALES'!Q82+'DISTRIBUCIÓN EN SUCURSALES'!Q82</f>
        <v>1</v>
      </c>
      <c r="R82">
        <f>'EXISTENCIA EN SUCURSALES'!R82+'DISTRIBUCIÓN EN SUCURSALES'!R82</f>
        <v>0</v>
      </c>
      <c r="S82">
        <f>'EXISTENCIA EN SUCURSALES'!S82+'DISTRIBUCIÓN EN SUCURSALES'!S82</f>
        <v>0</v>
      </c>
      <c r="T82">
        <f>'EXISTENCIA EN SUCURSALES'!T82+'DISTRIBUCIÓN EN SUCURSALES'!T82</f>
        <v>0</v>
      </c>
      <c r="U82">
        <f>'EXISTENCIA EN SUCURSALES'!U82+'DISTRIBUCIÓN EN SUCURSALES'!U82</f>
        <v>0</v>
      </c>
      <c r="V82">
        <f>'EXISTENCIA EN SUCURSALES'!V82+'DISTRIBUCIÓN EN SUCURSALES'!V82</f>
        <v>0</v>
      </c>
      <c r="W82">
        <f>'EXISTENCIA EN SUCURSALES'!W82+'DISTRIBUCIÓN EN SUCURSALES'!W82</f>
        <v>1</v>
      </c>
      <c r="X82">
        <f>'EXISTENCIA EN SUCURSALES'!X82+'DISTRIBUCIÓN EN SUCURSALES'!X82</f>
        <v>0</v>
      </c>
      <c r="Y82">
        <f>SUM(M82:X82)</f>
        <v>5</v>
      </c>
      <c r="Z82">
        <f>L82+Y82</f>
        <v>15</v>
      </c>
      <c r="AB82">
        <f>IFERROR(VLOOKUP(A82,'GRAL. SUC. LOCALES'!$A:$N,14,0),0)</f>
        <v>0</v>
      </c>
      <c r="AD82">
        <f>AB82+Z82</f>
        <v>15</v>
      </c>
      <c r="AF82">
        <v>20</v>
      </c>
      <c r="AG82">
        <v>20</v>
      </c>
      <c r="AH82">
        <f>AD82-AF82</f>
        <v>-5</v>
      </c>
    </row>
    <row r="83">
      <c r="A83" t="str">
        <v>PLANCHA 1/4</v>
      </c>
      <c r="B83">
        <f>'EXISTENCIA EN SUCURSALES'!B83+'DISTRIBUCIÓN EN SUCURSALES'!B83</f>
        <v>2</v>
      </c>
      <c r="C83">
        <f>'EXISTENCIA EN SUCURSALES'!C83+'DISTRIBUCIÓN EN SUCURSALES'!C83</f>
        <v>2</v>
      </c>
      <c r="D83">
        <f>'EXISTENCIA EN SUCURSALES'!D83+'DISTRIBUCIÓN EN SUCURSALES'!D83</f>
        <v>1</v>
      </c>
      <c r="E83">
        <f>'EXISTENCIA EN SUCURSALES'!E83+'DISTRIBUCIÓN EN SUCURSALES'!E83</f>
        <v>1</v>
      </c>
      <c r="F83">
        <f>'EXISTENCIA EN SUCURSALES'!F83+'DISTRIBUCIÓN EN SUCURSALES'!F83</f>
        <v>1</v>
      </c>
      <c r="G83">
        <f>'EXISTENCIA EN SUCURSALES'!G83+'DISTRIBUCIÓN EN SUCURSALES'!G83</f>
        <v>0</v>
      </c>
      <c r="H83">
        <f>'EXISTENCIA EN SUCURSALES'!H83+'DISTRIBUCIÓN EN SUCURSALES'!H83</f>
        <v>1</v>
      </c>
      <c r="I83">
        <f>'EXISTENCIA EN SUCURSALES'!I83+'DISTRIBUCIÓN EN SUCURSALES'!I83</f>
        <v>1</v>
      </c>
      <c r="J83">
        <f>'EXISTENCIA EN SUCURSALES'!J83+'DISTRIBUCIÓN EN SUCURSALES'!J83</f>
        <v>0</v>
      </c>
      <c r="K83">
        <f>'EXISTENCIA EN SUCURSALES'!K83+'DISTRIBUCIÓN EN SUCURSALES'!K83</f>
        <v>1</v>
      </c>
      <c r="L83">
        <f>SUM(B83:K83)</f>
        <v>10</v>
      </c>
      <c r="M83">
        <f>'EXISTENCIA EN SUCURSALES'!M83+'DISTRIBUCIÓN EN SUCURSALES'!M83</f>
        <v>3</v>
      </c>
      <c r="N83">
        <f>'EXISTENCIA EN SUCURSALES'!N83+'DISTRIBUCIÓN EN SUCURSALES'!N83</f>
        <v>0</v>
      </c>
      <c r="O83">
        <f>'EXISTENCIA EN SUCURSALES'!O83+'DISTRIBUCIÓN EN SUCURSALES'!O83</f>
        <v>0</v>
      </c>
      <c r="P83">
        <f>'EXISTENCIA EN SUCURSALES'!P83+'DISTRIBUCIÓN EN SUCURSALES'!P83</f>
        <v>0</v>
      </c>
      <c r="Q83">
        <f>'EXISTENCIA EN SUCURSALES'!Q83+'DISTRIBUCIÓN EN SUCURSALES'!Q83</f>
        <v>1</v>
      </c>
      <c r="R83">
        <f>'EXISTENCIA EN SUCURSALES'!R83+'DISTRIBUCIÓN EN SUCURSALES'!R83</f>
        <v>1</v>
      </c>
      <c r="S83">
        <f>'EXISTENCIA EN SUCURSALES'!S83+'DISTRIBUCIÓN EN SUCURSALES'!S83</f>
        <v>0</v>
      </c>
      <c r="T83">
        <f>'EXISTENCIA EN SUCURSALES'!T83+'DISTRIBUCIÓN EN SUCURSALES'!T83</f>
        <v>0</v>
      </c>
      <c r="U83">
        <f>'EXISTENCIA EN SUCURSALES'!U83+'DISTRIBUCIÓN EN SUCURSALES'!U83</f>
        <v>0</v>
      </c>
      <c r="V83">
        <f>'EXISTENCIA EN SUCURSALES'!V83+'DISTRIBUCIÓN EN SUCURSALES'!V83</f>
        <v>0</v>
      </c>
      <c r="W83">
        <f>'EXISTENCIA EN SUCURSALES'!W83+'DISTRIBUCIÓN EN SUCURSALES'!W83</f>
        <v>0</v>
      </c>
      <c r="X83">
        <f>'EXISTENCIA EN SUCURSALES'!X83+'DISTRIBUCIÓN EN SUCURSALES'!X83</f>
        <v>0</v>
      </c>
      <c r="Y83">
        <f>SUM(M83:X83)</f>
        <v>5</v>
      </c>
      <c r="Z83">
        <f>L83+Y83</f>
        <v>15</v>
      </c>
      <c r="AB83">
        <f>IFERROR(VLOOKUP(A83,'GRAL. SUC. LOCALES'!$A:$N,14,0),0)</f>
        <v>5</v>
      </c>
      <c r="AD83">
        <f>AB83+Z83</f>
        <v>20</v>
      </c>
      <c r="AF83">
        <v>20</v>
      </c>
      <c r="AG83">
        <v>20</v>
      </c>
      <c r="AH83">
        <f>AD83-AF83</f>
        <v>0</v>
      </c>
    </row>
    <row r="84">
      <c r="A84" t="str">
        <v>PLANCHA DE VAINILLA</v>
      </c>
      <c r="B84">
        <f>'EXISTENCIA EN SUCURSALES'!B84+'DISTRIBUCIÓN EN SUCURSALES'!B84</f>
        <v>3</v>
      </c>
      <c r="C84">
        <f>'EXISTENCIA EN SUCURSALES'!C84+'DISTRIBUCIÓN EN SUCURSALES'!C84</f>
        <v>4</v>
      </c>
      <c r="D84">
        <f>'EXISTENCIA EN SUCURSALES'!D84+'DISTRIBUCIÓN EN SUCURSALES'!D84</f>
        <v>1</v>
      </c>
      <c r="E84">
        <f>'EXISTENCIA EN SUCURSALES'!E84+'DISTRIBUCIÓN EN SUCURSALES'!E84</f>
        <v>1</v>
      </c>
      <c r="F84">
        <f>'EXISTENCIA EN SUCURSALES'!F84+'DISTRIBUCIÓN EN SUCURSALES'!F84</f>
        <v>1</v>
      </c>
      <c r="G84">
        <f>'EXISTENCIA EN SUCURSALES'!G84+'DISTRIBUCIÓN EN SUCURSALES'!G84</f>
        <v>0</v>
      </c>
      <c r="H84">
        <f>'EXISTENCIA EN SUCURSALES'!H84+'DISTRIBUCIÓN EN SUCURSALES'!H84</f>
        <v>1</v>
      </c>
      <c r="I84">
        <f>'EXISTENCIA EN SUCURSALES'!I84+'DISTRIBUCIÓN EN SUCURSALES'!I84</f>
        <v>0</v>
      </c>
      <c r="J84">
        <f>'EXISTENCIA EN SUCURSALES'!J84+'DISTRIBUCIÓN EN SUCURSALES'!J84</f>
        <v>1</v>
      </c>
      <c r="K84">
        <f>'EXISTENCIA EN SUCURSALES'!K84+'DISTRIBUCIÓN EN SUCURSALES'!K84</f>
        <v>1</v>
      </c>
      <c r="L84">
        <f>SUM(B84:K84)</f>
        <v>13</v>
      </c>
      <c r="M84">
        <f>'EXISTENCIA EN SUCURSALES'!M84+'DISTRIBUCIÓN EN SUCURSALES'!M84</f>
        <v>1</v>
      </c>
      <c r="N84">
        <f>'EXISTENCIA EN SUCURSALES'!N84+'DISTRIBUCIÓN EN SUCURSALES'!N84</f>
        <v>0</v>
      </c>
      <c r="O84">
        <f>'EXISTENCIA EN SUCURSALES'!O84+'DISTRIBUCIÓN EN SUCURSALES'!O84</f>
        <v>0</v>
      </c>
      <c r="P84">
        <f>'EXISTENCIA EN SUCURSALES'!P84+'DISTRIBUCIÓN EN SUCURSALES'!P84</f>
        <v>0</v>
      </c>
      <c r="Q84">
        <f>'EXISTENCIA EN SUCURSALES'!Q84+'DISTRIBUCIÓN EN SUCURSALES'!Q84</f>
        <v>1</v>
      </c>
      <c r="R84">
        <f>'EXISTENCIA EN SUCURSALES'!R84+'DISTRIBUCIÓN EN SUCURSALES'!R84</f>
        <v>1</v>
      </c>
      <c r="S84">
        <f>'EXISTENCIA EN SUCURSALES'!S84+'DISTRIBUCIÓN EN SUCURSALES'!S84</f>
        <v>1</v>
      </c>
      <c r="T84">
        <f>'EXISTENCIA EN SUCURSALES'!T84+'DISTRIBUCIÓN EN SUCURSALES'!T84</f>
        <v>0</v>
      </c>
      <c r="U84">
        <f>'EXISTENCIA EN SUCURSALES'!U84+'DISTRIBUCIÓN EN SUCURSALES'!U84</f>
        <v>0</v>
      </c>
      <c r="V84">
        <f>'EXISTENCIA EN SUCURSALES'!V84+'DISTRIBUCIÓN EN SUCURSALES'!V84</f>
        <v>0</v>
      </c>
      <c r="W84">
        <f>'EXISTENCIA EN SUCURSALES'!W84+'DISTRIBUCIÓN EN SUCURSALES'!W84</f>
        <v>0</v>
      </c>
      <c r="X84">
        <f>'EXISTENCIA EN SUCURSALES'!X84+'DISTRIBUCIÓN EN SUCURSALES'!X84</f>
        <v>0</v>
      </c>
      <c r="Y84">
        <f>SUM(M84:X84)</f>
        <v>4</v>
      </c>
      <c r="Z84">
        <f>L84+Y84</f>
        <v>17</v>
      </c>
      <c r="AB84">
        <f>IFERROR(VLOOKUP(A84,'GRAL. SUC. LOCALES'!$A:$N,14,0),0)</f>
        <v>5</v>
      </c>
      <c r="AD84">
        <f>AB84+Z84</f>
        <v>22</v>
      </c>
      <c r="AF84">
        <v>25</v>
      </c>
      <c r="AG84">
        <v>30</v>
      </c>
      <c r="AH84">
        <f>AD84-AF84</f>
        <v>-3</v>
      </c>
    </row>
    <row r="85">
      <c r="A85" t="str">
        <v>VAINILLA NATURAL</v>
      </c>
      <c r="B85">
        <f>'EXISTENCIA EN SUCURSALES'!B85+'DISTRIBUCIÓN EN SUCURSALES'!B85</f>
        <v>3</v>
      </c>
      <c r="C85">
        <f>'EXISTENCIA EN SUCURSALES'!C85+'DISTRIBUCIÓN EN SUCURSALES'!C85</f>
        <v>3</v>
      </c>
      <c r="D85">
        <f>'EXISTENCIA EN SUCURSALES'!D85+'DISTRIBUCIÓN EN SUCURSALES'!D85</f>
        <v>1</v>
      </c>
      <c r="E85">
        <f>'EXISTENCIA EN SUCURSALES'!E85+'DISTRIBUCIÓN EN SUCURSALES'!E85</f>
        <v>1</v>
      </c>
      <c r="F85">
        <f>'EXISTENCIA EN SUCURSALES'!F85+'DISTRIBUCIÓN EN SUCURSALES'!F85</f>
        <v>1</v>
      </c>
      <c r="G85">
        <f>'EXISTENCIA EN SUCURSALES'!G85+'DISTRIBUCIÓN EN SUCURSALES'!G85</f>
        <v>0</v>
      </c>
      <c r="H85">
        <f>'EXISTENCIA EN SUCURSALES'!H85+'DISTRIBUCIÓN EN SUCURSALES'!H85</f>
        <v>1</v>
      </c>
      <c r="I85">
        <f>'EXISTENCIA EN SUCURSALES'!I85+'DISTRIBUCIÓN EN SUCURSALES'!I85</f>
        <v>1</v>
      </c>
      <c r="J85">
        <f>'EXISTENCIA EN SUCURSALES'!J85+'DISTRIBUCIÓN EN SUCURSALES'!J85</f>
        <v>1</v>
      </c>
      <c r="K85">
        <f>'EXISTENCIA EN SUCURSALES'!K85+'DISTRIBUCIÓN EN SUCURSALES'!K85</f>
        <v>1</v>
      </c>
      <c r="L85">
        <f>SUM(B85:K85)</f>
        <v>13</v>
      </c>
      <c r="M85">
        <f>'EXISTENCIA EN SUCURSALES'!M85+'DISTRIBUCIÓN EN SUCURSALES'!M85</f>
        <v>3</v>
      </c>
      <c r="N85">
        <f>'EXISTENCIA EN SUCURSALES'!N85+'DISTRIBUCIÓN EN SUCURSALES'!N85</f>
        <v>1</v>
      </c>
      <c r="O85">
        <f>'EXISTENCIA EN SUCURSALES'!O85+'DISTRIBUCIÓN EN SUCURSALES'!O85</f>
        <v>0</v>
      </c>
      <c r="P85">
        <f>'EXISTENCIA EN SUCURSALES'!P85+'DISTRIBUCIÓN EN SUCURSALES'!P85</f>
        <v>0</v>
      </c>
      <c r="Q85">
        <f>'EXISTENCIA EN SUCURSALES'!Q85+'DISTRIBUCIÓN EN SUCURSALES'!Q85</f>
        <v>1</v>
      </c>
      <c r="R85">
        <f>'EXISTENCIA EN SUCURSALES'!R85+'DISTRIBUCIÓN EN SUCURSALES'!R85</f>
        <v>0</v>
      </c>
      <c r="S85">
        <f>'EXISTENCIA EN SUCURSALES'!S85+'DISTRIBUCIÓN EN SUCURSALES'!S85</f>
        <v>2</v>
      </c>
      <c r="T85">
        <f>'EXISTENCIA EN SUCURSALES'!T85+'DISTRIBUCIÓN EN SUCURSALES'!T85</f>
        <v>0</v>
      </c>
      <c r="U85">
        <f>'EXISTENCIA EN SUCURSALES'!U85+'DISTRIBUCIÓN EN SUCURSALES'!U85</f>
        <v>0</v>
      </c>
      <c r="V85">
        <f>'EXISTENCIA EN SUCURSALES'!V85+'DISTRIBUCIÓN EN SUCURSALES'!V85</f>
        <v>0</v>
      </c>
      <c r="W85">
        <f>'EXISTENCIA EN SUCURSALES'!W85+'DISTRIBUCIÓN EN SUCURSALES'!W85</f>
        <v>1</v>
      </c>
      <c r="X85">
        <f>'EXISTENCIA EN SUCURSALES'!X85+'DISTRIBUCIÓN EN SUCURSALES'!X85</f>
        <v>1</v>
      </c>
      <c r="Y85">
        <f>SUM(M85:X85)</f>
        <v>9</v>
      </c>
      <c r="Z85">
        <f>L85+Y85</f>
        <v>22</v>
      </c>
      <c r="AB85">
        <f>IFERROR(VLOOKUP(A85,'GRAL. SUC. LOCALES'!$A:$N,14,0),0)</f>
        <v>7</v>
      </c>
      <c r="AD85">
        <f>AB85+Z85</f>
        <v>29</v>
      </c>
      <c r="AF85">
        <v>40</v>
      </c>
      <c r="AG85">
        <v>45</v>
      </c>
      <c r="AH85">
        <f>AD85-AF85</f>
        <v>-11</v>
      </c>
    </row>
    <row r="86">
      <c r="A86" t="str">
        <v>PETIT DECORADO</v>
      </c>
      <c r="B86">
        <f>'EXISTENCIA EN SUCURSALES'!B86+'DISTRIBUCIÓN EN SUCURSALES'!B86</f>
        <v>3</v>
      </c>
      <c r="C86">
        <f>'EXISTENCIA EN SUCURSALES'!C86+'DISTRIBUCIÓN EN SUCURSALES'!C86</f>
        <v>5</v>
      </c>
      <c r="D86">
        <f>'EXISTENCIA EN SUCURSALES'!D86+'DISTRIBUCIÓN EN SUCURSALES'!D86</f>
        <v>2</v>
      </c>
      <c r="E86">
        <f>'EXISTENCIA EN SUCURSALES'!E86+'DISTRIBUCIÓN EN SUCURSALES'!E86</f>
        <v>3</v>
      </c>
      <c r="F86">
        <f>'EXISTENCIA EN SUCURSALES'!F86+'DISTRIBUCIÓN EN SUCURSALES'!F86</f>
        <v>2</v>
      </c>
      <c r="G86">
        <f>'EXISTENCIA EN SUCURSALES'!G86+'DISTRIBUCIÓN EN SUCURSALES'!G86</f>
        <v>0</v>
      </c>
      <c r="H86">
        <f>'EXISTENCIA EN SUCURSALES'!H86+'DISTRIBUCIÓN EN SUCURSALES'!H86</f>
        <v>3</v>
      </c>
      <c r="I86">
        <f>'EXISTENCIA EN SUCURSALES'!I86+'DISTRIBUCIÓN EN SUCURSALES'!I86</f>
        <v>2</v>
      </c>
      <c r="J86">
        <f>'EXISTENCIA EN SUCURSALES'!J86+'DISTRIBUCIÓN EN SUCURSALES'!J86</f>
        <v>3</v>
      </c>
      <c r="K86">
        <f>'EXISTENCIA EN SUCURSALES'!K86+'DISTRIBUCIÓN EN SUCURSALES'!K86</f>
        <v>2</v>
      </c>
      <c r="L86">
        <f>SUM(B86:K86)</f>
        <v>25</v>
      </c>
      <c r="M86">
        <f>'EXISTENCIA EN SUCURSALES'!M86+'DISTRIBUCIÓN EN SUCURSALES'!M86</f>
        <v>1</v>
      </c>
      <c r="N86">
        <f>'EXISTENCIA EN SUCURSALES'!N86+'DISTRIBUCIÓN EN SUCURSALES'!N86</f>
        <v>3</v>
      </c>
      <c r="O86">
        <f>'EXISTENCIA EN SUCURSALES'!O86+'DISTRIBUCIÓN EN SUCURSALES'!O86</f>
        <v>0</v>
      </c>
      <c r="P86">
        <f>'EXISTENCIA EN SUCURSALES'!P86+'DISTRIBUCIÓN EN SUCURSALES'!P86</f>
        <v>6</v>
      </c>
      <c r="Q86">
        <f>'EXISTENCIA EN SUCURSALES'!Q86+'DISTRIBUCIÓN EN SUCURSALES'!Q86</f>
        <v>3</v>
      </c>
      <c r="R86">
        <f>'EXISTENCIA EN SUCURSALES'!R86+'DISTRIBUCIÓN EN SUCURSALES'!R86</f>
        <v>3</v>
      </c>
      <c r="S86">
        <f>'EXISTENCIA EN SUCURSALES'!S86+'DISTRIBUCIÓN EN SUCURSALES'!S86</f>
        <v>1</v>
      </c>
      <c r="T86">
        <f>'EXISTENCIA EN SUCURSALES'!T86+'DISTRIBUCIÓN EN SUCURSALES'!T86</f>
        <v>0</v>
      </c>
      <c r="U86">
        <f>'EXISTENCIA EN SUCURSALES'!U86+'DISTRIBUCIÓN EN SUCURSALES'!U86</f>
        <v>0</v>
      </c>
      <c r="V86">
        <f>'EXISTENCIA EN SUCURSALES'!V86+'DISTRIBUCIÓN EN SUCURSALES'!V86</f>
        <v>0</v>
      </c>
      <c r="W86">
        <f>'EXISTENCIA EN SUCURSALES'!W86+'DISTRIBUCIÓN EN SUCURSALES'!W86</f>
        <v>2</v>
      </c>
      <c r="X86">
        <f>'EXISTENCIA EN SUCURSALES'!X86+'DISTRIBUCIÓN EN SUCURSALES'!X86</f>
        <v>0</v>
      </c>
      <c r="Y86">
        <f>SUM(M86:X86)</f>
        <v>19</v>
      </c>
      <c r="Z86">
        <f>L86+Y86</f>
        <v>44</v>
      </c>
      <c r="AB86">
        <f>IFERROR(VLOOKUP(A86,'GRAL. SUC. LOCALES'!$A:$N,14,0),0)</f>
        <v>4</v>
      </c>
      <c r="AD86">
        <f>AB86+Z86</f>
        <v>48</v>
      </c>
      <c r="AF86">
        <v>70</v>
      </c>
      <c r="AG86">
        <v>80</v>
      </c>
      <c r="AH86">
        <f>AD86-AF86</f>
        <v>-22</v>
      </c>
    </row>
    <row r="87">
      <c r="B87">
        <f>'EXISTENCIA EN SUCURSALES'!B87+'DISTRIBUCIÓN EN SUCURSALES'!B87</f>
        <v>0</v>
      </c>
      <c r="C87">
        <f>'EXISTENCIA EN SUCURSALES'!C87+'DISTRIBUCIÓN EN SUCURSALES'!C87</f>
        <v>0</v>
      </c>
      <c r="D87">
        <f>'EXISTENCIA EN SUCURSALES'!D87+'DISTRIBUCIÓN EN SUCURSALES'!D87</f>
        <v>0</v>
      </c>
      <c r="E87">
        <f>'EXISTENCIA EN SUCURSALES'!E87+'DISTRIBUCIÓN EN SUCURSALES'!E87</f>
        <v>0</v>
      </c>
      <c r="F87">
        <f>'EXISTENCIA EN SUCURSALES'!F87+'DISTRIBUCIÓN EN SUCURSALES'!F87</f>
        <v>0</v>
      </c>
      <c r="G87">
        <f>'EXISTENCIA EN SUCURSALES'!G87+'DISTRIBUCIÓN EN SUCURSALES'!G87</f>
        <v>0</v>
      </c>
      <c r="H87">
        <f>'EXISTENCIA EN SUCURSALES'!H87+'DISTRIBUCIÓN EN SUCURSALES'!H87</f>
        <v>0</v>
      </c>
      <c r="I87">
        <f>'EXISTENCIA EN SUCURSALES'!I87+'DISTRIBUCIÓN EN SUCURSALES'!I87</f>
        <v>0</v>
      </c>
      <c r="J87">
        <f>'EXISTENCIA EN SUCURSALES'!J87+'DISTRIBUCIÓN EN SUCURSALES'!J87</f>
        <v>0</v>
      </c>
      <c r="K87">
        <f>'EXISTENCIA EN SUCURSALES'!K87+'DISTRIBUCIÓN EN SUCURSALES'!K87</f>
        <v>0</v>
      </c>
      <c r="L87">
        <f>SUM(B87:K87)</f>
        <v>0</v>
      </c>
      <c r="M87">
        <f>'EXISTENCIA EN SUCURSALES'!M87+'DISTRIBUCIÓN EN SUCURSALES'!M87</f>
        <v>0</v>
      </c>
      <c r="N87">
        <f>'EXISTENCIA EN SUCURSALES'!N87+'DISTRIBUCIÓN EN SUCURSALES'!N87</f>
        <v>0</v>
      </c>
      <c r="O87">
        <f>'EXISTENCIA EN SUCURSALES'!O87+'DISTRIBUCIÓN EN SUCURSALES'!O87</f>
        <v>0</v>
      </c>
      <c r="P87">
        <f>'EXISTENCIA EN SUCURSALES'!P87+'DISTRIBUCIÓN EN SUCURSALES'!P87</f>
        <v>0</v>
      </c>
      <c r="Q87">
        <f>'EXISTENCIA EN SUCURSALES'!Q87+'DISTRIBUCIÓN EN SUCURSALES'!Q87</f>
        <v>0</v>
      </c>
      <c r="R87">
        <f>'EXISTENCIA EN SUCURSALES'!R87+'DISTRIBUCIÓN EN SUCURSALES'!R87</f>
        <v>0</v>
      </c>
      <c r="S87">
        <f>'EXISTENCIA EN SUCURSALES'!S87+'DISTRIBUCIÓN EN SUCURSALES'!S87</f>
        <v>0</v>
      </c>
      <c r="T87">
        <f>'EXISTENCIA EN SUCURSALES'!T87+'DISTRIBUCIÓN EN SUCURSALES'!T87</f>
        <v>0</v>
      </c>
      <c r="U87">
        <f>'EXISTENCIA EN SUCURSALES'!U87+'DISTRIBUCIÓN EN SUCURSALES'!U87</f>
        <v>0</v>
      </c>
      <c r="V87">
        <f>'EXISTENCIA EN SUCURSALES'!V87+'DISTRIBUCIÓN EN SUCURSALES'!V87</f>
        <v>0</v>
      </c>
      <c r="W87">
        <f>'EXISTENCIA EN SUCURSALES'!W87+'DISTRIBUCIÓN EN SUCURSALES'!W87</f>
        <v>0</v>
      </c>
      <c r="X87">
        <f>'EXISTENCIA EN SUCURSALES'!X87+'DISTRIBUCIÓN EN SUCURSALES'!X87</f>
        <v>0</v>
      </c>
      <c r="Y87">
        <f>SUM(M87:X87)</f>
        <v>0</v>
      </c>
      <c r="Z87">
        <f>L87+Y87</f>
        <v>0</v>
      </c>
      <c r="AB87">
        <f>IFERROR(VLOOKUP(A87,'GRAL. SUC. LOCALES'!$A:$N,14,0),0)</f>
        <v>0</v>
      </c>
      <c r="AD87">
        <f>AB87+Z87</f>
        <v>0</v>
      </c>
      <c r="AH87">
        <f>AD87-AF87</f>
        <v>0</v>
      </c>
    </row>
    <row r="88">
      <c r="B88">
        <f>'EXISTENCIA EN SUCURSALES'!B88+'DISTRIBUCIÓN EN SUCURSALES'!B88</f>
        <v>0</v>
      </c>
      <c r="C88">
        <f>'EXISTENCIA EN SUCURSALES'!C88+'DISTRIBUCIÓN EN SUCURSALES'!C88</f>
        <v>0</v>
      </c>
      <c r="D88">
        <f>'EXISTENCIA EN SUCURSALES'!D88+'DISTRIBUCIÓN EN SUCURSALES'!D88</f>
        <v>0</v>
      </c>
      <c r="E88">
        <f>'EXISTENCIA EN SUCURSALES'!E88+'DISTRIBUCIÓN EN SUCURSALES'!E88</f>
        <v>0</v>
      </c>
      <c r="F88">
        <f>'EXISTENCIA EN SUCURSALES'!F88+'DISTRIBUCIÓN EN SUCURSALES'!F88</f>
        <v>0</v>
      </c>
      <c r="G88">
        <f>'EXISTENCIA EN SUCURSALES'!G88+'DISTRIBUCIÓN EN SUCURSALES'!G88</f>
        <v>0</v>
      </c>
      <c r="H88">
        <f>'EXISTENCIA EN SUCURSALES'!H88+'DISTRIBUCIÓN EN SUCURSALES'!H88</f>
        <v>0</v>
      </c>
      <c r="I88">
        <f>'EXISTENCIA EN SUCURSALES'!I88+'DISTRIBUCIÓN EN SUCURSALES'!I88</f>
        <v>0</v>
      </c>
      <c r="J88">
        <f>'EXISTENCIA EN SUCURSALES'!J88+'DISTRIBUCIÓN EN SUCURSALES'!J88</f>
        <v>0</v>
      </c>
      <c r="K88">
        <f>'EXISTENCIA EN SUCURSALES'!K88+'DISTRIBUCIÓN EN SUCURSALES'!K88</f>
        <v>0</v>
      </c>
      <c r="L88">
        <f>SUM(B88:K88)</f>
        <v>0</v>
      </c>
      <c r="M88">
        <f>'EXISTENCIA EN SUCURSALES'!M88+'DISTRIBUCIÓN EN SUCURSALES'!M88</f>
        <v>0</v>
      </c>
      <c r="N88">
        <f>'EXISTENCIA EN SUCURSALES'!N88+'DISTRIBUCIÓN EN SUCURSALES'!N88</f>
        <v>0</v>
      </c>
      <c r="O88">
        <f>'EXISTENCIA EN SUCURSALES'!O88+'DISTRIBUCIÓN EN SUCURSALES'!O88</f>
        <v>0</v>
      </c>
      <c r="P88">
        <f>'EXISTENCIA EN SUCURSALES'!P88+'DISTRIBUCIÓN EN SUCURSALES'!P88</f>
        <v>0</v>
      </c>
      <c r="Q88">
        <f>'EXISTENCIA EN SUCURSALES'!Q88+'DISTRIBUCIÓN EN SUCURSALES'!Q88</f>
        <v>0</v>
      </c>
      <c r="R88">
        <f>'EXISTENCIA EN SUCURSALES'!R88+'DISTRIBUCIÓN EN SUCURSALES'!R88</f>
        <v>0</v>
      </c>
      <c r="S88">
        <f>'EXISTENCIA EN SUCURSALES'!S88+'DISTRIBUCIÓN EN SUCURSALES'!S88</f>
        <v>0</v>
      </c>
      <c r="T88">
        <f>'EXISTENCIA EN SUCURSALES'!T88+'DISTRIBUCIÓN EN SUCURSALES'!T88</f>
        <v>0</v>
      </c>
      <c r="U88">
        <f>'EXISTENCIA EN SUCURSALES'!U88+'DISTRIBUCIÓN EN SUCURSALES'!U88</f>
        <v>0</v>
      </c>
      <c r="V88">
        <f>'EXISTENCIA EN SUCURSALES'!V88+'DISTRIBUCIÓN EN SUCURSALES'!V88</f>
        <v>0</v>
      </c>
      <c r="W88">
        <f>'EXISTENCIA EN SUCURSALES'!W88+'DISTRIBUCIÓN EN SUCURSALES'!W88</f>
        <v>0</v>
      </c>
      <c r="X88">
        <f>'EXISTENCIA EN SUCURSALES'!X88+'DISTRIBUCIÓN EN SUCURSALES'!X88</f>
        <v>0</v>
      </c>
      <c r="Y88">
        <f>SUM(M88:X88)</f>
        <v>0</v>
      </c>
      <c r="Z88">
        <f>L88+Y88</f>
        <v>0</v>
      </c>
      <c r="AB88">
        <f>IFERROR(VLOOKUP(A88,'GRAL. SUC. LOCALES'!$A:$N,14,0),0)</f>
        <v>0</v>
      </c>
      <c r="AD88">
        <f>AB88+Z88</f>
        <v>0</v>
      </c>
      <c r="AH88">
        <f>AD88-AF88</f>
        <v>0</v>
      </c>
    </row>
    <row r="89">
      <c r="B89">
        <f>'EXISTENCIA EN SUCURSALES'!B89+'DISTRIBUCIÓN EN SUCURSALES'!B89</f>
        <v>0</v>
      </c>
      <c r="C89">
        <f>'EXISTENCIA EN SUCURSALES'!C89+'DISTRIBUCIÓN EN SUCURSALES'!C89</f>
        <v>0</v>
      </c>
      <c r="D89">
        <f>'EXISTENCIA EN SUCURSALES'!D89+'DISTRIBUCIÓN EN SUCURSALES'!D89</f>
        <v>0</v>
      </c>
      <c r="E89">
        <f>'EXISTENCIA EN SUCURSALES'!E89+'DISTRIBUCIÓN EN SUCURSALES'!E89</f>
        <v>0</v>
      </c>
      <c r="F89">
        <f>'EXISTENCIA EN SUCURSALES'!F89+'DISTRIBUCIÓN EN SUCURSALES'!F89</f>
        <v>0</v>
      </c>
      <c r="G89">
        <f>'EXISTENCIA EN SUCURSALES'!G89+'DISTRIBUCIÓN EN SUCURSALES'!G89</f>
        <v>0</v>
      </c>
      <c r="H89">
        <f>'EXISTENCIA EN SUCURSALES'!H89+'DISTRIBUCIÓN EN SUCURSALES'!H89</f>
        <v>0</v>
      </c>
      <c r="I89">
        <f>'EXISTENCIA EN SUCURSALES'!I89+'DISTRIBUCIÓN EN SUCURSALES'!I89</f>
        <v>0</v>
      </c>
      <c r="J89">
        <f>'EXISTENCIA EN SUCURSALES'!J89+'DISTRIBUCIÓN EN SUCURSALES'!J89</f>
        <v>0</v>
      </c>
      <c r="K89">
        <f>'EXISTENCIA EN SUCURSALES'!K89+'DISTRIBUCIÓN EN SUCURSALES'!K89</f>
        <v>0</v>
      </c>
      <c r="L89">
        <f>SUM(B89:K89)</f>
        <v>0</v>
      </c>
      <c r="M89">
        <f>'EXISTENCIA EN SUCURSALES'!M89+'DISTRIBUCIÓN EN SUCURSALES'!M89</f>
        <v>0</v>
      </c>
      <c r="N89">
        <f>'EXISTENCIA EN SUCURSALES'!N89+'DISTRIBUCIÓN EN SUCURSALES'!N89</f>
        <v>0</v>
      </c>
      <c r="O89">
        <f>'EXISTENCIA EN SUCURSALES'!O89+'DISTRIBUCIÓN EN SUCURSALES'!O89</f>
        <v>0</v>
      </c>
      <c r="P89">
        <f>'EXISTENCIA EN SUCURSALES'!P89+'DISTRIBUCIÓN EN SUCURSALES'!P89</f>
        <v>0</v>
      </c>
      <c r="Q89">
        <f>'EXISTENCIA EN SUCURSALES'!Q89+'DISTRIBUCIÓN EN SUCURSALES'!Q89</f>
        <v>0</v>
      </c>
      <c r="R89">
        <f>'EXISTENCIA EN SUCURSALES'!R89+'DISTRIBUCIÓN EN SUCURSALES'!R89</f>
        <v>0</v>
      </c>
      <c r="S89">
        <f>'EXISTENCIA EN SUCURSALES'!S89+'DISTRIBUCIÓN EN SUCURSALES'!S89</f>
        <v>0</v>
      </c>
      <c r="T89">
        <f>'EXISTENCIA EN SUCURSALES'!T89+'DISTRIBUCIÓN EN SUCURSALES'!T89</f>
        <v>0</v>
      </c>
      <c r="U89">
        <f>'EXISTENCIA EN SUCURSALES'!U89+'DISTRIBUCIÓN EN SUCURSALES'!U89</f>
        <v>0</v>
      </c>
      <c r="V89">
        <f>'EXISTENCIA EN SUCURSALES'!V89+'DISTRIBUCIÓN EN SUCURSALES'!V89</f>
        <v>0</v>
      </c>
      <c r="W89">
        <f>'EXISTENCIA EN SUCURSALES'!W89+'DISTRIBUCIÓN EN SUCURSALES'!W89</f>
        <v>0</v>
      </c>
      <c r="X89">
        <f>'EXISTENCIA EN SUCURSALES'!X89+'DISTRIBUCIÓN EN SUCURSALES'!X89</f>
        <v>0</v>
      </c>
      <c r="Y89">
        <f>SUM(M89:X89)</f>
        <v>0</v>
      </c>
      <c r="Z89">
        <f>L89+Y89</f>
        <v>0</v>
      </c>
      <c r="AB89">
        <f>IFERROR(VLOOKUP(A89,'GRAL. SUC. LOCALES'!$A:$N,14,0),0)</f>
        <v>0</v>
      </c>
      <c r="AD89">
        <f>AB89+Z89</f>
        <v>0</v>
      </c>
      <c r="AH89">
        <f>AD89-AF89</f>
        <v>0</v>
      </c>
    </row>
    <row r="90">
      <c r="B90">
        <f>'EXISTENCIA EN SUCURSALES'!B90+'DISTRIBUCIÓN EN SUCURSALES'!B90</f>
        <v>0</v>
      </c>
      <c r="C90">
        <f>'EXISTENCIA EN SUCURSALES'!C90+'DISTRIBUCIÓN EN SUCURSALES'!C90</f>
        <v>0</v>
      </c>
      <c r="D90">
        <f>'EXISTENCIA EN SUCURSALES'!D90+'DISTRIBUCIÓN EN SUCURSALES'!D90</f>
        <v>0</v>
      </c>
      <c r="E90">
        <f>'EXISTENCIA EN SUCURSALES'!E90+'DISTRIBUCIÓN EN SUCURSALES'!E90</f>
        <v>0</v>
      </c>
      <c r="F90">
        <f>'EXISTENCIA EN SUCURSALES'!F90+'DISTRIBUCIÓN EN SUCURSALES'!F90</f>
        <v>0</v>
      </c>
      <c r="G90">
        <f>'EXISTENCIA EN SUCURSALES'!G90+'DISTRIBUCIÓN EN SUCURSALES'!G90</f>
        <v>0</v>
      </c>
      <c r="H90">
        <f>'EXISTENCIA EN SUCURSALES'!H90+'DISTRIBUCIÓN EN SUCURSALES'!H90</f>
        <v>0</v>
      </c>
      <c r="I90">
        <f>'EXISTENCIA EN SUCURSALES'!I90+'DISTRIBUCIÓN EN SUCURSALES'!I90</f>
        <v>0</v>
      </c>
      <c r="J90">
        <f>'EXISTENCIA EN SUCURSALES'!J90+'DISTRIBUCIÓN EN SUCURSALES'!J90</f>
        <v>0</v>
      </c>
      <c r="K90">
        <f>'EXISTENCIA EN SUCURSALES'!K90+'DISTRIBUCIÓN EN SUCURSALES'!K90</f>
        <v>0</v>
      </c>
      <c r="L90">
        <f>SUM(B90:K90)</f>
        <v>0</v>
      </c>
      <c r="M90">
        <f>'EXISTENCIA EN SUCURSALES'!M90+'DISTRIBUCIÓN EN SUCURSALES'!M90</f>
        <v>0</v>
      </c>
      <c r="N90">
        <f>'EXISTENCIA EN SUCURSALES'!N90+'DISTRIBUCIÓN EN SUCURSALES'!N90</f>
        <v>0</v>
      </c>
      <c r="O90">
        <f>'EXISTENCIA EN SUCURSALES'!O90+'DISTRIBUCIÓN EN SUCURSALES'!O90</f>
        <v>0</v>
      </c>
      <c r="P90">
        <f>'EXISTENCIA EN SUCURSALES'!P90+'DISTRIBUCIÓN EN SUCURSALES'!P90</f>
        <v>0</v>
      </c>
      <c r="Q90">
        <f>'EXISTENCIA EN SUCURSALES'!Q90+'DISTRIBUCIÓN EN SUCURSALES'!Q90</f>
        <v>0</v>
      </c>
      <c r="R90">
        <f>'EXISTENCIA EN SUCURSALES'!R90+'DISTRIBUCIÓN EN SUCURSALES'!R90</f>
        <v>0</v>
      </c>
      <c r="S90">
        <f>'EXISTENCIA EN SUCURSALES'!S90+'DISTRIBUCIÓN EN SUCURSALES'!S90</f>
        <v>0</v>
      </c>
      <c r="T90">
        <f>'EXISTENCIA EN SUCURSALES'!T90+'DISTRIBUCIÓN EN SUCURSALES'!T90</f>
        <v>0</v>
      </c>
      <c r="U90">
        <f>'EXISTENCIA EN SUCURSALES'!U90+'DISTRIBUCIÓN EN SUCURSALES'!U90</f>
        <v>0</v>
      </c>
      <c r="V90">
        <f>'EXISTENCIA EN SUCURSALES'!V90+'DISTRIBUCIÓN EN SUCURSALES'!V90</f>
        <v>0</v>
      </c>
      <c r="W90">
        <f>'EXISTENCIA EN SUCURSALES'!W90+'DISTRIBUCIÓN EN SUCURSALES'!W90</f>
        <v>0</v>
      </c>
      <c r="X90">
        <f>'EXISTENCIA EN SUCURSALES'!X90+'DISTRIBUCIÓN EN SUCURSALES'!X90</f>
        <v>0</v>
      </c>
      <c r="Y90">
        <f>SUM(M90:X90)</f>
        <v>0</v>
      </c>
      <c r="Z90">
        <f>L90+Y90</f>
        <v>0</v>
      </c>
      <c r="AB90">
        <f>IFERROR(VLOOKUP(A90,'GRAL. SUC. LOCALES'!$A:$N,14,0),0)</f>
        <v>0</v>
      </c>
      <c r="AD90">
        <f>AB90+Z90</f>
        <v>0</v>
      </c>
      <c r="AH90">
        <f>AD90-AF90</f>
        <v>0</v>
      </c>
    </row>
    <row r="91">
      <c r="A91" t="str">
        <v>Total Area</v>
      </c>
      <c r="B91">
        <f>SUM(B81:B90)</f>
        <v>15</v>
      </c>
      <c r="C91">
        <f>SUM(C81:C90)</f>
        <v>19</v>
      </c>
      <c r="D91">
        <f>SUM(D81:D90)</f>
        <v>7</v>
      </c>
      <c r="E91">
        <f>SUM(E81:E90)</f>
        <v>8</v>
      </c>
      <c r="F91">
        <f>SUM(F81:F90)</f>
        <v>8</v>
      </c>
      <c r="G91">
        <f>SUM(G81:G90)</f>
        <v>0</v>
      </c>
      <c r="H91">
        <f>SUM(H81:H90)</f>
        <v>8</v>
      </c>
      <c r="I91">
        <f>SUM(I81:I90)</f>
        <v>6</v>
      </c>
      <c r="J91">
        <f>SUM(J81:J90)</f>
        <v>7</v>
      </c>
      <c r="K91">
        <f>SUM(K81:K90)</f>
        <v>7</v>
      </c>
      <c r="L91">
        <f>SUM(L81:L90)</f>
        <v>85</v>
      </c>
      <c r="M91">
        <f>SUM(M81:M90)</f>
        <v>10</v>
      </c>
      <c r="N91">
        <f>SUM(N81:N90)</f>
        <v>5</v>
      </c>
      <c r="O91">
        <f>SUM(O81:O90)</f>
        <v>1</v>
      </c>
      <c r="P91">
        <f>SUM(P81:P90)</f>
        <v>6</v>
      </c>
      <c r="Q91">
        <f>SUM(Q81:Q90)</f>
        <v>7</v>
      </c>
      <c r="R91">
        <f>SUM(R81:R90)</f>
        <v>5</v>
      </c>
      <c r="S91">
        <f>SUM(S81:S90)</f>
        <v>4</v>
      </c>
      <c r="T91">
        <f>SUM(T81:T90)</f>
        <v>1</v>
      </c>
      <c r="U91">
        <f>SUM(U81:U90)</f>
        <v>0</v>
      </c>
      <c r="V91">
        <f>SUM(V81:V90)</f>
        <v>0</v>
      </c>
      <c r="W91">
        <f>SUM(W81:W90)</f>
        <v>4</v>
      </c>
      <c r="X91">
        <f>SUM(X81:X90)</f>
        <v>1</v>
      </c>
      <c r="Y91">
        <f>SUM(Y81:Y90)</f>
        <v>44</v>
      </c>
      <c r="Z91">
        <f>SUM(Z81:Z90)</f>
        <v>129</v>
      </c>
      <c r="AB91">
        <f>SUM(AB81:AB90)</f>
        <v>25</v>
      </c>
      <c r="AD91">
        <f>AB91+Z91</f>
        <v>154</v>
      </c>
      <c r="AF91">
        <f>SUM(AF81:AF90)</f>
        <v>205</v>
      </c>
      <c r="AG91">
        <f>SUM(AG81:AG90)</f>
        <v>230</v>
      </c>
      <c r="AH91">
        <f>AD91-AF91</f>
        <v>-51</v>
      </c>
    </row>
    <row r="92">
      <c r="A92" t="str">
        <v xml:space="preserve">GELATINAS </v>
      </c>
      <c r="AD92">
        <f>AB92+Z92</f>
        <v>0</v>
      </c>
      <c r="AH92">
        <f>AD92-AF92</f>
        <v>0</v>
      </c>
    </row>
    <row r="93">
      <c r="A93" t="str">
        <v>GELATINA FRESA GDE</v>
      </c>
      <c r="B93">
        <f>'EXISTENCIA EN SUCURSALES'!B93+'DISTRIBUCIÓN EN SUCURSALES'!B93</f>
        <v>3</v>
      </c>
      <c r="C93">
        <f>'EXISTENCIA EN SUCURSALES'!C93+'DISTRIBUCIÓN EN SUCURSALES'!C93</f>
        <v>3</v>
      </c>
      <c r="D93">
        <f>'EXISTENCIA EN SUCURSALES'!D93+'DISTRIBUCIÓN EN SUCURSALES'!D93</f>
        <v>1</v>
      </c>
      <c r="E93">
        <f>'EXISTENCIA EN SUCURSALES'!E93+'DISTRIBUCIÓN EN SUCURSALES'!E93</f>
        <v>2</v>
      </c>
      <c r="F93">
        <f>'EXISTENCIA EN SUCURSALES'!F93+'DISTRIBUCIÓN EN SUCURSALES'!F93</f>
        <v>2</v>
      </c>
      <c r="G93">
        <f>'EXISTENCIA EN SUCURSALES'!G93+'DISTRIBUCIÓN EN SUCURSALES'!G93</f>
        <v>0</v>
      </c>
      <c r="H93">
        <f>'EXISTENCIA EN SUCURSALES'!H93+'DISTRIBUCIÓN EN SUCURSALES'!H93</f>
        <v>1</v>
      </c>
      <c r="I93">
        <f>'EXISTENCIA EN SUCURSALES'!I93+'DISTRIBUCIÓN EN SUCURSALES'!I93</f>
        <v>2</v>
      </c>
      <c r="J93">
        <f>'EXISTENCIA EN SUCURSALES'!J93+'DISTRIBUCIÓN EN SUCURSALES'!J93</f>
        <v>2</v>
      </c>
      <c r="K93">
        <f>'EXISTENCIA EN SUCURSALES'!K93+'DISTRIBUCIÓN EN SUCURSALES'!K93</f>
        <v>2</v>
      </c>
      <c r="L93">
        <f>SUM(B93:K93)</f>
        <v>18</v>
      </c>
      <c r="M93">
        <f>'EXISTENCIA EN SUCURSALES'!M93+'DISTRIBUCIÓN EN SUCURSALES'!M93</f>
        <v>2</v>
      </c>
      <c r="N93">
        <f>'EXISTENCIA EN SUCURSALES'!N93+'DISTRIBUCIÓN EN SUCURSALES'!N93</f>
        <v>1</v>
      </c>
      <c r="O93">
        <f>'EXISTENCIA EN SUCURSALES'!O93+'DISTRIBUCIÓN EN SUCURSALES'!O93</f>
        <v>0</v>
      </c>
      <c r="P93">
        <f>'EXISTENCIA EN SUCURSALES'!P93+'DISTRIBUCIÓN EN SUCURSALES'!P93</f>
        <v>0</v>
      </c>
      <c r="Q93">
        <f>'EXISTENCIA EN SUCURSALES'!Q93+'DISTRIBUCIÓN EN SUCURSALES'!Q93</f>
        <v>0</v>
      </c>
      <c r="R93">
        <f>'EXISTENCIA EN SUCURSALES'!R93+'DISTRIBUCIÓN EN SUCURSALES'!R93</f>
        <v>1</v>
      </c>
      <c r="S93">
        <f>'EXISTENCIA EN SUCURSALES'!S93+'DISTRIBUCIÓN EN SUCURSALES'!S93</f>
        <v>0</v>
      </c>
      <c r="T93">
        <f>'EXISTENCIA EN SUCURSALES'!T93+'DISTRIBUCIÓN EN SUCURSALES'!T93</f>
        <v>0</v>
      </c>
      <c r="U93">
        <f>'EXISTENCIA EN SUCURSALES'!U93+'DISTRIBUCIÓN EN SUCURSALES'!U93</f>
        <v>0</v>
      </c>
      <c r="V93">
        <f>'EXISTENCIA EN SUCURSALES'!V93+'DISTRIBUCIÓN EN SUCURSALES'!V93</f>
        <v>1</v>
      </c>
      <c r="W93">
        <f>'EXISTENCIA EN SUCURSALES'!W93+'DISTRIBUCIÓN EN SUCURSALES'!W93</f>
        <v>0</v>
      </c>
      <c r="X93">
        <f>'EXISTENCIA EN SUCURSALES'!X93+'DISTRIBUCIÓN EN SUCURSALES'!X93</f>
        <v>0</v>
      </c>
      <c r="Y93">
        <f>SUM(M93:X93)</f>
        <v>5</v>
      </c>
      <c r="Z93">
        <f>L93+Y93</f>
        <v>23</v>
      </c>
      <c r="AB93">
        <f>IFERROR(VLOOKUP(A93,'GRAL. SUC. LOCALES'!$A:$N,14,0),0)</f>
        <v>11</v>
      </c>
      <c r="AD93">
        <f>AB93+Z93</f>
        <v>34</v>
      </c>
      <c r="AF93">
        <v>45</v>
      </c>
      <c r="AG93">
        <v>45</v>
      </c>
      <c r="AH93">
        <f>AD93-AF93</f>
        <v>-11</v>
      </c>
    </row>
    <row r="94">
      <c r="A94" t="str">
        <v>GELATINA MOSAICO GDE</v>
      </c>
      <c r="B94">
        <f>'EXISTENCIA EN SUCURSALES'!B94+'DISTRIBUCIÓN EN SUCURSALES'!B94</f>
        <v>2</v>
      </c>
      <c r="C94">
        <f>'EXISTENCIA EN SUCURSALES'!C94+'DISTRIBUCIÓN EN SUCURSALES'!C94</f>
        <v>3</v>
      </c>
      <c r="D94">
        <f>'EXISTENCIA EN SUCURSALES'!D94+'DISTRIBUCIÓN EN SUCURSALES'!D94</f>
        <v>1</v>
      </c>
      <c r="E94">
        <f>'EXISTENCIA EN SUCURSALES'!E94+'DISTRIBUCIÓN EN SUCURSALES'!E94</f>
        <v>2</v>
      </c>
      <c r="F94">
        <f>'EXISTENCIA EN SUCURSALES'!F94+'DISTRIBUCIÓN EN SUCURSALES'!F94</f>
        <v>2</v>
      </c>
      <c r="G94">
        <f>'EXISTENCIA EN SUCURSALES'!G94+'DISTRIBUCIÓN EN SUCURSALES'!G94</f>
        <v>0</v>
      </c>
      <c r="H94">
        <f>'EXISTENCIA EN SUCURSALES'!H94+'DISTRIBUCIÓN EN SUCURSALES'!H94</f>
        <v>1</v>
      </c>
      <c r="I94">
        <f>'EXISTENCIA EN SUCURSALES'!I94+'DISTRIBUCIÓN EN SUCURSALES'!I94</f>
        <v>1</v>
      </c>
      <c r="J94">
        <f>'EXISTENCIA EN SUCURSALES'!J94+'DISTRIBUCIÓN EN SUCURSALES'!J94</f>
        <v>2</v>
      </c>
      <c r="K94">
        <f>'EXISTENCIA EN SUCURSALES'!K94+'DISTRIBUCIÓN EN SUCURSALES'!K94</f>
        <v>1</v>
      </c>
      <c r="L94">
        <f>SUM(B94:K94)</f>
        <v>15</v>
      </c>
      <c r="M94">
        <f>'EXISTENCIA EN SUCURSALES'!M94+'DISTRIBUCIÓN EN SUCURSALES'!M94</f>
        <v>2</v>
      </c>
      <c r="N94">
        <f>'EXISTENCIA EN SUCURSALES'!N94+'DISTRIBUCIÓN EN SUCURSALES'!N94</f>
        <v>1</v>
      </c>
      <c r="O94">
        <f>'EXISTENCIA EN SUCURSALES'!O94+'DISTRIBUCIÓN EN SUCURSALES'!O94</f>
        <v>0</v>
      </c>
      <c r="P94">
        <f>'EXISTENCIA EN SUCURSALES'!P94+'DISTRIBUCIÓN EN SUCURSALES'!P94</f>
        <v>0</v>
      </c>
      <c r="Q94">
        <f>'EXISTENCIA EN SUCURSALES'!Q94+'DISTRIBUCIÓN EN SUCURSALES'!Q94</f>
        <v>0</v>
      </c>
      <c r="R94">
        <f>'EXISTENCIA EN SUCURSALES'!R94+'DISTRIBUCIÓN EN SUCURSALES'!R94</f>
        <v>1</v>
      </c>
      <c r="S94">
        <f>'EXISTENCIA EN SUCURSALES'!S94+'DISTRIBUCIÓN EN SUCURSALES'!S94</f>
        <v>0</v>
      </c>
      <c r="T94">
        <f>'EXISTENCIA EN SUCURSALES'!T94+'DISTRIBUCIÓN EN SUCURSALES'!T94</f>
        <v>0</v>
      </c>
      <c r="U94">
        <f>'EXISTENCIA EN SUCURSALES'!U94+'DISTRIBUCIÓN EN SUCURSALES'!U94</f>
        <v>1</v>
      </c>
      <c r="V94">
        <f>'EXISTENCIA EN SUCURSALES'!V94+'DISTRIBUCIÓN EN SUCURSALES'!V94</f>
        <v>0</v>
      </c>
      <c r="W94">
        <f>'EXISTENCIA EN SUCURSALES'!W94+'DISTRIBUCIÓN EN SUCURSALES'!W94</f>
        <v>0</v>
      </c>
      <c r="X94">
        <f>'EXISTENCIA EN SUCURSALES'!X94+'DISTRIBUCIÓN EN SUCURSALES'!X94</f>
        <v>1</v>
      </c>
      <c r="Y94">
        <f>SUM(M94:X94)</f>
        <v>6</v>
      </c>
      <c r="Z94">
        <f>L94+Y94</f>
        <v>21</v>
      </c>
      <c r="AB94">
        <f>IFERROR(VLOOKUP(A94,'GRAL. SUC. LOCALES'!$A:$N,14,0),0)</f>
        <v>13</v>
      </c>
      <c r="AD94">
        <f>AB94+Z94</f>
        <v>34</v>
      </c>
      <c r="AF94">
        <v>40</v>
      </c>
      <c r="AG94">
        <v>30</v>
      </c>
      <c r="AH94">
        <f>AD94-AF94</f>
        <v>-6</v>
      </c>
    </row>
    <row r="95">
      <c r="A95" t="str">
        <v>GELATINA MOSAICO CH</v>
      </c>
      <c r="B95">
        <f>'EXISTENCIA EN SUCURSALES'!B95+'DISTRIBUCIÓN EN SUCURSALES'!B95</f>
        <v>3</v>
      </c>
      <c r="C95">
        <f>'EXISTENCIA EN SUCURSALES'!C95+'DISTRIBUCIÓN EN SUCURSALES'!C95</f>
        <v>2</v>
      </c>
      <c r="D95">
        <f>'EXISTENCIA EN SUCURSALES'!D95+'DISTRIBUCIÓN EN SUCURSALES'!D95</f>
        <v>1</v>
      </c>
      <c r="E95">
        <f>'EXISTENCIA EN SUCURSALES'!E95+'DISTRIBUCIÓN EN SUCURSALES'!E95</f>
        <v>1</v>
      </c>
      <c r="F95">
        <f>'EXISTENCIA EN SUCURSALES'!F95+'DISTRIBUCIÓN EN SUCURSALES'!F95</f>
        <v>1</v>
      </c>
      <c r="G95">
        <f>'EXISTENCIA EN SUCURSALES'!G95+'DISTRIBUCIÓN EN SUCURSALES'!G95</f>
        <v>0</v>
      </c>
      <c r="H95">
        <f>'EXISTENCIA EN SUCURSALES'!H95+'DISTRIBUCIÓN EN SUCURSALES'!H95</f>
        <v>2</v>
      </c>
      <c r="I95">
        <f>'EXISTENCIA EN SUCURSALES'!I95+'DISTRIBUCIÓN EN SUCURSALES'!I95</f>
        <v>1</v>
      </c>
      <c r="J95">
        <f>'EXISTENCIA EN SUCURSALES'!J95+'DISTRIBUCIÓN EN SUCURSALES'!J95</f>
        <v>2</v>
      </c>
      <c r="K95">
        <f>'EXISTENCIA EN SUCURSALES'!K95+'DISTRIBUCIÓN EN SUCURSALES'!K95</f>
        <v>2</v>
      </c>
      <c r="L95">
        <f>SUM(B95:K95)</f>
        <v>15</v>
      </c>
      <c r="M95">
        <f>'EXISTENCIA EN SUCURSALES'!M95+'DISTRIBUCIÓN EN SUCURSALES'!M95</f>
        <v>0</v>
      </c>
      <c r="N95">
        <f>'EXISTENCIA EN SUCURSALES'!N95+'DISTRIBUCIÓN EN SUCURSALES'!N95</f>
        <v>1</v>
      </c>
      <c r="O95">
        <f>'EXISTENCIA EN SUCURSALES'!O95+'DISTRIBUCIÓN EN SUCURSALES'!O95</f>
        <v>0</v>
      </c>
      <c r="P95">
        <f>'EXISTENCIA EN SUCURSALES'!P95+'DISTRIBUCIÓN EN SUCURSALES'!P95</f>
        <v>0</v>
      </c>
      <c r="Q95">
        <f>'EXISTENCIA EN SUCURSALES'!Q95+'DISTRIBUCIÓN EN SUCURSALES'!Q95</f>
        <v>2</v>
      </c>
      <c r="R95">
        <f>'EXISTENCIA EN SUCURSALES'!R95+'DISTRIBUCIÓN EN SUCURSALES'!R95</f>
        <v>1</v>
      </c>
      <c r="S95">
        <f>'EXISTENCIA EN SUCURSALES'!S95+'DISTRIBUCIÓN EN SUCURSALES'!S95</f>
        <v>0</v>
      </c>
      <c r="T95">
        <f>'EXISTENCIA EN SUCURSALES'!T95+'DISTRIBUCIÓN EN SUCURSALES'!T95</f>
        <v>1</v>
      </c>
      <c r="U95">
        <f>'EXISTENCIA EN SUCURSALES'!U95+'DISTRIBUCIÓN EN SUCURSALES'!U95</f>
        <v>0</v>
      </c>
      <c r="V95">
        <f>'EXISTENCIA EN SUCURSALES'!V95+'DISTRIBUCIÓN EN SUCURSALES'!V95</f>
        <v>0</v>
      </c>
      <c r="W95">
        <f>'EXISTENCIA EN SUCURSALES'!W95+'DISTRIBUCIÓN EN SUCURSALES'!W95</f>
        <v>0</v>
      </c>
      <c r="X95">
        <f>'EXISTENCIA EN SUCURSALES'!X95+'DISTRIBUCIÓN EN SUCURSALES'!X95</f>
        <v>1</v>
      </c>
      <c r="Y95">
        <f>SUM(M95:X95)</f>
        <v>6</v>
      </c>
      <c r="Z95">
        <f>L95+Y95</f>
        <v>21</v>
      </c>
      <c r="AB95">
        <f>IFERROR(VLOOKUP(A95,'GRAL. SUC. LOCALES'!$A:$N,14,0),0)</f>
        <v>10</v>
      </c>
      <c r="AD95">
        <f>AB95+Z95</f>
        <v>31</v>
      </c>
      <c r="AF95">
        <v>40</v>
      </c>
      <c r="AG95">
        <v>35</v>
      </c>
      <c r="AH95">
        <f>AD95-AF95</f>
        <v>-9</v>
      </c>
    </row>
    <row r="96">
      <c r="A96" t="str">
        <v>GELATINA IND FRESA</v>
      </c>
      <c r="B96">
        <f>'EXISTENCIA EN SUCURSALES'!B96+'DISTRIBUCIÓN EN SUCURSALES'!B96</f>
        <v>8</v>
      </c>
      <c r="C96">
        <f>'EXISTENCIA EN SUCURSALES'!C96+'DISTRIBUCIÓN EN SUCURSALES'!C96</f>
        <v>10</v>
      </c>
      <c r="D96">
        <f>'EXISTENCIA EN SUCURSALES'!D96+'DISTRIBUCIÓN EN SUCURSALES'!D96</f>
        <v>5</v>
      </c>
      <c r="E96">
        <f>'EXISTENCIA EN SUCURSALES'!E96+'DISTRIBUCIÓN EN SUCURSALES'!E96</f>
        <v>4</v>
      </c>
      <c r="F96">
        <f>'EXISTENCIA EN SUCURSALES'!F96+'DISTRIBUCIÓN EN SUCURSALES'!F96</f>
        <v>4</v>
      </c>
      <c r="G96">
        <f>'EXISTENCIA EN SUCURSALES'!G96+'DISTRIBUCIÓN EN SUCURSALES'!G96</f>
        <v>0</v>
      </c>
      <c r="H96">
        <f>'EXISTENCIA EN SUCURSALES'!H96+'DISTRIBUCIÓN EN SUCURSALES'!H96</f>
        <v>5</v>
      </c>
      <c r="I96">
        <f>'EXISTENCIA EN SUCURSALES'!I96+'DISTRIBUCIÓN EN SUCURSALES'!I96</f>
        <v>10</v>
      </c>
      <c r="J96">
        <f>'EXISTENCIA EN SUCURSALES'!J96+'DISTRIBUCIÓN EN SUCURSALES'!J96</f>
        <v>6</v>
      </c>
      <c r="K96">
        <f>'EXISTENCIA EN SUCURSALES'!K96+'DISTRIBUCIÓN EN SUCURSALES'!K96</f>
        <v>4</v>
      </c>
      <c r="L96">
        <f>SUM(B96:K96)</f>
        <v>56</v>
      </c>
      <c r="M96">
        <f>'EXISTENCIA EN SUCURSALES'!M96+'DISTRIBUCIÓN EN SUCURSALES'!M96</f>
        <v>7</v>
      </c>
      <c r="N96">
        <f>'EXISTENCIA EN SUCURSALES'!N96+'DISTRIBUCIÓN EN SUCURSALES'!N96</f>
        <v>7</v>
      </c>
      <c r="O96">
        <f>'EXISTENCIA EN SUCURSALES'!O96+'DISTRIBUCIÓN EN SUCURSALES'!O96</f>
        <v>5</v>
      </c>
      <c r="P96">
        <f>'EXISTENCIA EN SUCURSALES'!P96+'DISTRIBUCIÓN EN SUCURSALES'!P96</f>
        <v>8</v>
      </c>
      <c r="Q96">
        <f>'EXISTENCIA EN SUCURSALES'!Q96+'DISTRIBUCIÓN EN SUCURSALES'!Q96</f>
        <v>6</v>
      </c>
      <c r="R96">
        <f>'EXISTENCIA EN SUCURSALES'!R96+'DISTRIBUCIÓN EN SUCURSALES'!R96</f>
        <v>10</v>
      </c>
      <c r="S96">
        <f>'EXISTENCIA EN SUCURSALES'!S96+'DISTRIBUCIÓN EN SUCURSALES'!S96</f>
        <v>4</v>
      </c>
      <c r="T96">
        <f>'EXISTENCIA EN SUCURSALES'!T96+'DISTRIBUCIÓN EN SUCURSALES'!T96</f>
        <v>5</v>
      </c>
      <c r="U96">
        <f>'EXISTENCIA EN SUCURSALES'!U96+'DISTRIBUCIÓN EN SUCURSALES'!U96</f>
        <v>0</v>
      </c>
      <c r="V96">
        <f>'EXISTENCIA EN SUCURSALES'!V96+'DISTRIBUCIÓN EN SUCURSALES'!V96</f>
        <v>8</v>
      </c>
      <c r="W96">
        <f>'EXISTENCIA EN SUCURSALES'!W96+'DISTRIBUCIÓN EN SUCURSALES'!W96</f>
        <v>3</v>
      </c>
      <c r="X96">
        <f>'EXISTENCIA EN SUCURSALES'!X96+'DISTRIBUCIÓN EN SUCURSALES'!X96</f>
        <v>0</v>
      </c>
      <c r="Y96">
        <f>SUM(M96:X96)</f>
        <v>63</v>
      </c>
      <c r="Z96">
        <f>L96+Y96</f>
        <v>119</v>
      </c>
      <c r="AB96">
        <f>IFERROR(VLOOKUP(A96,'GRAL. SUC. LOCALES'!$A:$N,14,0),0)</f>
        <v>40</v>
      </c>
      <c r="AD96">
        <f>AB96+Z96</f>
        <v>159</v>
      </c>
      <c r="AF96">
        <v>200</v>
      </c>
      <c r="AG96">
        <v>200</v>
      </c>
      <c r="AH96">
        <f>AD96-AF96</f>
        <v>-41</v>
      </c>
    </row>
    <row r="97">
      <c r="A97" t="str">
        <v>GELATINA IND MOSAICO</v>
      </c>
      <c r="B97">
        <f>'EXISTENCIA EN SUCURSALES'!B97+'DISTRIBUCIÓN EN SUCURSALES'!B97</f>
        <v>6</v>
      </c>
      <c r="C97">
        <f>'EXISTENCIA EN SUCURSALES'!C97+'DISTRIBUCIÓN EN SUCURSALES'!C97</f>
        <v>6</v>
      </c>
      <c r="D97">
        <f>'EXISTENCIA EN SUCURSALES'!D97+'DISTRIBUCIÓN EN SUCURSALES'!D97</f>
        <v>5</v>
      </c>
      <c r="E97">
        <f>'EXISTENCIA EN SUCURSALES'!E97+'DISTRIBUCIÓN EN SUCURSALES'!E97</f>
        <v>4</v>
      </c>
      <c r="F97">
        <f>'EXISTENCIA EN SUCURSALES'!F97+'DISTRIBUCIÓN EN SUCURSALES'!F97</f>
        <v>2</v>
      </c>
      <c r="G97">
        <f>'EXISTENCIA EN SUCURSALES'!G97+'DISTRIBUCIÓN EN SUCURSALES'!G97</f>
        <v>0</v>
      </c>
      <c r="H97">
        <f>'EXISTENCIA EN SUCURSALES'!H97+'DISTRIBUCIÓN EN SUCURSALES'!H97</f>
        <v>4</v>
      </c>
      <c r="I97">
        <f>'EXISTENCIA EN SUCURSALES'!I97+'DISTRIBUCIÓN EN SUCURSALES'!I97</f>
        <v>5</v>
      </c>
      <c r="J97">
        <f>'EXISTENCIA EN SUCURSALES'!J97+'DISTRIBUCIÓN EN SUCURSALES'!J97</f>
        <v>6</v>
      </c>
      <c r="K97">
        <f>'EXISTENCIA EN SUCURSALES'!K97+'DISTRIBUCIÓN EN SUCURSALES'!K97</f>
        <v>2</v>
      </c>
      <c r="L97">
        <f>SUM(B97:K97)</f>
        <v>40</v>
      </c>
      <c r="M97">
        <f>'EXISTENCIA EN SUCURSALES'!M97+'DISTRIBUCIÓN EN SUCURSALES'!M97</f>
        <v>6</v>
      </c>
      <c r="N97">
        <f>'EXISTENCIA EN SUCURSALES'!N97+'DISTRIBUCIÓN EN SUCURSALES'!N97</f>
        <v>2</v>
      </c>
      <c r="O97">
        <f>'EXISTENCIA EN SUCURSALES'!O97+'DISTRIBUCIÓN EN SUCURSALES'!O97</f>
        <v>5</v>
      </c>
      <c r="P97">
        <f>'EXISTENCIA EN SUCURSALES'!P97+'DISTRIBUCIÓN EN SUCURSALES'!P97</f>
        <v>8</v>
      </c>
      <c r="Q97">
        <f>'EXISTENCIA EN SUCURSALES'!Q97+'DISTRIBUCIÓN EN SUCURSALES'!Q97</f>
        <v>0</v>
      </c>
      <c r="R97">
        <f>'EXISTENCIA EN SUCURSALES'!R97+'DISTRIBUCIÓN EN SUCURSALES'!R97</f>
        <v>7</v>
      </c>
      <c r="S97">
        <f>'EXISTENCIA EN SUCURSALES'!S97+'DISTRIBUCIÓN EN SUCURSALES'!S97</f>
        <v>5</v>
      </c>
      <c r="T97">
        <f>'EXISTENCIA EN SUCURSALES'!T97+'DISTRIBUCIÓN EN SUCURSALES'!T97</f>
        <v>0</v>
      </c>
      <c r="U97">
        <f>'EXISTENCIA EN SUCURSALES'!U97+'DISTRIBUCIÓN EN SUCURSALES'!U97</f>
        <v>0</v>
      </c>
      <c r="V97">
        <f>'EXISTENCIA EN SUCURSALES'!V97+'DISTRIBUCIÓN EN SUCURSALES'!V97</f>
        <v>4</v>
      </c>
      <c r="W97">
        <f>'EXISTENCIA EN SUCURSALES'!W97+'DISTRIBUCIÓN EN SUCURSALES'!W97</f>
        <v>4</v>
      </c>
      <c r="X97">
        <f>'EXISTENCIA EN SUCURSALES'!X97+'DISTRIBUCIÓN EN SUCURSALES'!X97</f>
        <v>2</v>
      </c>
      <c r="Y97">
        <f>SUM(M97:X97)</f>
        <v>43</v>
      </c>
      <c r="Z97">
        <f>L97+Y97</f>
        <v>83</v>
      </c>
      <c r="AB97">
        <f>IFERROR(VLOOKUP(A97,'GRAL. SUC. LOCALES'!$A:$N,14,0),0)</f>
        <v>19</v>
      </c>
      <c r="AD97">
        <f>AB97+Z97</f>
        <v>102</v>
      </c>
      <c r="AF97">
        <v>140</v>
      </c>
      <c r="AG97">
        <v>140</v>
      </c>
      <c r="AH97">
        <f>AD97-AF97</f>
        <v>-38</v>
      </c>
    </row>
    <row r="98">
      <c r="A98" t="str">
        <v>GELATINA PROMO $90</v>
      </c>
      <c r="B98">
        <f>'EXISTENCIA EN SUCURSALES'!B98+'DISTRIBUCIÓN EN SUCURSALES'!B98</f>
        <v>7</v>
      </c>
      <c r="C98">
        <f>'EXISTENCIA EN SUCURSALES'!C98+'DISTRIBUCIÓN EN SUCURSALES'!C98</f>
        <v>10</v>
      </c>
      <c r="D98">
        <f>'EXISTENCIA EN SUCURSALES'!D98+'DISTRIBUCIÓN EN SUCURSALES'!D98</f>
        <v>6</v>
      </c>
      <c r="E98">
        <f>'EXISTENCIA EN SUCURSALES'!E98+'DISTRIBUCIÓN EN SUCURSALES'!E98</f>
        <v>4</v>
      </c>
      <c r="F98">
        <f>'EXISTENCIA EN SUCURSALES'!F98+'DISTRIBUCIÓN EN SUCURSALES'!F98</f>
        <v>6</v>
      </c>
      <c r="G98">
        <f>'EXISTENCIA EN SUCURSALES'!G98+'DISTRIBUCIÓN EN SUCURSALES'!G98</f>
        <v>0</v>
      </c>
      <c r="H98">
        <f>'EXISTENCIA EN SUCURSALES'!H98+'DISTRIBUCIÓN EN SUCURSALES'!H98</f>
        <v>4</v>
      </c>
      <c r="I98">
        <f>'EXISTENCIA EN SUCURSALES'!I98+'DISTRIBUCIÓN EN SUCURSALES'!I98</f>
        <v>5</v>
      </c>
      <c r="J98">
        <f>'EXISTENCIA EN SUCURSALES'!J98+'DISTRIBUCIÓN EN SUCURSALES'!J98</f>
        <v>4</v>
      </c>
      <c r="K98">
        <f>'EXISTENCIA EN SUCURSALES'!K98+'DISTRIBUCIÓN EN SUCURSALES'!K98</f>
        <v>5</v>
      </c>
      <c r="L98">
        <f>SUM(B98:K98)</f>
        <v>51</v>
      </c>
      <c r="M98">
        <f>'EXISTENCIA EN SUCURSALES'!M98+'DISTRIBUCIÓN EN SUCURSALES'!M98</f>
        <v>0</v>
      </c>
      <c r="N98">
        <f>'EXISTENCIA EN SUCURSALES'!N98+'DISTRIBUCIÓN EN SUCURSALES'!N98</f>
        <v>6</v>
      </c>
      <c r="O98">
        <f>'EXISTENCIA EN SUCURSALES'!O98+'DISTRIBUCIÓN EN SUCURSALES'!O98</f>
        <v>4</v>
      </c>
      <c r="P98">
        <f>'EXISTENCIA EN SUCURSALES'!P98+'DISTRIBUCIÓN EN SUCURSALES'!P98</f>
        <v>5</v>
      </c>
      <c r="Q98">
        <f>'EXISTENCIA EN SUCURSALES'!Q98+'DISTRIBUCIÓN EN SUCURSALES'!Q98</f>
        <v>5</v>
      </c>
      <c r="R98">
        <f>'EXISTENCIA EN SUCURSALES'!R98+'DISTRIBUCIÓN EN SUCURSALES'!R98</f>
        <v>10</v>
      </c>
      <c r="S98">
        <f>'EXISTENCIA EN SUCURSALES'!S98+'DISTRIBUCIÓN EN SUCURSALES'!S98</f>
        <v>2</v>
      </c>
      <c r="T98">
        <f>'EXISTENCIA EN SUCURSALES'!T98+'DISTRIBUCIÓN EN SUCURSALES'!T98</f>
        <v>5</v>
      </c>
      <c r="U98">
        <f>'EXISTENCIA EN SUCURSALES'!U98+'DISTRIBUCIÓN EN SUCURSALES'!U98</f>
        <v>0</v>
      </c>
      <c r="V98">
        <f>'EXISTENCIA EN SUCURSALES'!V98+'DISTRIBUCIÓN EN SUCURSALES'!V98</f>
        <v>7</v>
      </c>
      <c r="W98">
        <f>'EXISTENCIA EN SUCURSALES'!W98+'DISTRIBUCIÓN EN SUCURSALES'!W98</f>
        <v>8</v>
      </c>
      <c r="X98">
        <f>'EXISTENCIA EN SUCURSALES'!X98+'DISTRIBUCIÓN EN SUCURSALES'!X98</f>
        <v>8</v>
      </c>
      <c r="Y98">
        <f>SUM(M98:X98)</f>
        <v>60</v>
      </c>
      <c r="Z98">
        <f>L98+Y98</f>
        <v>111</v>
      </c>
      <c r="AB98">
        <f>IFERROR(VLOOKUP(A98,'GRAL. SUC. LOCALES'!$A:$N,14,0),0)</f>
        <v>14</v>
      </c>
      <c r="AD98">
        <f>AB98+Z98</f>
        <v>125</v>
      </c>
      <c r="AF98">
        <v>90</v>
      </c>
      <c r="AG98">
        <v>300</v>
      </c>
      <c r="AH98">
        <f>AD98-AF98</f>
        <v>35</v>
      </c>
    </row>
    <row r="99">
      <c r="A99" t="str">
        <v>GELATINA FRESA $150</v>
      </c>
      <c r="B99">
        <f>'EXISTENCIA EN SUCURSALES'!B99+'DISTRIBUCIÓN EN SUCURSALES'!B99</f>
        <v>3</v>
      </c>
      <c r="C99">
        <f>'EXISTENCIA EN SUCURSALES'!C99+'DISTRIBUCIÓN EN SUCURSALES'!C99</f>
        <v>3</v>
      </c>
      <c r="D99">
        <f>'EXISTENCIA EN SUCURSALES'!D99+'DISTRIBUCIÓN EN SUCURSALES'!D99</f>
        <v>2</v>
      </c>
      <c r="E99">
        <f>'EXISTENCIA EN SUCURSALES'!E99+'DISTRIBUCIÓN EN SUCURSALES'!E99</f>
        <v>2</v>
      </c>
      <c r="F99">
        <f>'EXISTENCIA EN SUCURSALES'!F99+'DISTRIBUCIÓN EN SUCURSALES'!F99</f>
        <v>2</v>
      </c>
      <c r="G99">
        <f>'EXISTENCIA EN SUCURSALES'!G99+'DISTRIBUCIÓN EN SUCURSALES'!G99</f>
        <v>0</v>
      </c>
      <c r="H99">
        <f>'EXISTENCIA EN SUCURSALES'!H99+'DISTRIBUCIÓN EN SUCURSALES'!H99</f>
        <v>2</v>
      </c>
      <c r="I99">
        <f>'EXISTENCIA EN SUCURSALES'!I99+'DISTRIBUCIÓN EN SUCURSALES'!I99</f>
        <v>3</v>
      </c>
      <c r="J99">
        <f>'EXISTENCIA EN SUCURSALES'!J99+'DISTRIBUCIÓN EN SUCURSALES'!J99</f>
        <v>3</v>
      </c>
      <c r="K99">
        <f>'EXISTENCIA EN SUCURSALES'!K99+'DISTRIBUCIÓN EN SUCURSALES'!K99</f>
        <v>2</v>
      </c>
      <c r="L99">
        <f>SUM(B99:K99)</f>
        <v>22</v>
      </c>
      <c r="M99">
        <f>'EXISTENCIA EN SUCURSALES'!M99+'DISTRIBUCIÓN EN SUCURSALES'!M99</f>
        <v>3</v>
      </c>
      <c r="N99">
        <f>'EXISTENCIA EN SUCURSALES'!N99+'DISTRIBUCIÓN EN SUCURSALES'!N99</f>
        <v>1</v>
      </c>
      <c r="O99">
        <f>'EXISTENCIA EN SUCURSALES'!O99+'DISTRIBUCIÓN EN SUCURSALES'!O99</f>
        <v>2</v>
      </c>
      <c r="P99">
        <f>'EXISTENCIA EN SUCURSALES'!P99+'DISTRIBUCIÓN EN SUCURSALES'!P99</f>
        <v>0</v>
      </c>
      <c r="Q99">
        <f>'EXISTENCIA EN SUCURSALES'!Q99+'DISTRIBUCIÓN EN SUCURSALES'!Q99</f>
        <v>3</v>
      </c>
      <c r="R99">
        <f>'EXISTENCIA EN SUCURSALES'!R99+'DISTRIBUCIÓN EN SUCURSALES'!R99</f>
        <v>2</v>
      </c>
      <c r="S99">
        <f>'EXISTENCIA EN SUCURSALES'!S99+'DISTRIBUCIÓN EN SUCURSALES'!S99</f>
        <v>0</v>
      </c>
      <c r="T99">
        <f>'EXISTENCIA EN SUCURSALES'!T99+'DISTRIBUCIÓN EN SUCURSALES'!T99</f>
        <v>2</v>
      </c>
      <c r="U99">
        <f>'EXISTENCIA EN SUCURSALES'!U99+'DISTRIBUCIÓN EN SUCURSALES'!U99</f>
        <v>0</v>
      </c>
      <c r="V99">
        <f>'EXISTENCIA EN SUCURSALES'!V99+'DISTRIBUCIÓN EN SUCURSALES'!V99</f>
        <v>3</v>
      </c>
      <c r="W99">
        <f>'EXISTENCIA EN SUCURSALES'!W99+'DISTRIBUCIÓN EN SUCURSALES'!W99</f>
        <v>2</v>
      </c>
      <c r="X99">
        <f>'EXISTENCIA EN SUCURSALES'!X99+'DISTRIBUCIÓN EN SUCURSALES'!X99</f>
        <v>0</v>
      </c>
      <c r="Y99">
        <f>SUM(M99:X99)</f>
        <v>18</v>
      </c>
      <c r="Z99">
        <f>L99+Y99</f>
        <v>40</v>
      </c>
      <c r="AB99">
        <f>IFERROR(VLOOKUP(A99,'GRAL. SUC. LOCALES'!$A:$N,14,0),0)</f>
        <v>15</v>
      </c>
      <c r="AD99">
        <f>AB99+Z99</f>
        <v>55</v>
      </c>
      <c r="AF99">
        <v>70</v>
      </c>
      <c r="AG99">
        <v>70</v>
      </c>
      <c r="AH99">
        <f>AD99-AF99</f>
        <v>-15</v>
      </c>
    </row>
    <row r="100">
      <c r="A100" t="str">
        <v>Gelatina de promocion semana santa</v>
      </c>
      <c r="B100">
        <f>'EXISTENCIA EN SUCURSALES'!B100+'DISTRIBUCIÓN EN SUCURSALES'!B100</f>
        <v>32</v>
      </c>
      <c r="C100">
        <f>'EXISTENCIA EN SUCURSALES'!C100+'DISTRIBUCIÓN EN SUCURSALES'!C100</f>
        <v>30</v>
      </c>
      <c r="D100">
        <f>'EXISTENCIA EN SUCURSALES'!D100+'DISTRIBUCIÓN EN SUCURSALES'!D100</f>
        <v>20</v>
      </c>
      <c r="E100">
        <f>'EXISTENCIA EN SUCURSALES'!E100+'DISTRIBUCIÓN EN SUCURSALES'!E100</f>
        <v>20</v>
      </c>
      <c r="F100">
        <f>'EXISTENCIA EN SUCURSALES'!F100+'DISTRIBUCIÓN EN SUCURSALES'!F100</f>
        <v>25</v>
      </c>
      <c r="G100">
        <f>'EXISTENCIA EN SUCURSALES'!G100+'DISTRIBUCIÓN EN SUCURSALES'!G100</f>
        <v>0</v>
      </c>
      <c r="H100">
        <f>'EXISTENCIA EN SUCURSALES'!H100+'DISTRIBUCIÓN EN SUCURSALES'!H100</f>
        <v>25</v>
      </c>
      <c r="I100">
        <f>'EXISTENCIA EN SUCURSALES'!I100+'DISTRIBUCIÓN EN SUCURSALES'!I100</f>
        <v>25</v>
      </c>
      <c r="J100">
        <f>'EXISTENCIA EN SUCURSALES'!J100+'DISTRIBUCIÓN EN SUCURSALES'!J100</f>
        <v>30</v>
      </c>
      <c r="K100">
        <f>'EXISTENCIA EN SUCURSALES'!K100+'DISTRIBUCIÓN EN SUCURSALES'!K100</f>
        <v>30</v>
      </c>
      <c r="L100">
        <f>SUM(B100:K100)</f>
        <v>237</v>
      </c>
      <c r="M100">
        <f>'EXISTENCIA EN SUCURSALES'!M100+'DISTRIBUCIÓN EN SUCURSALES'!M100</f>
        <v>21</v>
      </c>
      <c r="N100">
        <f>'EXISTENCIA EN SUCURSALES'!N100+'DISTRIBUCIÓN EN SUCURSALES'!N100</f>
        <v>25</v>
      </c>
      <c r="O100">
        <f>'EXISTENCIA EN SUCURSALES'!O100+'DISTRIBUCIÓN EN SUCURSALES'!O100</f>
        <v>21</v>
      </c>
      <c r="P100">
        <f>'EXISTENCIA EN SUCURSALES'!P100+'DISTRIBUCIÓN EN SUCURSALES'!P100</f>
        <v>20</v>
      </c>
      <c r="Q100">
        <f>'EXISTENCIA EN SUCURSALES'!Q100+'DISTRIBUCIÓN EN SUCURSALES'!Q100</f>
        <v>31</v>
      </c>
      <c r="R100">
        <f>'EXISTENCIA EN SUCURSALES'!R100+'DISTRIBUCIÓN EN SUCURSALES'!R100</f>
        <v>27</v>
      </c>
      <c r="S100">
        <f>'EXISTENCIA EN SUCURSALES'!S100+'DISTRIBUCIÓN EN SUCURSALES'!S100</f>
        <v>24</v>
      </c>
      <c r="T100">
        <f>'EXISTENCIA EN SUCURSALES'!T100+'DISTRIBUCIÓN EN SUCURSALES'!T100</f>
        <v>41</v>
      </c>
      <c r="U100">
        <f>'EXISTENCIA EN SUCURSALES'!U100+'DISTRIBUCIÓN EN SUCURSALES'!U100</f>
        <v>0</v>
      </c>
      <c r="V100">
        <f>'EXISTENCIA EN SUCURSALES'!V100+'DISTRIBUCIÓN EN SUCURSALES'!V100</f>
        <v>30</v>
      </c>
      <c r="W100">
        <f>'EXISTENCIA EN SUCURSALES'!W100+'DISTRIBUCIÓN EN SUCURSALES'!W100</f>
        <v>25</v>
      </c>
      <c r="X100">
        <f>'EXISTENCIA EN SUCURSALES'!X100+'DISTRIBUCIÓN EN SUCURSALES'!X100</f>
        <v>16</v>
      </c>
      <c r="Y100">
        <f>SUM(M100:X100)</f>
        <v>281</v>
      </c>
      <c r="Z100">
        <f>L100+Y100</f>
        <v>518</v>
      </c>
      <c r="AB100">
        <f>IFERROR(VLOOKUP(A100,'GRAL. SUC. LOCALES'!$A:$N,14,0),0)</f>
        <v>162</v>
      </c>
      <c r="AD100">
        <f>AB100+Z100</f>
        <v>680</v>
      </c>
      <c r="AF100">
        <v>500</v>
      </c>
      <c r="AG100">
        <v>0</v>
      </c>
      <c r="AH100">
        <f>AD100-AF100</f>
        <v>180</v>
      </c>
    </row>
    <row r="101">
      <c r="A101" t="str">
        <v>PAY DE FRESA GDE</v>
      </c>
      <c r="B101">
        <f>'EXISTENCIA EN SUCURSALES'!B101+'DISTRIBUCIÓN EN SUCURSALES'!B101</f>
        <v>3</v>
      </c>
      <c r="C101">
        <f>'EXISTENCIA EN SUCURSALES'!C101+'DISTRIBUCIÓN EN SUCURSALES'!C101</f>
        <v>2</v>
      </c>
      <c r="D101">
        <f>'EXISTENCIA EN SUCURSALES'!D101+'DISTRIBUCIÓN EN SUCURSALES'!D101</f>
        <v>1</v>
      </c>
      <c r="E101">
        <f>'EXISTENCIA EN SUCURSALES'!E101+'DISTRIBUCIÓN EN SUCURSALES'!E101</f>
        <v>1</v>
      </c>
      <c r="F101">
        <f>'EXISTENCIA EN SUCURSALES'!F101+'DISTRIBUCIÓN EN SUCURSALES'!F101</f>
        <v>2</v>
      </c>
      <c r="G101">
        <f>'EXISTENCIA EN SUCURSALES'!G101+'DISTRIBUCIÓN EN SUCURSALES'!G101</f>
        <v>0</v>
      </c>
      <c r="H101">
        <f>'EXISTENCIA EN SUCURSALES'!H101+'DISTRIBUCIÓN EN SUCURSALES'!H101</f>
        <v>2</v>
      </c>
      <c r="I101">
        <f>'EXISTENCIA EN SUCURSALES'!I101+'DISTRIBUCIÓN EN SUCURSALES'!I101</f>
        <v>1</v>
      </c>
      <c r="J101">
        <f>'EXISTENCIA EN SUCURSALES'!J101+'DISTRIBUCIÓN EN SUCURSALES'!J101</f>
        <v>3</v>
      </c>
      <c r="K101">
        <f>'EXISTENCIA EN SUCURSALES'!K101+'DISTRIBUCIÓN EN SUCURSALES'!K101</f>
        <v>1</v>
      </c>
      <c r="L101">
        <f>SUM(B101:K101)</f>
        <v>16</v>
      </c>
      <c r="M101">
        <f>'EXISTENCIA EN SUCURSALES'!M101+'DISTRIBUCIÓN EN SUCURSALES'!M101</f>
        <v>1</v>
      </c>
      <c r="N101">
        <f>'EXISTENCIA EN SUCURSALES'!N101+'DISTRIBUCIÓN EN SUCURSALES'!N101</f>
        <v>0</v>
      </c>
      <c r="O101">
        <f>'EXISTENCIA EN SUCURSALES'!O101+'DISTRIBUCIÓN EN SUCURSALES'!O101</f>
        <v>0</v>
      </c>
      <c r="P101">
        <f>'EXISTENCIA EN SUCURSALES'!P101+'DISTRIBUCIÓN EN SUCURSALES'!P101</f>
        <v>0</v>
      </c>
      <c r="Q101">
        <f>'EXISTENCIA EN SUCURSALES'!Q101+'DISTRIBUCIÓN EN SUCURSALES'!Q101</f>
        <v>0</v>
      </c>
      <c r="R101">
        <f>'EXISTENCIA EN SUCURSALES'!R101+'DISTRIBUCIÓN EN SUCURSALES'!R101</f>
        <v>1</v>
      </c>
      <c r="S101">
        <f>'EXISTENCIA EN SUCURSALES'!S101+'DISTRIBUCIÓN EN SUCURSALES'!S101</f>
        <v>0</v>
      </c>
      <c r="T101">
        <f>'EXISTENCIA EN SUCURSALES'!T101+'DISTRIBUCIÓN EN SUCURSALES'!T101</f>
        <v>0</v>
      </c>
      <c r="U101">
        <f>'EXISTENCIA EN SUCURSALES'!U101+'DISTRIBUCIÓN EN SUCURSALES'!U101</f>
        <v>0</v>
      </c>
      <c r="V101">
        <f>'EXISTENCIA EN SUCURSALES'!V101+'DISTRIBUCIÓN EN SUCURSALES'!V101</f>
        <v>3</v>
      </c>
      <c r="W101">
        <f>'EXISTENCIA EN SUCURSALES'!W101+'DISTRIBUCIÓN EN SUCURSALES'!W101</f>
        <v>1</v>
      </c>
      <c r="X101">
        <f>'EXISTENCIA EN SUCURSALES'!X101+'DISTRIBUCIÓN EN SUCURSALES'!X101</f>
        <v>0</v>
      </c>
      <c r="Y101">
        <f>SUM(M101:X101)</f>
        <v>6</v>
      </c>
      <c r="Z101">
        <f>L101+Y101</f>
        <v>22</v>
      </c>
      <c r="AB101">
        <f>IFERROR(VLOOKUP(A101,'GRAL. SUC. LOCALES'!$A:$N,14,0),0)</f>
        <v>13</v>
      </c>
      <c r="AD101">
        <f>AB101+Z101</f>
        <v>35</v>
      </c>
      <c r="AF101">
        <v>45</v>
      </c>
      <c r="AG101">
        <v>40</v>
      </c>
      <c r="AH101">
        <f>AD101-AF101</f>
        <v>-10</v>
      </c>
    </row>
    <row r="102">
      <c r="A102" t="str">
        <v>PAY DE GUAYABA GDE</v>
      </c>
      <c r="B102">
        <f>'EXISTENCIA EN SUCURSALES'!B102+'DISTRIBUCIÓN EN SUCURSALES'!B102</f>
        <v>3</v>
      </c>
      <c r="C102">
        <f>'EXISTENCIA EN SUCURSALES'!C102+'DISTRIBUCIÓN EN SUCURSALES'!C102</f>
        <v>3</v>
      </c>
      <c r="D102">
        <f>'EXISTENCIA EN SUCURSALES'!D102+'DISTRIBUCIÓN EN SUCURSALES'!D102</f>
        <v>2</v>
      </c>
      <c r="E102">
        <f>'EXISTENCIA EN SUCURSALES'!E102+'DISTRIBUCIÓN EN SUCURSALES'!E102</f>
        <v>1</v>
      </c>
      <c r="F102">
        <f>'EXISTENCIA EN SUCURSALES'!F102+'DISTRIBUCIÓN EN SUCURSALES'!F102</f>
        <v>3</v>
      </c>
      <c r="G102">
        <f>'EXISTENCIA EN SUCURSALES'!G102+'DISTRIBUCIÓN EN SUCURSALES'!G102</f>
        <v>0</v>
      </c>
      <c r="H102">
        <f>'EXISTENCIA EN SUCURSALES'!H102+'DISTRIBUCIÓN EN SUCURSALES'!H102</f>
        <v>2</v>
      </c>
      <c r="I102">
        <f>'EXISTENCIA EN SUCURSALES'!I102+'DISTRIBUCIÓN EN SUCURSALES'!I102</f>
        <v>2</v>
      </c>
      <c r="J102">
        <f>'EXISTENCIA EN SUCURSALES'!J102+'DISTRIBUCIÓN EN SUCURSALES'!J102</f>
        <v>3</v>
      </c>
      <c r="K102">
        <f>'EXISTENCIA EN SUCURSALES'!K102+'DISTRIBUCIÓN EN SUCURSALES'!K102</f>
        <v>3</v>
      </c>
      <c r="L102">
        <f>SUM(B102:K102)</f>
        <v>22</v>
      </c>
      <c r="M102">
        <f>'EXISTENCIA EN SUCURSALES'!M102+'DISTRIBUCIÓN EN SUCURSALES'!M102</f>
        <v>2</v>
      </c>
      <c r="N102">
        <f>'EXISTENCIA EN SUCURSALES'!N102+'DISTRIBUCIÓN EN SUCURSALES'!N102</f>
        <v>1</v>
      </c>
      <c r="O102">
        <f>'EXISTENCIA EN SUCURSALES'!O102+'DISTRIBUCIÓN EN SUCURSALES'!O102</f>
        <v>0</v>
      </c>
      <c r="P102">
        <f>'EXISTENCIA EN SUCURSALES'!P102+'DISTRIBUCIÓN EN SUCURSALES'!P102</f>
        <v>1</v>
      </c>
      <c r="Q102">
        <f>'EXISTENCIA EN SUCURSALES'!Q102+'DISTRIBUCIÓN EN SUCURSALES'!Q102</f>
        <v>1</v>
      </c>
      <c r="R102">
        <f>'EXISTENCIA EN SUCURSALES'!R102+'DISTRIBUCIÓN EN SUCURSALES'!R102</f>
        <v>3</v>
      </c>
      <c r="S102">
        <f>'EXISTENCIA EN SUCURSALES'!S102+'DISTRIBUCIÓN EN SUCURSALES'!S102</f>
        <v>0</v>
      </c>
      <c r="T102">
        <f>'EXISTENCIA EN SUCURSALES'!T102+'DISTRIBUCIÓN EN SUCURSALES'!T102</f>
        <v>2</v>
      </c>
      <c r="U102">
        <f>'EXISTENCIA EN SUCURSALES'!U102+'DISTRIBUCIÓN EN SUCURSALES'!U102</f>
        <v>0</v>
      </c>
      <c r="V102">
        <f>'EXISTENCIA EN SUCURSALES'!V102+'DISTRIBUCIÓN EN SUCURSALES'!V102</f>
        <v>2</v>
      </c>
      <c r="W102">
        <f>'EXISTENCIA EN SUCURSALES'!W102+'DISTRIBUCIÓN EN SUCURSALES'!W102</f>
        <v>1</v>
      </c>
      <c r="X102">
        <f>'EXISTENCIA EN SUCURSALES'!X102+'DISTRIBUCIÓN EN SUCURSALES'!X102</f>
        <v>1</v>
      </c>
      <c r="Y102">
        <f>SUM(M102:X102)</f>
        <v>14</v>
      </c>
      <c r="Z102">
        <f>L102+Y102</f>
        <v>36</v>
      </c>
      <c r="AB102">
        <f>IFERROR(VLOOKUP(A102,'GRAL. SUC. LOCALES'!$A:$N,14,0),0)</f>
        <v>10</v>
      </c>
      <c r="AD102">
        <f>AB102+Z102</f>
        <v>46</v>
      </c>
      <c r="AF102">
        <v>70</v>
      </c>
      <c r="AG102">
        <v>60</v>
      </c>
      <c r="AH102">
        <f>AD102-AF102</f>
        <v>-24</v>
      </c>
    </row>
    <row r="103">
      <c r="A103" t="str">
        <v>tartaleta</v>
      </c>
      <c r="B103">
        <f>'EXISTENCIA EN SUCURSALES'!B103+'DISTRIBUCIÓN EN SUCURSALES'!B103</f>
        <v>3</v>
      </c>
      <c r="C103">
        <f>'EXISTENCIA EN SUCURSALES'!C103+'DISTRIBUCIÓN EN SUCURSALES'!C103</f>
        <v>2</v>
      </c>
      <c r="D103">
        <f>'EXISTENCIA EN SUCURSALES'!D103+'DISTRIBUCIÓN EN SUCURSALES'!D103</f>
        <v>3</v>
      </c>
      <c r="E103">
        <f>'EXISTENCIA EN SUCURSALES'!E103+'DISTRIBUCIÓN EN SUCURSALES'!E103</f>
        <v>1</v>
      </c>
      <c r="F103">
        <f>'EXISTENCIA EN SUCURSALES'!F103+'DISTRIBUCIÓN EN SUCURSALES'!F103</f>
        <v>1</v>
      </c>
      <c r="G103">
        <f>'EXISTENCIA EN SUCURSALES'!G103+'DISTRIBUCIÓN EN SUCURSALES'!G103</f>
        <v>0</v>
      </c>
      <c r="H103">
        <f>'EXISTENCIA EN SUCURSALES'!H103+'DISTRIBUCIÓN EN SUCURSALES'!H103</f>
        <v>2</v>
      </c>
      <c r="I103">
        <f>'EXISTENCIA EN SUCURSALES'!I103+'DISTRIBUCIÓN EN SUCURSALES'!I103</f>
        <v>2</v>
      </c>
      <c r="J103">
        <f>'EXISTENCIA EN SUCURSALES'!J103+'DISTRIBUCIÓN EN SUCURSALES'!J103</f>
        <v>3</v>
      </c>
      <c r="K103">
        <f>'EXISTENCIA EN SUCURSALES'!K103+'DISTRIBUCIÓN EN SUCURSALES'!K103</f>
        <v>2</v>
      </c>
      <c r="L103">
        <f>SUM(B103:K103)</f>
        <v>19</v>
      </c>
      <c r="M103">
        <f>'EXISTENCIA EN SUCURSALES'!M103+'DISTRIBUCIÓN EN SUCURSALES'!M103</f>
        <v>2</v>
      </c>
      <c r="N103">
        <f>'EXISTENCIA EN SUCURSALES'!N103+'DISTRIBUCIÓN EN SUCURSALES'!N103</f>
        <v>0</v>
      </c>
      <c r="O103">
        <f>'EXISTENCIA EN SUCURSALES'!O103+'DISTRIBUCIÓN EN SUCURSALES'!O103</f>
        <v>0</v>
      </c>
      <c r="P103">
        <f>'EXISTENCIA EN SUCURSALES'!P103+'DISTRIBUCIÓN EN SUCURSALES'!P103</f>
        <v>2</v>
      </c>
      <c r="Q103">
        <f>'EXISTENCIA EN SUCURSALES'!Q103+'DISTRIBUCIÓN EN SUCURSALES'!Q103</f>
        <v>1</v>
      </c>
      <c r="R103">
        <f>'EXISTENCIA EN SUCURSALES'!R103+'DISTRIBUCIÓN EN SUCURSALES'!R103</f>
        <v>3</v>
      </c>
      <c r="S103">
        <f>'EXISTENCIA EN SUCURSALES'!S103+'DISTRIBUCIÓN EN SUCURSALES'!S103</f>
        <v>2</v>
      </c>
      <c r="T103">
        <f>'EXISTENCIA EN SUCURSALES'!T103+'DISTRIBUCIÓN EN SUCURSALES'!T103</f>
        <v>0</v>
      </c>
      <c r="U103">
        <f>'EXISTENCIA EN SUCURSALES'!U103+'DISTRIBUCIÓN EN SUCURSALES'!U103</f>
        <v>2</v>
      </c>
      <c r="V103">
        <f>'EXISTENCIA EN SUCURSALES'!V103+'DISTRIBUCIÓN EN SUCURSALES'!V103</f>
        <v>5</v>
      </c>
      <c r="W103">
        <f>'EXISTENCIA EN SUCURSALES'!W103+'DISTRIBUCIÓN EN SUCURSALES'!W103</f>
        <v>2</v>
      </c>
      <c r="X103">
        <f>'EXISTENCIA EN SUCURSALES'!X103+'DISTRIBUCIÓN EN SUCURSALES'!X103</f>
        <v>0</v>
      </c>
      <c r="Y103">
        <f>SUM(M103:X103)</f>
        <v>19</v>
      </c>
      <c r="Z103">
        <f>L103+Y103</f>
        <v>38</v>
      </c>
      <c r="AB103">
        <f>IFERROR(VLOOKUP(A103,'GRAL. SUC. LOCALES'!$A:$N,14,0),0)</f>
        <v>8</v>
      </c>
      <c r="AD103">
        <f>AB103+Z103</f>
        <v>46</v>
      </c>
      <c r="AF103">
        <v>70</v>
      </c>
      <c r="AG103">
        <v>60</v>
      </c>
      <c r="AH103">
        <f>AD103-AF103</f>
        <v>-24</v>
      </c>
    </row>
    <row r="104">
      <c r="B104">
        <f>'EXISTENCIA EN SUCURSALES'!B104+'DISTRIBUCIÓN EN SUCURSALES'!B104</f>
        <v>0</v>
      </c>
      <c r="C104">
        <f>'EXISTENCIA EN SUCURSALES'!C104+'DISTRIBUCIÓN EN SUCURSALES'!C104</f>
        <v>0</v>
      </c>
      <c r="D104">
        <f>'EXISTENCIA EN SUCURSALES'!D104+'DISTRIBUCIÓN EN SUCURSALES'!D104</f>
        <v>0</v>
      </c>
      <c r="E104">
        <f>'EXISTENCIA EN SUCURSALES'!E104+'DISTRIBUCIÓN EN SUCURSALES'!E104</f>
        <v>0</v>
      </c>
      <c r="F104">
        <f>'EXISTENCIA EN SUCURSALES'!F104+'DISTRIBUCIÓN EN SUCURSALES'!F104</f>
        <v>0</v>
      </c>
      <c r="G104">
        <f>'EXISTENCIA EN SUCURSALES'!G104+'DISTRIBUCIÓN EN SUCURSALES'!G104</f>
        <v>0</v>
      </c>
      <c r="H104">
        <f>'EXISTENCIA EN SUCURSALES'!H104+'DISTRIBUCIÓN EN SUCURSALES'!H104</f>
        <v>0</v>
      </c>
      <c r="I104">
        <f>'EXISTENCIA EN SUCURSALES'!I104+'DISTRIBUCIÓN EN SUCURSALES'!I104</f>
        <v>0</v>
      </c>
      <c r="J104">
        <f>'EXISTENCIA EN SUCURSALES'!J104+'DISTRIBUCIÓN EN SUCURSALES'!J104</f>
        <v>0</v>
      </c>
      <c r="K104">
        <f>'EXISTENCIA EN SUCURSALES'!K104+'DISTRIBUCIÓN EN SUCURSALES'!K104</f>
        <v>0</v>
      </c>
      <c r="L104">
        <f>SUM(B104:K104)</f>
        <v>0</v>
      </c>
      <c r="M104">
        <f>'EXISTENCIA EN SUCURSALES'!M104+'DISTRIBUCIÓN EN SUCURSALES'!M104</f>
        <v>0</v>
      </c>
      <c r="N104">
        <f>'EXISTENCIA EN SUCURSALES'!N104+'DISTRIBUCIÓN EN SUCURSALES'!N104</f>
        <v>0</v>
      </c>
      <c r="O104">
        <f>'EXISTENCIA EN SUCURSALES'!O104+'DISTRIBUCIÓN EN SUCURSALES'!O104</f>
        <v>0</v>
      </c>
      <c r="P104">
        <f>'EXISTENCIA EN SUCURSALES'!P104+'DISTRIBUCIÓN EN SUCURSALES'!P104</f>
        <v>0</v>
      </c>
      <c r="Q104">
        <f>'EXISTENCIA EN SUCURSALES'!Q104+'DISTRIBUCIÓN EN SUCURSALES'!Q104</f>
        <v>0</v>
      </c>
      <c r="R104">
        <f>'EXISTENCIA EN SUCURSALES'!R104+'DISTRIBUCIÓN EN SUCURSALES'!R104</f>
        <v>0</v>
      </c>
      <c r="S104">
        <f>'EXISTENCIA EN SUCURSALES'!S104+'DISTRIBUCIÓN EN SUCURSALES'!S104</f>
        <v>0</v>
      </c>
      <c r="T104">
        <f>'EXISTENCIA EN SUCURSALES'!T104+'DISTRIBUCIÓN EN SUCURSALES'!T104</f>
        <v>0</v>
      </c>
      <c r="U104">
        <f>'EXISTENCIA EN SUCURSALES'!U104+'DISTRIBUCIÓN EN SUCURSALES'!U104</f>
        <v>0</v>
      </c>
      <c r="V104">
        <f>'EXISTENCIA EN SUCURSALES'!V104+'DISTRIBUCIÓN EN SUCURSALES'!V104</f>
        <v>0</v>
      </c>
      <c r="W104">
        <f>'EXISTENCIA EN SUCURSALES'!W104+'DISTRIBUCIÓN EN SUCURSALES'!W104</f>
        <v>0</v>
      </c>
      <c r="X104">
        <f>'EXISTENCIA EN SUCURSALES'!X104+'DISTRIBUCIÓN EN SUCURSALES'!X104</f>
        <v>0</v>
      </c>
      <c r="Y104">
        <f>SUM(M104:X104)</f>
        <v>0</v>
      </c>
      <c r="Z104">
        <f>L104+Y104</f>
        <v>0</v>
      </c>
      <c r="AB104">
        <f>IFERROR(VLOOKUP(A104,'GRAL. SUC. LOCALES'!$A:$N,14,0),0)</f>
        <v>0</v>
      </c>
      <c r="AD104">
        <f>AB104+Z104</f>
        <v>0</v>
      </c>
      <c r="AG104">
        <v>0</v>
      </c>
      <c r="AH104">
        <f>AD104-AF104</f>
        <v>0</v>
      </c>
    </row>
    <row r="105">
      <c r="A105" t="str">
        <v>Total Area</v>
      </c>
      <c r="B105">
        <f>SUM(B93:B104)</f>
        <v>73</v>
      </c>
      <c r="C105">
        <f>SUM(C93:C104)</f>
        <v>74</v>
      </c>
      <c r="D105">
        <f>SUM(D93:D104)</f>
        <v>47</v>
      </c>
      <c r="E105">
        <f>SUM(E93:E104)</f>
        <v>42</v>
      </c>
      <c r="F105">
        <f>SUM(F93:F104)</f>
        <v>50</v>
      </c>
      <c r="G105">
        <f>SUM(G93:G104)</f>
        <v>0</v>
      </c>
      <c r="H105">
        <f>SUM(H93:H104)</f>
        <v>50</v>
      </c>
      <c r="I105">
        <f>SUM(I93:I104)</f>
        <v>57</v>
      </c>
      <c r="J105">
        <f>SUM(J93:J104)</f>
        <v>64</v>
      </c>
      <c r="K105">
        <f>SUM(K93:K104)</f>
        <v>54</v>
      </c>
      <c r="L105">
        <f>SUM(L93:L104)</f>
        <v>511</v>
      </c>
      <c r="M105">
        <f>SUM(M93:M104)</f>
        <v>46</v>
      </c>
      <c r="N105">
        <f>SUM(N93:N104)</f>
        <v>45</v>
      </c>
      <c r="O105">
        <f>SUM(O93:O104)</f>
        <v>37</v>
      </c>
      <c r="P105">
        <f>SUM(P93:P104)</f>
        <v>44</v>
      </c>
      <c r="Q105">
        <f>SUM(Q93:Q104)</f>
        <v>49</v>
      </c>
      <c r="R105">
        <f>SUM(R93:R104)</f>
        <v>66</v>
      </c>
      <c r="S105">
        <f>SUM(S93:S104)</f>
        <v>37</v>
      </c>
      <c r="T105">
        <f>SUM(T93:T104)</f>
        <v>56</v>
      </c>
      <c r="U105">
        <f>SUM(U93:U104)</f>
        <v>3</v>
      </c>
      <c r="V105">
        <f>SUM(V93:V104)</f>
        <v>63</v>
      </c>
      <c r="W105">
        <f>SUM(W93:W104)</f>
        <v>46</v>
      </c>
      <c r="X105">
        <f>SUM(X93:X104)</f>
        <v>29</v>
      </c>
      <c r="Y105">
        <f>SUM(Y93:Y104)</f>
        <v>521</v>
      </c>
      <c r="Z105">
        <f>SUM(Z93:Z104)</f>
        <v>1032</v>
      </c>
      <c r="AB105">
        <f>SUM(AB93:AB104)</f>
        <v>315</v>
      </c>
      <c r="AD105">
        <f>AB105+Z105</f>
        <v>1347</v>
      </c>
      <c r="AF105">
        <f>SUM(AF93:AF104)</f>
        <v>1310</v>
      </c>
      <c r="AG105">
        <f>SUM(AG93:AG104)</f>
        <v>980</v>
      </c>
      <c r="AH105">
        <f>AD105-AF105</f>
        <v>37</v>
      </c>
    </row>
    <row r="106">
      <c r="A106" t="str">
        <v xml:space="preserve">GALLETAS </v>
      </c>
      <c r="AD106">
        <f>AB106+Z106</f>
        <v>0</v>
      </c>
      <c r="AH106">
        <f>AD106-AF106</f>
        <v>0</v>
      </c>
    </row>
    <row r="107">
      <c r="A107" t="str">
        <v>BOCADITO PEPE 15 PIEZAS</v>
      </c>
      <c r="B107">
        <f>'EXISTENCIA EN SUCURSALES'!B107+'DISTRIBUCIÓN EN SUCURSALES'!B107</f>
        <v>2</v>
      </c>
      <c r="C107">
        <f>'EXISTENCIA EN SUCURSALES'!C107+'DISTRIBUCIÓN EN SUCURSALES'!C107</f>
        <v>2</v>
      </c>
      <c r="D107">
        <f>'EXISTENCIA EN SUCURSALES'!D107+'DISTRIBUCIÓN EN SUCURSALES'!D107</f>
        <v>1</v>
      </c>
      <c r="E107">
        <f>'EXISTENCIA EN SUCURSALES'!E107+'DISTRIBUCIÓN EN SUCURSALES'!E107</f>
        <v>0</v>
      </c>
      <c r="F107">
        <f>'EXISTENCIA EN SUCURSALES'!F107+'DISTRIBUCIÓN EN SUCURSALES'!F107</f>
        <v>1</v>
      </c>
      <c r="G107">
        <f>'EXISTENCIA EN SUCURSALES'!G107+'DISTRIBUCIÓN EN SUCURSALES'!G107</f>
        <v>0</v>
      </c>
      <c r="H107">
        <f>'EXISTENCIA EN SUCURSALES'!H107+'DISTRIBUCIÓN EN SUCURSALES'!H107</f>
        <v>2</v>
      </c>
      <c r="I107">
        <f>'EXISTENCIA EN SUCURSALES'!I107+'DISTRIBUCIÓN EN SUCURSALES'!I107</f>
        <v>1</v>
      </c>
      <c r="J107">
        <f>'EXISTENCIA EN SUCURSALES'!J107+'DISTRIBUCIÓN EN SUCURSALES'!J107</f>
        <v>2</v>
      </c>
      <c r="K107">
        <f>'EXISTENCIA EN SUCURSALES'!K107+'DISTRIBUCIÓN EN SUCURSALES'!K107</f>
        <v>1</v>
      </c>
      <c r="L107">
        <f>SUM(B107:K107)</f>
        <v>12</v>
      </c>
      <c r="M107">
        <f>'EXISTENCIA EN SUCURSALES'!M107+'DISTRIBUCIÓN EN SUCURSALES'!M107</f>
        <v>0</v>
      </c>
      <c r="N107">
        <f>'EXISTENCIA EN SUCURSALES'!N107+'DISTRIBUCIÓN EN SUCURSALES'!N107</f>
        <v>2</v>
      </c>
      <c r="O107">
        <f>'EXISTENCIA EN SUCURSALES'!O107+'DISTRIBUCIÓN EN SUCURSALES'!O107</f>
        <v>0</v>
      </c>
      <c r="P107">
        <f>'EXISTENCIA EN SUCURSALES'!P107+'DISTRIBUCIÓN EN SUCURSALES'!P107</f>
        <v>1</v>
      </c>
      <c r="Q107">
        <f>'EXISTENCIA EN SUCURSALES'!Q107+'DISTRIBUCIÓN EN SUCURSALES'!Q107</f>
        <v>2</v>
      </c>
      <c r="R107">
        <f>'EXISTENCIA EN SUCURSALES'!R107+'DISTRIBUCIÓN EN SUCURSALES'!R107</f>
        <v>2</v>
      </c>
      <c r="S107">
        <f>'EXISTENCIA EN SUCURSALES'!S107+'DISTRIBUCIÓN EN SUCURSALES'!S107</f>
        <v>0</v>
      </c>
      <c r="T107">
        <f>'EXISTENCIA EN SUCURSALES'!T107+'DISTRIBUCIÓN EN SUCURSALES'!T107</f>
        <v>1</v>
      </c>
      <c r="U107">
        <f>'EXISTENCIA EN SUCURSALES'!U107+'DISTRIBUCIÓN EN SUCURSALES'!U107</f>
        <v>0</v>
      </c>
      <c r="V107">
        <f>'EXISTENCIA EN SUCURSALES'!V107+'DISTRIBUCIÓN EN SUCURSALES'!V107</f>
        <v>1</v>
      </c>
      <c r="W107">
        <f>'EXISTENCIA EN SUCURSALES'!W107+'DISTRIBUCIÓN EN SUCURSALES'!W107</f>
        <v>2</v>
      </c>
      <c r="X107">
        <f>'EXISTENCIA EN SUCURSALES'!X107+'DISTRIBUCIÓN EN SUCURSALES'!X107</f>
        <v>0</v>
      </c>
      <c r="Y107">
        <f>SUM(M107:X107)</f>
        <v>11</v>
      </c>
      <c r="Z107">
        <f>L107+Y107</f>
        <v>23</v>
      </c>
      <c r="AB107">
        <f>IFERROR(VLOOKUP(A107,'GRAL. SUC. LOCALES'!$A:$N,14,0),0)</f>
        <v>17</v>
      </c>
      <c r="AD107">
        <f>AB107+Z107</f>
        <v>40</v>
      </c>
      <c r="AF107">
        <v>50</v>
      </c>
      <c r="AG107">
        <v>50</v>
      </c>
      <c r="AH107">
        <f>AD107-AF107</f>
        <v>-10</v>
      </c>
    </row>
    <row r="108">
      <c r="A108" t="str">
        <v>PAY DE QUESO</v>
      </c>
      <c r="B108">
        <f>'EXISTENCIA EN SUCURSALES'!B108+'DISTRIBUCIÓN EN SUCURSALES'!B108</f>
        <v>0</v>
      </c>
      <c r="C108">
        <f>'EXISTENCIA EN SUCURSALES'!C108+'DISTRIBUCIÓN EN SUCURSALES'!C108</f>
        <v>1</v>
      </c>
      <c r="D108">
        <f>'EXISTENCIA EN SUCURSALES'!D108+'DISTRIBUCIÓN EN SUCURSALES'!D108</f>
        <v>1</v>
      </c>
      <c r="E108">
        <f>'EXISTENCIA EN SUCURSALES'!E108+'DISTRIBUCIÓN EN SUCURSALES'!E108</f>
        <v>0</v>
      </c>
      <c r="F108">
        <f>'EXISTENCIA EN SUCURSALES'!F108+'DISTRIBUCIÓN EN SUCURSALES'!F108</f>
        <v>0</v>
      </c>
      <c r="G108">
        <f>'EXISTENCIA EN SUCURSALES'!G108+'DISTRIBUCIÓN EN SUCURSALES'!G108</f>
        <v>0</v>
      </c>
      <c r="H108">
        <f>'EXISTENCIA EN SUCURSALES'!H108+'DISTRIBUCIÓN EN SUCURSALES'!H108</f>
        <v>1</v>
      </c>
      <c r="I108">
        <f>'EXISTENCIA EN SUCURSALES'!I108+'DISTRIBUCIÓN EN SUCURSALES'!I108</f>
        <v>0</v>
      </c>
      <c r="J108">
        <f>'EXISTENCIA EN SUCURSALES'!J108+'DISTRIBUCIÓN EN SUCURSALES'!J108</f>
        <v>0</v>
      </c>
      <c r="K108">
        <f>'EXISTENCIA EN SUCURSALES'!K108+'DISTRIBUCIÓN EN SUCURSALES'!K108</f>
        <v>0</v>
      </c>
      <c r="L108">
        <f>SUM(B108:K108)</f>
        <v>3</v>
      </c>
      <c r="M108">
        <f>'EXISTENCIA EN SUCURSALES'!M108+'DISTRIBUCIÓN EN SUCURSALES'!M108</f>
        <v>4</v>
      </c>
      <c r="N108">
        <f>'EXISTENCIA EN SUCURSALES'!N108+'DISTRIBUCIÓN EN SUCURSALES'!N108</f>
        <v>0</v>
      </c>
      <c r="O108">
        <f>'EXISTENCIA EN SUCURSALES'!O108+'DISTRIBUCIÓN EN SUCURSALES'!O108</f>
        <v>0</v>
      </c>
      <c r="P108">
        <f>'EXISTENCIA EN SUCURSALES'!P108+'DISTRIBUCIÓN EN SUCURSALES'!P108</f>
        <v>0</v>
      </c>
      <c r="Q108">
        <f>'EXISTENCIA EN SUCURSALES'!Q108+'DISTRIBUCIÓN EN SUCURSALES'!Q108</f>
        <v>1</v>
      </c>
      <c r="R108">
        <f>'EXISTENCIA EN SUCURSALES'!R108+'DISTRIBUCIÓN EN SUCURSALES'!R108</f>
        <v>0</v>
      </c>
      <c r="S108">
        <f>'EXISTENCIA EN SUCURSALES'!S108+'DISTRIBUCIÓN EN SUCURSALES'!S108</f>
        <v>0</v>
      </c>
      <c r="T108">
        <f>'EXISTENCIA EN SUCURSALES'!T108+'DISTRIBUCIÓN EN SUCURSALES'!T108</f>
        <v>0</v>
      </c>
      <c r="U108">
        <f>'EXISTENCIA EN SUCURSALES'!U108+'DISTRIBUCIÓN EN SUCURSALES'!U108</f>
        <v>0</v>
      </c>
      <c r="V108">
        <f>'EXISTENCIA EN SUCURSALES'!V108+'DISTRIBUCIÓN EN SUCURSALES'!V108</f>
        <v>0</v>
      </c>
      <c r="W108">
        <f>'EXISTENCIA EN SUCURSALES'!W108+'DISTRIBUCIÓN EN SUCURSALES'!W108</f>
        <v>0</v>
      </c>
      <c r="X108">
        <f>'EXISTENCIA EN SUCURSALES'!X108+'DISTRIBUCIÓN EN SUCURSALES'!X108</f>
        <v>0</v>
      </c>
      <c r="Y108">
        <f>SUM(M108:X108)</f>
        <v>5</v>
      </c>
      <c r="Z108">
        <f>L108+Y108</f>
        <v>8</v>
      </c>
      <c r="AB108">
        <f>IFERROR(VLOOKUP(A108,'GRAL. SUC. LOCALES'!$A:$N,14,0),0)</f>
        <v>0</v>
      </c>
      <c r="AD108">
        <f>AB108+Z108</f>
        <v>8</v>
      </c>
      <c r="AF108">
        <v>10</v>
      </c>
      <c r="AG108">
        <v>10</v>
      </c>
      <c r="AH108">
        <f>AD108-AF108</f>
        <v>-2</v>
      </c>
    </row>
    <row r="109">
      <c r="A109" t="str">
        <v>1/4 Kg de GALLETA</v>
      </c>
      <c r="B109">
        <f>'EXISTENCIA EN SUCURSALES'!B109+'DISTRIBUCIÓN EN SUCURSALES'!B109</f>
        <v>40</v>
      </c>
      <c r="C109">
        <f>'EXISTENCIA EN SUCURSALES'!C109+'DISTRIBUCIÓN EN SUCURSALES'!C109</f>
        <v>50</v>
      </c>
      <c r="D109">
        <f>'EXISTENCIA EN SUCURSALES'!D109+'DISTRIBUCIÓN EN SUCURSALES'!D109</f>
        <v>10</v>
      </c>
      <c r="E109">
        <f>'EXISTENCIA EN SUCURSALES'!E109+'DISTRIBUCIÓN EN SUCURSALES'!E109</f>
        <v>2</v>
      </c>
      <c r="F109">
        <f>'EXISTENCIA EN SUCURSALES'!F109+'DISTRIBUCIÓN EN SUCURSALES'!F109</f>
        <v>5</v>
      </c>
      <c r="G109">
        <f>'EXISTENCIA EN SUCURSALES'!G109+'DISTRIBUCIÓN EN SUCURSALES'!G109</f>
        <v>0</v>
      </c>
      <c r="H109">
        <f>'EXISTENCIA EN SUCURSALES'!H109+'DISTRIBUCIÓN EN SUCURSALES'!H109</f>
        <v>10</v>
      </c>
      <c r="I109">
        <f>'EXISTENCIA EN SUCURSALES'!I109+'DISTRIBUCIÓN EN SUCURSALES'!I109</f>
        <v>10</v>
      </c>
      <c r="J109">
        <f>'EXISTENCIA EN SUCURSALES'!J109+'DISTRIBUCIÓN EN SUCURSALES'!J109</f>
        <v>10</v>
      </c>
      <c r="K109">
        <f>'EXISTENCIA EN SUCURSALES'!K109+'DISTRIBUCIÓN EN SUCURSALES'!K109</f>
        <v>3</v>
      </c>
      <c r="L109">
        <f>SUM(B109:K109)</f>
        <v>140</v>
      </c>
      <c r="M109">
        <f>'EXISTENCIA EN SUCURSALES'!M109+'DISTRIBUCIÓN EN SUCURSALES'!M109</f>
        <v>10</v>
      </c>
      <c r="N109">
        <f>'EXISTENCIA EN SUCURSALES'!N109+'DISTRIBUCIÓN EN SUCURSALES'!N109</f>
        <v>4</v>
      </c>
      <c r="O109">
        <f>'EXISTENCIA EN SUCURSALES'!O109+'DISTRIBUCIÓN EN SUCURSALES'!O109</f>
        <v>10</v>
      </c>
      <c r="P109">
        <f>'EXISTENCIA EN SUCURSALES'!P109+'DISTRIBUCIÓN EN SUCURSALES'!P109</f>
        <v>3</v>
      </c>
      <c r="Q109">
        <f>'EXISTENCIA EN SUCURSALES'!Q109+'DISTRIBUCIÓN EN SUCURSALES'!Q109</f>
        <v>6</v>
      </c>
      <c r="R109">
        <f>'EXISTENCIA EN SUCURSALES'!R109+'DISTRIBUCIÓN EN SUCURSALES'!R109</f>
        <v>4</v>
      </c>
      <c r="S109">
        <f>'EXISTENCIA EN SUCURSALES'!S109+'DISTRIBUCIÓN EN SUCURSALES'!S109</f>
        <v>3</v>
      </c>
      <c r="T109">
        <f>'EXISTENCIA EN SUCURSALES'!T109+'DISTRIBUCIÓN EN SUCURSALES'!T109</f>
        <v>5</v>
      </c>
      <c r="U109">
        <f>'EXISTENCIA EN SUCURSALES'!U109+'DISTRIBUCIÓN EN SUCURSALES'!U109</f>
        <v>14</v>
      </c>
      <c r="V109">
        <f>'EXISTENCIA EN SUCURSALES'!V109+'DISTRIBUCIÓN EN SUCURSALES'!V109</f>
        <v>8</v>
      </c>
      <c r="W109">
        <f>'EXISTENCIA EN SUCURSALES'!W109+'DISTRIBUCIÓN EN SUCURSALES'!W109</f>
        <v>8</v>
      </c>
      <c r="X109">
        <f>'EXISTENCIA EN SUCURSALES'!X109+'DISTRIBUCIÓN EN SUCURSALES'!X109</f>
        <v>0</v>
      </c>
      <c r="Y109">
        <f>SUM(M109:X109)</f>
        <v>75</v>
      </c>
      <c r="Z109">
        <f>L109+Y109</f>
        <v>215</v>
      </c>
      <c r="AB109">
        <f>IFERROR(VLOOKUP(A109,'GRAL. SUC. LOCALES'!$A:$N,14,0),0)</f>
        <v>10</v>
      </c>
      <c r="AD109">
        <f>AB109+Z109</f>
        <v>225</v>
      </c>
      <c r="AF109">
        <v>250</v>
      </c>
      <c r="AG109">
        <v>250</v>
      </c>
      <c r="AH109">
        <f>AD109-AF109</f>
        <v>-25</v>
      </c>
    </row>
    <row r="110">
      <c r="A110" t="str">
        <v>1/2 kg DE GALLETA</v>
      </c>
      <c r="B110">
        <f>'EXISTENCIA EN SUCURSALES'!B110+'DISTRIBUCIÓN EN SUCURSALES'!B110</f>
        <v>40</v>
      </c>
      <c r="C110">
        <f>'EXISTENCIA EN SUCURSALES'!C110+'DISTRIBUCIÓN EN SUCURSALES'!C110</f>
        <v>50</v>
      </c>
      <c r="D110">
        <f>'EXISTENCIA EN SUCURSALES'!D110+'DISTRIBUCIÓN EN SUCURSALES'!D110</f>
        <v>10</v>
      </c>
      <c r="E110">
        <f>'EXISTENCIA EN SUCURSALES'!E110+'DISTRIBUCIÓN EN SUCURSALES'!E110</f>
        <v>2</v>
      </c>
      <c r="F110">
        <f>'EXISTENCIA EN SUCURSALES'!F110+'DISTRIBUCIÓN EN SUCURSALES'!F110</f>
        <v>3</v>
      </c>
      <c r="G110">
        <f>'EXISTENCIA EN SUCURSALES'!G110+'DISTRIBUCIÓN EN SUCURSALES'!G110</f>
        <v>0</v>
      </c>
      <c r="H110">
        <f>'EXISTENCIA EN SUCURSALES'!H110+'DISTRIBUCIÓN EN SUCURSALES'!H110</f>
        <v>10</v>
      </c>
      <c r="I110">
        <f>'EXISTENCIA EN SUCURSALES'!I110+'DISTRIBUCIÓN EN SUCURSALES'!I110</f>
        <v>10</v>
      </c>
      <c r="J110">
        <f>'EXISTENCIA EN SUCURSALES'!J110+'DISTRIBUCIÓN EN SUCURSALES'!J110</f>
        <v>12</v>
      </c>
      <c r="K110">
        <f>'EXISTENCIA EN SUCURSALES'!K110+'DISTRIBUCIÓN EN SUCURSALES'!K110</f>
        <v>3</v>
      </c>
      <c r="L110">
        <f>SUM(B110:K110)</f>
        <v>140</v>
      </c>
      <c r="M110">
        <f>'EXISTENCIA EN SUCURSALES'!M110+'DISTRIBUCIÓN EN SUCURSALES'!M110</f>
        <v>11</v>
      </c>
      <c r="N110">
        <f>'EXISTENCIA EN SUCURSALES'!N110+'DISTRIBUCIÓN EN SUCURSALES'!N110</f>
        <v>5</v>
      </c>
      <c r="O110">
        <f>'EXISTENCIA EN SUCURSALES'!O110+'DISTRIBUCIÓN EN SUCURSALES'!O110</f>
        <v>9</v>
      </c>
      <c r="P110">
        <f>'EXISTENCIA EN SUCURSALES'!P110+'DISTRIBUCIÓN EN SUCURSALES'!P110</f>
        <v>2</v>
      </c>
      <c r="Q110">
        <f>'EXISTENCIA EN SUCURSALES'!Q110+'DISTRIBUCIÓN EN SUCURSALES'!Q110</f>
        <v>5</v>
      </c>
      <c r="R110">
        <f>'EXISTENCIA EN SUCURSALES'!R110+'DISTRIBUCIÓN EN SUCURSALES'!R110</f>
        <v>3</v>
      </c>
      <c r="S110">
        <f>'EXISTENCIA EN SUCURSALES'!S110+'DISTRIBUCIÓN EN SUCURSALES'!S110</f>
        <v>3</v>
      </c>
      <c r="T110">
        <f>'EXISTENCIA EN SUCURSALES'!T110+'DISTRIBUCIÓN EN SUCURSALES'!T110</f>
        <v>5</v>
      </c>
      <c r="U110">
        <f>'EXISTENCIA EN SUCURSALES'!U110+'DISTRIBUCIÓN EN SUCURSALES'!U110</f>
        <v>5</v>
      </c>
      <c r="V110">
        <f>'EXISTENCIA EN SUCURSALES'!V110+'DISTRIBUCIÓN EN SUCURSALES'!V110</f>
        <v>10</v>
      </c>
      <c r="W110">
        <f>'EXISTENCIA EN SUCURSALES'!W110+'DISTRIBUCIÓN EN SUCURSALES'!W110</f>
        <v>6</v>
      </c>
      <c r="X110">
        <f>'EXISTENCIA EN SUCURSALES'!X110+'DISTRIBUCIÓN EN SUCURSALES'!X110</f>
        <v>5</v>
      </c>
      <c r="Y110">
        <f>SUM(M110:X110)</f>
        <v>69</v>
      </c>
      <c r="Z110">
        <f>L110+Y110</f>
        <v>209</v>
      </c>
      <c r="AB110">
        <f>IFERROR(VLOOKUP(A110,'GRAL. SUC. LOCALES'!$A:$N,14,0),0)</f>
        <v>10</v>
      </c>
      <c r="AD110">
        <f>AB110+Z110</f>
        <v>219</v>
      </c>
      <c r="AF110">
        <v>220</v>
      </c>
      <c r="AG110">
        <v>220</v>
      </c>
      <c r="AH110">
        <f>AD110-AF110</f>
        <v>-1</v>
      </c>
    </row>
    <row r="111">
      <c r="A111" t="str">
        <v>TRUFAS CON 9</v>
      </c>
      <c r="B111">
        <f>'EXISTENCIA EN SUCURSALES'!B111+'DISTRIBUCIÓN EN SUCURSALES'!B111</f>
        <v>2</v>
      </c>
      <c r="C111">
        <f>'EXISTENCIA EN SUCURSALES'!C111+'DISTRIBUCIÓN EN SUCURSALES'!C111</f>
        <v>2</v>
      </c>
      <c r="D111">
        <f>'EXISTENCIA EN SUCURSALES'!D111+'DISTRIBUCIÓN EN SUCURSALES'!D111</f>
        <v>2</v>
      </c>
      <c r="E111">
        <f>'EXISTENCIA EN SUCURSALES'!E111+'DISTRIBUCIÓN EN SUCURSALES'!E111</f>
        <v>1</v>
      </c>
      <c r="F111">
        <f>'EXISTENCIA EN SUCURSALES'!F111+'DISTRIBUCIÓN EN SUCURSALES'!F111</f>
        <v>1</v>
      </c>
      <c r="G111">
        <f>'EXISTENCIA EN SUCURSALES'!G111+'DISTRIBUCIÓN EN SUCURSALES'!G111</f>
        <v>0</v>
      </c>
      <c r="H111">
        <f>'EXISTENCIA EN SUCURSALES'!H111+'DISTRIBUCIÓN EN SUCURSALES'!H111</f>
        <v>2</v>
      </c>
      <c r="I111">
        <f>'EXISTENCIA EN SUCURSALES'!I111+'DISTRIBUCIÓN EN SUCURSALES'!I111</f>
        <v>2</v>
      </c>
      <c r="J111">
        <f>'EXISTENCIA EN SUCURSALES'!J111+'DISTRIBUCIÓN EN SUCURSALES'!J111</f>
        <v>2</v>
      </c>
      <c r="K111">
        <f>'EXISTENCIA EN SUCURSALES'!K111+'DISTRIBUCIÓN EN SUCURSALES'!K111</f>
        <v>1</v>
      </c>
      <c r="L111">
        <f>SUM(B111:K111)</f>
        <v>15</v>
      </c>
      <c r="M111">
        <f>'EXISTENCIA EN SUCURSALES'!M111+'DISTRIBUCIÓN EN SUCURSALES'!M111</f>
        <v>0</v>
      </c>
      <c r="N111">
        <f>'EXISTENCIA EN SUCURSALES'!N111+'DISTRIBUCIÓN EN SUCURSALES'!N111</f>
        <v>1</v>
      </c>
      <c r="O111">
        <f>'EXISTENCIA EN SUCURSALES'!O111+'DISTRIBUCIÓN EN SUCURSALES'!O111</f>
        <v>0</v>
      </c>
      <c r="P111">
        <f>'EXISTENCIA EN SUCURSALES'!P111+'DISTRIBUCIÓN EN SUCURSALES'!P111</f>
        <v>0</v>
      </c>
      <c r="Q111">
        <f>'EXISTENCIA EN SUCURSALES'!Q111+'DISTRIBUCIÓN EN SUCURSALES'!Q111</f>
        <v>3</v>
      </c>
      <c r="R111">
        <f>'EXISTENCIA EN SUCURSALES'!R111+'DISTRIBUCIÓN EN SUCURSALES'!R111</f>
        <v>2</v>
      </c>
      <c r="S111">
        <f>'EXISTENCIA EN SUCURSALES'!S111+'DISTRIBUCIÓN EN SUCURSALES'!S111</f>
        <v>0</v>
      </c>
      <c r="T111">
        <f>'EXISTENCIA EN SUCURSALES'!T111+'DISTRIBUCIÓN EN SUCURSALES'!T111</f>
        <v>0</v>
      </c>
      <c r="U111">
        <f>'EXISTENCIA EN SUCURSALES'!U111+'DISTRIBUCIÓN EN SUCURSALES'!U111</f>
        <v>0</v>
      </c>
      <c r="V111">
        <f>'EXISTENCIA EN SUCURSALES'!V111+'DISTRIBUCIÓN EN SUCURSALES'!V111</f>
        <v>0</v>
      </c>
      <c r="W111">
        <f>'EXISTENCIA EN SUCURSALES'!W111+'DISTRIBUCIÓN EN SUCURSALES'!W111</f>
        <v>1</v>
      </c>
      <c r="X111">
        <f>'EXISTENCIA EN SUCURSALES'!X111+'DISTRIBUCIÓN EN SUCURSALES'!X111</f>
        <v>1</v>
      </c>
      <c r="Y111">
        <f>SUM(M111:X111)</f>
        <v>8</v>
      </c>
      <c r="Z111">
        <f>L111+Y111</f>
        <v>23</v>
      </c>
      <c r="AB111">
        <f>IFERROR(VLOOKUP(A111,'GRAL. SUC. LOCALES'!$A:$N,14,0),0)</f>
        <v>11</v>
      </c>
      <c r="AD111">
        <f>AB111+Z111</f>
        <v>34</v>
      </c>
      <c r="AF111">
        <v>40</v>
      </c>
      <c r="AG111">
        <v>40</v>
      </c>
      <c r="AH111">
        <f>AD111-AF111</f>
        <v>-6</v>
      </c>
    </row>
    <row r="112">
      <c r="B112">
        <f>'EXISTENCIA EN SUCURSALES'!B112+'DISTRIBUCIÓN EN SUCURSALES'!B112</f>
        <v>0</v>
      </c>
      <c r="C112">
        <f>'EXISTENCIA EN SUCURSALES'!C112+'DISTRIBUCIÓN EN SUCURSALES'!C112</f>
        <v>0</v>
      </c>
      <c r="D112">
        <f>'EXISTENCIA EN SUCURSALES'!D112+'DISTRIBUCIÓN EN SUCURSALES'!D112</f>
        <v>0</v>
      </c>
      <c r="E112">
        <f>'EXISTENCIA EN SUCURSALES'!E112+'DISTRIBUCIÓN EN SUCURSALES'!E112</f>
        <v>0</v>
      </c>
      <c r="F112">
        <f>'EXISTENCIA EN SUCURSALES'!F112+'DISTRIBUCIÓN EN SUCURSALES'!F112</f>
        <v>0</v>
      </c>
      <c r="G112">
        <f>'EXISTENCIA EN SUCURSALES'!G112+'DISTRIBUCIÓN EN SUCURSALES'!G112</f>
        <v>0</v>
      </c>
      <c r="H112">
        <f>'EXISTENCIA EN SUCURSALES'!H112+'DISTRIBUCIÓN EN SUCURSALES'!H112</f>
        <v>0</v>
      </c>
      <c r="I112">
        <f>'EXISTENCIA EN SUCURSALES'!I112+'DISTRIBUCIÓN EN SUCURSALES'!I112</f>
        <v>0</v>
      </c>
      <c r="J112">
        <f>'EXISTENCIA EN SUCURSALES'!J112+'DISTRIBUCIÓN EN SUCURSALES'!J112</f>
        <v>0</v>
      </c>
      <c r="K112">
        <f>'EXISTENCIA EN SUCURSALES'!K112+'DISTRIBUCIÓN EN SUCURSALES'!K112</f>
        <v>0</v>
      </c>
      <c r="L112">
        <f>SUM(B112:K112)</f>
        <v>0</v>
      </c>
      <c r="M112">
        <f>'EXISTENCIA EN SUCURSALES'!M112+'DISTRIBUCIÓN EN SUCURSALES'!M112</f>
        <v>0</v>
      </c>
      <c r="N112">
        <f>'EXISTENCIA EN SUCURSALES'!N112+'DISTRIBUCIÓN EN SUCURSALES'!N112</f>
        <v>0</v>
      </c>
      <c r="O112">
        <f>'EXISTENCIA EN SUCURSALES'!O112+'DISTRIBUCIÓN EN SUCURSALES'!O112</f>
        <v>0</v>
      </c>
      <c r="P112">
        <f>'EXISTENCIA EN SUCURSALES'!P112+'DISTRIBUCIÓN EN SUCURSALES'!P112</f>
        <v>0</v>
      </c>
      <c r="Q112">
        <f>'EXISTENCIA EN SUCURSALES'!Q112+'DISTRIBUCIÓN EN SUCURSALES'!Q112</f>
        <v>0</v>
      </c>
      <c r="R112">
        <f>'EXISTENCIA EN SUCURSALES'!R112+'DISTRIBUCIÓN EN SUCURSALES'!R112</f>
        <v>0</v>
      </c>
      <c r="S112">
        <f>'EXISTENCIA EN SUCURSALES'!S112+'DISTRIBUCIÓN EN SUCURSALES'!S112</f>
        <v>0</v>
      </c>
      <c r="T112">
        <f>'EXISTENCIA EN SUCURSALES'!T112+'DISTRIBUCIÓN EN SUCURSALES'!T112</f>
        <v>0</v>
      </c>
      <c r="U112">
        <f>'EXISTENCIA EN SUCURSALES'!U112+'DISTRIBUCIÓN EN SUCURSALES'!U112</f>
        <v>0</v>
      </c>
      <c r="V112">
        <f>'EXISTENCIA EN SUCURSALES'!V112+'DISTRIBUCIÓN EN SUCURSALES'!V112</f>
        <v>0</v>
      </c>
      <c r="W112">
        <f>'EXISTENCIA EN SUCURSALES'!W112+'DISTRIBUCIÓN EN SUCURSALES'!W112</f>
        <v>0</v>
      </c>
      <c r="X112">
        <f>'EXISTENCIA EN SUCURSALES'!X112+'DISTRIBUCIÓN EN SUCURSALES'!X112</f>
        <v>0</v>
      </c>
      <c r="Y112">
        <f>SUM(M112:X112)</f>
        <v>0</v>
      </c>
      <c r="Z112">
        <f>L112+Y112</f>
        <v>0</v>
      </c>
      <c r="AB112">
        <f>IFERROR(VLOOKUP(A112,'GRAL. SUC. LOCALES'!$A:$N,14,0),0)</f>
        <v>0</v>
      </c>
      <c r="AD112">
        <f>AB112+Z112</f>
        <v>0</v>
      </c>
      <c r="AH112">
        <f>AD112-AF112</f>
        <v>0</v>
      </c>
    </row>
    <row r="113">
      <c r="A113" t="str">
        <v>Total Area</v>
      </c>
      <c r="B113">
        <f>SUM(B107:B112,B114:B116)</f>
        <v>93</v>
      </c>
      <c r="C113">
        <f>SUM(C107:C112,C114:C116)</f>
        <v>116</v>
      </c>
      <c r="D113">
        <f>SUM(D107:D112,D114:D116)</f>
        <v>32</v>
      </c>
      <c r="E113">
        <f>SUM(E107:E112,E114:E116)</f>
        <v>10</v>
      </c>
      <c r="F113">
        <f>SUM(F107:F112,F114:F116)</f>
        <v>14</v>
      </c>
      <c r="G113">
        <f>SUM(G107:G112,G114:G116)</f>
        <v>0</v>
      </c>
      <c r="H113">
        <f>SUM(H107:H112,H114:H116)</f>
        <v>28</v>
      </c>
      <c r="I113">
        <f>SUM(I107:I112,I114:I116)</f>
        <v>36</v>
      </c>
      <c r="J113">
        <f>SUM(J107:J112,J114:J116)</f>
        <v>34</v>
      </c>
      <c r="K113">
        <f>SUM(K107:K112,K114:K116)</f>
        <v>10</v>
      </c>
      <c r="L113">
        <f>SUM(L107:L112,L114:L116)</f>
        <v>373</v>
      </c>
      <c r="M113">
        <f>SUM(M107:M112,M114:M116)</f>
        <v>36</v>
      </c>
      <c r="N113">
        <f>SUM(N107:N112,N114:N116)</f>
        <v>19</v>
      </c>
      <c r="O113">
        <f>SUM(O107:O112,O114:O116)</f>
        <v>21</v>
      </c>
      <c r="P113">
        <f>SUM(P107:P112,P114:P116)</f>
        <v>11</v>
      </c>
      <c r="Q113">
        <f>SUM(Q107:Q112,Q114:Q116)</f>
        <v>24</v>
      </c>
      <c r="R113">
        <f>SUM(R107:R112,R114:R116)</f>
        <v>29</v>
      </c>
      <c r="S113">
        <f>SUM(S107:S112,S114:S116)</f>
        <v>13</v>
      </c>
      <c r="T113">
        <f>SUM(T107:T112,T114:T116)</f>
        <v>12</v>
      </c>
      <c r="U113">
        <f>SUM(U107:U112,U114:U116)</f>
        <v>21</v>
      </c>
      <c r="V113">
        <f>SUM(V107:V112,V114:V116)</f>
        <v>28</v>
      </c>
      <c r="W113">
        <f>SUM(W107:W112,W114:W116)</f>
        <v>31</v>
      </c>
      <c r="X113">
        <f>SUM(X107:X112,X114:X116)</f>
        <v>10</v>
      </c>
      <c r="Y113">
        <f>SUM(Y107:Y112,Y114:Y116)</f>
        <v>255</v>
      </c>
      <c r="Z113">
        <f>SUM(Z107:Z112,Z114:Z116)</f>
        <v>628</v>
      </c>
      <c r="AB113">
        <f>SUM(AB107:AB112,AB114:AB116)</f>
        <v>60</v>
      </c>
      <c r="AD113">
        <f>AB113+Z113</f>
        <v>688</v>
      </c>
      <c r="AF113">
        <f>SUM(AF107:AF112,AF114:AF116)</f>
        <v>760</v>
      </c>
      <c r="AG113">
        <f>SUM(AG107:AG112,AG114:AG116)</f>
        <v>770</v>
      </c>
      <c r="AH113">
        <f>AD113-AF113</f>
        <v>-72</v>
      </c>
    </row>
    <row r="114">
      <c r="A114" t="str">
        <v>VASO DE ARROZ</v>
      </c>
      <c r="B114">
        <f>'EXISTENCIA EN SUCURSALES'!B114+'DISTRIBUCIÓN EN SUCURSALES'!B114</f>
        <v>3</v>
      </c>
      <c r="C114">
        <f>'EXISTENCIA EN SUCURSALES'!C114+'DISTRIBUCIÓN EN SUCURSALES'!C114</f>
        <v>4</v>
      </c>
      <c r="D114">
        <f>'EXISTENCIA EN SUCURSALES'!D114+'DISTRIBUCIÓN EN SUCURSALES'!D114</f>
        <v>2</v>
      </c>
      <c r="E114">
        <f>'EXISTENCIA EN SUCURSALES'!E114+'DISTRIBUCIÓN EN SUCURSALES'!E114</f>
        <v>2</v>
      </c>
      <c r="F114">
        <f>'EXISTENCIA EN SUCURSALES'!F114+'DISTRIBUCIÓN EN SUCURSALES'!F114</f>
        <v>1</v>
      </c>
      <c r="G114">
        <f>'EXISTENCIA EN SUCURSALES'!G114+'DISTRIBUCIÓN EN SUCURSALES'!G114</f>
        <v>0</v>
      </c>
      <c r="H114">
        <f>'EXISTENCIA EN SUCURSALES'!H114+'DISTRIBUCIÓN EN SUCURSALES'!H114</f>
        <v>1</v>
      </c>
      <c r="I114">
        <f>'EXISTENCIA EN SUCURSALES'!I114+'DISTRIBUCIÓN EN SUCURSALES'!I114</f>
        <v>4</v>
      </c>
      <c r="J114">
        <f>'EXISTENCIA EN SUCURSALES'!J114+'DISTRIBUCIÓN EN SUCURSALES'!J114</f>
        <v>3</v>
      </c>
      <c r="K114">
        <f>'EXISTENCIA EN SUCURSALES'!K114+'DISTRIBUCIÓN EN SUCURSALES'!K114</f>
        <v>1</v>
      </c>
      <c r="L114">
        <f>SUM(B114:K114)</f>
        <v>21</v>
      </c>
      <c r="M114">
        <f>'EXISTENCIA EN SUCURSALES'!M114+'DISTRIBUCIÓN EN SUCURSALES'!M114</f>
        <v>4</v>
      </c>
      <c r="N114">
        <f>'EXISTENCIA EN SUCURSALES'!N114+'DISTRIBUCIÓN EN SUCURSALES'!N114</f>
        <v>2</v>
      </c>
      <c r="O114">
        <f>'EXISTENCIA EN SUCURSALES'!O114+'DISTRIBUCIÓN EN SUCURSALES'!O114</f>
        <v>1</v>
      </c>
      <c r="P114">
        <f>'EXISTENCIA EN SUCURSALES'!P114+'DISTRIBUCIÓN EN SUCURSALES'!P114</f>
        <v>1</v>
      </c>
      <c r="Q114">
        <f>'EXISTENCIA EN SUCURSALES'!Q114+'DISTRIBUCIÓN EN SUCURSALES'!Q114</f>
        <v>2</v>
      </c>
      <c r="R114">
        <f>'EXISTENCIA EN SUCURSALES'!R114+'DISTRIBUCIÓN EN SUCURSALES'!R114</f>
        <v>5</v>
      </c>
      <c r="S114">
        <f>'EXISTENCIA EN SUCURSALES'!S114+'DISTRIBUCIÓN EN SUCURSALES'!S114</f>
        <v>5</v>
      </c>
      <c r="T114">
        <f>'EXISTENCIA EN SUCURSALES'!T114+'DISTRIBUCIÓN EN SUCURSALES'!T114</f>
        <v>0</v>
      </c>
      <c r="U114">
        <f>'EXISTENCIA EN SUCURSALES'!U114+'DISTRIBUCIÓN EN SUCURSALES'!U114</f>
        <v>1</v>
      </c>
      <c r="V114">
        <f>'EXISTENCIA EN SUCURSALES'!V114+'DISTRIBUCIÓN EN SUCURSALES'!V114</f>
        <v>2</v>
      </c>
      <c r="W114">
        <f>'EXISTENCIA EN SUCURSALES'!W114+'DISTRIBUCIÓN EN SUCURSALES'!W114</f>
        <v>3</v>
      </c>
      <c r="X114">
        <f>'EXISTENCIA EN SUCURSALES'!X114+'DISTRIBUCIÓN EN SUCURSALES'!X114</f>
        <v>3</v>
      </c>
      <c r="Y114">
        <f>SUM(M114:X114)</f>
        <v>29</v>
      </c>
      <c r="Z114">
        <f>L114+Y114</f>
        <v>50</v>
      </c>
      <c r="AB114">
        <f>IFERROR(VLOOKUP(A114,'GRAL. SUC. LOCALES'!$A:$N,14,0),0)</f>
        <v>2</v>
      </c>
      <c r="AD114">
        <f>AB114+Z114</f>
        <v>52</v>
      </c>
      <c r="AF114">
        <v>60</v>
      </c>
      <c r="AG114">
        <v>60</v>
      </c>
      <c r="AH114">
        <f>AD114-AF114</f>
        <v>-8</v>
      </c>
    </row>
    <row r="115">
      <c r="A115" t="str">
        <v>FLAN EN VASO</v>
      </c>
      <c r="B115">
        <f>'EXISTENCIA EN SUCURSALES'!B115+'DISTRIBUCIÓN EN SUCURSALES'!B115</f>
        <v>3</v>
      </c>
      <c r="C115">
        <f>'EXISTENCIA EN SUCURSALES'!C115+'DISTRIBUCIÓN EN SUCURSALES'!C115</f>
        <v>4</v>
      </c>
      <c r="D115">
        <f>'EXISTENCIA EN SUCURSALES'!D115+'DISTRIBUCIÓN EN SUCURSALES'!D115</f>
        <v>3</v>
      </c>
      <c r="E115">
        <f>'EXISTENCIA EN SUCURSALES'!E115+'DISTRIBUCIÓN EN SUCURSALES'!E115</f>
        <v>2</v>
      </c>
      <c r="F115">
        <f>'EXISTENCIA EN SUCURSALES'!F115+'DISTRIBUCIÓN EN SUCURSALES'!F115</f>
        <v>1</v>
      </c>
      <c r="G115">
        <f>'EXISTENCIA EN SUCURSALES'!G115+'DISTRIBUCIÓN EN SUCURSALES'!G115</f>
        <v>0</v>
      </c>
      <c r="H115">
        <f>'EXISTENCIA EN SUCURSALES'!H115+'DISTRIBUCIÓN EN SUCURSALES'!H115</f>
        <v>1</v>
      </c>
      <c r="I115">
        <f>'EXISTENCIA EN SUCURSALES'!I115+'DISTRIBUCIÓN EN SUCURSALES'!I115</f>
        <v>4</v>
      </c>
      <c r="J115">
        <f>'EXISTENCIA EN SUCURSALES'!J115+'DISTRIBUCIÓN EN SUCURSALES'!J115</f>
        <v>3</v>
      </c>
      <c r="K115">
        <f>'EXISTENCIA EN SUCURSALES'!K115+'DISTRIBUCIÓN EN SUCURSALES'!K115</f>
        <v>1</v>
      </c>
      <c r="L115">
        <f>SUM(B115:K115)</f>
        <v>22</v>
      </c>
      <c r="M115">
        <f>'EXISTENCIA EN SUCURSALES'!M115+'DISTRIBUCIÓN EN SUCURSALES'!M115</f>
        <v>3</v>
      </c>
      <c r="N115">
        <f>'EXISTENCIA EN SUCURSALES'!N115+'DISTRIBUCIÓN EN SUCURSALES'!N115</f>
        <v>2</v>
      </c>
      <c r="O115">
        <f>'EXISTENCIA EN SUCURSALES'!O115+'DISTRIBUCIÓN EN SUCURSALES'!O115</f>
        <v>1</v>
      </c>
      <c r="P115">
        <f>'EXISTENCIA EN SUCURSALES'!P115+'DISTRIBUCIÓN EN SUCURSALES'!P115</f>
        <v>2</v>
      </c>
      <c r="Q115">
        <f>'EXISTENCIA EN SUCURSALES'!Q115+'DISTRIBUCIÓN EN SUCURSALES'!Q115</f>
        <v>2</v>
      </c>
      <c r="R115">
        <f>'EXISTENCIA EN SUCURSALES'!R115+'DISTRIBUCIÓN EN SUCURSALES'!R115</f>
        <v>5</v>
      </c>
      <c r="S115">
        <f>'EXISTENCIA EN SUCURSALES'!S115+'DISTRIBUCIÓN EN SUCURSALES'!S115</f>
        <v>0</v>
      </c>
      <c r="T115">
        <f>'EXISTENCIA EN SUCURSALES'!T115+'DISTRIBUCIÓN EN SUCURSALES'!T115</f>
        <v>0</v>
      </c>
      <c r="U115">
        <f>'EXISTENCIA EN SUCURSALES'!U115+'DISTRIBUCIÓN EN SUCURSALES'!U115</f>
        <v>1</v>
      </c>
      <c r="V115">
        <f>'EXISTENCIA EN SUCURSALES'!V115+'DISTRIBUCIÓN EN SUCURSALES'!V115</f>
        <v>3</v>
      </c>
      <c r="W115">
        <f>'EXISTENCIA EN SUCURSALES'!W115+'DISTRIBUCIÓN EN SUCURSALES'!W115</f>
        <v>6</v>
      </c>
      <c r="X115">
        <f>'EXISTENCIA EN SUCURSALES'!X115+'DISTRIBUCIÓN EN SUCURSALES'!X115</f>
        <v>1</v>
      </c>
      <c r="Y115">
        <f>SUM(M115:X115)</f>
        <v>26</v>
      </c>
      <c r="Z115">
        <f>L115+Y115</f>
        <v>48</v>
      </c>
      <c r="AB115">
        <f>IFERROR(VLOOKUP(A115,'GRAL. SUC. LOCALES'!$A:$N,14,0),0)</f>
        <v>10</v>
      </c>
      <c r="AD115">
        <f>AB115+Z115</f>
        <v>58</v>
      </c>
      <c r="AF115">
        <v>60</v>
      </c>
      <c r="AG115">
        <v>60</v>
      </c>
      <c r="AH115">
        <f>AD115-AF115</f>
        <v>-2</v>
      </c>
    </row>
    <row r="116">
      <c r="A116" t="str">
        <v>JERICALLA UN CUARTO $45</v>
      </c>
      <c r="B116">
        <f>'EXISTENCIA EN SUCURSALES'!B116+'DISTRIBUCIÓN EN SUCURSALES'!B116</f>
        <v>3</v>
      </c>
      <c r="C116">
        <f>'EXISTENCIA EN SUCURSALES'!C116+'DISTRIBUCIÓN EN SUCURSALES'!C116</f>
        <v>3</v>
      </c>
      <c r="D116">
        <f>'EXISTENCIA EN SUCURSALES'!D116+'DISTRIBUCIÓN EN SUCURSALES'!D116</f>
        <v>3</v>
      </c>
      <c r="E116">
        <f>'EXISTENCIA EN SUCURSALES'!E116+'DISTRIBUCIÓN EN SUCURSALES'!E116</f>
        <v>1</v>
      </c>
      <c r="F116">
        <f>'EXISTENCIA EN SUCURSALES'!F116+'DISTRIBUCIÓN EN SUCURSALES'!F116</f>
        <v>2</v>
      </c>
      <c r="G116">
        <f>'EXISTENCIA EN SUCURSALES'!G116+'DISTRIBUCIÓN EN SUCURSALES'!G116</f>
        <v>0</v>
      </c>
      <c r="H116">
        <f>'EXISTENCIA EN SUCURSALES'!H116+'DISTRIBUCIÓN EN SUCURSALES'!H116</f>
        <v>1</v>
      </c>
      <c r="I116">
        <f>'EXISTENCIA EN SUCURSALES'!I116+'DISTRIBUCIÓN EN SUCURSALES'!I116</f>
        <v>5</v>
      </c>
      <c r="J116">
        <f>'EXISTENCIA EN SUCURSALES'!J116+'DISTRIBUCIÓN EN SUCURSALES'!J116</f>
        <v>2</v>
      </c>
      <c r="K116">
        <f>'EXISTENCIA EN SUCURSALES'!K116+'DISTRIBUCIÓN EN SUCURSALES'!K116</f>
        <v>0</v>
      </c>
      <c r="L116">
        <f>SUM(B116:K116)</f>
        <v>20</v>
      </c>
      <c r="M116">
        <f>'EXISTENCIA EN SUCURSALES'!M116+'DISTRIBUCIÓN EN SUCURSALES'!M116</f>
        <v>4</v>
      </c>
      <c r="N116">
        <f>'EXISTENCIA EN SUCURSALES'!N116+'DISTRIBUCIÓN EN SUCURSALES'!N116</f>
        <v>3</v>
      </c>
      <c r="O116">
        <f>'EXISTENCIA EN SUCURSALES'!O116+'DISTRIBUCIÓN EN SUCURSALES'!O116</f>
        <v>0</v>
      </c>
      <c r="P116">
        <f>'EXISTENCIA EN SUCURSALES'!P116+'DISTRIBUCIÓN EN SUCURSALES'!P116</f>
        <v>2</v>
      </c>
      <c r="Q116">
        <f>'EXISTENCIA EN SUCURSALES'!Q116+'DISTRIBUCIÓN EN SUCURSALES'!Q116</f>
        <v>3</v>
      </c>
      <c r="R116">
        <f>'EXISTENCIA EN SUCURSALES'!R116+'DISTRIBUCIÓN EN SUCURSALES'!R116</f>
        <v>8</v>
      </c>
      <c r="S116">
        <f>'EXISTENCIA EN SUCURSALES'!S116+'DISTRIBUCIÓN EN SUCURSALES'!S116</f>
        <v>2</v>
      </c>
      <c r="T116">
        <f>'EXISTENCIA EN SUCURSALES'!T116+'DISTRIBUCIÓN EN SUCURSALES'!T116</f>
        <v>1</v>
      </c>
      <c r="U116">
        <f>'EXISTENCIA EN SUCURSALES'!U116+'DISTRIBUCIÓN EN SUCURSALES'!U116</f>
        <v>0</v>
      </c>
      <c r="V116">
        <f>'EXISTENCIA EN SUCURSALES'!V116+'DISTRIBUCIÓN EN SUCURSALES'!V116</f>
        <v>4</v>
      </c>
      <c r="W116">
        <f>'EXISTENCIA EN SUCURSALES'!W116+'DISTRIBUCIÓN EN SUCURSALES'!W116</f>
        <v>5</v>
      </c>
      <c r="X116">
        <f>'EXISTENCIA EN SUCURSALES'!X116+'DISTRIBUCIÓN EN SUCURSALES'!X116</f>
        <v>0</v>
      </c>
      <c r="Y116">
        <f>SUM(M116:X116)</f>
        <v>32</v>
      </c>
      <c r="Z116">
        <f>L116+Y116</f>
        <v>52</v>
      </c>
      <c r="AB116">
        <f>IFERROR(VLOOKUP(A116,'GRAL. SUC. LOCALES'!$A:$N,14,0),0)</f>
        <v>0</v>
      </c>
      <c r="AD116">
        <f>AB116+Z116</f>
        <v>52</v>
      </c>
      <c r="AF116">
        <v>70</v>
      </c>
      <c r="AG116">
        <v>80</v>
      </c>
      <c r="AH116">
        <f>AD116-AF116</f>
        <v>-18</v>
      </c>
    </row>
    <row r="117">
      <c r="A117" t="str">
        <v>SUMAS</v>
      </c>
      <c r="B117">
        <f>B79+B91+B105+B113</f>
        <v>301</v>
      </c>
      <c r="C117">
        <f>C79+C91+C105+C113</f>
        <v>331</v>
      </c>
      <c r="D117">
        <f>D79+D91+D105+D113</f>
        <v>191</v>
      </c>
      <c r="E117">
        <f>E79+E91+E105+E113</f>
        <v>133</v>
      </c>
      <c r="F117">
        <f>F79+F91+F105+F113</f>
        <v>160</v>
      </c>
      <c r="G117">
        <f>G79+G91+G105+G113</f>
        <v>0</v>
      </c>
      <c r="H117">
        <f>H79+H91+H105+H113</f>
        <v>170</v>
      </c>
      <c r="I117">
        <f>I79+I91+I105+I113</f>
        <v>162</v>
      </c>
      <c r="J117">
        <f>J79+J91+J105+J113</f>
        <v>233</v>
      </c>
      <c r="K117">
        <f>K79+K91+K105+K113</f>
        <v>149</v>
      </c>
      <c r="L117">
        <f>L79+L91+L105+L113</f>
        <v>1830</v>
      </c>
      <c r="M117">
        <f>M79+M91+M105+M113</f>
        <v>212</v>
      </c>
      <c r="N117">
        <f>N79+N91+N105+N113</f>
        <v>151</v>
      </c>
      <c r="O117">
        <f>O79+O91+O105+O113</f>
        <v>117</v>
      </c>
      <c r="P117">
        <f>P79+P91+P105+P113</f>
        <v>159</v>
      </c>
      <c r="Q117">
        <f>Q79+Q91+Q105+Q113</f>
        <v>237</v>
      </c>
      <c r="R117">
        <f>R79+R91+R105+R113</f>
        <v>234</v>
      </c>
      <c r="S117">
        <f>S79+S91+S105+S113</f>
        <v>158</v>
      </c>
      <c r="T117">
        <f>T79+T91+T105+T113</f>
        <v>172</v>
      </c>
      <c r="U117">
        <f>U79+U91+U105+U113</f>
        <v>71</v>
      </c>
      <c r="V117">
        <f>V79+V91+V105+V113</f>
        <v>182</v>
      </c>
      <c r="W117">
        <f>W79+W91+W105+W113</f>
        <v>168</v>
      </c>
      <c r="X117">
        <f>X79+X91+X105+X113</f>
        <v>97</v>
      </c>
      <c r="Y117">
        <f>Y79+Y91+Y105+Y113</f>
        <v>1958</v>
      </c>
      <c r="Z117">
        <f>Z79+Z91+Z105+Z113</f>
        <v>3788</v>
      </c>
      <c r="AB117">
        <f>AB79+AB91+AB105+AB113</f>
        <v>819</v>
      </c>
      <c r="AD117">
        <f>AB117+Z117</f>
        <v>4607</v>
      </c>
      <c r="AF117">
        <f>AF79+AF91+AF105+AF113</f>
        <v>5465</v>
      </c>
      <c r="AG117">
        <f>AG79+AG91+AG105+AG113</f>
        <v>4975</v>
      </c>
      <c r="AH117">
        <f>AD117-AF117</f>
        <v>-858</v>
      </c>
    </row>
    <row r="118">
      <c r="A118" t="str">
        <v>PETIT 3 LECHES PIÑERO</v>
      </c>
      <c r="B118">
        <f>'EXISTENCIA EN SUCURSALES'!B118+'DISTRIBUCIÓN EN SUCURSALES'!B118</f>
        <v>4</v>
      </c>
      <c r="C118">
        <f>'EXISTENCIA EN SUCURSALES'!C118+'DISTRIBUCIÓN EN SUCURSALES'!C118</f>
        <v>3</v>
      </c>
      <c r="D118">
        <f>'EXISTENCIA EN SUCURSALES'!D118+'DISTRIBUCIÓN EN SUCURSALES'!D118</f>
        <v>4</v>
      </c>
      <c r="E118">
        <f>'EXISTENCIA EN SUCURSALES'!E118+'DISTRIBUCIÓN EN SUCURSALES'!E118</f>
        <v>2</v>
      </c>
      <c r="F118">
        <f>'EXISTENCIA EN SUCURSALES'!F118+'DISTRIBUCIÓN EN SUCURSALES'!F118</f>
        <v>3</v>
      </c>
      <c r="G118">
        <f>'EXISTENCIA EN SUCURSALES'!G118+'DISTRIBUCIÓN EN SUCURSALES'!G118</f>
        <v>0</v>
      </c>
      <c r="H118">
        <f>'EXISTENCIA EN SUCURSALES'!H118+'DISTRIBUCIÓN EN SUCURSALES'!H118</f>
        <v>4</v>
      </c>
      <c r="I118">
        <f>'EXISTENCIA EN SUCURSALES'!I118+'DISTRIBUCIÓN EN SUCURSALES'!I118</f>
        <v>4</v>
      </c>
      <c r="J118">
        <f>'EXISTENCIA EN SUCURSALES'!J118+'DISTRIBUCIÓN EN SUCURSALES'!J118</f>
        <v>3</v>
      </c>
      <c r="K118">
        <f>'EXISTENCIA EN SUCURSALES'!K118+'DISTRIBUCIÓN EN SUCURSALES'!K118</f>
        <v>2</v>
      </c>
      <c r="L118">
        <f>SUM(B118:K118)</f>
        <v>29</v>
      </c>
      <c r="M118">
        <f>'EXISTENCIA EN SUCURSALES'!M118+'DISTRIBUCIÓN EN SUCURSALES'!M118</f>
        <v>11</v>
      </c>
      <c r="N118">
        <f>'EXISTENCIA EN SUCURSALES'!N118+'DISTRIBUCIÓN EN SUCURSALES'!N118</f>
        <v>3</v>
      </c>
      <c r="O118">
        <f>'EXISTENCIA EN SUCURSALES'!O118+'DISTRIBUCIÓN EN SUCURSALES'!O118</f>
        <v>2</v>
      </c>
      <c r="P118">
        <f>'EXISTENCIA EN SUCURSALES'!P118+'DISTRIBUCIÓN EN SUCURSALES'!P118</f>
        <v>3</v>
      </c>
      <c r="Q118">
        <f>'EXISTENCIA EN SUCURSALES'!Q118+'DISTRIBUCIÓN EN SUCURSALES'!Q118</f>
        <v>3</v>
      </c>
      <c r="R118">
        <f>'EXISTENCIA EN SUCURSALES'!R118+'DISTRIBUCIÓN EN SUCURSALES'!R118</f>
        <v>5</v>
      </c>
      <c r="S118">
        <f>'EXISTENCIA EN SUCURSALES'!S118+'DISTRIBUCIÓN EN SUCURSALES'!S118</f>
        <v>4</v>
      </c>
      <c r="T118">
        <f>'EXISTENCIA EN SUCURSALES'!T118+'DISTRIBUCIÓN EN SUCURSALES'!T118</f>
        <v>0</v>
      </c>
      <c r="U118">
        <f>'EXISTENCIA EN SUCURSALES'!U118+'DISTRIBUCIÓN EN SUCURSALES'!U118</f>
        <v>0</v>
      </c>
      <c r="V118">
        <f>'EXISTENCIA EN SUCURSALES'!V118+'DISTRIBUCIÓN EN SUCURSALES'!V118</f>
        <v>0</v>
      </c>
      <c r="W118">
        <f>'EXISTENCIA EN SUCURSALES'!W118+'DISTRIBUCIÓN EN SUCURSALES'!W118</f>
        <v>3</v>
      </c>
      <c r="X118">
        <f>'EXISTENCIA EN SUCURSALES'!X118+'DISTRIBUCIÓN EN SUCURSALES'!X118</f>
        <v>0</v>
      </c>
      <c r="Y118">
        <f>SUM(M118:X118)</f>
        <v>34</v>
      </c>
      <c r="Z118">
        <f>L118+Y118</f>
        <v>63</v>
      </c>
      <c r="AB118">
        <f>IFERROR(VLOOKUP(A118,'GRAL. SUC. LOCALES'!$A:$N,14,0),0)</f>
        <v>0</v>
      </c>
      <c r="AD118">
        <f>AB118+Z118</f>
        <v>63</v>
      </c>
      <c r="AF118">
        <v>70</v>
      </c>
      <c r="AG118">
        <v>80</v>
      </c>
      <c r="AH118">
        <f>AD118-AF118</f>
        <v>-7</v>
      </c>
    </row>
    <row r="119">
      <c r="A119" t="str">
        <v>PETIT 3 LECHES CHOCOLATE</v>
      </c>
      <c r="B119">
        <f>'EXISTENCIA EN SUCURSALES'!B119+'DISTRIBUCIÓN EN SUCURSALES'!B119</f>
        <v>4</v>
      </c>
      <c r="C119">
        <f>'EXISTENCIA EN SUCURSALES'!C119+'DISTRIBUCIÓN EN SUCURSALES'!C119</f>
        <v>4</v>
      </c>
      <c r="D119">
        <f>'EXISTENCIA EN SUCURSALES'!D119+'DISTRIBUCIÓN EN SUCURSALES'!D119</f>
        <v>0</v>
      </c>
      <c r="E119">
        <f>'EXISTENCIA EN SUCURSALES'!E119+'DISTRIBUCIÓN EN SUCURSALES'!E119</f>
        <v>1</v>
      </c>
      <c r="F119">
        <f>'EXISTENCIA EN SUCURSALES'!F119+'DISTRIBUCIÓN EN SUCURSALES'!F119</f>
        <v>3</v>
      </c>
      <c r="G119">
        <f>'EXISTENCIA EN SUCURSALES'!G119+'DISTRIBUCIÓN EN SUCURSALES'!G119</f>
        <v>0</v>
      </c>
      <c r="H119">
        <f>'EXISTENCIA EN SUCURSALES'!H119+'DISTRIBUCIÓN EN SUCURSALES'!H119</f>
        <v>2</v>
      </c>
      <c r="I119">
        <f>'EXISTENCIA EN SUCURSALES'!I119+'DISTRIBUCIÓN EN SUCURSALES'!I119</f>
        <v>3</v>
      </c>
      <c r="J119">
        <f>'EXISTENCIA EN SUCURSALES'!J119+'DISTRIBUCIÓN EN SUCURSALES'!J119</f>
        <v>1</v>
      </c>
      <c r="K119">
        <f>'EXISTENCIA EN SUCURSALES'!K119+'DISTRIBUCIÓN EN SUCURSALES'!K119</f>
        <v>0</v>
      </c>
      <c r="L119">
        <f>SUM(B119:K119)</f>
        <v>18</v>
      </c>
      <c r="M119">
        <f>'EXISTENCIA EN SUCURSALES'!M119+'DISTRIBUCIÓN EN SUCURSALES'!M119</f>
        <v>11</v>
      </c>
      <c r="N119">
        <f>'EXISTENCIA EN SUCURSALES'!N119+'DISTRIBUCIÓN EN SUCURSALES'!N119</f>
        <v>3</v>
      </c>
      <c r="O119">
        <f>'EXISTENCIA EN SUCURSALES'!O119+'DISTRIBUCIÓN EN SUCURSALES'!O119</f>
        <v>3</v>
      </c>
      <c r="P119">
        <f>'EXISTENCIA EN SUCURSALES'!P119+'DISTRIBUCIÓN EN SUCURSALES'!P119</f>
        <v>3</v>
      </c>
      <c r="Q119">
        <f>'EXISTENCIA EN SUCURSALES'!Q119+'DISTRIBUCIÓN EN SUCURSALES'!Q119</f>
        <v>3</v>
      </c>
      <c r="R119">
        <f>'EXISTENCIA EN SUCURSALES'!R119+'DISTRIBUCIÓN EN SUCURSALES'!R119</f>
        <v>3</v>
      </c>
      <c r="S119">
        <f>'EXISTENCIA EN SUCURSALES'!S119+'DISTRIBUCIÓN EN SUCURSALES'!S119</f>
        <v>3</v>
      </c>
      <c r="T119">
        <f>'EXISTENCIA EN SUCURSALES'!T119+'DISTRIBUCIÓN EN SUCURSALES'!T119</f>
        <v>0</v>
      </c>
      <c r="U119">
        <f>'EXISTENCIA EN SUCURSALES'!U119+'DISTRIBUCIÓN EN SUCURSALES'!U119</f>
        <v>0</v>
      </c>
      <c r="V119">
        <f>'EXISTENCIA EN SUCURSALES'!V119+'DISTRIBUCIÓN EN SUCURSALES'!V119</f>
        <v>4</v>
      </c>
      <c r="W119">
        <f>'EXISTENCIA EN SUCURSALES'!W119+'DISTRIBUCIÓN EN SUCURSALES'!W119</f>
        <v>6</v>
      </c>
      <c r="X119">
        <f>'EXISTENCIA EN SUCURSALES'!X119+'DISTRIBUCIÓN EN SUCURSALES'!X119</f>
        <v>0</v>
      </c>
      <c r="Y119">
        <f>SUM(M119:X119)</f>
        <v>39</v>
      </c>
      <c r="Z119">
        <f>L119+Y119</f>
        <v>57</v>
      </c>
      <c r="AB119">
        <f>IFERROR(VLOOKUP(A119,'GRAL. SUC. LOCALES'!$A:$N,14,0),0)</f>
        <v>0</v>
      </c>
      <c r="AD119">
        <f>AB119+Z119</f>
        <v>57</v>
      </c>
      <c r="AF119">
        <v>80</v>
      </c>
      <c r="AG119">
        <v>90</v>
      </c>
      <c r="AH119">
        <f>AD119-AF119</f>
        <v>-23</v>
      </c>
    </row>
    <row r="120">
      <c r="A120" t="str">
        <v>PALETA GALLETA $35</v>
      </c>
      <c r="B120">
        <f>'EXISTENCIA EN SUCURSALES'!B120+'DISTRIBUCIÓN EN SUCURSALES'!B120</f>
        <v>0</v>
      </c>
      <c r="C120">
        <f>'EXISTENCIA EN SUCURSALES'!C120+'DISTRIBUCIÓN EN SUCURSALES'!C120</f>
        <v>0</v>
      </c>
      <c r="D120">
        <f>'EXISTENCIA EN SUCURSALES'!D120+'DISTRIBUCIÓN EN SUCURSALES'!D120</f>
        <v>2</v>
      </c>
      <c r="E120">
        <f>'EXISTENCIA EN SUCURSALES'!E120+'DISTRIBUCIÓN EN SUCURSALES'!E120</f>
        <v>0</v>
      </c>
      <c r="F120">
        <f>'EXISTENCIA EN SUCURSALES'!F120+'DISTRIBUCIÓN EN SUCURSALES'!F120</f>
        <v>0</v>
      </c>
      <c r="G120">
        <f>'EXISTENCIA EN SUCURSALES'!G120+'DISTRIBUCIÓN EN SUCURSALES'!G120</f>
        <v>0</v>
      </c>
      <c r="H120">
        <f>'EXISTENCIA EN SUCURSALES'!H120+'DISTRIBUCIÓN EN SUCURSALES'!H120</f>
        <v>0</v>
      </c>
      <c r="I120">
        <f>'EXISTENCIA EN SUCURSALES'!I120+'DISTRIBUCIÓN EN SUCURSALES'!I120</f>
        <v>0</v>
      </c>
      <c r="J120">
        <f>'EXISTENCIA EN SUCURSALES'!J120+'DISTRIBUCIÓN EN SUCURSALES'!J120</f>
        <v>0</v>
      </c>
      <c r="K120">
        <f>'EXISTENCIA EN SUCURSALES'!K120+'DISTRIBUCIÓN EN SUCURSALES'!K120</f>
        <v>0</v>
      </c>
      <c r="L120">
        <f>SUM(B120:K120)</f>
        <v>2</v>
      </c>
      <c r="M120">
        <f>'EXISTENCIA EN SUCURSALES'!M120+'DISTRIBUCIÓN EN SUCURSALES'!M120</f>
        <v>0</v>
      </c>
      <c r="N120">
        <f>'EXISTENCIA EN SUCURSALES'!N120+'DISTRIBUCIÓN EN SUCURSALES'!N120</f>
        <v>0</v>
      </c>
      <c r="O120">
        <f>'EXISTENCIA EN SUCURSALES'!O120+'DISTRIBUCIÓN EN SUCURSALES'!O120</f>
        <v>0</v>
      </c>
      <c r="P120">
        <f>'EXISTENCIA EN SUCURSALES'!P120+'DISTRIBUCIÓN EN SUCURSALES'!P120</f>
        <v>0</v>
      </c>
      <c r="Q120">
        <f>'EXISTENCIA EN SUCURSALES'!Q120+'DISTRIBUCIÓN EN SUCURSALES'!Q120</f>
        <v>0</v>
      </c>
      <c r="R120">
        <f>'EXISTENCIA EN SUCURSALES'!R120+'DISTRIBUCIÓN EN SUCURSALES'!R120</f>
        <v>0</v>
      </c>
      <c r="S120">
        <f>'EXISTENCIA EN SUCURSALES'!S120+'DISTRIBUCIÓN EN SUCURSALES'!S120</f>
        <v>0</v>
      </c>
      <c r="T120">
        <f>'EXISTENCIA EN SUCURSALES'!T120+'DISTRIBUCIÓN EN SUCURSALES'!T120</f>
        <v>0</v>
      </c>
      <c r="U120">
        <f>'EXISTENCIA EN SUCURSALES'!U120+'DISTRIBUCIÓN EN SUCURSALES'!U120</f>
        <v>0</v>
      </c>
      <c r="V120">
        <f>'EXISTENCIA EN SUCURSALES'!V120+'DISTRIBUCIÓN EN SUCURSALES'!V120</f>
        <v>1</v>
      </c>
      <c r="W120">
        <f>'EXISTENCIA EN SUCURSALES'!W120+'DISTRIBUCIÓN EN SUCURSALES'!W120</f>
        <v>0</v>
      </c>
      <c r="X120">
        <f>'EXISTENCIA EN SUCURSALES'!X120+'DISTRIBUCIÓN EN SUCURSALES'!X120</f>
        <v>0</v>
      </c>
      <c r="Y120">
        <f>SUM(M120:X120)</f>
        <v>1</v>
      </c>
      <c r="Z120">
        <f>L120+Y120</f>
        <v>3</v>
      </c>
      <c r="AB120">
        <f>IFERROR(VLOOKUP(A120,'GRAL. SUC. LOCALES'!$A:$N,14,0),0)</f>
        <v>0</v>
      </c>
      <c r="AD120">
        <f>AB120+Z120</f>
        <v>3</v>
      </c>
      <c r="AF120">
        <v>0</v>
      </c>
      <c r="AG120">
        <v>0</v>
      </c>
      <c r="AH120">
        <f>AD120-AF120</f>
        <v>3</v>
      </c>
    </row>
    <row r="121">
      <c r="A121" t="str">
        <v>PALETA GALLETA $20</v>
      </c>
      <c r="B121">
        <f>'EXISTENCIA EN SUCURSALES'!B121+'DISTRIBUCIÓN EN SUCURSALES'!B121</f>
        <v>0</v>
      </c>
      <c r="C121">
        <f>'EXISTENCIA EN SUCURSALES'!C121+'DISTRIBUCIÓN EN SUCURSALES'!C121</f>
        <v>0</v>
      </c>
      <c r="D121">
        <f>'EXISTENCIA EN SUCURSALES'!D121+'DISTRIBUCIÓN EN SUCURSALES'!D121</f>
        <v>2</v>
      </c>
      <c r="E121">
        <f>'EXISTENCIA EN SUCURSALES'!E121+'DISTRIBUCIÓN EN SUCURSALES'!E121</f>
        <v>0</v>
      </c>
      <c r="F121">
        <f>'EXISTENCIA EN SUCURSALES'!F121+'DISTRIBUCIÓN EN SUCURSALES'!F121</f>
        <v>1</v>
      </c>
      <c r="G121">
        <f>'EXISTENCIA EN SUCURSALES'!G121+'DISTRIBUCIÓN EN SUCURSALES'!G121</f>
        <v>0</v>
      </c>
      <c r="H121">
        <f>'EXISTENCIA EN SUCURSALES'!H121+'DISTRIBUCIÓN EN SUCURSALES'!H121</f>
        <v>0</v>
      </c>
      <c r="I121">
        <f>'EXISTENCIA EN SUCURSALES'!I121+'DISTRIBUCIÓN EN SUCURSALES'!I121</f>
        <v>0</v>
      </c>
      <c r="J121">
        <f>'EXISTENCIA EN SUCURSALES'!J121+'DISTRIBUCIÓN EN SUCURSALES'!J121</f>
        <v>0</v>
      </c>
      <c r="K121">
        <f>'EXISTENCIA EN SUCURSALES'!K121+'DISTRIBUCIÓN EN SUCURSALES'!K121</f>
        <v>1</v>
      </c>
      <c r="L121">
        <f>SUM(B121:K121)</f>
        <v>4</v>
      </c>
      <c r="M121">
        <f>'EXISTENCIA EN SUCURSALES'!M121+'DISTRIBUCIÓN EN SUCURSALES'!M121</f>
        <v>1</v>
      </c>
      <c r="N121">
        <f>'EXISTENCIA EN SUCURSALES'!N121+'DISTRIBUCIÓN EN SUCURSALES'!N121</f>
        <v>0</v>
      </c>
      <c r="O121">
        <f>'EXISTENCIA EN SUCURSALES'!O121+'DISTRIBUCIÓN EN SUCURSALES'!O121</f>
        <v>0</v>
      </c>
      <c r="P121">
        <f>'EXISTENCIA EN SUCURSALES'!P121+'DISTRIBUCIÓN EN SUCURSALES'!P121</f>
        <v>0</v>
      </c>
      <c r="Q121">
        <f>'EXISTENCIA EN SUCURSALES'!Q121+'DISTRIBUCIÓN EN SUCURSALES'!Q121</f>
        <v>0</v>
      </c>
      <c r="R121">
        <f>'EXISTENCIA EN SUCURSALES'!R121+'DISTRIBUCIÓN EN SUCURSALES'!R121</f>
        <v>0</v>
      </c>
      <c r="S121">
        <f>'EXISTENCIA EN SUCURSALES'!S121+'DISTRIBUCIÓN EN SUCURSALES'!S121</f>
        <v>1</v>
      </c>
      <c r="T121">
        <f>'EXISTENCIA EN SUCURSALES'!T121+'DISTRIBUCIÓN EN SUCURSALES'!T121</f>
        <v>0</v>
      </c>
      <c r="U121">
        <f>'EXISTENCIA EN SUCURSALES'!U121+'DISTRIBUCIÓN EN SUCURSALES'!U121</f>
        <v>0</v>
      </c>
      <c r="V121">
        <f>'EXISTENCIA EN SUCURSALES'!V121+'DISTRIBUCIÓN EN SUCURSALES'!V121</f>
        <v>0</v>
      </c>
      <c r="W121">
        <f>'EXISTENCIA EN SUCURSALES'!W121+'DISTRIBUCIÓN EN SUCURSALES'!W121</f>
        <v>0</v>
      </c>
      <c r="X121">
        <f>'EXISTENCIA EN SUCURSALES'!X121+'DISTRIBUCIÓN EN SUCURSALES'!X121</f>
        <v>0</v>
      </c>
      <c r="Y121">
        <f>SUM(M121:X121)</f>
        <v>2</v>
      </c>
      <c r="Z121">
        <f>L121+Y121</f>
        <v>6</v>
      </c>
      <c r="AB121">
        <f>IFERROR(VLOOKUP(A121,'GRAL. SUC. LOCALES'!$A:$N,14,0),0)</f>
        <v>0</v>
      </c>
      <c r="AD121">
        <f>AB121+Z121</f>
        <v>6</v>
      </c>
      <c r="AF121">
        <v>25</v>
      </c>
      <c r="AG121">
        <v>0</v>
      </c>
      <c r="AH121">
        <f>AD121-AF121</f>
        <v>-19</v>
      </c>
    </row>
    <row r="122">
      <c r="A122" t="str">
        <v xml:space="preserve">GALLETA POLVORON BOLSA </v>
      </c>
      <c r="B122">
        <f>'EXISTENCIA EN SUCURSALES'!B122+'DISTRIBUCIÓN EN SUCURSALES'!B122</f>
        <v>10</v>
      </c>
      <c r="C122">
        <f>'EXISTENCIA EN SUCURSALES'!C122+'DISTRIBUCIÓN EN SUCURSALES'!C122</f>
        <v>11</v>
      </c>
      <c r="D122">
        <f>'EXISTENCIA EN SUCURSALES'!D122+'DISTRIBUCIÓN EN SUCURSALES'!D122</f>
        <v>5</v>
      </c>
      <c r="E122">
        <f>'EXISTENCIA EN SUCURSALES'!E122+'DISTRIBUCIÓN EN SUCURSALES'!E122</f>
        <v>2</v>
      </c>
      <c r="F122">
        <f>'EXISTENCIA EN SUCURSALES'!F122+'DISTRIBUCIÓN EN SUCURSALES'!F122</f>
        <v>4</v>
      </c>
      <c r="G122">
        <f>'EXISTENCIA EN SUCURSALES'!G122+'DISTRIBUCIÓN EN SUCURSALES'!G122</f>
        <v>0</v>
      </c>
      <c r="H122">
        <f>'EXISTENCIA EN SUCURSALES'!H122+'DISTRIBUCIÓN EN SUCURSALES'!H122</f>
        <v>10</v>
      </c>
      <c r="I122">
        <f>'EXISTENCIA EN SUCURSALES'!I122+'DISTRIBUCIÓN EN SUCURSALES'!I122</f>
        <v>10</v>
      </c>
      <c r="J122">
        <f>'EXISTENCIA EN SUCURSALES'!J122+'DISTRIBUCIÓN EN SUCURSALES'!J122</f>
        <v>10</v>
      </c>
      <c r="K122">
        <f>'EXISTENCIA EN SUCURSALES'!K122+'DISTRIBUCIÓN EN SUCURSALES'!K122</f>
        <v>5</v>
      </c>
      <c r="L122">
        <f>SUM(B122:K122)</f>
        <v>67</v>
      </c>
      <c r="M122">
        <f>'EXISTENCIA EN SUCURSALES'!M122+'DISTRIBUCIÓN EN SUCURSALES'!M122</f>
        <v>10</v>
      </c>
      <c r="N122">
        <f>'EXISTENCIA EN SUCURSALES'!N122+'DISTRIBUCIÓN EN SUCURSALES'!N122</f>
        <v>3</v>
      </c>
      <c r="O122">
        <f>'EXISTENCIA EN SUCURSALES'!O122+'DISTRIBUCIÓN EN SUCURSALES'!O122</f>
        <v>0</v>
      </c>
      <c r="P122">
        <f>'EXISTENCIA EN SUCURSALES'!P122+'DISTRIBUCIÓN EN SUCURSALES'!P122</f>
        <v>0</v>
      </c>
      <c r="Q122">
        <f>'EXISTENCIA EN SUCURSALES'!Q122+'DISTRIBUCIÓN EN SUCURSALES'!Q122</f>
        <v>5</v>
      </c>
      <c r="R122">
        <f>'EXISTENCIA EN SUCURSALES'!R122+'DISTRIBUCIÓN EN SUCURSALES'!R122</f>
        <v>10</v>
      </c>
      <c r="S122">
        <f>'EXISTENCIA EN SUCURSALES'!S122+'DISTRIBUCIÓN EN SUCURSALES'!S122</f>
        <v>4</v>
      </c>
      <c r="T122">
        <f>'EXISTENCIA EN SUCURSALES'!T122+'DISTRIBUCIÓN EN SUCURSALES'!T122</f>
        <v>0</v>
      </c>
      <c r="U122">
        <f>'EXISTENCIA EN SUCURSALES'!U122+'DISTRIBUCIÓN EN SUCURSALES'!U122</f>
        <v>4</v>
      </c>
      <c r="V122">
        <f>'EXISTENCIA EN SUCURSALES'!V122+'DISTRIBUCIÓN EN SUCURSALES'!V122</f>
        <v>0</v>
      </c>
      <c r="W122">
        <f>'EXISTENCIA EN SUCURSALES'!W122+'DISTRIBUCIÓN EN SUCURSALES'!W122</f>
        <v>2</v>
      </c>
      <c r="X122">
        <f>'EXISTENCIA EN SUCURSALES'!X122+'DISTRIBUCIÓN EN SUCURSALES'!X122</f>
        <v>0</v>
      </c>
      <c r="Y122">
        <f>SUM(M122:X122)</f>
        <v>38</v>
      </c>
      <c r="Z122">
        <f>L122+Y122</f>
        <v>105</v>
      </c>
      <c r="AB122">
        <f>IFERROR(VLOOKUP(A122,'GRAL. SUC. LOCALES'!$A:$N,14,0),0)</f>
        <v>27</v>
      </c>
      <c r="AD122">
        <f>AB122+Z122</f>
        <v>132</v>
      </c>
      <c r="AF122">
        <v>150</v>
      </c>
      <c r="AG122">
        <v>150</v>
      </c>
      <c r="AH122">
        <f>AD122-AF122</f>
        <v>-18</v>
      </c>
    </row>
    <row r="123">
      <c r="A123" t="str">
        <v>GALLETA CORAZON CHOCO BOLSA</v>
      </c>
      <c r="B123">
        <f>'EXISTENCIA EN SUCURSALES'!B123+'DISTRIBUCIÓN EN SUCURSALES'!B123</f>
        <v>5</v>
      </c>
      <c r="C123">
        <f>'EXISTENCIA EN SUCURSALES'!C123+'DISTRIBUCIÓN EN SUCURSALES'!C123</f>
        <v>12</v>
      </c>
      <c r="D123">
        <f>'EXISTENCIA EN SUCURSALES'!D123+'DISTRIBUCIÓN EN SUCURSALES'!D123</f>
        <v>5</v>
      </c>
      <c r="E123">
        <f>'EXISTENCIA EN SUCURSALES'!E123+'DISTRIBUCIÓN EN SUCURSALES'!E123</f>
        <v>4</v>
      </c>
      <c r="F123">
        <f>'EXISTENCIA EN SUCURSALES'!F123+'DISTRIBUCIÓN EN SUCURSALES'!F123</f>
        <v>3</v>
      </c>
      <c r="G123">
        <f>'EXISTENCIA EN SUCURSALES'!G123+'DISTRIBUCIÓN EN SUCURSALES'!G123</f>
        <v>0</v>
      </c>
      <c r="H123">
        <f>'EXISTENCIA EN SUCURSALES'!H123+'DISTRIBUCIÓN EN SUCURSALES'!H123</f>
        <v>5</v>
      </c>
      <c r="I123">
        <f>'EXISTENCIA EN SUCURSALES'!I123+'DISTRIBUCIÓN EN SUCURSALES'!I123</f>
        <v>10</v>
      </c>
      <c r="J123">
        <f>'EXISTENCIA EN SUCURSALES'!J123+'DISTRIBUCIÓN EN SUCURSALES'!J123</f>
        <v>10</v>
      </c>
      <c r="K123">
        <f>'EXISTENCIA EN SUCURSALES'!K123+'DISTRIBUCIÓN EN SUCURSALES'!K123</f>
        <v>0</v>
      </c>
      <c r="L123">
        <f>SUM(B123:K123)</f>
        <v>54</v>
      </c>
      <c r="M123">
        <f>'EXISTENCIA EN SUCURSALES'!M123+'DISTRIBUCIÓN EN SUCURSALES'!M123</f>
        <v>5</v>
      </c>
      <c r="N123">
        <f>'EXISTENCIA EN SUCURSALES'!N123+'DISTRIBUCIÓN EN SUCURSALES'!N123</f>
        <v>3</v>
      </c>
      <c r="O123">
        <f>'EXISTENCIA EN SUCURSALES'!O123+'DISTRIBUCIÓN EN SUCURSALES'!O123</f>
        <v>4</v>
      </c>
      <c r="P123">
        <f>'EXISTENCIA EN SUCURSALES'!P123+'DISTRIBUCIÓN EN SUCURSALES'!P123</f>
        <v>0</v>
      </c>
      <c r="Q123">
        <f>'EXISTENCIA EN SUCURSALES'!Q123+'DISTRIBUCIÓN EN SUCURSALES'!Q123</f>
        <v>5</v>
      </c>
      <c r="R123">
        <f>'EXISTENCIA EN SUCURSALES'!R123+'DISTRIBUCIÓN EN SUCURSALES'!R123</f>
        <v>1</v>
      </c>
      <c r="S123">
        <f>'EXISTENCIA EN SUCURSALES'!S123+'DISTRIBUCIÓN EN SUCURSALES'!S123</f>
        <v>0</v>
      </c>
      <c r="T123">
        <f>'EXISTENCIA EN SUCURSALES'!T123+'DISTRIBUCIÓN EN SUCURSALES'!T123</f>
        <v>3</v>
      </c>
      <c r="U123">
        <f>'EXISTENCIA EN SUCURSALES'!U123+'DISTRIBUCIÓN EN SUCURSALES'!U123</f>
        <v>14</v>
      </c>
      <c r="V123">
        <f>'EXISTENCIA EN SUCURSALES'!V123+'DISTRIBUCIÓN EN SUCURSALES'!V123</f>
        <v>7</v>
      </c>
      <c r="W123">
        <f>'EXISTENCIA EN SUCURSALES'!W123+'DISTRIBUCIÓN EN SUCURSALES'!W123</f>
        <v>3</v>
      </c>
      <c r="X123">
        <f>'EXISTENCIA EN SUCURSALES'!X123+'DISTRIBUCIÓN EN SUCURSALES'!X123</f>
        <v>0</v>
      </c>
      <c r="Y123">
        <f>SUM(M123:X123)</f>
        <v>45</v>
      </c>
      <c r="Z123">
        <f>L123+Y123</f>
        <v>99</v>
      </c>
      <c r="AB123">
        <f>IFERROR(VLOOKUP(A123,'GRAL. SUC. LOCALES'!$A:$N,14,0),0)</f>
        <v>12</v>
      </c>
      <c r="AD123">
        <f>AB123+Z123</f>
        <v>111</v>
      </c>
      <c r="AF123">
        <v>100</v>
      </c>
      <c r="AG123">
        <v>80</v>
      </c>
      <c r="AH123">
        <f>AD123-AF123</f>
        <v>11</v>
      </c>
    </row>
    <row r="124">
      <c r="A124" t="str">
        <v>GALLETA ALFAJOR BOLSA</v>
      </c>
      <c r="B124">
        <f>'EXISTENCIA EN SUCURSALES'!B124+'DISTRIBUCIÓN EN SUCURSALES'!B124</f>
        <v>5</v>
      </c>
      <c r="C124">
        <f>'EXISTENCIA EN SUCURSALES'!C124+'DISTRIBUCIÓN EN SUCURSALES'!C124</f>
        <v>10</v>
      </c>
      <c r="D124">
        <f>'EXISTENCIA EN SUCURSALES'!D124+'DISTRIBUCIÓN EN SUCURSALES'!D124</f>
        <v>5</v>
      </c>
      <c r="E124">
        <f>'EXISTENCIA EN SUCURSALES'!E124+'DISTRIBUCIÓN EN SUCURSALES'!E124</f>
        <v>3</v>
      </c>
      <c r="F124">
        <f>'EXISTENCIA EN SUCURSALES'!F124+'DISTRIBUCIÓN EN SUCURSALES'!F124</f>
        <v>3</v>
      </c>
      <c r="G124">
        <f>'EXISTENCIA EN SUCURSALES'!G124+'DISTRIBUCIÓN EN SUCURSALES'!G124</f>
        <v>0</v>
      </c>
      <c r="H124">
        <f>'EXISTENCIA EN SUCURSALES'!H124+'DISTRIBUCIÓN EN SUCURSALES'!H124</f>
        <v>10</v>
      </c>
      <c r="I124">
        <f>'EXISTENCIA EN SUCURSALES'!I124+'DISTRIBUCIÓN EN SUCURSALES'!I124</f>
        <v>10</v>
      </c>
      <c r="J124">
        <f>'EXISTENCIA EN SUCURSALES'!J124+'DISTRIBUCIÓN EN SUCURSALES'!J124</f>
        <v>5</v>
      </c>
      <c r="K124">
        <f>'EXISTENCIA EN SUCURSALES'!K124+'DISTRIBUCIÓN EN SUCURSALES'!K124</f>
        <v>10</v>
      </c>
      <c r="L124">
        <f>SUM(B124:K124)</f>
        <v>61</v>
      </c>
      <c r="M124">
        <f>'EXISTENCIA EN SUCURSALES'!M124+'DISTRIBUCIÓN EN SUCURSALES'!M124</f>
        <v>5</v>
      </c>
      <c r="N124">
        <f>'EXISTENCIA EN SUCURSALES'!N124+'DISTRIBUCIÓN EN SUCURSALES'!N124</f>
        <v>6</v>
      </c>
      <c r="O124">
        <f>'EXISTENCIA EN SUCURSALES'!O124+'DISTRIBUCIÓN EN SUCURSALES'!O124</f>
        <v>0</v>
      </c>
      <c r="P124">
        <f>'EXISTENCIA EN SUCURSALES'!P124+'DISTRIBUCIÓN EN SUCURSALES'!P124</f>
        <v>0</v>
      </c>
      <c r="Q124">
        <f>'EXISTENCIA EN SUCURSALES'!Q124+'DISTRIBUCIÓN EN SUCURSALES'!Q124</f>
        <v>10</v>
      </c>
      <c r="R124">
        <f>'EXISTENCIA EN SUCURSALES'!R124+'DISTRIBUCIÓN EN SUCURSALES'!R124</f>
        <v>12</v>
      </c>
      <c r="S124">
        <f>'EXISTENCIA EN SUCURSALES'!S124+'DISTRIBUCIÓN EN SUCURSALES'!S124</f>
        <v>0</v>
      </c>
      <c r="T124">
        <f>'EXISTENCIA EN SUCURSALES'!T124+'DISTRIBUCIÓN EN SUCURSALES'!T124</f>
        <v>0</v>
      </c>
      <c r="U124">
        <f>'EXISTENCIA EN SUCURSALES'!U124+'DISTRIBUCIÓN EN SUCURSALES'!U124</f>
        <v>0</v>
      </c>
      <c r="V124">
        <f>'EXISTENCIA EN SUCURSALES'!V124+'DISTRIBUCIÓN EN SUCURSALES'!V124</f>
        <v>6</v>
      </c>
      <c r="W124">
        <f>'EXISTENCIA EN SUCURSALES'!W124+'DISTRIBUCIÓN EN SUCURSALES'!W124</f>
        <v>1</v>
      </c>
      <c r="X124">
        <f>'EXISTENCIA EN SUCURSALES'!X124+'DISTRIBUCIÓN EN SUCURSALES'!X124</f>
        <v>1</v>
      </c>
      <c r="Y124">
        <f>SUM(M124:X124)</f>
        <v>41</v>
      </c>
      <c r="Z124">
        <f>L124+Y124</f>
        <v>102</v>
      </c>
      <c r="AB124">
        <f>IFERROR(VLOOKUP(A124,'GRAL. SUC. LOCALES'!$A:$N,14,0),0)</f>
        <v>8</v>
      </c>
      <c r="AD124">
        <f>AB124+Z124</f>
        <v>110</v>
      </c>
      <c r="AF124">
        <v>120</v>
      </c>
      <c r="AG124">
        <v>120</v>
      </c>
      <c r="AH124">
        <f>AD124-AF124</f>
        <v>-10</v>
      </c>
    </row>
    <row r="125">
      <c r="A125" t="str">
        <v>GALLETA ATE BOLSA</v>
      </c>
      <c r="B125">
        <f>'EXISTENCIA EN SUCURSALES'!B125+'DISTRIBUCIÓN EN SUCURSALES'!B125</f>
        <v>10</v>
      </c>
      <c r="C125">
        <f>'EXISTENCIA EN SUCURSALES'!C125+'DISTRIBUCIÓN EN SUCURSALES'!C125</f>
        <v>10</v>
      </c>
      <c r="D125">
        <f>'EXISTENCIA EN SUCURSALES'!D125+'DISTRIBUCIÓN EN SUCURSALES'!D125</f>
        <v>5</v>
      </c>
      <c r="E125">
        <f>'EXISTENCIA EN SUCURSALES'!E125+'DISTRIBUCIÓN EN SUCURSALES'!E125</f>
        <v>2</v>
      </c>
      <c r="F125">
        <f>'EXISTENCIA EN SUCURSALES'!F125+'DISTRIBUCIÓN EN SUCURSALES'!F125</f>
        <v>3</v>
      </c>
      <c r="G125">
        <f>'EXISTENCIA EN SUCURSALES'!G125+'DISTRIBUCIÓN EN SUCURSALES'!G125</f>
        <v>0</v>
      </c>
      <c r="H125">
        <f>'EXISTENCIA EN SUCURSALES'!H125+'DISTRIBUCIÓN EN SUCURSALES'!H125</f>
        <v>5</v>
      </c>
      <c r="I125">
        <f>'EXISTENCIA EN SUCURSALES'!I125+'DISTRIBUCIÓN EN SUCURSALES'!I125</f>
        <v>10</v>
      </c>
      <c r="J125">
        <f>'EXISTENCIA EN SUCURSALES'!J125+'DISTRIBUCIÓN EN SUCURSALES'!J125</f>
        <v>10</v>
      </c>
      <c r="K125">
        <f>'EXISTENCIA EN SUCURSALES'!K125+'DISTRIBUCIÓN EN SUCURSALES'!K125</f>
        <v>3</v>
      </c>
      <c r="L125">
        <f>SUM(B125:K125)</f>
        <v>58</v>
      </c>
      <c r="M125">
        <f>'EXISTENCIA EN SUCURSALES'!M125+'DISTRIBUCIÓN EN SUCURSALES'!M125</f>
        <v>10</v>
      </c>
      <c r="N125">
        <f>'EXISTENCIA EN SUCURSALES'!N125+'DISTRIBUCIÓN EN SUCURSALES'!N125</f>
        <v>10</v>
      </c>
      <c r="O125">
        <f>'EXISTENCIA EN SUCURSALES'!O125+'DISTRIBUCIÓN EN SUCURSALES'!O125</f>
        <v>4</v>
      </c>
      <c r="P125">
        <f>'EXISTENCIA EN SUCURSALES'!P125+'DISTRIBUCIÓN EN SUCURSALES'!P125</f>
        <v>0</v>
      </c>
      <c r="Q125">
        <f>'EXISTENCIA EN SUCURSALES'!Q125+'DISTRIBUCIÓN EN SUCURSALES'!Q125</f>
        <v>6</v>
      </c>
      <c r="R125">
        <f>'EXISTENCIA EN SUCURSALES'!R125+'DISTRIBUCIÓN EN SUCURSALES'!R125</f>
        <v>10</v>
      </c>
      <c r="S125">
        <f>'EXISTENCIA EN SUCURSALES'!S125+'DISTRIBUCIÓN EN SUCURSALES'!S125</f>
        <v>4</v>
      </c>
      <c r="T125">
        <f>'EXISTENCIA EN SUCURSALES'!T125+'DISTRIBUCIÓN EN SUCURSALES'!T125</f>
        <v>1</v>
      </c>
      <c r="U125">
        <f>'EXISTENCIA EN SUCURSALES'!U125+'DISTRIBUCIÓN EN SUCURSALES'!U125</f>
        <v>2</v>
      </c>
      <c r="V125">
        <f>'EXISTENCIA EN SUCURSALES'!V125+'DISTRIBUCIÓN EN SUCURSALES'!V125</f>
        <v>1</v>
      </c>
      <c r="W125">
        <f>'EXISTENCIA EN SUCURSALES'!W125+'DISTRIBUCIÓN EN SUCURSALES'!W125</f>
        <v>1</v>
      </c>
      <c r="X125">
        <f>'EXISTENCIA EN SUCURSALES'!X125+'DISTRIBUCIÓN EN SUCURSALES'!X125</f>
        <v>0</v>
      </c>
      <c r="Y125">
        <f>SUM(M125:X125)</f>
        <v>49</v>
      </c>
      <c r="Z125">
        <f>L125+Y125</f>
        <v>107</v>
      </c>
      <c r="AB125">
        <f>IFERROR(VLOOKUP(A125,'GRAL. SUC. LOCALES'!$A:$N,14,0),0)</f>
        <v>0</v>
      </c>
      <c r="AD125">
        <f>AB125+Z125</f>
        <v>107</v>
      </c>
      <c r="AF125">
        <v>150</v>
      </c>
      <c r="AG125">
        <v>150</v>
      </c>
      <c r="AH125">
        <f>AD125-AF125</f>
        <v>-43</v>
      </c>
    </row>
    <row r="126">
      <c r="A126" t="str">
        <v>GALLETA 1/4KG MINI EMPANADITAS</v>
      </c>
      <c r="B126">
        <f>'EXISTENCIA EN SUCURSALES'!B126+'DISTRIBUCIÓN EN SUCURSALES'!B126</f>
        <v>7</v>
      </c>
      <c r="C126">
        <f>'EXISTENCIA EN SUCURSALES'!C126+'DISTRIBUCIÓN EN SUCURSALES'!C126</f>
        <v>0</v>
      </c>
      <c r="D126">
        <f>'EXISTENCIA EN SUCURSALES'!D126+'DISTRIBUCIÓN EN SUCURSALES'!D126</f>
        <v>2</v>
      </c>
      <c r="E126">
        <f>'EXISTENCIA EN SUCURSALES'!E126+'DISTRIBUCIÓN EN SUCURSALES'!E126</f>
        <v>0</v>
      </c>
      <c r="F126">
        <f>'EXISTENCIA EN SUCURSALES'!F126+'DISTRIBUCIÓN EN SUCURSALES'!F126</f>
        <v>0</v>
      </c>
      <c r="G126">
        <f>'EXISTENCIA EN SUCURSALES'!G126+'DISTRIBUCIÓN EN SUCURSALES'!G126</f>
        <v>0</v>
      </c>
      <c r="H126">
        <f>'EXISTENCIA EN SUCURSALES'!H126+'DISTRIBUCIÓN EN SUCURSALES'!H126</f>
        <v>1</v>
      </c>
      <c r="I126">
        <f>'EXISTENCIA EN SUCURSALES'!I126+'DISTRIBUCIÓN EN SUCURSALES'!I126</f>
        <v>2</v>
      </c>
      <c r="J126">
        <f>'EXISTENCIA EN SUCURSALES'!J126+'DISTRIBUCIÓN EN SUCURSALES'!J126</f>
        <v>1</v>
      </c>
      <c r="K126">
        <f>'EXISTENCIA EN SUCURSALES'!K126+'DISTRIBUCIÓN EN SUCURSALES'!K126</f>
        <v>2</v>
      </c>
      <c r="L126">
        <f>SUM(B126:K126)</f>
        <v>15</v>
      </c>
      <c r="M126">
        <f>'EXISTENCIA EN SUCURSALES'!M126+'DISTRIBUCIÓN EN SUCURSALES'!M126</f>
        <v>0</v>
      </c>
      <c r="N126">
        <f>'EXISTENCIA EN SUCURSALES'!N126+'DISTRIBUCIÓN EN SUCURSALES'!N126</f>
        <v>1</v>
      </c>
      <c r="O126">
        <f>'EXISTENCIA EN SUCURSALES'!O126+'DISTRIBUCIÓN EN SUCURSALES'!O126</f>
        <v>1</v>
      </c>
      <c r="P126">
        <f>'EXISTENCIA EN SUCURSALES'!P126+'DISTRIBUCIÓN EN SUCURSALES'!P126</f>
        <v>1</v>
      </c>
      <c r="Q126">
        <f>'EXISTENCIA EN SUCURSALES'!Q126+'DISTRIBUCIÓN EN SUCURSALES'!Q126</f>
        <v>0</v>
      </c>
      <c r="R126">
        <f>'EXISTENCIA EN SUCURSALES'!R126+'DISTRIBUCIÓN EN SUCURSALES'!R126</f>
        <v>0</v>
      </c>
      <c r="S126">
        <f>'EXISTENCIA EN SUCURSALES'!S126+'DISTRIBUCIÓN EN SUCURSALES'!S126</f>
        <v>0</v>
      </c>
      <c r="T126">
        <f>'EXISTENCIA EN SUCURSALES'!T126+'DISTRIBUCIÓN EN SUCURSALES'!T126</f>
        <v>0</v>
      </c>
      <c r="U126">
        <f>'EXISTENCIA EN SUCURSALES'!U126+'DISTRIBUCIÓN EN SUCURSALES'!U126</f>
        <v>1</v>
      </c>
      <c r="V126">
        <f>'EXISTENCIA EN SUCURSALES'!V126+'DISTRIBUCIÓN EN SUCURSALES'!V126</f>
        <v>0</v>
      </c>
      <c r="W126">
        <f>'EXISTENCIA EN SUCURSALES'!W126+'DISTRIBUCIÓN EN SUCURSALES'!W126</f>
        <v>1</v>
      </c>
      <c r="X126">
        <f>'EXISTENCIA EN SUCURSALES'!X126+'DISTRIBUCIÓN EN SUCURSALES'!X126</f>
        <v>0</v>
      </c>
      <c r="Y126">
        <f>SUM(M126:X126)</f>
        <v>5</v>
      </c>
      <c r="Z126">
        <f>L126+Y126</f>
        <v>20</v>
      </c>
      <c r="AB126">
        <f>IFERROR(VLOOKUP(A126,'GRAL. SUC. LOCALES'!$A:$N,14,0),0)</f>
        <v>0</v>
      </c>
      <c r="AD126">
        <f>AB126+Z126</f>
        <v>20</v>
      </c>
      <c r="AG126">
        <v>0</v>
      </c>
      <c r="AH126">
        <f>AD126-AF126</f>
        <v>20</v>
      </c>
    </row>
    <row r="127">
      <c r="A127" t="str">
        <v>GALLETA DE 1/4KG COCADA</v>
      </c>
      <c r="B127">
        <f>'EXISTENCIA EN SUCURSALES'!B127+'DISTRIBUCIÓN EN SUCURSALES'!B127</f>
        <v>0</v>
      </c>
      <c r="C127">
        <f>'EXISTENCIA EN SUCURSALES'!C127+'DISTRIBUCIÓN EN SUCURSALES'!C127</f>
        <v>0</v>
      </c>
      <c r="D127">
        <f>'EXISTENCIA EN SUCURSALES'!D127+'DISTRIBUCIÓN EN SUCURSALES'!D127</f>
        <v>1</v>
      </c>
      <c r="E127">
        <f>'EXISTENCIA EN SUCURSALES'!E127+'DISTRIBUCIÓN EN SUCURSALES'!E127</f>
        <v>1</v>
      </c>
      <c r="F127">
        <f>'EXISTENCIA EN SUCURSALES'!F127+'DISTRIBUCIÓN EN SUCURSALES'!F127</f>
        <v>1</v>
      </c>
      <c r="G127">
        <f>'EXISTENCIA EN SUCURSALES'!G127+'DISTRIBUCIÓN EN SUCURSALES'!G127</f>
        <v>0</v>
      </c>
      <c r="H127">
        <f>'EXISTENCIA EN SUCURSALES'!H127+'DISTRIBUCIÓN EN SUCURSALES'!H127</f>
        <v>1</v>
      </c>
      <c r="I127">
        <f>'EXISTENCIA EN SUCURSALES'!I127+'DISTRIBUCIÓN EN SUCURSALES'!I127</f>
        <v>2</v>
      </c>
      <c r="J127">
        <f>'EXISTENCIA EN SUCURSALES'!J127+'DISTRIBUCIÓN EN SUCURSALES'!J127</f>
        <v>0</v>
      </c>
      <c r="K127">
        <f>'EXISTENCIA EN SUCURSALES'!K127+'DISTRIBUCIÓN EN SUCURSALES'!K127</f>
        <v>1</v>
      </c>
      <c r="L127">
        <f>SUM(B127:K127)</f>
        <v>7</v>
      </c>
      <c r="M127">
        <f>'EXISTENCIA EN SUCURSALES'!M127+'DISTRIBUCIÓN EN SUCURSALES'!M127</f>
        <v>0</v>
      </c>
      <c r="N127">
        <f>'EXISTENCIA EN SUCURSALES'!N127+'DISTRIBUCIÓN EN SUCURSALES'!N127</f>
        <v>2</v>
      </c>
      <c r="O127">
        <f>'EXISTENCIA EN SUCURSALES'!O127+'DISTRIBUCIÓN EN SUCURSALES'!O127</f>
        <v>1</v>
      </c>
      <c r="P127">
        <f>'EXISTENCIA EN SUCURSALES'!P127+'DISTRIBUCIÓN EN SUCURSALES'!P127</f>
        <v>0</v>
      </c>
      <c r="Q127">
        <f>'EXISTENCIA EN SUCURSALES'!Q127+'DISTRIBUCIÓN EN SUCURSALES'!Q127</f>
        <v>0</v>
      </c>
      <c r="R127">
        <f>'EXISTENCIA EN SUCURSALES'!R127+'DISTRIBUCIÓN EN SUCURSALES'!R127</f>
        <v>0</v>
      </c>
      <c r="S127">
        <f>'EXISTENCIA EN SUCURSALES'!S127+'DISTRIBUCIÓN EN SUCURSALES'!S127</f>
        <v>2</v>
      </c>
      <c r="T127">
        <f>'EXISTENCIA EN SUCURSALES'!T127+'DISTRIBUCIÓN EN SUCURSALES'!T127</f>
        <v>1</v>
      </c>
      <c r="U127">
        <f>'EXISTENCIA EN SUCURSALES'!U127+'DISTRIBUCIÓN EN SUCURSALES'!U127</f>
        <v>0</v>
      </c>
      <c r="V127">
        <f>'EXISTENCIA EN SUCURSALES'!V127+'DISTRIBUCIÓN EN SUCURSALES'!V127</f>
        <v>0</v>
      </c>
      <c r="W127">
        <f>'EXISTENCIA EN SUCURSALES'!W127+'DISTRIBUCIÓN EN SUCURSALES'!W127</f>
        <v>0</v>
      </c>
      <c r="X127">
        <f>'EXISTENCIA EN SUCURSALES'!X127+'DISTRIBUCIÓN EN SUCURSALES'!X127</f>
        <v>0</v>
      </c>
      <c r="Y127">
        <f>SUM(M127:X127)</f>
        <v>6</v>
      </c>
      <c r="Z127">
        <f>L127+Y127</f>
        <v>13</v>
      </c>
      <c r="AB127">
        <f>IFERROR(VLOOKUP(A127,'GRAL. SUC. LOCALES'!$A:$N,14,0),0)</f>
        <v>0</v>
      </c>
      <c r="AD127">
        <f>AB127+Z127</f>
        <v>13</v>
      </c>
      <c r="AG127">
        <v>0</v>
      </c>
      <c r="AH127">
        <f>AD127-AF127</f>
        <v>13</v>
      </c>
    </row>
    <row r="128">
      <c r="A128" t="str">
        <v>PAN MUERTO IND AZUCAR 50GR</v>
      </c>
      <c r="B128">
        <f>'EXISTENCIA EN SUCURSALES'!B128+'DISTRIBUCIÓN EN SUCURSALES'!B128</f>
        <v>2</v>
      </c>
      <c r="C128">
        <f>'EXISTENCIA EN SUCURSALES'!C128+'DISTRIBUCIÓN EN SUCURSALES'!C128</f>
        <v>3</v>
      </c>
      <c r="D128">
        <f>'EXISTENCIA EN SUCURSALES'!D128+'DISTRIBUCIÓN EN SUCURSALES'!D128</f>
        <v>3</v>
      </c>
      <c r="E128">
        <f>'EXISTENCIA EN SUCURSALES'!E128+'DISTRIBUCIÓN EN SUCURSALES'!E128</f>
        <v>3</v>
      </c>
      <c r="F128">
        <f>'EXISTENCIA EN SUCURSALES'!F128+'DISTRIBUCIÓN EN SUCURSALES'!F128</f>
        <v>3</v>
      </c>
      <c r="G128">
        <f>'EXISTENCIA EN SUCURSALES'!G128+'DISTRIBUCIÓN EN SUCURSALES'!G128</f>
        <v>0</v>
      </c>
      <c r="H128">
        <f>'EXISTENCIA EN SUCURSALES'!H128+'DISTRIBUCIÓN EN SUCURSALES'!H128</f>
        <v>3</v>
      </c>
      <c r="I128">
        <f>'EXISTENCIA EN SUCURSALES'!I128+'DISTRIBUCIÓN EN SUCURSALES'!I128</f>
        <v>3</v>
      </c>
      <c r="J128">
        <f>'EXISTENCIA EN SUCURSALES'!J128+'DISTRIBUCIÓN EN SUCURSALES'!J128</f>
        <v>3</v>
      </c>
      <c r="K128">
        <f>'EXISTENCIA EN SUCURSALES'!K128+'DISTRIBUCIÓN EN SUCURSALES'!K128</f>
        <v>3</v>
      </c>
      <c r="L128">
        <f>SUM(B128:K128)</f>
        <v>26</v>
      </c>
      <c r="M128">
        <f>'EXISTENCIA EN SUCURSALES'!M128+'DISTRIBUCIÓN EN SUCURSALES'!M128</f>
        <v>0</v>
      </c>
      <c r="N128">
        <f>'EXISTENCIA EN SUCURSALES'!N128+'DISTRIBUCIÓN EN SUCURSALES'!N128</f>
        <v>3</v>
      </c>
      <c r="O128">
        <f>'EXISTENCIA EN SUCURSALES'!O128+'DISTRIBUCIÓN EN SUCURSALES'!O128</f>
        <v>2</v>
      </c>
      <c r="P128">
        <f>'EXISTENCIA EN SUCURSALES'!P128+'DISTRIBUCIÓN EN SUCURSALES'!P128</f>
        <v>3</v>
      </c>
      <c r="Q128">
        <f>'EXISTENCIA EN SUCURSALES'!Q128+'DISTRIBUCIÓN EN SUCURSALES'!Q128</f>
        <v>3</v>
      </c>
      <c r="R128">
        <f>'EXISTENCIA EN SUCURSALES'!R128+'DISTRIBUCIÓN EN SUCURSALES'!R128</f>
        <v>3</v>
      </c>
      <c r="S128">
        <f>'EXISTENCIA EN SUCURSALES'!S128+'DISTRIBUCIÓN EN SUCURSALES'!S128</f>
        <v>3</v>
      </c>
      <c r="T128">
        <f>'EXISTENCIA EN SUCURSALES'!T128+'DISTRIBUCIÓN EN SUCURSALES'!T128</f>
        <v>0</v>
      </c>
      <c r="U128">
        <f>'EXISTENCIA EN SUCURSALES'!U128+'DISTRIBUCIÓN EN SUCURSALES'!U128</f>
        <v>0</v>
      </c>
      <c r="V128">
        <f>'EXISTENCIA EN SUCURSALES'!V128+'DISTRIBUCIÓN EN SUCURSALES'!V128</f>
        <v>3</v>
      </c>
      <c r="W128">
        <f>'EXISTENCIA EN SUCURSALES'!W128+'DISTRIBUCIÓN EN SUCURSALES'!W128</f>
        <v>3</v>
      </c>
      <c r="X128">
        <f>'EXISTENCIA EN SUCURSALES'!X128+'DISTRIBUCIÓN EN SUCURSALES'!X128</f>
        <v>0</v>
      </c>
      <c r="Y128">
        <f>SUM(M128:X128)</f>
        <v>23</v>
      </c>
      <c r="Z128">
        <f>L128+Y128</f>
        <v>49</v>
      </c>
      <c r="AB128">
        <f>IFERROR(VLOOKUP(A128,'GRAL. SUC. LOCALES'!$A:$N,14,0),0)</f>
        <v>0</v>
      </c>
      <c r="AD128">
        <f>AB128+Z128</f>
        <v>49</v>
      </c>
      <c r="AG128">
        <v>0</v>
      </c>
      <c r="AH128">
        <f>AD128-AF128</f>
        <v>49</v>
      </c>
    </row>
    <row r="129">
      <c r="A129" t="str">
        <v>PAN MUERTO AZUCAR GDE 250GR</v>
      </c>
      <c r="B129">
        <f>'EXISTENCIA EN SUCURSALES'!B129+'DISTRIBUCIÓN EN SUCURSALES'!B129</f>
        <v>2</v>
      </c>
      <c r="C129">
        <f>'EXISTENCIA EN SUCURSALES'!C129+'DISTRIBUCIÓN EN SUCURSALES'!C129</f>
        <v>2</v>
      </c>
      <c r="D129">
        <f>'EXISTENCIA EN SUCURSALES'!D129+'DISTRIBUCIÓN EN SUCURSALES'!D129</f>
        <v>2</v>
      </c>
      <c r="E129">
        <f>'EXISTENCIA EN SUCURSALES'!E129+'DISTRIBUCIÓN EN SUCURSALES'!E129</f>
        <v>2</v>
      </c>
      <c r="F129">
        <f>'EXISTENCIA EN SUCURSALES'!F129+'DISTRIBUCIÓN EN SUCURSALES'!F129</f>
        <v>0</v>
      </c>
      <c r="G129">
        <f>'EXISTENCIA EN SUCURSALES'!G129+'DISTRIBUCIÓN EN SUCURSALES'!G129</f>
        <v>0</v>
      </c>
      <c r="H129">
        <f>'EXISTENCIA EN SUCURSALES'!H129+'DISTRIBUCIÓN EN SUCURSALES'!H129</f>
        <v>1</v>
      </c>
      <c r="I129">
        <f>'EXISTENCIA EN SUCURSALES'!I129+'DISTRIBUCIÓN EN SUCURSALES'!I129</f>
        <v>0</v>
      </c>
      <c r="J129">
        <f>'EXISTENCIA EN SUCURSALES'!J129+'DISTRIBUCIÓN EN SUCURSALES'!J129</f>
        <v>1</v>
      </c>
      <c r="K129">
        <f>'EXISTENCIA EN SUCURSALES'!K129+'DISTRIBUCIÓN EN SUCURSALES'!K129</f>
        <v>0</v>
      </c>
      <c r="L129">
        <f>SUM(B129:K129)</f>
        <v>10</v>
      </c>
      <c r="M129">
        <f>'EXISTENCIA EN SUCURSALES'!M129+'DISTRIBUCIÓN EN SUCURSALES'!M129</f>
        <v>0</v>
      </c>
      <c r="N129">
        <f>'EXISTENCIA EN SUCURSALES'!N129+'DISTRIBUCIÓN EN SUCURSALES'!N129</f>
        <v>0</v>
      </c>
      <c r="O129">
        <f>'EXISTENCIA EN SUCURSALES'!O129+'DISTRIBUCIÓN EN SUCURSALES'!O129</f>
        <v>0</v>
      </c>
      <c r="P129">
        <f>'EXISTENCIA EN SUCURSALES'!P129+'DISTRIBUCIÓN EN SUCURSALES'!P129</f>
        <v>1</v>
      </c>
      <c r="Q129">
        <f>'EXISTENCIA EN SUCURSALES'!Q129+'DISTRIBUCIÓN EN SUCURSALES'!Q129</f>
        <v>2</v>
      </c>
      <c r="R129">
        <f>'EXISTENCIA EN SUCURSALES'!R129+'DISTRIBUCIÓN EN SUCURSALES'!R129</f>
        <v>1</v>
      </c>
      <c r="S129">
        <f>'EXISTENCIA EN SUCURSALES'!S129+'DISTRIBUCIÓN EN SUCURSALES'!S129</f>
        <v>1</v>
      </c>
      <c r="T129">
        <f>'EXISTENCIA EN SUCURSALES'!T129+'DISTRIBUCIÓN EN SUCURSALES'!T129</f>
        <v>0</v>
      </c>
      <c r="U129">
        <f>'EXISTENCIA EN SUCURSALES'!U129+'DISTRIBUCIÓN EN SUCURSALES'!U129</f>
        <v>1</v>
      </c>
      <c r="V129">
        <f>'EXISTENCIA EN SUCURSALES'!V129+'DISTRIBUCIÓN EN SUCURSALES'!V129</f>
        <v>1</v>
      </c>
      <c r="W129">
        <f>'EXISTENCIA EN SUCURSALES'!W129+'DISTRIBUCIÓN EN SUCURSALES'!W129</f>
        <v>0</v>
      </c>
      <c r="X129">
        <f>'EXISTENCIA EN SUCURSALES'!X129+'DISTRIBUCIÓN EN SUCURSALES'!X129</f>
        <v>0</v>
      </c>
      <c r="Y129">
        <f>SUM(M129:X129)</f>
        <v>7</v>
      </c>
      <c r="Z129">
        <f>L129+Y129</f>
        <v>17</v>
      </c>
      <c r="AB129">
        <f>IFERROR(VLOOKUP(A129,'GRAL. SUC. LOCALES'!$A:$N,14,0),0)</f>
        <v>0</v>
      </c>
      <c r="AD129">
        <f>AB129+Z129</f>
        <v>17</v>
      </c>
      <c r="AG129">
        <v>0</v>
      </c>
      <c r="AH129">
        <f>AD129-AF129</f>
        <v>17</v>
      </c>
    </row>
    <row r="130">
      <c r="A130" t="str">
        <v>PAN MUERTO IND RELLENO NUTELLA 100gr</v>
      </c>
      <c r="B130">
        <f>'EXISTENCIA EN SUCURSALES'!B130+'DISTRIBUCIÓN EN SUCURSALES'!B130</f>
        <v>2</v>
      </c>
      <c r="C130">
        <f>'EXISTENCIA EN SUCURSALES'!C130+'DISTRIBUCIÓN EN SUCURSALES'!C130</f>
        <v>2</v>
      </c>
      <c r="D130">
        <f>'EXISTENCIA EN SUCURSALES'!D130+'DISTRIBUCIÓN EN SUCURSALES'!D130</f>
        <v>2</v>
      </c>
      <c r="E130">
        <f>'EXISTENCIA EN SUCURSALES'!E130+'DISTRIBUCIÓN EN SUCURSALES'!E130</f>
        <v>2</v>
      </c>
      <c r="F130">
        <f>'EXISTENCIA EN SUCURSALES'!F130+'DISTRIBUCIÓN EN SUCURSALES'!F130</f>
        <v>2</v>
      </c>
      <c r="G130">
        <f>'EXISTENCIA EN SUCURSALES'!G130+'DISTRIBUCIÓN EN SUCURSALES'!G130</f>
        <v>0</v>
      </c>
      <c r="H130">
        <f>'EXISTENCIA EN SUCURSALES'!H130+'DISTRIBUCIÓN EN SUCURSALES'!H130</f>
        <v>2</v>
      </c>
      <c r="I130">
        <f>'EXISTENCIA EN SUCURSALES'!I130+'DISTRIBUCIÓN EN SUCURSALES'!I130</f>
        <v>2</v>
      </c>
      <c r="J130">
        <f>'EXISTENCIA EN SUCURSALES'!J130+'DISTRIBUCIÓN EN SUCURSALES'!J130</f>
        <v>2</v>
      </c>
      <c r="K130">
        <f>'EXISTENCIA EN SUCURSALES'!K130+'DISTRIBUCIÓN EN SUCURSALES'!K130</f>
        <v>2</v>
      </c>
      <c r="L130">
        <f>SUM(B130:K130)</f>
        <v>18</v>
      </c>
      <c r="M130">
        <f>'EXISTENCIA EN SUCURSALES'!M130+'DISTRIBUCIÓN EN SUCURSALES'!M130</f>
        <v>1</v>
      </c>
      <c r="N130">
        <f>'EXISTENCIA EN SUCURSALES'!N130+'DISTRIBUCIÓN EN SUCURSALES'!N130</f>
        <v>2</v>
      </c>
      <c r="O130">
        <f>'EXISTENCIA EN SUCURSALES'!O130+'DISTRIBUCIÓN EN SUCURSALES'!O130</f>
        <v>1</v>
      </c>
      <c r="P130">
        <f>'EXISTENCIA EN SUCURSALES'!P130+'DISTRIBUCIÓN EN SUCURSALES'!P130</f>
        <v>0</v>
      </c>
      <c r="Q130">
        <f>'EXISTENCIA EN SUCURSALES'!Q130+'DISTRIBUCIÓN EN SUCURSALES'!Q130</f>
        <v>1</v>
      </c>
      <c r="R130">
        <f>'EXISTENCIA EN SUCURSALES'!R130+'DISTRIBUCIÓN EN SUCURSALES'!R130</f>
        <v>2</v>
      </c>
      <c r="S130">
        <f>'EXISTENCIA EN SUCURSALES'!S130+'DISTRIBUCIÓN EN SUCURSALES'!S130</f>
        <v>2</v>
      </c>
      <c r="T130">
        <f>'EXISTENCIA EN SUCURSALES'!T130+'DISTRIBUCIÓN EN SUCURSALES'!T130</f>
        <v>2</v>
      </c>
      <c r="U130">
        <f>'EXISTENCIA EN SUCURSALES'!U130+'DISTRIBUCIÓN EN SUCURSALES'!U130</f>
        <v>1</v>
      </c>
      <c r="V130">
        <f>'EXISTENCIA EN SUCURSALES'!V130+'DISTRIBUCIÓN EN SUCURSALES'!V130</f>
        <v>2</v>
      </c>
      <c r="W130">
        <f>'EXISTENCIA EN SUCURSALES'!W130+'DISTRIBUCIÓN EN SUCURSALES'!W130</f>
        <v>1</v>
      </c>
      <c r="X130">
        <f>'EXISTENCIA EN SUCURSALES'!X130+'DISTRIBUCIÓN EN SUCURSALES'!X130</f>
        <v>0</v>
      </c>
      <c r="Y130">
        <f>SUM(M130:X130)</f>
        <v>15</v>
      </c>
      <c r="Z130">
        <f>L130+Y130</f>
        <v>33</v>
      </c>
      <c r="AB130">
        <f>IFERROR(VLOOKUP(A130,'GRAL. SUC. LOCALES'!$A:$N,14,0),0)</f>
        <v>0</v>
      </c>
      <c r="AD130">
        <f>AB130+Z130</f>
        <v>33</v>
      </c>
      <c r="AG130">
        <v>0</v>
      </c>
      <c r="AH130">
        <f>AD130-AF130</f>
        <v>33</v>
      </c>
    </row>
    <row r="131">
      <c r="A131" t="str">
        <v>PAN DE MUERTO IND RELLENO CAJETA 100GR</v>
      </c>
      <c r="B131">
        <f>'EXISTENCIA EN SUCURSALES'!B131+'DISTRIBUCIÓN EN SUCURSALES'!B131</f>
        <v>2</v>
      </c>
      <c r="C131">
        <f>'EXISTENCIA EN SUCURSALES'!C131+'DISTRIBUCIÓN EN SUCURSALES'!C131</f>
        <v>2</v>
      </c>
      <c r="D131">
        <f>'EXISTENCIA EN SUCURSALES'!D131+'DISTRIBUCIÓN EN SUCURSALES'!D131</f>
        <v>2</v>
      </c>
      <c r="E131">
        <f>'EXISTENCIA EN SUCURSALES'!E131+'DISTRIBUCIÓN EN SUCURSALES'!E131</f>
        <v>2</v>
      </c>
      <c r="F131">
        <f>'EXISTENCIA EN SUCURSALES'!F131+'DISTRIBUCIÓN EN SUCURSALES'!F131</f>
        <v>2</v>
      </c>
      <c r="G131">
        <f>'EXISTENCIA EN SUCURSALES'!G131+'DISTRIBUCIÓN EN SUCURSALES'!G131</f>
        <v>0</v>
      </c>
      <c r="H131">
        <f>'EXISTENCIA EN SUCURSALES'!H131+'DISTRIBUCIÓN EN SUCURSALES'!H131</f>
        <v>2</v>
      </c>
      <c r="I131">
        <f>'EXISTENCIA EN SUCURSALES'!I131+'DISTRIBUCIÓN EN SUCURSALES'!I131</f>
        <v>2</v>
      </c>
      <c r="J131">
        <f>'EXISTENCIA EN SUCURSALES'!J131+'DISTRIBUCIÓN EN SUCURSALES'!J131</f>
        <v>2</v>
      </c>
      <c r="K131">
        <f>'EXISTENCIA EN SUCURSALES'!K131+'DISTRIBUCIÓN EN SUCURSALES'!K131</f>
        <v>2</v>
      </c>
      <c r="L131">
        <f>SUM(B131:K131)</f>
        <v>18</v>
      </c>
      <c r="M131">
        <f>'EXISTENCIA EN SUCURSALES'!M131+'DISTRIBUCIÓN EN SUCURSALES'!M131</f>
        <v>0</v>
      </c>
      <c r="N131">
        <f>'EXISTENCIA EN SUCURSALES'!N131+'DISTRIBUCIÓN EN SUCURSALES'!N131</f>
        <v>2</v>
      </c>
      <c r="O131">
        <f>'EXISTENCIA EN SUCURSALES'!O131+'DISTRIBUCIÓN EN SUCURSALES'!O131</f>
        <v>0</v>
      </c>
      <c r="P131">
        <f>'EXISTENCIA EN SUCURSALES'!P131+'DISTRIBUCIÓN EN SUCURSALES'!P131</f>
        <v>0</v>
      </c>
      <c r="Q131">
        <f>'EXISTENCIA EN SUCURSALES'!Q131+'DISTRIBUCIÓN EN SUCURSALES'!Q131</f>
        <v>0</v>
      </c>
      <c r="R131">
        <f>'EXISTENCIA EN SUCURSALES'!R131+'DISTRIBUCIÓN EN SUCURSALES'!R131</f>
        <v>0</v>
      </c>
      <c r="S131">
        <f>'EXISTENCIA EN SUCURSALES'!S131+'DISTRIBUCIÓN EN SUCURSALES'!S131</f>
        <v>0</v>
      </c>
      <c r="T131">
        <f>'EXISTENCIA EN SUCURSALES'!T131+'DISTRIBUCIÓN EN SUCURSALES'!T131</f>
        <v>2</v>
      </c>
      <c r="U131">
        <f>'EXISTENCIA EN SUCURSALES'!U131+'DISTRIBUCIÓN EN SUCURSALES'!U131</f>
        <v>1</v>
      </c>
      <c r="V131">
        <f>'EXISTENCIA EN SUCURSALES'!V131+'DISTRIBUCIÓN EN SUCURSALES'!V131</f>
        <v>2</v>
      </c>
      <c r="W131">
        <f>'EXISTENCIA EN SUCURSALES'!W131+'DISTRIBUCIÓN EN SUCURSALES'!W131</f>
        <v>2</v>
      </c>
      <c r="X131">
        <f>'EXISTENCIA EN SUCURSALES'!X131+'DISTRIBUCIÓN EN SUCURSALES'!X131</f>
        <v>0</v>
      </c>
      <c r="Y131">
        <f>SUM(M131:X131)</f>
        <v>9</v>
      </c>
      <c r="Z131">
        <f>L131+Y131</f>
        <v>27</v>
      </c>
      <c r="AB131">
        <f>IFERROR(VLOOKUP(A131,'GRAL. SUC. LOCALES'!$A:$N,14,0),0)</f>
        <v>2</v>
      </c>
      <c r="AD131">
        <f>AB131+Z131</f>
        <v>29</v>
      </c>
      <c r="AG131">
        <v>0</v>
      </c>
      <c r="AH131">
        <f>AD131-AF131</f>
        <v>29</v>
      </c>
    </row>
    <row r="132">
      <c r="A132" t="str">
        <v>PAN MUERTO RELLENO NUTELLA GDE 250GR</v>
      </c>
      <c r="B132">
        <f>'EXISTENCIA EN SUCURSALES'!B132+'DISTRIBUCIÓN EN SUCURSALES'!B132</f>
        <v>0</v>
      </c>
      <c r="C132">
        <f>'EXISTENCIA EN SUCURSALES'!C132+'DISTRIBUCIÓN EN SUCURSALES'!C132</f>
        <v>2</v>
      </c>
      <c r="D132">
        <f>'EXISTENCIA EN SUCURSALES'!D132+'DISTRIBUCIÓN EN SUCURSALES'!D132</f>
        <v>2</v>
      </c>
      <c r="E132">
        <f>'EXISTENCIA EN SUCURSALES'!E132+'DISTRIBUCIÓN EN SUCURSALES'!E132</f>
        <v>0</v>
      </c>
      <c r="F132">
        <f>'EXISTENCIA EN SUCURSALES'!F132+'DISTRIBUCIÓN EN SUCURSALES'!F132</f>
        <v>0</v>
      </c>
      <c r="G132">
        <f>'EXISTENCIA EN SUCURSALES'!G132+'DISTRIBUCIÓN EN SUCURSALES'!G132</f>
        <v>0</v>
      </c>
      <c r="H132">
        <f>'EXISTENCIA EN SUCURSALES'!H132+'DISTRIBUCIÓN EN SUCURSALES'!H132</f>
        <v>0</v>
      </c>
      <c r="I132">
        <f>'EXISTENCIA EN SUCURSALES'!I132+'DISTRIBUCIÓN EN SUCURSALES'!I132</f>
        <v>0</v>
      </c>
      <c r="J132">
        <f>'EXISTENCIA EN SUCURSALES'!J132+'DISTRIBUCIÓN EN SUCURSALES'!J132</f>
        <v>0</v>
      </c>
      <c r="K132">
        <f>'EXISTENCIA EN SUCURSALES'!K132+'DISTRIBUCIÓN EN SUCURSALES'!K132</f>
        <v>0</v>
      </c>
      <c r="L132">
        <f>SUM(B132:K132)</f>
        <v>4</v>
      </c>
      <c r="M132">
        <f>'EXISTENCIA EN SUCURSALES'!M132+'DISTRIBUCIÓN EN SUCURSALES'!M132</f>
        <v>1</v>
      </c>
      <c r="N132">
        <f>'EXISTENCIA EN SUCURSALES'!N132+'DISTRIBUCIÓN EN SUCURSALES'!N132</f>
        <v>1</v>
      </c>
      <c r="O132">
        <f>'EXISTENCIA EN SUCURSALES'!O132+'DISTRIBUCIÓN EN SUCURSALES'!O132</f>
        <v>0</v>
      </c>
      <c r="P132">
        <f>'EXISTENCIA EN SUCURSALES'!P132+'DISTRIBUCIÓN EN SUCURSALES'!P132</f>
        <v>1</v>
      </c>
      <c r="Q132">
        <f>'EXISTENCIA EN SUCURSALES'!Q132+'DISTRIBUCIÓN EN SUCURSALES'!Q132</f>
        <v>1</v>
      </c>
      <c r="R132">
        <f>'EXISTENCIA EN SUCURSALES'!R132+'DISTRIBUCIÓN EN SUCURSALES'!R132</f>
        <v>1</v>
      </c>
      <c r="S132">
        <f>'EXISTENCIA EN SUCURSALES'!S132+'DISTRIBUCIÓN EN SUCURSALES'!S132</f>
        <v>0</v>
      </c>
      <c r="T132">
        <f>'EXISTENCIA EN SUCURSALES'!T132+'DISTRIBUCIÓN EN SUCURSALES'!T132</f>
        <v>0</v>
      </c>
      <c r="U132">
        <f>'EXISTENCIA EN SUCURSALES'!U132+'DISTRIBUCIÓN EN SUCURSALES'!U132</f>
        <v>1</v>
      </c>
      <c r="V132">
        <f>'EXISTENCIA EN SUCURSALES'!V132+'DISTRIBUCIÓN EN SUCURSALES'!V132</f>
        <v>0</v>
      </c>
      <c r="W132">
        <f>'EXISTENCIA EN SUCURSALES'!W132+'DISTRIBUCIÓN EN SUCURSALES'!W132</f>
        <v>1</v>
      </c>
      <c r="X132">
        <f>'EXISTENCIA EN SUCURSALES'!X132+'DISTRIBUCIÓN EN SUCURSALES'!X132</f>
        <v>0</v>
      </c>
      <c r="Y132">
        <f>SUM(M132:X132)</f>
        <v>7</v>
      </c>
      <c r="Z132">
        <f>L132+Y132</f>
        <v>11</v>
      </c>
      <c r="AB132">
        <f>IFERROR(VLOOKUP(A132,'GRAL. SUC. LOCALES'!$A:$N,14,0),0)</f>
        <v>0</v>
      </c>
      <c r="AD132">
        <f>AB132+Z132</f>
        <v>11</v>
      </c>
      <c r="AG132">
        <v>0</v>
      </c>
      <c r="AH132">
        <f>AD132-AF132</f>
        <v>11</v>
      </c>
    </row>
    <row r="133">
      <c r="A133" t="str">
        <v>HUESITOS PAN DE MUERTO</v>
      </c>
      <c r="B133">
        <f>'EXISTENCIA EN SUCURSALES'!B133+'DISTRIBUCIÓN EN SUCURSALES'!B133</f>
        <v>2</v>
      </c>
      <c r="C133">
        <f>'EXISTENCIA EN SUCURSALES'!C133+'DISTRIBUCIÓN EN SUCURSALES'!C133</f>
        <v>2</v>
      </c>
      <c r="D133">
        <f>'EXISTENCIA EN SUCURSALES'!D133+'DISTRIBUCIÓN EN SUCURSALES'!D133</f>
        <v>2</v>
      </c>
      <c r="E133">
        <f>'EXISTENCIA EN SUCURSALES'!E133+'DISTRIBUCIÓN EN SUCURSALES'!E133</f>
        <v>2</v>
      </c>
      <c r="F133">
        <f>'EXISTENCIA EN SUCURSALES'!F133+'DISTRIBUCIÓN EN SUCURSALES'!F133</f>
        <v>4</v>
      </c>
      <c r="G133">
        <f>'EXISTENCIA EN SUCURSALES'!G133+'DISTRIBUCIÓN EN SUCURSALES'!G133</f>
        <v>0</v>
      </c>
      <c r="H133">
        <f>'EXISTENCIA EN SUCURSALES'!H133+'DISTRIBUCIÓN EN SUCURSALES'!H133</f>
        <v>3</v>
      </c>
      <c r="I133">
        <f>'EXISTENCIA EN SUCURSALES'!I133+'DISTRIBUCIÓN EN SUCURSALES'!I133</f>
        <v>3</v>
      </c>
      <c r="J133">
        <f>'EXISTENCIA EN SUCURSALES'!J133+'DISTRIBUCIÓN EN SUCURSALES'!J133</f>
        <v>2</v>
      </c>
      <c r="K133">
        <f>'EXISTENCIA EN SUCURSALES'!K133+'DISTRIBUCIÓN EN SUCURSALES'!K133</f>
        <v>2</v>
      </c>
      <c r="L133">
        <f>SUM(B133:K133)</f>
        <v>22</v>
      </c>
      <c r="M133">
        <f>'EXISTENCIA EN SUCURSALES'!M133+'DISTRIBUCIÓN EN SUCURSALES'!M133</f>
        <v>2</v>
      </c>
      <c r="N133">
        <f>'EXISTENCIA EN SUCURSALES'!N133+'DISTRIBUCIÓN EN SUCURSALES'!N133</f>
        <v>2</v>
      </c>
      <c r="O133">
        <f>'EXISTENCIA EN SUCURSALES'!O133+'DISTRIBUCIÓN EN SUCURSALES'!O133</f>
        <v>2</v>
      </c>
      <c r="P133">
        <f>'EXISTENCIA EN SUCURSALES'!P133+'DISTRIBUCIÓN EN SUCURSALES'!P133</f>
        <v>2</v>
      </c>
      <c r="Q133">
        <f>'EXISTENCIA EN SUCURSALES'!Q133+'DISTRIBUCIÓN EN SUCURSALES'!Q133</f>
        <v>2</v>
      </c>
      <c r="R133">
        <f>'EXISTENCIA EN SUCURSALES'!R133+'DISTRIBUCIÓN EN SUCURSALES'!R133</f>
        <v>2</v>
      </c>
      <c r="S133">
        <f>'EXISTENCIA EN SUCURSALES'!S133+'DISTRIBUCIÓN EN SUCURSALES'!S133</f>
        <v>2</v>
      </c>
      <c r="T133">
        <f>'EXISTENCIA EN SUCURSALES'!T133+'DISTRIBUCIÓN EN SUCURSALES'!T133</f>
        <v>0</v>
      </c>
      <c r="U133">
        <f>'EXISTENCIA EN SUCURSALES'!U133+'DISTRIBUCIÓN EN SUCURSALES'!U133</f>
        <v>2</v>
      </c>
      <c r="V133">
        <f>'EXISTENCIA EN SUCURSALES'!V133+'DISTRIBUCIÓN EN SUCURSALES'!V133</f>
        <v>2</v>
      </c>
      <c r="W133">
        <f>'EXISTENCIA EN SUCURSALES'!W133+'DISTRIBUCIÓN EN SUCURSALES'!W133</f>
        <v>2</v>
      </c>
      <c r="X133">
        <f>'EXISTENCIA EN SUCURSALES'!X133+'DISTRIBUCIÓN EN SUCURSALES'!X133</f>
        <v>1</v>
      </c>
      <c r="Y133">
        <f>SUM(M133:X133)</f>
        <v>21</v>
      </c>
      <c r="Z133">
        <f>L133+Y133</f>
        <v>43</v>
      </c>
      <c r="AB133">
        <f>IFERROR(VLOOKUP(A133,'GRAL. SUC. LOCALES'!$A:$N,14,0),0)</f>
        <v>1</v>
      </c>
      <c r="AD133">
        <f>AB133+Z133</f>
        <v>44</v>
      </c>
      <c r="AG133">
        <v>0</v>
      </c>
      <c r="AH133">
        <f>AD133-AF133</f>
        <v>44</v>
      </c>
    </row>
    <row r="134">
      <c r="A134" t="str">
        <v>CAJITA 3 LECHES CALABAZA</v>
      </c>
      <c r="B134">
        <f>'EXISTENCIA EN SUCURSALES'!B134+'DISTRIBUCIÓN EN SUCURSALES'!B134</f>
        <v>2</v>
      </c>
      <c r="C134">
        <f>'EXISTENCIA EN SUCURSALES'!C134+'DISTRIBUCIÓN EN SUCURSALES'!C134</f>
        <v>0</v>
      </c>
      <c r="D134">
        <f>'EXISTENCIA EN SUCURSALES'!D134+'DISTRIBUCIÓN EN SUCURSALES'!D134</f>
        <v>2</v>
      </c>
      <c r="E134">
        <f>'EXISTENCIA EN SUCURSALES'!E134+'DISTRIBUCIÓN EN SUCURSALES'!E134</f>
        <v>2</v>
      </c>
      <c r="F134">
        <f>'EXISTENCIA EN SUCURSALES'!F134+'DISTRIBUCIÓN EN SUCURSALES'!F134</f>
        <v>2</v>
      </c>
      <c r="G134">
        <f>'EXISTENCIA EN SUCURSALES'!G134+'DISTRIBUCIÓN EN SUCURSALES'!G134</f>
        <v>0</v>
      </c>
      <c r="H134">
        <f>'EXISTENCIA EN SUCURSALES'!H134+'DISTRIBUCIÓN EN SUCURSALES'!H134</f>
        <v>2</v>
      </c>
      <c r="I134">
        <f>'EXISTENCIA EN SUCURSALES'!I134+'DISTRIBUCIÓN EN SUCURSALES'!I134</f>
        <v>2</v>
      </c>
      <c r="J134">
        <f>'EXISTENCIA EN SUCURSALES'!J134+'DISTRIBUCIÓN EN SUCURSALES'!J134</f>
        <v>2</v>
      </c>
      <c r="K134">
        <f>'EXISTENCIA EN SUCURSALES'!K134+'DISTRIBUCIÓN EN SUCURSALES'!K134</f>
        <v>2</v>
      </c>
      <c r="L134">
        <f>SUM(B134:K134)</f>
        <v>16</v>
      </c>
      <c r="M134">
        <f>'EXISTENCIA EN SUCURSALES'!M134+'DISTRIBUCIÓN EN SUCURSALES'!M134</f>
        <v>1</v>
      </c>
      <c r="N134">
        <f>'EXISTENCIA EN SUCURSALES'!N134+'DISTRIBUCIÓN EN SUCURSALES'!N134</f>
        <v>2</v>
      </c>
      <c r="O134">
        <f>'EXISTENCIA EN SUCURSALES'!O134+'DISTRIBUCIÓN EN SUCURSALES'!O134</f>
        <v>0</v>
      </c>
      <c r="P134">
        <f>'EXISTENCIA EN SUCURSALES'!P134+'DISTRIBUCIÓN EN SUCURSALES'!P134</f>
        <v>0</v>
      </c>
      <c r="Q134">
        <f>'EXISTENCIA EN SUCURSALES'!Q134+'DISTRIBUCIÓN EN SUCURSALES'!Q134</f>
        <v>0</v>
      </c>
      <c r="R134">
        <f>'EXISTENCIA EN SUCURSALES'!R134+'DISTRIBUCIÓN EN SUCURSALES'!R134</f>
        <v>0</v>
      </c>
      <c r="S134">
        <f>'EXISTENCIA EN SUCURSALES'!S134+'DISTRIBUCIÓN EN SUCURSALES'!S134</f>
        <v>2</v>
      </c>
      <c r="T134">
        <f>'EXISTENCIA EN SUCURSALES'!T134+'DISTRIBUCIÓN EN SUCURSALES'!T134</f>
        <v>1</v>
      </c>
      <c r="U134">
        <f>'EXISTENCIA EN SUCURSALES'!U134+'DISTRIBUCIÓN EN SUCURSALES'!U134</f>
        <v>2</v>
      </c>
      <c r="V134">
        <f>'EXISTENCIA EN SUCURSALES'!V134+'DISTRIBUCIÓN EN SUCURSALES'!V134</f>
        <v>2</v>
      </c>
      <c r="W134">
        <f>'EXISTENCIA EN SUCURSALES'!W134+'DISTRIBUCIÓN EN SUCURSALES'!W134</f>
        <v>0</v>
      </c>
      <c r="X134">
        <f>'EXISTENCIA EN SUCURSALES'!X134+'DISTRIBUCIÓN EN SUCURSALES'!X134</f>
        <v>1</v>
      </c>
      <c r="Y134">
        <f>SUM(M134:X134)</f>
        <v>11</v>
      </c>
      <c r="Z134">
        <f>L134+Y134</f>
        <v>27</v>
      </c>
      <c r="AB134">
        <f>IFERROR(VLOOKUP(A134,'GRAL. SUC. LOCALES'!$A:$N,14,0),0)</f>
        <v>0</v>
      </c>
      <c r="AD134">
        <f>AB134+Z134</f>
        <v>27</v>
      </c>
      <c r="AG134">
        <v>0</v>
      </c>
      <c r="AH134">
        <f>AD134-AF134</f>
        <v>27</v>
      </c>
    </row>
    <row r="135">
      <c r="A135" t="str">
        <v>PAN DE MUERTO GLASEADO</v>
      </c>
      <c r="B135">
        <f>'EXISTENCIA EN SUCURSALES'!B135+'DISTRIBUCIÓN EN SUCURSALES'!B135</f>
        <v>1</v>
      </c>
      <c r="C135">
        <f>'EXISTENCIA EN SUCURSALES'!C135+'DISTRIBUCIÓN EN SUCURSALES'!C135</f>
        <v>0</v>
      </c>
      <c r="D135">
        <f>'EXISTENCIA EN SUCURSALES'!D135+'DISTRIBUCIÓN EN SUCURSALES'!D135</f>
        <v>5</v>
      </c>
      <c r="E135">
        <f>'EXISTENCIA EN SUCURSALES'!E135+'DISTRIBUCIÓN EN SUCURSALES'!E135</f>
        <v>6</v>
      </c>
      <c r="F135">
        <f>'EXISTENCIA EN SUCURSALES'!F135+'DISTRIBUCIÓN EN SUCURSALES'!F135</f>
        <v>4</v>
      </c>
      <c r="G135">
        <f>'EXISTENCIA EN SUCURSALES'!G135+'DISTRIBUCIÓN EN SUCURSALES'!G135</f>
        <v>0</v>
      </c>
      <c r="H135">
        <f>'EXISTENCIA EN SUCURSALES'!H135+'DISTRIBUCIÓN EN SUCURSALES'!H135</f>
        <v>5</v>
      </c>
      <c r="I135">
        <f>'EXISTENCIA EN SUCURSALES'!I135+'DISTRIBUCIÓN EN SUCURSALES'!I135</f>
        <v>5</v>
      </c>
      <c r="J135">
        <f>'EXISTENCIA EN SUCURSALES'!J135+'DISTRIBUCIÓN EN SUCURSALES'!J135</f>
        <v>5</v>
      </c>
      <c r="K135">
        <f>'EXISTENCIA EN SUCURSALES'!K135+'DISTRIBUCIÓN EN SUCURSALES'!K135</f>
        <v>4</v>
      </c>
      <c r="L135">
        <f>SUM(B135:K135)</f>
        <v>35</v>
      </c>
      <c r="M135">
        <f>'EXISTENCIA EN SUCURSALES'!M135+'DISTRIBUCIÓN EN SUCURSALES'!M135</f>
        <v>5</v>
      </c>
      <c r="N135">
        <f>'EXISTENCIA EN SUCURSALES'!N135+'DISTRIBUCIÓN EN SUCURSALES'!N135</f>
        <v>6</v>
      </c>
      <c r="O135">
        <f>'EXISTENCIA EN SUCURSALES'!O135+'DISTRIBUCIÓN EN SUCURSALES'!O135</f>
        <v>3</v>
      </c>
      <c r="P135">
        <f>'EXISTENCIA EN SUCURSALES'!P135+'DISTRIBUCIÓN EN SUCURSALES'!P135</f>
        <v>3</v>
      </c>
      <c r="Q135">
        <f>'EXISTENCIA EN SUCURSALES'!Q135+'DISTRIBUCIÓN EN SUCURSALES'!Q135</f>
        <v>0</v>
      </c>
      <c r="R135">
        <f>'EXISTENCIA EN SUCURSALES'!R135+'DISTRIBUCIÓN EN SUCURSALES'!R135</f>
        <v>0</v>
      </c>
      <c r="S135">
        <f>'EXISTENCIA EN SUCURSALES'!S135+'DISTRIBUCIÓN EN SUCURSALES'!S135</f>
        <v>5</v>
      </c>
      <c r="T135">
        <f>'EXISTENCIA EN SUCURSALES'!T135+'DISTRIBUCIÓN EN SUCURSALES'!T135</f>
        <v>4</v>
      </c>
      <c r="U135">
        <f>'EXISTENCIA EN SUCURSALES'!U135+'DISTRIBUCIÓN EN SUCURSALES'!U135</f>
        <v>5</v>
      </c>
      <c r="V135">
        <f>'EXISTENCIA EN SUCURSALES'!V135+'DISTRIBUCIÓN EN SUCURSALES'!V135</f>
        <v>4</v>
      </c>
      <c r="W135">
        <f>'EXISTENCIA EN SUCURSALES'!W135+'DISTRIBUCIÓN EN SUCURSALES'!W135</f>
        <v>1</v>
      </c>
      <c r="X135">
        <f>'EXISTENCIA EN SUCURSALES'!X135+'DISTRIBUCIÓN EN SUCURSALES'!X135</f>
        <v>0</v>
      </c>
      <c r="Y135">
        <f>SUM(M135:X135)</f>
        <v>36</v>
      </c>
      <c r="Z135">
        <f>L135+Y135</f>
        <v>71</v>
      </c>
      <c r="AB135">
        <f>IFERROR(VLOOKUP(A135,'GRAL. SUC. LOCALES'!$A:$N,14,0),0)</f>
        <v>0</v>
      </c>
      <c r="AD135">
        <f>AB135+Z135</f>
        <v>71</v>
      </c>
      <c r="AG135">
        <v>0</v>
      </c>
      <c r="AH135">
        <f>AD135-AF135</f>
        <v>71</v>
      </c>
    </row>
    <row r="136">
      <c r="A136" t="str">
        <v>CALAVERA CHOCOLATE</v>
      </c>
      <c r="B136">
        <f>'EXISTENCIA EN SUCURSALES'!B136+'DISTRIBUCIÓN EN SUCURSALES'!B136</f>
        <v>6</v>
      </c>
      <c r="C136">
        <f>'EXISTENCIA EN SUCURSALES'!C136+'DISTRIBUCIÓN EN SUCURSALES'!C136</f>
        <v>6</v>
      </c>
      <c r="D136">
        <f>'EXISTENCIA EN SUCURSALES'!D136+'DISTRIBUCIÓN EN SUCURSALES'!D136</f>
        <v>2</v>
      </c>
      <c r="E136">
        <f>'EXISTENCIA EN SUCURSALES'!E136+'DISTRIBUCIÓN EN SUCURSALES'!E136</f>
        <v>2</v>
      </c>
      <c r="F136">
        <f>'EXISTENCIA EN SUCURSALES'!F136+'DISTRIBUCIÓN EN SUCURSALES'!F136</f>
        <v>4</v>
      </c>
      <c r="G136">
        <f>'EXISTENCIA EN SUCURSALES'!G136+'DISTRIBUCIÓN EN SUCURSALES'!G136</f>
        <v>0</v>
      </c>
      <c r="H136">
        <f>'EXISTENCIA EN SUCURSALES'!H136+'DISTRIBUCIÓN EN SUCURSALES'!H136</f>
        <v>2</v>
      </c>
      <c r="I136">
        <f>'EXISTENCIA EN SUCURSALES'!I136+'DISTRIBUCIÓN EN SUCURSALES'!I136</f>
        <v>2</v>
      </c>
      <c r="J136">
        <f>'EXISTENCIA EN SUCURSALES'!J136+'DISTRIBUCIÓN EN SUCURSALES'!J136</f>
        <v>4</v>
      </c>
      <c r="K136">
        <f>'EXISTENCIA EN SUCURSALES'!K136+'DISTRIBUCIÓN EN SUCURSALES'!K136</f>
        <v>3</v>
      </c>
      <c r="L136">
        <f>SUM(B136:K136)</f>
        <v>31</v>
      </c>
      <c r="M136">
        <f>'EXISTENCIA EN SUCURSALES'!M136+'DISTRIBUCIÓN EN SUCURSALES'!M136</f>
        <v>2</v>
      </c>
      <c r="N136">
        <f>'EXISTENCIA EN SUCURSALES'!N136+'DISTRIBUCIÓN EN SUCURSALES'!N136</f>
        <v>2</v>
      </c>
      <c r="O136">
        <f>'EXISTENCIA EN SUCURSALES'!O136+'DISTRIBUCIÓN EN SUCURSALES'!O136</f>
        <v>0</v>
      </c>
      <c r="P136">
        <f>'EXISTENCIA EN SUCURSALES'!P136+'DISTRIBUCIÓN EN SUCURSALES'!P136</f>
        <v>2</v>
      </c>
      <c r="Q136">
        <f>'EXISTENCIA EN SUCURSALES'!Q136+'DISTRIBUCIÓN EN SUCURSALES'!Q136</f>
        <v>4</v>
      </c>
      <c r="R136">
        <f>'EXISTENCIA EN SUCURSALES'!R136+'DISTRIBUCIÓN EN SUCURSALES'!R136</f>
        <v>4</v>
      </c>
      <c r="S136">
        <f>'EXISTENCIA EN SUCURSALES'!S136+'DISTRIBUCIÓN EN SUCURSALES'!S136</f>
        <v>0</v>
      </c>
      <c r="T136">
        <f>'EXISTENCIA EN SUCURSALES'!T136+'DISTRIBUCIÓN EN SUCURSALES'!T136</f>
        <v>2</v>
      </c>
      <c r="U136">
        <f>'EXISTENCIA EN SUCURSALES'!U136+'DISTRIBUCIÓN EN SUCURSALES'!U136</f>
        <v>0</v>
      </c>
      <c r="V136">
        <f>'EXISTENCIA EN SUCURSALES'!V136+'DISTRIBUCIÓN EN SUCURSALES'!V136</f>
        <v>4</v>
      </c>
      <c r="W136">
        <f>'EXISTENCIA EN SUCURSALES'!W136+'DISTRIBUCIÓN EN SUCURSALES'!W136</f>
        <v>2</v>
      </c>
      <c r="X136">
        <f>'EXISTENCIA EN SUCURSALES'!X136+'DISTRIBUCIÓN EN SUCURSALES'!X136</f>
        <v>1</v>
      </c>
      <c r="Y136">
        <f>SUM(M136:X136)</f>
        <v>23</v>
      </c>
      <c r="Z136">
        <f>L136+Y136</f>
        <v>54</v>
      </c>
      <c r="AB136">
        <f>IFERROR(VLOOKUP(A136,'GRAL. SUC. LOCALES'!$A:$N,14,0),0)</f>
        <v>16</v>
      </c>
      <c r="AD136">
        <f>AB136+Z136</f>
        <v>70</v>
      </c>
      <c r="AG136">
        <v>0</v>
      </c>
      <c r="AH136">
        <f>AD136-AF136</f>
        <v>70</v>
      </c>
    </row>
    <row r="137">
      <c r="A137" t="str">
        <v>CAJA DE BROWNIES CON 4 PIEZAS</v>
      </c>
      <c r="B137">
        <f>'EXISTENCIA EN SUCURSALES'!B137+'DISTRIBUCIÓN EN SUCURSALES'!B137</f>
        <v>0</v>
      </c>
      <c r="C137">
        <f>'EXISTENCIA EN SUCURSALES'!C137+'DISTRIBUCIÓN EN SUCURSALES'!C137</f>
        <v>0</v>
      </c>
      <c r="D137">
        <f>'EXISTENCIA EN SUCURSALES'!D137+'DISTRIBUCIÓN EN SUCURSALES'!D137</f>
        <v>0</v>
      </c>
      <c r="E137">
        <f>'EXISTENCIA EN SUCURSALES'!E137+'DISTRIBUCIÓN EN SUCURSALES'!E137</f>
        <v>0</v>
      </c>
      <c r="F137">
        <f>'EXISTENCIA EN SUCURSALES'!F137+'DISTRIBUCIÓN EN SUCURSALES'!F137</f>
        <v>0</v>
      </c>
      <c r="G137">
        <f>'EXISTENCIA EN SUCURSALES'!G137+'DISTRIBUCIÓN EN SUCURSALES'!G137</f>
        <v>0</v>
      </c>
      <c r="H137">
        <f>'EXISTENCIA EN SUCURSALES'!H137+'DISTRIBUCIÓN EN SUCURSALES'!H137</f>
        <v>0</v>
      </c>
      <c r="I137">
        <f>'EXISTENCIA EN SUCURSALES'!I137+'DISTRIBUCIÓN EN SUCURSALES'!I137</f>
        <v>0</v>
      </c>
      <c r="J137">
        <f>'EXISTENCIA EN SUCURSALES'!J137+'DISTRIBUCIÓN EN SUCURSALES'!J137</f>
        <v>0</v>
      </c>
      <c r="K137">
        <f>'EXISTENCIA EN SUCURSALES'!K137+'DISTRIBUCIÓN EN SUCURSALES'!K137</f>
        <v>0</v>
      </c>
      <c r="L137">
        <f>SUM(B137:K137)</f>
        <v>0</v>
      </c>
      <c r="M137">
        <f>'EXISTENCIA EN SUCURSALES'!M137+'DISTRIBUCIÓN EN SUCURSALES'!M137</f>
        <v>0</v>
      </c>
      <c r="N137">
        <f>'EXISTENCIA EN SUCURSALES'!N137+'DISTRIBUCIÓN EN SUCURSALES'!N137</f>
        <v>0</v>
      </c>
      <c r="O137">
        <f>'EXISTENCIA EN SUCURSALES'!O137+'DISTRIBUCIÓN EN SUCURSALES'!O137</f>
        <v>0</v>
      </c>
      <c r="P137">
        <f>'EXISTENCIA EN SUCURSALES'!P137+'DISTRIBUCIÓN EN SUCURSALES'!P137</f>
        <v>0</v>
      </c>
      <c r="Q137">
        <f>'EXISTENCIA EN SUCURSALES'!Q137+'DISTRIBUCIÓN EN SUCURSALES'!Q137</f>
        <v>0</v>
      </c>
      <c r="R137">
        <f>'EXISTENCIA EN SUCURSALES'!R137+'DISTRIBUCIÓN EN SUCURSALES'!R137</f>
        <v>0</v>
      </c>
      <c r="S137">
        <f>'EXISTENCIA EN SUCURSALES'!S137+'DISTRIBUCIÓN EN SUCURSALES'!S137</f>
        <v>0</v>
      </c>
      <c r="T137">
        <f>'EXISTENCIA EN SUCURSALES'!T137+'DISTRIBUCIÓN EN SUCURSALES'!T137</f>
        <v>0</v>
      </c>
      <c r="U137">
        <f>'EXISTENCIA EN SUCURSALES'!U137+'DISTRIBUCIÓN EN SUCURSALES'!U137</f>
        <v>0</v>
      </c>
      <c r="V137">
        <f>'EXISTENCIA EN SUCURSALES'!V137+'DISTRIBUCIÓN EN SUCURSALES'!V137</f>
        <v>0</v>
      </c>
      <c r="W137">
        <f>'EXISTENCIA EN SUCURSALES'!W137+'DISTRIBUCIÓN EN SUCURSALES'!W137</f>
        <v>0</v>
      </c>
      <c r="X137">
        <f>'EXISTENCIA EN SUCURSALES'!X137+'DISTRIBUCIÓN EN SUCURSALES'!X137</f>
        <v>0</v>
      </c>
      <c r="Y137">
        <f>SUM(M137:X137)</f>
        <v>0</v>
      </c>
      <c r="Z137">
        <f>L137+Y137</f>
        <v>0</v>
      </c>
      <c r="AB137">
        <f>IFERROR(VLOOKUP(A137,'GRAL. SUC. LOCALES'!$A:$N,14,0),0)</f>
        <v>0</v>
      </c>
      <c r="AD137">
        <f>AB137+Z137</f>
        <v>0</v>
      </c>
      <c r="AG137">
        <v>0</v>
      </c>
      <c r="AH137">
        <f>AD137-AF137</f>
        <v>0</v>
      </c>
    </row>
    <row r="138">
      <c r="A138" t="str">
        <v>BOLLOS C/4</v>
      </c>
      <c r="B138">
        <f>'EXISTENCIA EN SUCURSALES'!B138+'DISTRIBUCIÓN EN SUCURSALES'!B138</f>
        <v>0</v>
      </c>
      <c r="C138">
        <f>'EXISTENCIA EN SUCURSALES'!C138+'DISTRIBUCIÓN EN SUCURSALES'!C138</f>
        <v>0</v>
      </c>
      <c r="D138">
        <f>'EXISTENCIA EN SUCURSALES'!D138+'DISTRIBUCIÓN EN SUCURSALES'!D138</f>
        <v>0</v>
      </c>
      <c r="E138">
        <f>'EXISTENCIA EN SUCURSALES'!E138+'DISTRIBUCIÓN EN SUCURSALES'!E138</f>
        <v>0</v>
      </c>
      <c r="F138">
        <f>'EXISTENCIA EN SUCURSALES'!F138+'DISTRIBUCIÓN EN SUCURSALES'!F138</f>
        <v>0</v>
      </c>
      <c r="G138">
        <f>'EXISTENCIA EN SUCURSALES'!G138+'DISTRIBUCIÓN EN SUCURSALES'!G138</f>
        <v>0</v>
      </c>
      <c r="H138">
        <f>'EXISTENCIA EN SUCURSALES'!H138+'DISTRIBUCIÓN EN SUCURSALES'!H138</f>
        <v>0</v>
      </c>
      <c r="I138">
        <f>'EXISTENCIA EN SUCURSALES'!I138+'DISTRIBUCIÓN EN SUCURSALES'!I138</f>
        <v>0</v>
      </c>
      <c r="J138">
        <f>'EXISTENCIA EN SUCURSALES'!J138+'DISTRIBUCIÓN EN SUCURSALES'!J138</f>
        <v>0</v>
      </c>
      <c r="K138">
        <f>'EXISTENCIA EN SUCURSALES'!K138+'DISTRIBUCIÓN EN SUCURSALES'!K138</f>
        <v>0</v>
      </c>
      <c r="L138">
        <f>SUM(B138:K138)</f>
        <v>0</v>
      </c>
      <c r="M138">
        <f>'EXISTENCIA EN SUCURSALES'!M138+'DISTRIBUCIÓN EN SUCURSALES'!M138</f>
        <v>0</v>
      </c>
      <c r="N138">
        <f>'EXISTENCIA EN SUCURSALES'!N138+'DISTRIBUCIÓN EN SUCURSALES'!N138</f>
        <v>0</v>
      </c>
      <c r="O138">
        <f>'EXISTENCIA EN SUCURSALES'!O138+'DISTRIBUCIÓN EN SUCURSALES'!O138</f>
        <v>0</v>
      </c>
      <c r="P138">
        <f>'EXISTENCIA EN SUCURSALES'!P138+'DISTRIBUCIÓN EN SUCURSALES'!P138</f>
        <v>0</v>
      </c>
      <c r="Q138">
        <f>'EXISTENCIA EN SUCURSALES'!Q138+'DISTRIBUCIÓN EN SUCURSALES'!Q138</f>
        <v>0</v>
      </c>
      <c r="R138">
        <f>'EXISTENCIA EN SUCURSALES'!R138+'DISTRIBUCIÓN EN SUCURSALES'!R138</f>
        <v>0</v>
      </c>
      <c r="S138">
        <f>'EXISTENCIA EN SUCURSALES'!S138+'DISTRIBUCIÓN EN SUCURSALES'!S138</f>
        <v>0</v>
      </c>
      <c r="T138">
        <f>'EXISTENCIA EN SUCURSALES'!T138+'DISTRIBUCIÓN EN SUCURSALES'!T138</f>
        <v>0</v>
      </c>
      <c r="U138">
        <f>'EXISTENCIA EN SUCURSALES'!U138+'DISTRIBUCIÓN EN SUCURSALES'!U138</f>
        <v>0</v>
      </c>
      <c r="V138">
        <f>'EXISTENCIA EN SUCURSALES'!V138+'DISTRIBUCIÓN EN SUCURSALES'!V138</f>
        <v>0</v>
      </c>
      <c r="W138">
        <f>'EXISTENCIA EN SUCURSALES'!W138+'DISTRIBUCIÓN EN SUCURSALES'!W138</f>
        <v>0</v>
      </c>
      <c r="X138">
        <f>'EXISTENCIA EN SUCURSALES'!X138+'DISTRIBUCIÓN EN SUCURSALES'!X138</f>
        <v>0</v>
      </c>
      <c r="Y138">
        <f>SUM(M138:X138)</f>
        <v>0</v>
      </c>
      <c r="Z138">
        <f>L138+Y138</f>
        <v>0</v>
      </c>
      <c r="AB138">
        <f>IFERROR(VLOOKUP(A138,'GRAL. SUC. LOCALES'!$A:$N,14,0),0)</f>
        <v>0</v>
      </c>
      <c r="AD138">
        <f>AB138+Z138</f>
        <v>0</v>
      </c>
      <c r="AG138">
        <v>0</v>
      </c>
      <c r="AH138">
        <f>AD138-AF138</f>
        <v>0</v>
      </c>
    </row>
    <row r="139">
      <c r="A139" t="str">
        <v>PASTEL DE MUERTO 3 LECHES CH</v>
      </c>
      <c r="B139">
        <f>'EXISTENCIA EN SUCURSALES'!B139+'DISTRIBUCIÓN EN SUCURSALES'!B139</f>
        <v>1</v>
      </c>
      <c r="C139">
        <f>'EXISTENCIA EN SUCURSALES'!C139+'DISTRIBUCIÓN EN SUCURSALES'!C139</f>
        <v>1</v>
      </c>
      <c r="D139">
        <f>'EXISTENCIA EN SUCURSALES'!D139+'DISTRIBUCIÓN EN SUCURSALES'!D139</f>
        <v>1</v>
      </c>
      <c r="E139">
        <f>'EXISTENCIA EN SUCURSALES'!E139+'DISTRIBUCIÓN EN SUCURSALES'!E139</f>
        <v>1</v>
      </c>
      <c r="F139">
        <f>'EXISTENCIA EN SUCURSALES'!F139+'DISTRIBUCIÓN EN SUCURSALES'!F139</f>
        <v>1</v>
      </c>
      <c r="G139">
        <f>'EXISTENCIA EN SUCURSALES'!G139+'DISTRIBUCIÓN EN SUCURSALES'!G139</f>
        <v>0</v>
      </c>
      <c r="H139">
        <f>'EXISTENCIA EN SUCURSALES'!H139+'DISTRIBUCIÓN EN SUCURSALES'!H139</f>
        <v>1</v>
      </c>
      <c r="I139">
        <f>'EXISTENCIA EN SUCURSALES'!I139+'DISTRIBUCIÓN EN SUCURSALES'!I139</f>
        <v>1</v>
      </c>
      <c r="J139">
        <f>'EXISTENCIA EN SUCURSALES'!J139+'DISTRIBUCIÓN EN SUCURSALES'!J139</f>
        <v>1</v>
      </c>
      <c r="K139">
        <f>'EXISTENCIA EN SUCURSALES'!K139+'DISTRIBUCIÓN EN SUCURSALES'!K139</f>
        <v>1</v>
      </c>
      <c r="L139">
        <f>SUM(B139:K139)</f>
        <v>9</v>
      </c>
      <c r="M139">
        <f>'EXISTENCIA EN SUCURSALES'!M139+'DISTRIBUCIÓN EN SUCURSALES'!M139</f>
        <v>1</v>
      </c>
      <c r="N139">
        <f>'EXISTENCIA EN SUCURSALES'!N139+'DISTRIBUCIÓN EN SUCURSALES'!N139</f>
        <v>1</v>
      </c>
      <c r="O139">
        <f>'EXISTENCIA EN SUCURSALES'!O139+'DISTRIBUCIÓN EN SUCURSALES'!O139</f>
        <v>1</v>
      </c>
      <c r="P139">
        <f>'EXISTENCIA EN SUCURSALES'!P139+'DISTRIBUCIÓN EN SUCURSALES'!P139</f>
        <v>0</v>
      </c>
      <c r="Q139">
        <f>'EXISTENCIA EN SUCURSALES'!Q139+'DISTRIBUCIÓN EN SUCURSALES'!Q139</f>
        <v>0</v>
      </c>
      <c r="R139">
        <f>'EXISTENCIA EN SUCURSALES'!R139+'DISTRIBUCIÓN EN SUCURSALES'!R139</f>
        <v>0</v>
      </c>
      <c r="S139">
        <f>'EXISTENCIA EN SUCURSALES'!S139+'DISTRIBUCIÓN EN SUCURSALES'!S139</f>
        <v>0</v>
      </c>
      <c r="T139">
        <f>'EXISTENCIA EN SUCURSALES'!T139+'DISTRIBUCIÓN EN SUCURSALES'!T139</f>
        <v>1</v>
      </c>
      <c r="U139">
        <f>'EXISTENCIA EN SUCURSALES'!U139+'DISTRIBUCIÓN EN SUCURSALES'!U139</f>
        <v>0</v>
      </c>
      <c r="V139">
        <f>'EXISTENCIA EN SUCURSALES'!V139+'DISTRIBUCIÓN EN SUCURSALES'!V139</f>
        <v>1</v>
      </c>
      <c r="W139">
        <f>'EXISTENCIA EN SUCURSALES'!W139+'DISTRIBUCIÓN EN SUCURSALES'!W139</f>
        <v>0</v>
      </c>
      <c r="X139">
        <f>'EXISTENCIA EN SUCURSALES'!X139+'DISTRIBUCIÓN EN SUCURSALES'!X139</f>
        <v>1</v>
      </c>
      <c r="Y139">
        <f>SUM(M139:X139)</f>
        <v>6</v>
      </c>
      <c r="Z139">
        <f>L139+Y139</f>
        <v>15</v>
      </c>
      <c r="AB139">
        <f>IFERROR(VLOOKUP(A139,'GRAL. SUC. LOCALES'!$A:$N,14,0),0)</f>
        <v>10</v>
      </c>
      <c r="AD139">
        <f>AB139+Z139</f>
        <v>25</v>
      </c>
      <c r="AG139">
        <v>0</v>
      </c>
      <c r="AH139">
        <f>AD139-AF139</f>
        <v>25</v>
      </c>
    </row>
    <row r="140">
      <c r="A140" t="str">
        <v>CHAROLA C/8 PAN DE MUERTO</v>
      </c>
      <c r="B140">
        <f>'EXISTENCIA EN SUCURSALES'!B140+'DISTRIBUCIÓN EN SUCURSALES'!B140</f>
        <v>3</v>
      </c>
      <c r="C140">
        <f>'EXISTENCIA EN SUCURSALES'!C140+'DISTRIBUCIÓN EN SUCURSALES'!C140</f>
        <v>1</v>
      </c>
      <c r="D140">
        <f>'EXISTENCIA EN SUCURSALES'!D140+'DISTRIBUCIÓN EN SUCURSALES'!D140</f>
        <v>1</v>
      </c>
      <c r="E140">
        <f>'EXISTENCIA EN SUCURSALES'!E140+'DISTRIBUCIÓN EN SUCURSALES'!E140</f>
        <v>2</v>
      </c>
      <c r="F140">
        <f>'EXISTENCIA EN SUCURSALES'!F140+'DISTRIBUCIÓN EN SUCURSALES'!F140</f>
        <v>0</v>
      </c>
      <c r="G140">
        <f>'EXISTENCIA EN SUCURSALES'!G140+'DISTRIBUCIÓN EN SUCURSALES'!G140</f>
        <v>0</v>
      </c>
      <c r="H140">
        <f>'EXISTENCIA EN SUCURSALES'!H140+'DISTRIBUCIÓN EN SUCURSALES'!H140</f>
        <v>1</v>
      </c>
      <c r="I140">
        <f>'EXISTENCIA EN SUCURSALES'!I140+'DISTRIBUCIÓN EN SUCURSALES'!I140</f>
        <v>1</v>
      </c>
      <c r="J140">
        <f>'EXISTENCIA EN SUCURSALES'!J140+'DISTRIBUCIÓN EN SUCURSALES'!J140</f>
        <v>1</v>
      </c>
      <c r="K140">
        <f>'EXISTENCIA EN SUCURSALES'!K140+'DISTRIBUCIÓN EN SUCURSALES'!K140</f>
        <v>0</v>
      </c>
      <c r="L140">
        <f>SUM(B140:K140)</f>
        <v>10</v>
      </c>
      <c r="M140">
        <f>'EXISTENCIA EN SUCURSALES'!M140+'DISTRIBUCIÓN EN SUCURSALES'!M140</f>
        <v>2</v>
      </c>
      <c r="N140">
        <f>'EXISTENCIA EN SUCURSALES'!N140+'DISTRIBUCIÓN EN SUCURSALES'!N140</f>
        <v>1</v>
      </c>
      <c r="O140">
        <f>'EXISTENCIA EN SUCURSALES'!O140+'DISTRIBUCIÓN EN SUCURSALES'!O140</f>
        <v>1</v>
      </c>
      <c r="P140">
        <f>'EXISTENCIA EN SUCURSALES'!P140+'DISTRIBUCIÓN EN SUCURSALES'!P140</f>
        <v>1</v>
      </c>
      <c r="Q140">
        <f>'EXISTENCIA EN SUCURSALES'!Q140+'DISTRIBUCIÓN EN SUCURSALES'!Q140</f>
        <v>0</v>
      </c>
      <c r="R140">
        <f>'EXISTENCIA EN SUCURSALES'!R140+'DISTRIBUCIÓN EN SUCURSALES'!R140</f>
        <v>0</v>
      </c>
      <c r="S140">
        <f>'EXISTENCIA EN SUCURSALES'!S140+'DISTRIBUCIÓN EN SUCURSALES'!S140</f>
        <v>0</v>
      </c>
      <c r="T140">
        <f>'EXISTENCIA EN SUCURSALES'!T140+'DISTRIBUCIÓN EN SUCURSALES'!T140</f>
        <v>1</v>
      </c>
      <c r="U140">
        <f>'EXISTENCIA EN SUCURSALES'!U140+'DISTRIBUCIÓN EN SUCURSALES'!U140</f>
        <v>1</v>
      </c>
      <c r="V140">
        <f>'EXISTENCIA EN SUCURSALES'!V140+'DISTRIBUCIÓN EN SUCURSALES'!V140</f>
        <v>0</v>
      </c>
      <c r="W140">
        <f>'EXISTENCIA EN SUCURSALES'!W140+'DISTRIBUCIÓN EN SUCURSALES'!W140</f>
        <v>1</v>
      </c>
      <c r="X140">
        <f>'EXISTENCIA EN SUCURSALES'!X140+'DISTRIBUCIÓN EN SUCURSALES'!X140</f>
        <v>0</v>
      </c>
      <c r="Y140">
        <f>SUM(M140:X140)</f>
        <v>8</v>
      </c>
      <c r="Z140">
        <f>L140+Y140</f>
        <v>18</v>
      </c>
      <c r="AB140">
        <f>IFERROR(VLOOKUP(A140,'GRAL. SUC. LOCALES'!$A:$N,14,0),0)</f>
        <v>0</v>
      </c>
      <c r="AD140">
        <f>AB140+Z140</f>
        <v>18</v>
      </c>
      <c r="AG140">
        <v>0</v>
      </c>
      <c r="AH140">
        <f>AD140-AF140</f>
        <v>18</v>
      </c>
    </row>
    <row r="141">
      <c r="A141" t="str">
        <v>PANQUE NATURAL CON NUEZ</v>
      </c>
      <c r="B141">
        <f>'EXISTENCIA EN SUCURSALES'!B141+'DISTRIBUCIÓN EN SUCURSALES'!B141</f>
        <v>0</v>
      </c>
      <c r="C141">
        <f>'EXISTENCIA EN SUCURSALES'!C141+'DISTRIBUCIÓN EN SUCURSALES'!C141</f>
        <v>0</v>
      </c>
      <c r="D141">
        <f>'EXISTENCIA EN SUCURSALES'!D141+'DISTRIBUCIÓN EN SUCURSALES'!D141</f>
        <v>0</v>
      </c>
      <c r="E141">
        <f>'EXISTENCIA EN SUCURSALES'!E141+'DISTRIBUCIÓN EN SUCURSALES'!E141</f>
        <v>0</v>
      </c>
      <c r="F141">
        <f>'EXISTENCIA EN SUCURSALES'!F141+'DISTRIBUCIÓN EN SUCURSALES'!F141</f>
        <v>0</v>
      </c>
      <c r="G141">
        <f>'EXISTENCIA EN SUCURSALES'!G141+'DISTRIBUCIÓN EN SUCURSALES'!G141</f>
        <v>0</v>
      </c>
      <c r="H141">
        <f>'EXISTENCIA EN SUCURSALES'!H141+'DISTRIBUCIÓN EN SUCURSALES'!H141</f>
        <v>0</v>
      </c>
      <c r="I141">
        <f>'EXISTENCIA EN SUCURSALES'!I141+'DISTRIBUCIÓN EN SUCURSALES'!I141</f>
        <v>0</v>
      </c>
      <c r="J141">
        <f>'EXISTENCIA EN SUCURSALES'!J141+'DISTRIBUCIÓN EN SUCURSALES'!J141</f>
        <v>0</v>
      </c>
      <c r="K141">
        <f>'EXISTENCIA EN SUCURSALES'!K141+'DISTRIBUCIÓN EN SUCURSALES'!K141</f>
        <v>0</v>
      </c>
      <c r="L141">
        <f>SUM(B141:K141)</f>
        <v>0</v>
      </c>
      <c r="M141">
        <f>'EXISTENCIA EN SUCURSALES'!M141+'DISTRIBUCIÓN EN SUCURSALES'!M141</f>
        <v>0</v>
      </c>
      <c r="N141">
        <f>'EXISTENCIA EN SUCURSALES'!N141+'DISTRIBUCIÓN EN SUCURSALES'!N141</f>
        <v>0</v>
      </c>
      <c r="O141">
        <f>'EXISTENCIA EN SUCURSALES'!O141+'DISTRIBUCIÓN EN SUCURSALES'!O141</f>
        <v>0</v>
      </c>
      <c r="P141">
        <f>'EXISTENCIA EN SUCURSALES'!P141+'DISTRIBUCIÓN EN SUCURSALES'!P141</f>
        <v>0</v>
      </c>
      <c r="Q141">
        <f>'EXISTENCIA EN SUCURSALES'!Q141+'DISTRIBUCIÓN EN SUCURSALES'!Q141</f>
        <v>0</v>
      </c>
      <c r="R141">
        <f>'EXISTENCIA EN SUCURSALES'!R141+'DISTRIBUCIÓN EN SUCURSALES'!R141</f>
        <v>0</v>
      </c>
      <c r="S141">
        <f>'EXISTENCIA EN SUCURSALES'!S141+'DISTRIBUCIÓN EN SUCURSALES'!S141</f>
        <v>0</v>
      </c>
      <c r="T141">
        <f>'EXISTENCIA EN SUCURSALES'!T141+'DISTRIBUCIÓN EN SUCURSALES'!T141</f>
        <v>0</v>
      </c>
      <c r="U141">
        <f>'EXISTENCIA EN SUCURSALES'!U141+'DISTRIBUCIÓN EN SUCURSALES'!U141</f>
        <v>0</v>
      </c>
      <c r="V141">
        <f>'EXISTENCIA EN SUCURSALES'!V141+'DISTRIBUCIÓN EN SUCURSALES'!V141</f>
        <v>0</v>
      </c>
      <c r="W141">
        <f>'EXISTENCIA EN SUCURSALES'!W141+'DISTRIBUCIÓN EN SUCURSALES'!W141</f>
        <v>0</v>
      </c>
      <c r="X141">
        <f>'EXISTENCIA EN SUCURSALES'!X141+'DISTRIBUCIÓN EN SUCURSALES'!X141</f>
        <v>0</v>
      </c>
      <c r="Y141">
        <f>SUM(M141:X141)</f>
        <v>0</v>
      </c>
      <c r="Z141">
        <f>L141+Y141</f>
        <v>0</v>
      </c>
      <c r="AB141">
        <f>IFERROR(VLOOKUP(A141,'GRAL. SUC. LOCALES'!$A:$N,14,0),0)</f>
        <v>0</v>
      </c>
      <c r="AD141">
        <f>AB141+Z141</f>
        <v>0</v>
      </c>
      <c r="AG141">
        <v>0</v>
      </c>
    </row>
    <row r="142">
      <c r="B142">
        <f>'EXISTENCIA EN SUCURSALES'!B142+'DISTRIBUCIÓN EN SUCURSALES'!B142</f>
        <v>0</v>
      </c>
      <c r="C142">
        <f>'EXISTENCIA EN SUCURSALES'!C142+'DISTRIBUCIÓN EN SUCURSALES'!C142</f>
        <v>0</v>
      </c>
      <c r="D142">
        <f>'EXISTENCIA EN SUCURSALES'!D142+'DISTRIBUCIÓN EN SUCURSALES'!D142</f>
        <v>0</v>
      </c>
      <c r="E142">
        <f>'EXISTENCIA EN SUCURSALES'!E142+'DISTRIBUCIÓN EN SUCURSALES'!E142</f>
        <v>0</v>
      </c>
      <c r="F142">
        <f>'EXISTENCIA EN SUCURSALES'!F142+'DISTRIBUCIÓN EN SUCURSALES'!F142</f>
        <v>0</v>
      </c>
      <c r="G142">
        <f>'EXISTENCIA EN SUCURSALES'!G142+'DISTRIBUCIÓN EN SUCURSALES'!G142</f>
        <v>0</v>
      </c>
      <c r="H142">
        <f>'EXISTENCIA EN SUCURSALES'!H142+'DISTRIBUCIÓN EN SUCURSALES'!H142</f>
        <v>0</v>
      </c>
      <c r="I142">
        <f>'EXISTENCIA EN SUCURSALES'!I142+'DISTRIBUCIÓN EN SUCURSALES'!I142</f>
        <v>0</v>
      </c>
      <c r="J142">
        <f>'EXISTENCIA EN SUCURSALES'!J142+'DISTRIBUCIÓN EN SUCURSALES'!J142</f>
        <v>0</v>
      </c>
      <c r="K142">
        <f>'EXISTENCIA EN SUCURSALES'!K142+'DISTRIBUCIÓN EN SUCURSALES'!K142</f>
        <v>0</v>
      </c>
      <c r="L142">
        <f>SUM(B142:K142)</f>
        <v>0</v>
      </c>
      <c r="M142">
        <f>'EXISTENCIA EN SUCURSALES'!M142+'DISTRIBUCIÓN EN SUCURSALES'!M142</f>
        <v>0</v>
      </c>
      <c r="N142">
        <f>'EXISTENCIA EN SUCURSALES'!N142+'DISTRIBUCIÓN EN SUCURSALES'!N142</f>
        <v>0</v>
      </c>
      <c r="O142">
        <f>'EXISTENCIA EN SUCURSALES'!O142+'DISTRIBUCIÓN EN SUCURSALES'!O142</f>
        <v>0</v>
      </c>
      <c r="P142">
        <f>'EXISTENCIA EN SUCURSALES'!P142+'DISTRIBUCIÓN EN SUCURSALES'!P142</f>
        <v>0</v>
      </c>
      <c r="Q142">
        <f>'EXISTENCIA EN SUCURSALES'!Q142+'DISTRIBUCIÓN EN SUCURSALES'!Q142</f>
        <v>0</v>
      </c>
      <c r="R142">
        <f>'EXISTENCIA EN SUCURSALES'!R142+'DISTRIBUCIÓN EN SUCURSALES'!R142</f>
        <v>0</v>
      </c>
      <c r="S142">
        <f>'EXISTENCIA EN SUCURSALES'!S142+'DISTRIBUCIÓN EN SUCURSALES'!S142</f>
        <v>0</v>
      </c>
      <c r="T142">
        <f>'EXISTENCIA EN SUCURSALES'!T142+'DISTRIBUCIÓN EN SUCURSALES'!T142</f>
        <v>0</v>
      </c>
      <c r="U142">
        <f>'EXISTENCIA EN SUCURSALES'!U142+'DISTRIBUCIÓN EN SUCURSALES'!U142</f>
        <v>0</v>
      </c>
      <c r="V142">
        <f>'EXISTENCIA EN SUCURSALES'!V142+'DISTRIBUCIÓN EN SUCURSALES'!V142</f>
        <v>0</v>
      </c>
      <c r="W142">
        <f>'EXISTENCIA EN SUCURSALES'!W142+'DISTRIBUCIÓN EN SUCURSALES'!W142</f>
        <v>0</v>
      </c>
      <c r="X142">
        <f>'EXISTENCIA EN SUCURSALES'!X142+'DISTRIBUCIÓN EN SUCURSALES'!X142</f>
        <v>0</v>
      </c>
      <c r="Y142">
        <f>SUM(M142:X142)</f>
        <v>0</v>
      </c>
      <c r="Z142">
        <f>L142+Y142</f>
        <v>0</v>
      </c>
      <c r="AB142">
        <f>IFERROR(VLOOKUP(A142,'GRAL. SUC. LOCALES'!$A:$N,14,0),0)</f>
        <v>0</v>
      </c>
      <c r="AD142">
        <f>AB142+Z142</f>
        <v>0</v>
      </c>
      <c r="AG142">
        <v>0</v>
      </c>
    </row>
    <row r="143">
      <c r="B143">
        <f>'EXISTENCIA EN SUCURSALES'!B143+'DISTRIBUCIÓN EN SUCURSALES'!B143</f>
        <v>0</v>
      </c>
      <c r="C143">
        <f>'EXISTENCIA EN SUCURSALES'!C143+'DISTRIBUCIÓN EN SUCURSALES'!C143</f>
        <v>0</v>
      </c>
      <c r="D143">
        <f>'EXISTENCIA EN SUCURSALES'!D143+'DISTRIBUCIÓN EN SUCURSALES'!D143</f>
        <v>0</v>
      </c>
      <c r="E143">
        <f>'EXISTENCIA EN SUCURSALES'!E143+'DISTRIBUCIÓN EN SUCURSALES'!E143</f>
        <v>0</v>
      </c>
      <c r="F143">
        <f>'EXISTENCIA EN SUCURSALES'!F143+'DISTRIBUCIÓN EN SUCURSALES'!F143</f>
        <v>0</v>
      </c>
      <c r="G143">
        <f>'EXISTENCIA EN SUCURSALES'!G143+'DISTRIBUCIÓN EN SUCURSALES'!G143</f>
        <v>0</v>
      </c>
      <c r="H143">
        <f>'EXISTENCIA EN SUCURSALES'!H143+'DISTRIBUCIÓN EN SUCURSALES'!H143</f>
        <v>0</v>
      </c>
      <c r="I143">
        <f>'EXISTENCIA EN SUCURSALES'!I143+'DISTRIBUCIÓN EN SUCURSALES'!I143</f>
        <v>0</v>
      </c>
      <c r="J143">
        <f>'EXISTENCIA EN SUCURSALES'!J143+'DISTRIBUCIÓN EN SUCURSALES'!J143</f>
        <v>0</v>
      </c>
      <c r="K143">
        <f>'EXISTENCIA EN SUCURSALES'!K143+'DISTRIBUCIÓN EN SUCURSALES'!K143</f>
        <v>0</v>
      </c>
      <c r="L143">
        <f>SUM(B143:K143)</f>
        <v>0</v>
      </c>
      <c r="M143">
        <f>'EXISTENCIA EN SUCURSALES'!M143+'DISTRIBUCIÓN EN SUCURSALES'!M143</f>
        <v>0</v>
      </c>
      <c r="N143">
        <f>'EXISTENCIA EN SUCURSALES'!N143+'DISTRIBUCIÓN EN SUCURSALES'!N143</f>
        <v>0</v>
      </c>
      <c r="O143">
        <f>'EXISTENCIA EN SUCURSALES'!O143+'DISTRIBUCIÓN EN SUCURSALES'!O143</f>
        <v>0</v>
      </c>
      <c r="P143">
        <f>'EXISTENCIA EN SUCURSALES'!P143+'DISTRIBUCIÓN EN SUCURSALES'!P143</f>
        <v>0</v>
      </c>
      <c r="Q143">
        <f>'EXISTENCIA EN SUCURSALES'!Q143+'DISTRIBUCIÓN EN SUCURSALES'!Q143</f>
        <v>0</v>
      </c>
      <c r="R143">
        <f>'EXISTENCIA EN SUCURSALES'!R143+'DISTRIBUCIÓN EN SUCURSALES'!R143</f>
        <v>0</v>
      </c>
      <c r="S143">
        <f>'EXISTENCIA EN SUCURSALES'!S143+'DISTRIBUCIÓN EN SUCURSALES'!S143</f>
        <v>0</v>
      </c>
      <c r="T143">
        <f>'EXISTENCIA EN SUCURSALES'!T143+'DISTRIBUCIÓN EN SUCURSALES'!T143</f>
        <v>0</v>
      </c>
      <c r="U143">
        <f>'EXISTENCIA EN SUCURSALES'!U143+'DISTRIBUCIÓN EN SUCURSALES'!U143</f>
        <v>0</v>
      </c>
      <c r="V143">
        <f>'EXISTENCIA EN SUCURSALES'!V143+'DISTRIBUCIÓN EN SUCURSALES'!V143</f>
        <v>0</v>
      </c>
      <c r="W143">
        <f>'EXISTENCIA EN SUCURSALES'!W143+'DISTRIBUCIÓN EN SUCURSALES'!W143</f>
        <v>0</v>
      </c>
      <c r="X143">
        <f>'EXISTENCIA EN SUCURSALES'!X143+'DISTRIBUCIÓN EN SUCURSALES'!X143</f>
        <v>0</v>
      </c>
      <c r="Y143">
        <f>SUM(M143:X143)</f>
        <v>0</v>
      </c>
      <c r="Z143">
        <f>L143+Y143</f>
        <v>0</v>
      </c>
      <c r="AB143">
        <f>IFERROR(VLOOKUP(A143,'GRAL. SUC. LOCALES'!$A:$N,14,0),0)</f>
        <v>0</v>
      </c>
      <c r="AD143">
        <f>AB143+Z143</f>
        <v>0</v>
      </c>
      <c r="AG143">
        <v>0</v>
      </c>
    </row>
    <row r="144">
      <c r="B144">
        <f>'EXISTENCIA EN SUCURSALES'!B144+'DISTRIBUCIÓN EN SUCURSALES'!B144</f>
        <v>0</v>
      </c>
      <c r="C144">
        <f>'EXISTENCIA EN SUCURSALES'!C144+'DISTRIBUCIÓN EN SUCURSALES'!C144</f>
        <v>0</v>
      </c>
      <c r="D144">
        <f>'EXISTENCIA EN SUCURSALES'!D144+'DISTRIBUCIÓN EN SUCURSALES'!D144</f>
        <v>0</v>
      </c>
      <c r="E144">
        <f>'EXISTENCIA EN SUCURSALES'!E144+'DISTRIBUCIÓN EN SUCURSALES'!E144</f>
        <v>0</v>
      </c>
      <c r="F144">
        <f>'EXISTENCIA EN SUCURSALES'!F144+'DISTRIBUCIÓN EN SUCURSALES'!F144</f>
        <v>0</v>
      </c>
      <c r="G144">
        <f>'EXISTENCIA EN SUCURSALES'!G144+'DISTRIBUCIÓN EN SUCURSALES'!G144</f>
        <v>0</v>
      </c>
      <c r="H144">
        <f>'EXISTENCIA EN SUCURSALES'!H144+'DISTRIBUCIÓN EN SUCURSALES'!H144</f>
        <v>0</v>
      </c>
      <c r="I144">
        <f>'EXISTENCIA EN SUCURSALES'!I144+'DISTRIBUCIÓN EN SUCURSALES'!I144</f>
        <v>0</v>
      </c>
      <c r="J144">
        <f>'EXISTENCIA EN SUCURSALES'!J144+'DISTRIBUCIÓN EN SUCURSALES'!J144</f>
        <v>0</v>
      </c>
      <c r="K144">
        <f>'EXISTENCIA EN SUCURSALES'!K144+'DISTRIBUCIÓN EN SUCURSALES'!K144</f>
        <v>0</v>
      </c>
      <c r="L144">
        <f>SUM(B144:K144)</f>
        <v>0</v>
      </c>
      <c r="M144">
        <f>'EXISTENCIA EN SUCURSALES'!M144+'DISTRIBUCIÓN EN SUCURSALES'!M144</f>
        <v>0</v>
      </c>
      <c r="N144">
        <f>'EXISTENCIA EN SUCURSALES'!N144+'DISTRIBUCIÓN EN SUCURSALES'!N144</f>
        <v>0</v>
      </c>
      <c r="O144">
        <f>'EXISTENCIA EN SUCURSALES'!O144+'DISTRIBUCIÓN EN SUCURSALES'!O144</f>
        <v>0</v>
      </c>
      <c r="P144">
        <f>'EXISTENCIA EN SUCURSALES'!P144+'DISTRIBUCIÓN EN SUCURSALES'!P144</f>
        <v>0</v>
      </c>
      <c r="Q144">
        <f>'EXISTENCIA EN SUCURSALES'!Q144+'DISTRIBUCIÓN EN SUCURSALES'!Q144</f>
        <v>0</v>
      </c>
      <c r="R144">
        <f>'EXISTENCIA EN SUCURSALES'!R144+'DISTRIBUCIÓN EN SUCURSALES'!R144</f>
        <v>0</v>
      </c>
      <c r="S144">
        <f>'EXISTENCIA EN SUCURSALES'!S144+'DISTRIBUCIÓN EN SUCURSALES'!S144</f>
        <v>0</v>
      </c>
      <c r="T144">
        <f>'EXISTENCIA EN SUCURSALES'!T144+'DISTRIBUCIÓN EN SUCURSALES'!T144</f>
        <v>0</v>
      </c>
      <c r="U144">
        <f>'EXISTENCIA EN SUCURSALES'!U144+'DISTRIBUCIÓN EN SUCURSALES'!U144</f>
        <v>0</v>
      </c>
      <c r="V144">
        <f>'EXISTENCIA EN SUCURSALES'!V144+'DISTRIBUCIÓN EN SUCURSALES'!V144</f>
        <v>0</v>
      </c>
      <c r="W144">
        <f>'EXISTENCIA EN SUCURSALES'!W144+'DISTRIBUCIÓN EN SUCURSALES'!W144</f>
        <v>0</v>
      </c>
      <c r="X144">
        <f>'EXISTENCIA EN SUCURSALES'!X144+'DISTRIBUCIÓN EN SUCURSALES'!X144</f>
        <v>0</v>
      </c>
      <c r="Y144">
        <f>SUM(M144:X144)</f>
        <v>0</v>
      </c>
      <c r="Z144">
        <f>L144+Y144</f>
        <v>0</v>
      </c>
      <c r="AB144">
        <f>IFERROR(VLOOKUP(A144,'GRAL. SUC. LOCALES'!$A:$N,14,0),0)</f>
        <v>0</v>
      </c>
      <c r="AD144">
        <f>AB144+Z144</f>
        <v>0</v>
      </c>
      <c r="AG144">
        <v>0</v>
      </c>
    </row>
    <row r="145">
      <c r="B145">
        <f>'EXISTENCIA EN SUCURSALES'!B145+'DISTRIBUCIÓN EN SUCURSALES'!B145</f>
        <v>0</v>
      </c>
      <c r="C145">
        <f>'EXISTENCIA EN SUCURSALES'!C145+'DISTRIBUCIÓN EN SUCURSALES'!C145</f>
        <v>0</v>
      </c>
      <c r="D145">
        <f>'EXISTENCIA EN SUCURSALES'!D145+'DISTRIBUCIÓN EN SUCURSALES'!D145</f>
        <v>0</v>
      </c>
      <c r="E145">
        <f>'EXISTENCIA EN SUCURSALES'!E145+'DISTRIBUCIÓN EN SUCURSALES'!E145</f>
        <v>0</v>
      </c>
      <c r="F145">
        <f>'EXISTENCIA EN SUCURSALES'!F145+'DISTRIBUCIÓN EN SUCURSALES'!F145</f>
        <v>0</v>
      </c>
      <c r="G145">
        <f>'EXISTENCIA EN SUCURSALES'!G145+'DISTRIBUCIÓN EN SUCURSALES'!G145</f>
        <v>0</v>
      </c>
      <c r="H145">
        <f>'EXISTENCIA EN SUCURSALES'!H145+'DISTRIBUCIÓN EN SUCURSALES'!H145</f>
        <v>0</v>
      </c>
      <c r="I145">
        <f>'EXISTENCIA EN SUCURSALES'!I145+'DISTRIBUCIÓN EN SUCURSALES'!I145</f>
        <v>0</v>
      </c>
      <c r="J145">
        <f>'EXISTENCIA EN SUCURSALES'!J145+'DISTRIBUCIÓN EN SUCURSALES'!J145</f>
        <v>0</v>
      </c>
      <c r="K145">
        <f>'EXISTENCIA EN SUCURSALES'!K145+'DISTRIBUCIÓN EN SUCURSALES'!K145</f>
        <v>0</v>
      </c>
      <c r="L145">
        <f>SUM(B145:K145)</f>
        <v>0</v>
      </c>
      <c r="M145">
        <f>'EXISTENCIA EN SUCURSALES'!M145+'DISTRIBUCIÓN EN SUCURSALES'!M145</f>
        <v>0</v>
      </c>
      <c r="N145">
        <f>'EXISTENCIA EN SUCURSALES'!N145+'DISTRIBUCIÓN EN SUCURSALES'!N145</f>
        <v>0</v>
      </c>
      <c r="O145">
        <f>'EXISTENCIA EN SUCURSALES'!O145+'DISTRIBUCIÓN EN SUCURSALES'!O145</f>
        <v>0</v>
      </c>
      <c r="P145">
        <f>'EXISTENCIA EN SUCURSALES'!P145+'DISTRIBUCIÓN EN SUCURSALES'!P145</f>
        <v>0</v>
      </c>
      <c r="Q145">
        <f>'EXISTENCIA EN SUCURSALES'!Q145+'DISTRIBUCIÓN EN SUCURSALES'!Q145</f>
        <v>0</v>
      </c>
      <c r="R145">
        <f>'EXISTENCIA EN SUCURSALES'!R145+'DISTRIBUCIÓN EN SUCURSALES'!R145</f>
        <v>0</v>
      </c>
      <c r="S145">
        <f>'EXISTENCIA EN SUCURSALES'!S145+'DISTRIBUCIÓN EN SUCURSALES'!S145</f>
        <v>0</v>
      </c>
      <c r="T145">
        <f>'EXISTENCIA EN SUCURSALES'!T145+'DISTRIBUCIÓN EN SUCURSALES'!T145</f>
        <v>0</v>
      </c>
      <c r="U145">
        <f>'EXISTENCIA EN SUCURSALES'!U145+'DISTRIBUCIÓN EN SUCURSALES'!U145</f>
        <v>0</v>
      </c>
      <c r="V145">
        <f>'EXISTENCIA EN SUCURSALES'!V145+'DISTRIBUCIÓN EN SUCURSALES'!V145</f>
        <v>0</v>
      </c>
      <c r="W145">
        <f>'EXISTENCIA EN SUCURSALES'!W145+'DISTRIBUCIÓN EN SUCURSALES'!W145</f>
        <v>0</v>
      </c>
      <c r="X145">
        <f>'EXISTENCIA EN SUCURSALES'!X145+'DISTRIBUCIÓN EN SUCURSALES'!X145</f>
        <v>0</v>
      </c>
      <c r="Y145">
        <f>SUM(M145:X145)</f>
        <v>0</v>
      </c>
      <c r="Z145">
        <f>L145+Y145</f>
        <v>0</v>
      </c>
      <c r="AB145">
        <f>IFERROR(VLOOKUP(A145,'GRAL. SUC. LOCALES'!$A:$N,14,0),0)</f>
        <v>0</v>
      </c>
      <c r="AD145">
        <f>AB145+Z145</f>
        <v>0</v>
      </c>
      <c r="AG145">
        <v>0</v>
      </c>
    </row>
    <row r="146">
      <c r="B146">
        <f>'EXISTENCIA EN SUCURSALES'!B146+'DISTRIBUCIÓN EN SUCURSALES'!B146</f>
        <v>0</v>
      </c>
      <c r="C146">
        <f>'EXISTENCIA EN SUCURSALES'!C146+'DISTRIBUCIÓN EN SUCURSALES'!C146</f>
        <v>0</v>
      </c>
      <c r="D146">
        <f>'EXISTENCIA EN SUCURSALES'!D146+'DISTRIBUCIÓN EN SUCURSALES'!D146</f>
        <v>0</v>
      </c>
      <c r="E146">
        <f>'EXISTENCIA EN SUCURSALES'!E146+'DISTRIBUCIÓN EN SUCURSALES'!E146</f>
        <v>0</v>
      </c>
      <c r="F146">
        <f>'EXISTENCIA EN SUCURSALES'!F146+'DISTRIBUCIÓN EN SUCURSALES'!F146</f>
        <v>0</v>
      </c>
      <c r="G146">
        <f>'EXISTENCIA EN SUCURSALES'!G146+'DISTRIBUCIÓN EN SUCURSALES'!G146</f>
        <v>0</v>
      </c>
      <c r="H146">
        <f>'EXISTENCIA EN SUCURSALES'!H146+'DISTRIBUCIÓN EN SUCURSALES'!H146</f>
        <v>0</v>
      </c>
      <c r="I146">
        <f>'EXISTENCIA EN SUCURSALES'!I146+'DISTRIBUCIÓN EN SUCURSALES'!I146</f>
        <v>0</v>
      </c>
      <c r="J146">
        <f>'EXISTENCIA EN SUCURSALES'!J146+'DISTRIBUCIÓN EN SUCURSALES'!J146</f>
        <v>0</v>
      </c>
      <c r="K146">
        <f>'EXISTENCIA EN SUCURSALES'!K146+'DISTRIBUCIÓN EN SUCURSALES'!K146</f>
        <v>0</v>
      </c>
      <c r="L146">
        <f>SUM(B146:K146)</f>
        <v>0</v>
      </c>
      <c r="M146">
        <f>'EXISTENCIA EN SUCURSALES'!M146+'DISTRIBUCIÓN EN SUCURSALES'!M146</f>
        <v>0</v>
      </c>
      <c r="N146">
        <f>'EXISTENCIA EN SUCURSALES'!N146+'DISTRIBUCIÓN EN SUCURSALES'!N146</f>
        <v>0</v>
      </c>
      <c r="O146">
        <f>'EXISTENCIA EN SUCURSALES'!O146+'DISTRIBUCIÓN EN SUCURSALES'!O146</f>
        <v>0</v>
      </c>
      <c r="P146">
        <f>'EXISTENCIA EN SUCURSALES'!P146+'DISTRIBUCIÓN EN SUCURSALES'!P146</f>
        <v>0</v>
      </c>
      <c r="Q146">
        <f>'EXISTENCIA EN SUCURSALES'!Q146+'DISTRIBUCIÓN EN SUCURSALES'!Q146</f>
        <v>0</v>
      </c>
      <c r="R146">
        <f>'EXISTENCIA EN SUCURSALES'!R146+'DISTRIBUCIÓN EN SUCURSALES'!R146</f>
        <v>0</v>
      </c>
      <c r="S146">
        <f>'EXISTENCIA EN SUCURSALES'!S146+'DISTRIBUCIÓN EN SUCURSALES'!S146</f>
        <v>0</v>
      </c>
      <c r="T146">
        <f>'EXISTENCIA EN SUCURSALES'!T146+'DISTRIBUCIÓN EN SUCURSALES'!T146</f>
        <v>0</v>
      </c>
      <c r="U146">
        <f>'EXISTENCIA EN SUCURSALES'!U146+'DISTRIBUCIÓN EN SUCURSALES'!U146</f>
        <v>0</v>
      </c>
      <c r="V146">
        <f>'EXISTENCIA EN SUCURSALES'!V146+'DISTRIBUCIÓN EN SUCURSALES'!V146</f>
        <v>0</v>
      </c>
      <c r="W146">
        <f>'EXISTENCIA EN SUCURSALES'!W146+'DISTRIBUCIÓN EN SUCURSALES'!W146</f>
        <v>0</v>
      </c>
      <c r="X146">
        <f>'EXISTENCIA EN SUCURSALES'!X146+'DISTRIBUCIÓN EN SUCURSALES'!X146</f>
        <v>0</v>
      </c>
      <c r="Y146">
        <f>SUM(M146:X146)</f>
        <v>0</v>
      </c>
      <c r="Z146">
        <f>L146+Y146</f>
        <v>0</v>
      </c>
      <c r="AB146">
        <f>IFERROR(VLOOKUP(A146,'GRAL. SUC. LOCALES'!$A:$N,14,0),0)</f>
        <v>0</v>
      </c>
      <c r="AD146">
        <f>AB146+Z146</f>
        <v>0</v>
      </c>
      <c r="AG146">
        <v>0</v>
      </c>
    </row>
    <row r="147">
      <c r="B147">
        <f>'EXISTENCIA EN SUCURSALES'!B147+'DISTRIBUCIÓN EN SUCURSALES'!B147</f>
        <v>0</v>
      </c>
      <c r="C147">
        <f>'EXISTENCIA EN SUCURSALES'!C147+'DISTRIBUCIÓN EN SUCURSALES'!C147</f>
        <v>0</v>
      </c>
      <c r="D147">
        <f>'EXISTENCIA EN SUCURSALES'!D147+'DISTRIBUCIÓN EN SUCURSALES'!D147</f>
        <v>0</v>
      </c>
      <c r="E147">
        <f>'EXISTENCIA EN SUCURSALES'!E147+'DISTRIBUCIÓN EN SUCURSALES'!E147</f>
        <v>0</v>
      </c>
      <c r="F147">
        <f>'EXISTENCIA EN SUCURSALES'!F147+'DISTRIBUCIÓN EN SUCURSALES'!F147</f>
        <v>0</v>
      </c>
      <c r="G147">
        <f>'EXISTENCIA EN SUCURSALES'!G147+'DISTRIBUCIÓN EN SUCURSALES'!G147</f>
        <v>0</v>
      </c>
      <c r="H147">
        <f>'EXISTENCIA EN SUCURSALES'!H147+'DISTRIBUCIÓN EN SUCURSALES'!H147</f>
        <v>0</v>
      </c>
      <c r="I147">
        <f>'EXISTENCIA EN SUCURSALES'!I147+'DISTRIBUCIÓN EN SUCURSALES'!I147</f>
        <v>0</v>
      </c>
      <c r="J147">
        <f>'EXISTENCIA EN SUCURSALES'!J147+'DISTRIBUCIÓN EN SUCURSALES'!J147</f>
        <v>0</v>
      </c>
      <c r="K147">
        <f>'EXISTENCIA EN SUCURSALES'!K147+'DISTRIBUCIÓN EN SUCURSALES'!K147</f>
        <v>0</v>
      </c>
      <c r="L147">
        <f>SUM(B147:K147)</f>
        <v>0</v>
      </c>
      <c r="M147">
        <f>'EXISTENCIA EN SUCURSALES'!M147+'DISTRIBUCIÓN EN SUCURSALES'!M147</f>
        <v>0</v>
      </c>
      <c r="N147">
        <f>'EXISTENCIA EN SUCURSALES'!N147+'DISTRIBUCIÓN EN SUCURSALES'!N147</f>
        <v>0</v>
      </c>
      <c r="O147">
        <f>'EXISTENCIA EN SUCURSALES'!O147+'DISTRIBUCIÓN EN SUCURSALES'!O147</f>
        <v>0</v>
      </c>
      <c r="P147">
        <f>'EXISTENCIA EN SUCURSALES'!P147+'DISTRIBUCIÓN EN SUCURSALES'!P147</f>
        <v>0</v>
      </c>
      <c r="Q147">
        <f>'EXISTENCIA EN SUCURSALES'!Q147+'DISTRIBUCIÓN EN SUCURSALES'!Q147</f>
        <v>0</v>
      </c>
      <c r="R147">
        <f>'EXISTENCIA EN SUCURSALES'!R147+'DISTRIBUCIÓN EN SUCURSALES'!R147</f>
        <v>0</v>
      </c>
      <c r="S147">
        <f>'EXISTENCIA EN SUCURSALES'!S147+'DISTRIBUCIÓN EN SUCURSALES'!S147</f>
        <v>0</v>
      </c>
      <c r="T147">
        <f>'EXISTENCIA EN SUCURSALES'!T147+'DISTRIBUCIÓN EN SUCURSALES'!T147</f>
        <v>0</v>
      </c>
      <c r="U147">
        <f>'EXISTENCIA EN SUCURSALES'!U147+'DISTRIBUCIÓN EN SUCURSALES'!U147</f>
        <v>0</v>
      </c>
      <c r="V147">
        <f>'EXISTENCIA EN SUCURSALES'!V147+'DISTRIBUCIÓN EN SUCURSALES'!V147</f>
        <v>0</v>
      </c>
      <c r="W147">
        <f>'EXISTENCIA EN SUCURSALES'!W147+'DISTRIBUCIÓN EN SUCURSALES'!W147</f>
        <v>0</v>
      </c>
      <c r="X147">
        <f>'EXISTENCIA EN SUCURSALES'!X147+'DISTRIBUCIÓN EN SUCURSALES'!X147</f>
        <v>0</v>
      </c>
      <c r="Y147">
        <f>SUM(M147:X147)</f>
        <v>0</v>
      </c>
      <c r="Z147">
        <f>L147+Y147</f>
        <v>0</v>
      </c>
      <c r="AB147">
        <f>IFERROR(VLOOKUP(A147,'GRAL. SUC. LOCALES'!$A:$N,14,0),0)</f>
        <v>0</v>
      </c>
      <c r="AD147">
        <f>AB147+Z147</f>
        <v>0</v>
      </c>
      <c r="AG147">
        <v>0</v>
      </c>
    </row>
    <row r="148">
      <c r="B148">
        <f>'EXISTENCIA EN SUCURSALES'!B148+'DISTRIBUCIÓN EN SUCURSALES'!B148</f>
        <v>0</v>
      </c>
      <c r="C148">
        <f>'EXISTENCIA EN SUCURSALES'!C148+'DISTRIBUCIÓN EN SUCURSALES'!C148</f>
        <v>0</v>
      </c>
      <c r="D148">
        <f>'EXISTENCIA EN SUCURSALES'!D148+'DISTRIBUCIÓN EN SUCURSALES'!D148</f>
        <v>0</v>
      </c>
      <c r="E148">
        <f>'EXISTENCIA EN SUCURSALES'!E148+'DISTRIBUCIÓN EN SUCURSALES'!E148</f>
        <v>0</v>
      </c>
      <c r="F148">
        <f>'EXISTENCIA EN SUCURSALES'!F148+'DISTRIBUCIÓN EN SUCURSALES'!F148</f>
        <v>0</v>
      </c>
      <c r="G148">
        <f>'EXISTENCIA EN SUCURSALES'!G148+'DISTRIBUCIÓN EN SUCURSALES'!G148</f>
        <v>0</v>
      </c>
      <c r="H148">
        <f>'EXISTENCIA EN SUCURSALES'!H148+'DISTRIBUCIÓN EN SUCURSALES'!H148</f>
        <v>0</v>
      </c>
      <c r="I148">
        <f>'EXISTENCIA EN SUCURSALES'!I148+'DISTRIBUCIÓN EN SUCURSALES'!I148</f>
        <v>0</v>
      </c>
      <c r="J148">
        <f>'EXISTENCIA EN SUCURSALES'!J148+'DISTRIBUCIÓN EN SUCURSALES'!J148</f>
        <v>0</v>
      </c>
      <c r="K148">
        <f>'EXISTENCIA EN SUCURSALES'!K148+'DISTRIBUCIÓN EN SUCURSALES'!K148</f>
        <v>0</v>
      </c>
      <c r="L148">
        <f>SUM(B148:K148)</f>
        <v>0</v>
      </c>
      <c r="M148">
        <f>'EXISTENCIA EN SUCURSALES'!M148+'DISTRIBUCIÓN EN SUCURSALES'!M148</f>
        <v>0</v>
      </c>
      <c r="N148">
        <f>'EXISTENCIA EN SUCURSALES'!N148+'DISTRIBUCIÓN EN SUCURSALES'!N148</f>
        <v>0</v>
      </c>
      <c r="O148">
        <f>'EXISTENCIA EN SUCURSALES'!O148+'DISTRIBUCIÓN EN SUCURSALES'!O148</f>
        <v>0</v>
      </c>
      <c r="P148">
        <f>'EXISTENCIA EN SUCURSALES'!P148+'DISTRIBUCIÓN EN SUCURSALES'!P148</f>
        <v>0</v>
      </c>
      <c r="Q148">
        <f>'EXISTENCIA EN SUCURSALES'!Q148+'DISTRIBUCIÓN EN SUCURSALES'!Q148</f>
        <v>0</v>
      </c>
      <c r="R148">
        <f>'EXISTENCIA EN SUCURSALES'!R148+'DISTRIBUCIÓN EN SUCURSALES'!R148</f>
        <v>0</v>
      </c>
      <c r="S148">
        <f>'EXISTENCIA EN SUCURSALES'!S148+'DISTRIBUCIÓN EN SUCURSALES'!S148</f>
        <v>0</v>
      </c>
      <c r="T148">
        <f>'EXISTENCIA EN SUCURSALES'!T148+'DISTRIBUCIÓN EN SUCURSALES'!T148</f>
        <v>0</v>
      </c>
      <c r="U148">
        <f>'EXISTENCIA EN SUCURSALES'!U148+'DISTRIBUCIÓN EN SUCURSALES'!U148</f>
        <v>0</v>
      </c>
      <c r="V148">
        <f>'EXISTENCIA EN SUCURSALES'!V148+'DISTRIBUCIÓN EN SUCURSALES'!V148</f>
        <v>0</v>
      </c>
      <c r="W148">
        <f>'EXISTENCIA EN SUCURSALES'!W148+'DISTRIBUCIÓN EN SUCURSALES'!W148</f>
        <v>0</v>
      </c>
      <c r="X148">
        <f>'EXISTENCIA EN SUCURSALES'!X148+'DISTRIBUCIÓN EN SUCURSALES'!X148</f>
        <v>0</v>
      </c>
      <c r="Y148">
        <f>SUM(M148:X148)</f>
        <v>0</v>
      </c>
      <c r="Z148">
        <f>L148+Y148</f>
        <v>0</v>
      </c>
      <c r="AB148">
        <f>IFERROR(VLOOKUP(A148,'GRAL. SUC. LOCALES'!$A:$N,14,0),0)</f>
        <v>0</v>
      </c>
      <c r="AD148">
        <f>AB148+Z148</f>
        <v>0</v>
      </c>
      <c r="AG148">
        <v>0</v>
      </c>
    </row>
    <row r="149">
      <c r="B149">
        <f>SUM(B118:B127)</f>
        <v>45</v>
      </c>
      <c r="C149">
        <f>SUM(C118:C127)</f>
        <v>50</v>
      </c>
      <c r="D149">
        <f>SUM(D118:D127)</f>
        <v>31</v>
      </c>
      <c r="E149">
        <f>SUM(E118:E127)</f>
        <v>15</v>
      </c>
      <c r="F149">
        <f>SUM(F118:F127)</f>
        <v>21</v>
      </c>
      <c r="G149">
        <f>SUM(G118:G148,)</f>
        <v>0</v>
      </c>
      <c r="H149">
        <f>SUM(H118:H127)</f>
        <v>38</v>
      </c>
      <c r="I149">
        <f>SUM(I118:I127)</f>
        <v>51</v>
      </c>
      <c r="J149">
        <f>SUM(J118:J127)</f>
        <v>40</v>
      </c>
      <c r="K149">
        <f>SUM(K118:K127)</f>
        <v>24</v>
      </c>
      <c r="L149">
        <f>SUM(L118:L127)</f>
        <v>315</v>
      </c>
      <c r="M149">
        <f>SUM(M118:M127)</f>
        <v>53</v>
      </c>
      <c r="N149">
        <f>SUM(N118:N127)</f>
        <v>31</v>
      </c>
      <c r="O149">
        <f>SUM(O118:O127)</f>
        <v>15</v>
      </c>
      <c r="P149">
        <f>SUM(P118:P127)</f>
        <v>7</v>
      </c>
      <c r="Q149">
        <f>SUM(Q118:Q127)</f>
        <v>32</v>
      </c>
      <c r="R149">
        <f>SUM(R118:R127)</f>
        <v>41</v>
      </c>
      <c r="S149">
        <f>SUM(S118:S127)</f>
        <v>18</v>
      </c>
      <c r="T149">
        <f>SUM(T118:T127)</f>
        <v>5</v>
      </c>
      <c r="U149">
        <f>SUM(U118:U127)</f>
        <v>21</v>
      </c>
      <c r="V149">
        <f>SUM(V118:V127)</f>
        <v>19</v>
      </c>
      <c r="W149">
        <f>SUM(W118:W127)</f>
        <v>17</v>
      </c>
      <c r="X149">
        <f>SUM(X118:X127)</f>
        <v>1</v>
      </c>
      <c r="Y149">
        <f>SUM(Y118:Y127)</f>
        <v>260</v>
      </c>
      <c r="Z149">
        <f>SUM(Z118:Z127)</f>
        <v>575</v>
      </c>
      <c r="AB149">
        <f>SUM(AB118:AB127)</f>
        <v>47</v>
      </c>
      <c r="AD149">
        <f>AB149+Z149</f>
        <v>622</v>
      </c>
      <c r="AF149">
        <f>SUM(AF118:AF148)</f>
        <v>695</v>
      </c>
      <c r="AG149">
        <f>SUM(AG118:AG148)</f>
        <v>670</v>
      </c>
    </row>
    <row r="150">
      <c r="A150" t="str">
        <v>SUMAS</v>
      </c>
      <c r="B150">
        <f>B117+B149</f>
        <v>346</v>
      </c>
      <c r="C150">
        <f>C117+C149</f>
        <v>381</v>
      </c>
      <c r="D150">
        <f>D117+D149</f>
        <v>222</v>
      </c>
      <c r="E150">
        <f>E117+E149</f>
        <v>148</v>
      </c>
      <c r="F150">
        <f>F117+F149</f>
        <v>181</v>
      </c>
      <c r="G150">
        <f>G117+G149</f>
        <v>0</v>
      </c>
      <c r="H150">
        <f>H117+H149</f>
        <v>208</v>
      </c>
      <c r="I150">
        <f>I117+I149</f>
        <v>213</v>
      </c>
      <c r="J150">
        <f>J117+J149</f>
        <v>273</v>
      </c>
      <c r="K150">
        <f>K117+K149</f>
        <v>173</v>
      </c>
      <c r="L150">
        <f>L117+L149</f>
        <v>2145</v>
      </c>
      <c r="M150">
        <f>M117+M149</f>
        <v>265</v>
      </c>
      <c r="N150">
        <f>N117+N149</f>
        <v>182</v>
      </c>
      <c r="O150">
        <f>O117+O149</f>
        <v>132</v>
      </c>
      <c r="P150">
        <f>P117+P149</f>
        <v>166</v>
      </c>
      <c r="Q150">
        <f>Q117+Q149</f>
        <v>269</v>
      </c>
      <c r="R150">
        <f>R117+R149</f>
        <v>275</v>
      </c>
      <c r="S150">
        <f>S117+S149</f>
        <v>176</v>
      </c>
      <c r="T150">
        <f>T117+T149</f>
        <v>177</v>
      </c>
      <c r="U150">
        <f>U117+U149</f>
        <v>92</v>
      </c>
      <c r="V150">
        <f>V117+V149</f>
        <v>201</v>
      </c>
      <c r="W150">
        <f>W117+W149</f>
        <v>185</v>
      </c>
      <c r="X150">
        <f>X117+X149</f>
        <v>98</v>
      </c>
      <c r="Y150">
        <f>Y117+Y149</f>
        <v>2218</v>
      </c>
      <c r="Z150">
        <f>Z117+Z149</f>
        <v>4363</v>
      </c>
      <c r="AB150">
        <f>AB117+AB149</f>
        <v>866</v>
      </c>
      <c r="AD150">
        <f>AB150+Z150</f>
        <v>5229</v>
      </c>
      <c r="AF150">
        <f>AF117+AF149</f>
        <v>6160</v>
      </c>
      <c r="AG150">
        <f>AG117+AG149</f>
        <v>5645</v>
      </c>
    </row>
  </sheetData>
  <mergeCells count="2">
    <mergeCell ref="B1:K1"/>
    <mergeCell ref="M1:W1"/>
  </mergeCells>
  <pageMargins left="0.7" right="0.7" top="0.75" bottom="0.75" header="0.3" footer="0.3"/>
  <ignoredErrors>
    <ignoredError numberStoredAsText="1" sqref="A1:AH15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40"/>
  <sheetViews>
    <sheetView workbookViewId="0"/>
  </sheetViews>
  <sheetData>
    <row r="1">
      <c r="A1" s="1">
        <f>+RAIZ!B1</f>
        <v>46301</v>
      </c>
    </row>
    <row r="2">
      <c r="A2" t="str">
        <v xml:space="preserve">PRODUCTO </v>
      </c>
      <c r="B2" t="str">
        <v>TOTAL EXISTENCIA EN SUCURSALES</v>
      </c>
      <c r="C2" t="str">
        <v>RESTANTE CUARTO FRIO</v>
      </c>
      <c r="D2" t="str">
        <v>TOTAL</v>
      </c>
    </row>
    <row r="3">
      <c r="A3" t="str">
        <v>PIÑA GDE</v>
      </c>
      <c r="B3">
        <f>'EXISTENCIA EN SUCURSALES'!Z3</f>
        <v>24</v>
      </c>
      <c r="C3">
        <f>'GRAL. SUC. LOCALES'!N3</f>
        <v>5</v>
      </c>
      <c r="D3">
        <f>SUM(B3:C3)</f>
        <v>29</v>
      </c>
    </row>
    <row r="4">
      <c r="A4" t="str">
        <v>DURAZNO GDE</v>
      </c>
      <c r="B4">
        <f>'EXISTENCIA EN SUCURSALES'!Z4</f>
        <v>29</v>
      </c>
      <c r="C4">
        <f>'GRAL. SUC. LOCALES'!N4</f>
        <v>9</v>
      </c>
      <c r="D4">
        <f>SUM(B4:C4)</f>
        <v>38</v>
      </c>
    </row>
    <row r="5">
      <c r="A5" t="str">
        <v>3 LECHES GDE</v>
      </c>
      <c r="B5">
        <f>'EXISTENCIA EN SUCURSALES'!Z5</f>
        <v>29</v>
      </c>
      <c r="C5">
        <f>'GRAL. SUC. LOCALES'!N5</f>
        <v>2</v>
      </c>
      <c r="D5">
        <f>SUM(B5:C5)</f>
        <v>31</v>
      </c>
    </row>
    <row r="6">
      <c r="A6" t="str">
        <v>FRUTAS GDE</v>
      </c>
      <c r="B6">
        <f>'EXISTENCIA EN SUCURSALES'!Z6</f>
        <v>41</v>
      </c>
      <c r="C6">
        <f>'GRAL. SUC. LOCALES'!N6</f>
        <v>20</v>
      </c>
      <c r="D6">
        <f>SUM(B6:C6)</f>
        <v>61</v>
      </c>
    </row>
    <row r="7">
      <c r="A7" t="str">
        <v>DUO DURAZNO GDE</v>
      </c>
      <c r="B7">
        <f>'EXISTENCIA EN SUCURSALES'!Z7</f>
        <v>28</v>
      </c>
      <c r="C7">
        <f>'GRAL. SUC. LOCALES'!N7</f>
        <v>13</v>
      </c>
      <c r="D7">
        <f>SUM(B7:C7)</f>
        <v>41</v>
      </c>
    </row>
    <row r="8">
      <c r="A8" t="str">
        <v>MOKA GDE</v>
      </c>
      <c r="B8">
        <f>'EXISTENCIA EN SUCURSALES'!Z8</f>
        <v>42</v>
      </c>
      <c r="C8">
        <f>'GRAL. SUC. LOCALES'!N8</f>
        <v>10</v>
      </c>
      <c r="D8">
        <f>SUM(B8:C8)</f>
        <v>52</v>
      </c>
    </row>
    <row r="9">
      <c r="A9" t="str">
        <v>NUTELA GDE</v>
      </c>
      <c r="B9">
        <f>'EXISTENCIA EN SUCURSALES'!Z9</f>
        <v>27</v>
      </c>
      <c r="C9">
        <f>'GRAL. SUC. LOCALES'!N9</f>
        <v>4</v>
      </c>
      <c r="D9">
        <f>SUM(B9:C9)</f>
        <v>31</v>
      </c>
    </row>
    <row r="10">
      <c r="A10" t="str">
        <v>CHOCOLATE GDE</v>
      </c>
      <c r="B10">
        <f>'EXISTENCIA EN SUCURSALES'!Z10</f>
        <v>42</v>
      </c>
      <c r="C10">
        <f>'GRAL. SUC. LOCALES'!N10</f>
        <v>12</v>
      </c>
      <c r="D10">
        <f>SUM(B10:C10)</f>
        <v>54</v>
      </c>
    </row>
    <row r="11">
      <c r="A11" t="str">
        <v>M &amp; M GDE</v>
      </c>
      <c r="B11">
        <f>'EXISTENCIA EN SUCURSALES'!Z17</f>
        <v>0</v>
      </c>
      <c r="C11">
        <f>'GRAL. SUC. LOCALES'!N17</f>
        <v>0</v>
      </c>
      <c r="D11">
        <f>SUM(B11:C11)</f>
        <v>0</v>
      </c>
    </row>
    <row r="12">
      <c r="A12" t="str">
        <v xml:space="preserve">3 LECHES GRANDES </v>
      </c>
      <c r="B12">
        <f>SUM(B3:B11)</f>
        <v>262</v>
      </c>
      <c r="C12">
        <f>SUM(C3:C11)</f>
        <v>75</v>
      </c>
      <c r="D12">
        <f>SUM(D3:D11)</f>
        <v>337</v>
      </c>
    </row>
    <row r="13">
      <c r="A13" t="str">
        <v>TRES LECHES MEDIANO</v>
      </c>
      <c r="B13">
        <f>'EXISTENCIA EN SUCURSALES'!Z19</f>
        <v>35</v>
      </c>
      <c r="C13">
        <f>'GRAL. SUC. LOCALES'!N19</f>
        <v>7</v>
      </c>
      <c r="D13">
        <f>SUM(B13:C13)</f>
        <v>42</v>
      </c>
    </row>
    <row r="14">
      <c r="A14" t="str">
        <v>FRUTAS MED</v>
      </c>
      <c r="B14">
        <f>'EXISTENCIA EN SUCURSALES'!Z20</f>
        <v>42</v>
      </c>
      <c r="C14">
        <f>'GRAL. SUC. LOCALES'!N20</f>
        <v>16</v>
      </c>
      <c r="D14">
        <f>SUM(B14:C14)</f>
        <v>58</v>
      </c>
    </row>
    <row r="15">
      <c r="A15" t="str">
        <v>DUO DURAZNO MEDIANO</v>
      </c>
      <c r="B15">
        <f>'EXISTENCIA EN SUCURSALES'!Z21</f>
        <v>37</v>
      </c>
      <c r="C15">
        <f>'GRAL. SUC. LOCALES'!N21</f>
        <v>0</v>
      </c>
      <c r="D15">
        <f>SUM(B15:C15)</f>
        <v>37</v>
      </c>
    </row>
    <row r="16">
      <c r="A16" t="str">
        <v>PIÑA MED</v>
      </c>
      <c r="B16">
        <f>'EXISTENCIA EN SUCURSALES'!Z22</f>
        <v>28</v>
      </c>
      <c r="C16">
        <f>'GRAL. SUC. LOCALES'!N22</f>
        <v>19</v>
      </c>
      <c r="D16">
        <f>SUM(B16:C16)</f>
        <v>47</v>
      </c>
    </row>
    <row r="17">
      <c r="A17" t="str">
        <v>NUEZ TRES LECHES MED</v>
      </c>
      <c r="B17">
        <f>'EXISTENCIA EN SUCURSALES'!Z23</f>
        <v>40</v>
      </c>
      <c r="C17">
        <f>'GRAL. SUC. LOCALES'!N23</f>
        <v>3</v>
      </c>
      <c r="D17">
        <f>SUM(B17:C17)</f>
        <v>43</v>
      </c>
    </row>
    <row r="18">
      <c r="A18" t="str">
        <v>CHOCOLATE MED</v>
      </c>
      <c r="B18">
        <f>'EXISTENCIA EN SUCURSALES'!Z24</f>
        <v>18</v>
      </c>
      <c r="C18">
        <f>'GRAL. SUC. LOCALES'!N24</f>
        <v>0</v>
      </c>
      <c r="D18">
        <f>SUM(B18:C18)</f>
        <v>18</v>
      </c>
    </row>
    <row r="19">
      <c r="A19" t="str">
        <v>M &amp; M MEDIANO</v>
      </c>
      <c r="B19">
        <f>'EXISTENCIA EN SUCURSALES'!Z25</f>
        <v>30</v>
      </c>
      <c r="C19">
        <f>'GRAL. SUC. LOCALES'!N25</f>
        <v>34</v>
      </c>
      <c r="D19">
        <f>SUM(B19:C19)</f>
        <v>64</v>
      </c>
    </row>
    <row r="20">
      <c r="A20" t="str">
        <v>MOKA MEDIANO</v>
      </c>
      <c r="B20">
        <f>'EXISTENCIA EN SUCURSALES'!Z31</f>
        <v>0</v>
      </c>
      <c r="C20">
        <f>'GRAL. SUC. LOCALES'!N31</f>
        <v>0</v>
      </c>
      <c r="D20">
        <f>SUM(B20:C20)</f>
        <v>0</v>
      </c>
    </row>
    <row r="21">
      <c r="A21" t="str">
        <v xml:space="preserve">3 LECHES MEDIANOS </v>
      </c>
      <c r="B21">
        <f>SUM(B13:B20)</f>
        <v>230</v>
      </c>
      <c r="C21">
        <f>SUM(C13:C20)</f>
        <v>79</v>
      </c>
      <c r="D21">
        <f>SUM(D13:D20)</f>
        <v>309</v>
      </c>
    </row>
    <row r="22">
      <c r="A22" t="str">
        <v>PIÑA CH</v>
      </c>
      <c r="B22">
        <f>'EXISTENCIA EN SUCURSALES'!Z33</f>
        <v>26</v>
      </c>
      <c r="C22">
        <f>'GRAL. SUC. LOCALES'!N33</f>
        <v>5</v>
      </c>
      <c r="D22">
        <f>SUM(B22:C22)</f>
        <v>31</v>
      </c>
    </row>
    <row r="23">
      <c r="A23" t="str">
        <v>DURAZNO CH</v>
      </c>
      <c r="B23">
        <f>'EXISTENCIA EN SUCURSALES'!Z34</f>
        <v>33</v>
      </c>
      <c r="C23">
        <f>'GRAL. SUC. LOCALES'!N34</f>
        <v>6</v>
      </c>
      <c r="D23">
        <f>SUM(B23:C23)</f>
        <v>39</v>
      </c>
    </row>
    <row r="24">
      <c r="A24" t="str">
        <v>FRESA CH</v>
      </c>
      <c r="B24">
        <f>'EXISTENCIA EN SUCURSALES'!Z35</f>
        <v>34</v>
      </c>
      <c r="C24">
        <f>'GRAL. SUC. LOCALES'!N35</f>
        <v>7</v>
      </c>
      <c r="D24">
        <f>SUM(B24:C24)</f>
        <v>41</v>
      </c>
    </row>
    <row r="25">
      <c r="A25" t="str">
        <v>3 LECHES CH</v>
      </c>
      <c r="B25">
        <f>'EXISTENCIA EN SUCURSALES'!Z36</f>
        <v>31</v>
      </c>
      <c r="C25">
        <f>'GRAL. SUC. LOCALES'!N36</f>
        <v>6</v>
      </c>
      <c r="D25">
        <f>SUM(B25:C25)</f>
        <v>37</v>
      </c>
    </row>
    <row r="26">
      <c r="A26" t="str">
        <v>FRUTAS CH</v>
      </c>
      <c r="B26">
        <f>'EXISTENCIA EN SUCURSALES'!Z37</f>
        <v>43</v>
      </c>
      <c r="C26">
        <f>'GRAL. SUC. LOCALES'!N37</f>
        <v>12</v>
      </c>
      <c r="D26">
        <f>SUM(B26:C26)</f>
        <v>55</v>
      </c>
    </row>
    <row r="27">
      <c r="A27" t="str">
        <v>MOKA CH</v>
      </c>
      <c r="B27">
        <f>'EXISTENCIA EN SUCURSALES'!Z38</f>
        <v>43</v>
      </c>
      <c r="C27">
        <f>'GRAL. SUC. LOCALES'!N38</f>
        <v>10</v>
      </c>
      <c r="D27">
        <f>SUM(B27:C27)</f>
        <v>53</v>
      </c>
    </row>
    <row r="28">
      <c r="A28" t="str">
        <v>NUTELA CH</v>
      </c>
      <c r="B28">
        <f>'EXISTENCIA EN SUCURSALES'!Z39</f>
        <v>31</v>
      </c>
      <c r="C28">
        <f>'GRAL. SUC. LOCALES'!N39</f>
        <v>0</v>
      </c>
      <c r="D28">
        <f>SUM(B28:C28)</f>
        <v>31</v>
      </c>
    </row>
    <row r="29">
      <c r="A29" t="str">
        <v>CHOCOLATE CH</v>
      </c>
      <c r="B29">
        <f>'EXISTENCIA EN SUCURSALES'!Z40</f>
        <v>33</v>
      </c>
      <c r="C29">
        <f>'GRAL. SUC. LOCALES'!N40</f>
        <v>12</v>
      </c>
      <c r="D29">
        <f>SUM(B29:C29)</f>
        <v>45</v>
      </c>
    </row>
    <row r="30">
      <c r="A30" t="str">
        <v>M &amp; M CH</v>
      </c>
      <c r="B30">
        <f>'EXISTENCIA EN SUCURSALES'!Z41</f>
        <v>30</v>
      </c>
      <c r="C30">
        <f>'GRAL. SUC. LOCALES'!N41</f>
        <v>5</v>
      </c>
      <c r="D30">
        <f>SUM(B30:C30)</f>
        <v>35</v>
      </c>
    </row>
    <row r="31">
      <c r="A31" t="str">
        <v>SNIKER CH</v>
      </c>
      <c r="B31">
        <f>'EXISTENCIA EN SUCURSALES'!Z48</f>
        <v>0</v>
      </c>
      <c r="C31">
        <f>'GRAL. SUC. LOCALES'!N48</f>
        <v>0</v>
      </c>
      <c r="D31">
        <f>SUM(B31:C31)</f>
        <v>0</v>
      </c>
    </row>
    <row r="32">
      <c r="A32" t="str">
        <v xml:space="preserve">3 LECHES CHICOS </v>
      </c>
      <c r="B32">
        <f>SUM(B22:B31)</f>
        <v>304</v>
      </c>
      <c r="C32">
        <f>SUM(C22:C31)</f>
        <v>63</v>
      </c>
      <c r="D32">
        <f>SUM(D22:D31)</f>
        <v>367</v>
      </c>
    </row>
    <row r="33">
      <c r="A33" t="str">
        <v>MINI MEDIANO PIÑERO</v>
      </c>
      <c r="B33">
        <f>'EXISTENCIA EN SUCURSALES'!Z50</f>
        <v>98</v>
      </c>
      <c r="C33">
        <f>'GRAL. SUC. LOCALES'!N50</f>
        <v>22</v>
      </c>
      <c r="D33">
        <f>SUM(B33:C33)</f>
        <v>120</v>
      </c>
    </row>
    <row r="34">
      <c r="A34" t="str">
        <v>MINI MEDIANO CHOCOLATE</v>
      </c>
      <c r="B34">
        <f>'EXISTENCIA EN SUCURSALES'!Z51</f>
        <v>94</v>
      </c>
      <c r="C34">
        <f>'GRAL. SUC. LOCALES'!N51</f>
        <v>39</v>
      </c>
      <c r="D34">
        <f>SUM(B34:C34)</f>
        <v>133</v>
      </c>
    </row>
    <row r="35">
      <c r="A35" t="str">
        <v>MINI MEDIANOS 3 LECHES</v>
      </c>
      <c r="B35">
        <f>SUM(B33:B34)</f>
        <v>192</v>
      </c>
      <c r="C35">
        <f>SUM(C33:C34)</f>
        <v>61</v>
      </c>
      <c r="D35">
        <f>SUM(D33:D34)</f>
        <v>253</v>
      </c>
    </row>
    <row r="36">
      <c r="A36" t="str">
        <v>MINI PASTELITO PIÑERO</v>
      </c>
      <c r="B36">
        <f>'EXISTENCIA EN SUCURSALES'!Z53</f>
        <v>104</v>
      </c>
      <c r="C36">
        <f>'GRAL. SUC. LOCALES'!N53</f>
        <v>19</v>
      </c>
      <c r="D36">
        <f>SUM(B36:C36)</f>
        <v>123</v>
      </c>
    </row>
    <row r="37">
      <c r="A37" t="str">
        <v>MINI PASTELITO CHOCOLATE</v>
      </c>
      <c r="B37">
        <f>'EXISTENCIA EN SUCURSALES'!Z54</f>
        <v>87</v>
      </c>
      <c r="C37">
        <f>'GRAL. SUC. LOCALES'!N54</f>
        <v>31</v>
      </c>
      <c r="D37">
        <f>SUM(B37:C37)</f>
        <v>118</v>
      </c>
    </row>
    <row r="38">
      <c r="A38" t="str">
        <v xml:space="preserve">MINI MINI 3 LECHES </v>
      </c>
      <c r="B38">
        <f>SUM(B36:B37)</f>
        <v>191</v>
      </c>
      <c r="C38">
        <f>SUM(C36:C37)</f>
        <v>50</v>
      </c>
      <c r="D38">
        <f>SUM(D36:D37)</f>
        <v>241</v>
      </c>
    </row>
    <row r="39">
      <c r="A39" t="str">
        <v>3 LECHES QUESO GDE</v>
      </c>
      <c r="B39">
        <f>'EXISTENCIA EN SUCURSALES'!Z56</f>
        <v>23</v>
      </c>
      <c r="C39">
        <f>'GRAL. SUC. LOCALES'!N56</f>
        <v>12</v>
      </c>
      <c r="D39">
        <f>SUM(B39:C39)</f>
        <v>35</v>
      </c>
    </row>
    <row r="40">
      <c r="A40" t="str">
        <v>3 LECHES QUESO CH</v>
      </c>
      <c r="B40">
        <f>'EXISTENCIA EN SUCURSALES'!Z57</f>
        <v>27</v>
      </c>
      <c r="C40">
        <f>'GRAL. SUC. LOCALES'!N57</f>
        <v>8</v>
      </c>
      <c r="D40">
        <f>SUM(B40:C40)</f>
        <v>35</v>
      </c>
    </row>
    <row r="41">
      <c r="A41" t="str">
        <v>SELVA NEGRA</v>
      </c>
      <c r="B41">
        <f>'EXISTENCIA EN SUCURSALES'!Z58</f>
        <v>19</v>
      </c>
      <c r="C41">
        <f>'GRAL. SUC. LOCALES'!N58</f>
        <v>5</v>
      </c>
      <c r="D41">
        <f>SUM(B41:C41)</f>
        <v>24</v>
      </c>
    </row>
    <row r="42">
      <c r="A42" t="str">
        <v>SELVA NEGRA CH</v>
      </c>
      <c r="B42">
        <f>'EXISTENCIA EN SUCURSALES'!Z59</f>
        <v>18</v>
      </c>
      <c r="C42">
        <f>'GRAL. SUC. LOCALES'!N59</f>
        <v>0</v>
      </c>
      <c r="D42">
        <f>SUM(B42:C42)</f>
        <v>18</v>
      </c>
    </row>
    <row r="43">
      <c r="A43" t="str">
        <v>CHOCOQUESO</v>
      </c>
      <c r="B43">
        <f>'EXISTENCIA EN SUCURSALES'!Z60</f>
        <v>18</v>
      </c>
      <c r="C43">
        <f>'GRAL. SUC. LOCALES'!N60</f>
        <v>0</v>
      </c>
      <c r="D43">
        <f>SUM(B43:C43)</f>
        <v>18</v>
      </c>
    </row>
    <row r="44">
      <c r="A44" t="str">
        <v>CHOCOQUESO CH</v>
      </c>
      <c r="B44">
        <f>'EXISTENCIA EN SUCURSALES'!Z61</f>
        <v>24</v>
      </c>
      <c r="C44">
        <f>'GRAL. SUC. LOCALES'!N61</f>
        <v>0</v>
      </c>
      <c r="D44">
        <f>SUM(B44:C44)</f>
        <v>24</v>
      </c>
    </row>
    <row r="45">
      <c r="A45" t="str">
        <v>RED VELVET CHEESE CAKE GDE</v>
      </c>
      <c r="B45">
        <f>'EXISTENCIA EN SUCURSALES'!Z62</f>
        <v>20</v>
      </c>
      <c r="C45">
        <f>'GRAL. SUC. LOCALES'!N62</f>
        <v>4</v>
      </c>
      <c r="D45">
        <f>SUM(B45:C45)</f>
        <v>24</v>
      </c>
    </row>
    <row r="46">
      <c r="A46" t="str">
        <v>RED VELVET CHEESE CAKE MINI MEDIANO</v>
      </c>
      <c r="B46">
        <f>'EXISTENCIA EN SUCURSALES'!Z63</f>
        <v>21</v>
      </c>
      <c r="C46">
        <f>'GRAL. SUC. LOCALES'!N63</f>
        <v>5</v>
      </c>
      <c r="D46">
        <f>SUM(B46:C46)</f>
        <v>26</v>
      </c>
    </row>
    <row r="47">
      <c r="A47" t="str">
        <v>CHESSECAKE GDE</v>
      </c>
      <c r="B47">
        <f>'EXISTENCIA EN SUCURSALES'!Z64</f>
        <v>29</v>
      </c>
      <c r="C47">
        <f>'GRAL. SUC. LOCALES'!N64</f>
        <v>7</v>
      </c>
      <c r="D47">
        <f>SUM(B47:C47)</f>
        <v>36</v>
      </c>
    </row>
    <row r="48">
      <c r="A48" t="str">
        <v>CHESSECAKE MINIMED</v>
      </c>
      <c r="B48">
        <f>'EXISTENCIA EN SUCURSALES'!Z65</f>
        <v>45</v>
      </c>
      <c r="C48">
        <f>'GRAL. SUC. LOCALES'!N65</f>
        <v>14</v>
      </c>
      <c r="D48">
        <f>SUM(B48:C48)</f>
        <v>59</v>
      </c>
    </row>
    <row r="49">
      <c r="A49" t="str">
        <v>CHESSECAKE PETIT</v>
      </c>
      <c r="B49">
        <f>'EXISTENCIA EN SUCURSALES'!Z66</f>
        <v>24</v>
      </c>
      <c r="C49">
        <f>'GRAL. SUC. LOCALES'!N66</f>
        <v>5</v>
      </c>
      <c r="D49">
        <f>SUM(B49:C49)</f>
        <v>29</v>
      </c>
    </row>
    <row r="50">
      <c r="A50" t="str">
        <v>ZANAHORIA GDE</v>
      </c>
      <c r="B50">
        <f>'EXISTENCIA EN SUCURSALES'!Z67</f>
        <v>20</v>
      </c>
      <c r="C50">
        <f>'GRAL. SUC. LOCALES'!N67</f>
        <v>14</v>
      </c>
      <c r="D50">
        <f>SUM(B50:C50)</f>
        <v>34</v>
      </c>
    </row>
    <row r="51">
      <c r="A51" t="str">
        <v>ZANAHORIA CH</v>
      </c>
      <c r="B51">
        <f>'EXISTENCIA EN SUCURSALES'!Z68</f>
        <v>39</v>
      </c>
      <c r="C51">
        <f>'GRAL. SUC. LOCALES'!N68</f>
        <v>4</v>
      </c>
      <c r="D51">
        <f>SUM(B51:C51)</f>
        <v>43</v>
      </c>
    </row>
    <row r="52">
      <c r="A52" t="str">
        <v>ZANAHORIA PETIT</v>
      </c>
      <c r="B52">
        <f>'EXISTENCIA EN SUCURSALES'!Z69</f>
        <v>15</v>
      </c>
      <c r="C52">
        <f>'GRAL. SUC. LOCALES'!N69</f>
        <v>-1</v>
      </c>
      <c r="D52">
        <f>SUM(B52:C52)</f>
        <v>14</v>
      </c>
    </row>
    <row r="53">
      <c r="A53" t="str">
        <v>ROSCA C/CAJETA</v>
      </c>
      <c r="B53">
        <f>'EXISTENCIA EN SUCURSALES'!Z70</f>
        <v>56</v>
      </c>
      <c r="C53">
        <f>'GRAL. SUC. LOCALES'!N70</f>
        <v>8</v>
      </c>
      <c r="D53">
        <f>SUM(B53:C53)</f>
        <v>64</v>
      </c>
    </row>
    <row r="54">
      <c r="A54" t="str">
        <v>CAJITA DE TRES LECHES</v>
      </c>
      <c r="B54">
        <f>'EXISTENCIA EN SUCURSALES'!Z77</f>
        <v>0</v>
      </c>
      <c r="C54">
        <f>'GRAL. SUC. LOCALES'!N77</f>
        <v>0</v>
      </c>
      <c r="D54">
        <f>SUM(B54:C54)</f>
        <v>0</v>
      </c>
    </row>
    <row r="55">
      <c r="A55" t="str">
        <v>ESPECIALIDAD</v>
      </c>
      <c r="B55">
        <f>SUM(B39:B54)</f>
        <v>398</v>
      </c>
      <c r="C55">
        <f>SUM(C39:C54)</f>
        <v>85</v>
      </c>
      <c r="D55">
        <f>SUM(D39:D54)</f>
        <v>483</v>
      </c>
    </row>
    <row r="56">
      <c r="A56" t="str">
        <v>Total Area</v>
      </c>
      <c r="B56">
        <f>B12+B21+B32+B35+B38+B55</f>
        <v>1577</v>
      </c>
      <c r="C56">
        <f>C12+C21+C32+C35+C38+C55</f>
        <v>413</v>
      </c>
      <c r="D56">
        <f>D12+D21+D32+D35+D38+D55</f>
        <v>1990</v>
      </c>
    </row>
    <row r="57">
      <c r="A57" t="str">
        <v>VAINILLAS</v>
      </c>
    </row>
    <row r="58">
      <c r="A58" t="str">
        <v>VAINILLA MARMOLEADO</v>
      </c>
      <c r="B58">
        <f>'EXISTENCIA EN SUCURSALES'!Z81</f>
        <v>13</v>
      </c>
      <c r="C58">
        <f>'GRAL. SUC. LOCALES'!N81</f>
        <v>4</v>
      </c>
      <c r="D58">
        <f>SUM(B58:C58)</f>
        <v>17</v>
      </c>
    </row>
    <row r="59">
      <c r="A59" t="str">
        <v>VAINILLA NARANJA</v>
      </c>
      <c r="B59">
        <f>'EXISTENCIA EN SUCURSALES'!Z82</f>
        <v>10</v>
      </c>
      <c r="C59">
        <f>'GRAL. SUC. LOCALES'!N82</f>
        <v>0</v>
      </c>
      <c r="D59">
        <f>SUM(B59:C59)</f>
        <v>10</v>
      </c>
    </row>
    <row r="60">
      <c r="A60" t="str">
        <v>PLANCHA 1/4</v>
      </c>
      <c r="B60">
        <f>'EXISTENCIA EN SUCURSALES'!Z83</f>
        <v>14</v>
      </c>
      <c r="C60">
        <f>'GRAL. SUC. LOCALES'!N83</f>
        <v>5</v>
      </c>
      <c r="D60">
        <f>SUM(B60:C60)</f>
        <v>19</v>
      </c>
    </row>
    <row r="61">
      <c r="A61" t="str">
        <v>PLANCHA DE VAINILLA</v>
      </c>
      <c r="B61">
        <f>'EXISTENCIA EN SUCURSALES'!Z84</f>
        <v>15</v>
      </c>
      <c r="C61">
        <f>'GRAL. SUC. LOCALES'!N84</f>
        <v>5</v>
      </c>
      <c r="D61">
        <f>SUM(B61:C61)</f>
        <v>20</v>
      </c>
    </row>
    <row r="62">
      <c r="A62" t="str">
        <v>VAINILLA NATURAL</v>
      </c>
      <c r="B62">
        <f>'EXISTENCIA EN SUCURSALES'!Z85</f>
        <v>18</v>
      </c>
      <c r="C62">
        <f>'GRAL. SUC. LOCALES'!N85</f>
        <v>7</v>
      </c>
      <c r="D62">
        <f>SUM(B62:C62)</f>
        <v>25</v>
      </c>
    </row>
    <row r="63">
      <c r="A63" t="str">
        <v>PETIT DECORADO</v>
      </c>
      <c r="B63">
        <f>'EXISTENCIA EN SUCURSALES'!Z90</f>
        <v>0</v>
      </c>
      <c r="C63">
        <f>'GRAL. SUC. LOCALES'!N90</f>
        <v>0</v>
      </c>
      <c r="D63">
        <f>SUM(B63:C63)</f>
        <v>0</v>
      </c>
    </row>
    <row r="64">
      <c r="A64" t="str">
        <v>Total Area</v>
      </c>
      <c r="B64">
        <f>SUM(B58:B63)</f>
        <v>70</v>
      </c>
      <c r="C64">
        <f>SUM(C58:C63)</f>
        <v>21</v>
      </c>
      <c r="D64">
        <f>SUM(D58:D63)</f>
        <v>91</v>
      </c>
    </row>
    <row r="65">
      <c r="A65" t="str">
        <v xml:space="preserve">GELATINAS </v>
      </c>
    </row>
    <row r="66">
      <c r="A66" t="str">
        <v>GELATINA FRESA GDE</v>
      </c>
      <c r="B66">
        <f>'EXISTENCIA EN SUCURSALES'!Z93</f>
        <v>21</v>
      </c>
      <c r="C66">
        <f>'GRAL. SUC. LOCALES'!N93</f>
        <v>11</v>
      </c>
      <c r="D66">
        <f>SUM(B66:C66)</f>
        <v>32</v>
      </c>
    </row>
    <row r="67">
      <c r="A67" t="str">
        <v>GELATINA MOSAICO GDE</v>
      </c>
      <c r="B67">
        <f>'EXISTENCIA EN SUCURSALES'!Z94</f>
        <v>20</v>
      </c>
      <c r="C67">
        <f>'GRAL. SUC. LOCALES'!N94</f>
        <v>13</v>
      </c>
      <c r="D67">
        <f>SUM(B67:C67)</f>
        <v>33</v>
      </c>
    </row>
    <row r="68">
      <c r="A68" t="str">
        <v>GELATINA FRESA CH</v>
      </c>
      <c r="B68">
        <f>'EXISTENCIA EN SUCURSALES'!Z95</f>
        <v>15</v>
      </c>
      <c r="C68">
        <f>'GRAL. SUC. LOCALES'!N95</f>
        <v>10</v>
      </c>
      <c r="D68">
        <f>SUM(B68:C68)</f>
        <v>25</v>
      </c>
    </row>
    <row r="69">
      <c r="A69" t="str">
        <v>GELATINA MOSAICO CH</v>
      </c>
      <c r="B69">
        <f>'EXISTENCIA EN SUCURSALES'!Z96</f>
        <v>111</v>
      </c>
      <c r="C69">
        <f>'GRAL. SUC. LOCALES'!N96</f>
        <v>40</v>
      </c>
      <c r="D69">
        <f>SUM(B69:C69)</f>
        <v>151</v>
      </c>
    </row>
    <row r="70">
      <c r="A70" t="str">
        <v>GELATINA IND FRESA</v>
      </c>
      <c r="B70">
        <f>'EXISTENCIA EN SUCURSALES'!Z97</f>
        <v>76</v>
      </c>
      <c r="C70">
        <f>'GRAL. SUC. LOCALES'!N97</f>
        <v>19</v>
      </c>
      <c r="D70">
        <f>SUM(B70:C70)</f>
        <v>95</v>
      </c>
    </row>
    <row r="71">
      <c r="A71" t="str">
        <v>GELATINA IND MOSAICO</v>
      </c>
      <c r="B71">
        <f>'EXISTENCIA EN SUCURSALES'!Z98</f>
        <v>95</v>
      </c>
      <c r="C71">
        <f>'GRAL. SUC. LOCALES'!N98</f>
        <v>14</v>
      </c>
      <c r="D71">
        <f>SUM(B71:C71)</f>
        <v>109</v>
      </c>
    </row>
    <row r="72">
      <c r="A72" t="str">
        <v>GELATINA PROMO $90</v>
      </c>
      <c r="B72">
        <f>'EXISTENCIA EN SUCURSALES'!Z99</f>
        <v>36</v>
      </c>
      <c r="C72">
        <f>'GRAL. SUC. LOCALES'!N99</f>
        <v>15</v>
      </c>
      <c r="D72">
        <f>SUM(B72:C72)</f>
        <v>51</v>
      </c>
    </row>
    <row r="73">
      <c r="A73" t="str">
        <v>GELATINA FRESA $150</v>
      </c>
      <c r="B73">
        <f>'EXISTENCIA EN SUCURSALES'!Z100</f>
        <v>371</v>
      </c>
      <c r="C73">
        <f>'GRAL. SUC. LOCALES'!N100</f>
        <v>162</v>
      </c>
      <c r="D73">
        <f>SUM(B73:C73)</f>
        <v>533</v>
      </c>
    </row>
    <row r="74">
      <c r="A74" t="str">
        <v>Gelatina de promocion semana santa</v>
      </c>
      <c r="B74">
        <f>'EXISTENCIA EN SUCURSALES'!Z103</f>
        <v>28</v>
      </c>
      <c r="C74">
        <f>'GRAL. SUC. LOCALES'!N103</f>
        <v>8</v>
      </c>
      <c r="D74">
        <f>SUM(B74:C74)</f>
        <v>36</v>
      </c>
    </row>
    <row r="75">
      <c r="A75" t="str">
        <v>PAY DE FRESA GDE</v>
      </c>
      <c r="B75">
        <f>'EXISTENCIA EN SUCURSALES'!Z104</f>
        <v>0</v>
      </c>
      <c r="C75">
        <f>'GRAL. SUC. LOCALES'!N104</f>
        <v>0</v>
      </c>
      <c r="D75">
        <f>SUM(B75:C75)</f>
        <v>0</v>
      </c>
    </row>
    <row r="76">
      <c r="A76" t="str">
        <v>PAY DE GUAYABA GDE</v>
      </c>
      <c r="B76" t="e">
        <f>'EXISTENCIA EN SUCURSALES'!#REF!</f>
        <v>#REF!</v>
      </c>
      <c r="C76" t="e">
        <f>'GRAL. SUC. LOCALES'!#REF!</f>
        <v>#REF!</v>
      </c>
      <c r="D76" t="e">
        <f>SUM(B76:C76)</f>
        <v>#REF!</v>
      </c>
    </row>
    <row r="77">
      <c r="A77" t="str">
        <v>tartaleta</v>
      </c>
      <c r="B77" t="e">
        <f>'EXISTENCIA EN SUCURSALES'!#REF!</f>
        <v>#REF!</v>
      </c>
      <c r="C77" t="e">
        <f>'GRAL. SUC. LOCALES'!#REF!</f>
        <v>#REF!</v>
      </c>
      <c r="D77" t="e">
        <f>SUM(B77:C77)</f>
        <v>#REF!</v>
      </c>
    </row>
    <row r="78">
      <c r="A78" t="str">
        <v>Total Area</v>
      </c>
      <c r="B78" t="e">
        <f>SUM(B66:B77)</f>
        <v>#REF!</v>
      </c>
      <c r="C78" t="e">
        <f>SUM(C66:C77)</f>
        <v>#REF!</v>
      </c>
      <c r="D78" t="e">
        <f>SUM(D66:D77)</f>
        <v>#REF!</v>
      </c>
    </row>
    <row r="79">
      <c r="A79" t="str">
        <v xml:space="preserve">GALLETAS </v>
      </c>
    </row>
    <row r="80">
      <c r="A80" t="str">
        <v>BOCADITO PEPE 15 PIEZAS</v>
      </c>
      <c r="B80">
        <f>'EXISTENCIA EN SUCURSALES'!Z107</f>
        <v>21</v>
      </c>
      <c r="C80">
        <f>'GRAL. SUC. LOCALES'!N107</f>
        <v>17</v>
      </c>
      <c r="D80">
        <f>SUM(B80:C80)</f>
        <v>38</v>
      </c>
    </row>
    <row r="81">
      <c r="A81" t="str">
        <v>PAY DE QUESO</v>
      </c>
      <c r="B81">
        <f>'EXISTENCIA EN SUCURSALES'!Z108</f>
        <v>8</v>
      </c>
      <c r="C81">
        <f>'GRAL. SUC. LOCALES'!N108</f>
        <v>0</v>
      </c>
      <c r="D81">
        <f>SUM(B81:C81)</f>
        <v>8</v>
      </c>
    </row>
    <row r="82">
      <c r="A82" t="str">
        <v>bolsa de galleta de 60 grs</v>
      </c>
      <c r="B82">
        <f>'EXISTENCIA EN SUCURSALES'!Z109</f>
        <v>210</v>
      </c>
      <c r="C82">
        <f>'GRAL. SUC. LOCALES'!N109</f>
        <v>10</v>
      </c>
      <c r="D82">
        <f>SUM(B82:C82)</f>
        <v>220</v>
      </c>
    </row>
    <row r="83">
      <c r="A83" t="str">
        <v>1/4 Kg de GALLETA</v>
      </c>
      <c r="B83">
        <f>'EXISTENCIA EN SUCURSALES'!Z110</f>
        <v>208</v>
      </c>
      <c r="C83">
        <f>'GRAL. SUC. LOCALES'!N110</f>
        <v>10</v>
      </c>
      <c r="D83">
        <f>SUM(B83:C83)</f>
        <v>218</v>
      </c>
    </row>
    <row r="84">
      <c r="A84" t="str">
        <v>1/2 kg DE GALLETA</v>
      </c>
      <c r="B84" t="e">
        <f>'EXISTENCIA EN SUCURSALES'!#REF!</f>
        <v>#REF!</v>
      </c>
      <c r="C84" t="e">
        <f>'GRAL. SUC. LOCALES'!#REF!</f>
        <v>#REF!</v>
      </c>
      <c r="D84" t="e">
        <f>SUM(B84:C84)</f>
        <v>#REF!</v>
      </c>
    </row>
    <row r="85">
      <c r="A85" t="str">
        <v xml:space="preserve">PALETA GALLETA </v>
      </c>
      <c r="B85">
        <f>'EXISTENCIA EN SUCURSALES'!Z111</f>
        <v>20</v>
      </c>
      <c r="C85">
        <f>'GRAL. SUC. LOCALES'!N111</f>
        <v>11</v>
      </c>
      <c r="D85">
        <f>SUM(B85:C85)</f>
        <v>31</v>
      </c>
    </row>
    <row r="86">
      <c r="A86" t="str">
        <v>TRUFAS CON 9</v>
      </c>
      <c r="B86">
        <f>'EXISTENCIA EN SUCURSALES'!Z112</f>
        <v>0</v>
      </c>
      <c r="C86">
        <f>'GRAL. SUC. LOCALES'!N112</f>
        <v>0</v>
      </c>
      <c r="D86">
        <f>SUM(B86:C86)</f>
        <v>0</v>
      </c>
    </row>
    <row r="87">
      <c r="A87" t="str">
        <v>Total Area</v>
      </c>
      <c r="B87" t="e">
        <f>SUM(B80:B86,B88:B89)</f>
        <v>#REF!</v>
      </c>
      <c r="C87" t="e">
        <f>SUM(C80:C86,C88:C89)</f>
        <v>#REF!</v>
      </c>
      <c r="D87" t="e">
        <f>SUM(D80:D86,D88:D89)</f>
        <v>#REF!</v>
      </c>
    </row>
    <row r="88">
      <c r="A88" t="str">
        <v>VASO DE ARROZ</v>
      </c>
      <c r="B88">
        <f>'EXISTENCIA EN SUCURSALES'!Z114</f>
        <v>45</v>
      </c>
      <c r="C88">
        <f>'GRAL. SUC. LOCALES'!N114</f>
        <v>2</v>
      </c>
      <c r="D88">
        <f>SUM(B88:C88)</f>
        <v>47</v>
      </c>
    </row>
    <row r="89">
      <c r="A89" t="str">
        <v>FLAN EN VASO</v>
      </c>
      <c r="B89">
        <f>'EXISTENCIA EN SUCURSALES'!Z116</f>
        <v>44</v>
      </c>
      <c r="C89">
        <f>'GRAL. SUC. LOCALES'!N116</f>
        <v>0</v>
      </c>
      <c r="D89">
        <f>SUM(B89:C89)</f>
        <v>44</v>
      </c>
    </row>
    <row r="90">
      <c r="A90" t="str">
        <v>SUMAS</v>
      </c>
      <c r="B90" t="e">
        <f>B56+B64+B78+B87</f>
        <v>#REF!</v>
      </c>
      <c r="C90" t="e">
        <f>C56+C64+C78+C87</f>
        <v>#REF!</v>
      </c>
      <c r="D90" t="e">
        <f>D56+D64+D78+D87</f>
        <v>#REF!</v>
      </c>
    </row>
    <row r="91">
      <c r="A91" t="str">
        <v>QUESO TIRAMISU CH</v>
      </c>
      <c r="B91">
        <f>'EXISTENCIA EN SUCURSALES'!Z118</f>
        <v>43</v>
      </c>
      <c r="C91">
        <f>'GRAL. SUC. LOCALES'!N118</f>
        <v>0</v>
      </c>
      <c r="D91">
        <f>SUM(B91:C91)</f>
        <v>43</v>
      </c>
    </row>
    <row r="92">
      <c r="A92" t="str">
        <v>QUESO TIRAMISU MMD</v>
      </c>
      <c r="B92">
        <f>'EXISTENCIA EN SUCURSALES'!Z119</f>
        <v>54</v>
      </c>
      <c r="C92">
        <f>'GRAL. SUC. LOCALES'!N119</f>
        <v>0</v>
      </c>
      <c r="D92">
        <f>SUM(B92:C92)</f>
        <v>54</v>
      </c>
    </row>
    <row r="93">
      <c r="A93" t="str">
        <v>GELATINA PIÑA COLADA</v>
      </c>
      <c r="B93" t="e">
        <f>'EXISTENCIA EN SUCURSALES'!#REF!</f>
        <v>#REF!</v>
      </c>
      <c r="C93" t="e">
        <f>'GRAL. SUC. LOCALES'!#REF!</f>
        <v>#REF!</v>
      </c>
      <c r="D93" t="e">
        <f>SUM(B93:C93)</f>
        <v>#REF!</v>
      </c>
    </row>
    <row r="94">
      <c r="A94" t="str">
        <v>GELATINA DE PIÑA IND</v>
      </c>
      <c r="B94" t="e">
        <f>'EXISTENCIA EN SUCURSALES'!#REF!</f>
        <v>#REF!</v>
      </c>
      <c r="C94" t="e">
        <f>'GRAL. SUC. LOCALES'!#REF!</f>
        <v>#REF!</v>
      </c>
      <c r="D94" t="e">
        <f>SUM(B94:C94)</f>
        <v>#REF!</v>
      </c>
    </row>
    <row r="95">
      <c r="A95" t="str">
        <v>JERICALLA UN CUARTO $45</v>
      </c>
      <c r="B95">
        <f>'EXISTENCIA EN SUCURSALES'!Z120</f>
        <v>3</v>
      </c>
      <c r="C95">
        <f>'GRAL. SUC. LOCALES'!N120</f>
        <v>0</v>
      </c>
      <c r="D95">
        <f>SUM(B95:C95)</f>
        <v>3</v>
      </c>
    </row>
    <row r="96">
      <c r="A96" t="str">
        <v>CHOCOFLAN MINI MEDIANO</v>
      </c>
      <c r="B96">
        <f>'EXISTENCIA EN SUCURSALES'!Z121</f>
        <v>6</v>
      </c>
      <c r="C96">
        <f>'GRAL. SUC. LOCALES'!N121</f>
        <v>0</v>
      </c>
      <c r="D96">
        <f>SUM(B96:C96)</f>
        <v>6</v>
      </c>
    </row>
    <row r="97">
      <c r="A97" t="str">
        <v>PLANCHA 1/4 3 LECHES VAINILLA</v>
      </c>
      <c r="B97" t="e">
        <f>'EXISTENCIA EN SUCURSALES'!#REF!</f>
        <v>#REF!</v>
      </c>
      <c r="C97" t="e">
        <f>'GRAL. SUC. LOCALES'!#REF!</f>
        <v>#REF!</v>
      </c>
      <c r="D97" t="e">
        <f>SUM(B97:C97)</f>
        <v>#REF!</v>
      </c>
    </row>
    <row r="98">
      <c r="A98" t="str">
        <v>PLANCHA 1/4 3 LECHES CHOCOLATE</v>
      </c>
      <c r="B98">
        <f>'EXISTENCIA EN SUCURSALES'!Z122</f>
        <v>97</v>
      </c>
      <c r="C98">
        <f>'GRAL. SUC. LOCALES'!N122</f>
        <v>27</v>
      </c>
      <c r="D98">
        <f>SUM(B98:C98)</f>
        <v>124</v>
      </c>
    </row>
    <row r="99">
      <c r="A99" t="str">
        <v>PASTEL CASERO DE CHOCOLATE</v>
      </c>
      <c r="B99" t="e">
        <f>'EXISTENCIA EN SUCURSALES'!#REF!</f>
        <v>#REF!</v>
      </c>
      <c r="C99" t="e">
        <f>'GRAL. SUC. LOCALES'!#REF!</f>
        <v>#REF!</v>
      </c>
      <c r="D99" t="e">
        <f>SUM(B99:C99)</f>
        <v>#REF!</v>
      </c>
    </row>
    <row r="100">
      <c r="A100" t="str">
        <v>PASTEL 3 LECHES CLASICO MED</v>
      </c>
      <c r="B100" t="e">
        <f>'EXISTENCIA EN SUCURSALES'!#REF!</f>
        <v>#REF!</v>
      </c>
      <c r="C100" t="e">
        <f>'GRAL. SUC. LOCALES'!#REF!</f>
        <v>#REF!</v>
      </c>
      <c r="D100" t="e">
        <f>SUM(B100:C100)</f>
        <v>#REF!</v>
      </c>
    </row>
    <row r="101">
      <c r="A101" t="str">
        <v>PASTEL 3 LECHES CLASICO CH</v>
      </c>
      <c r="B101" t="e">
        <f>'EXISTENCIA EN SUCURSALES'!#REF!</f>
        <v>#REF!</v>
      </c>
      <c r="C101" t="e">
        <f>'GRAL. SUC. LOCALES'!#REF!</f>
        <v>#REF!</v>
      </c>
      <c r="D101" t="e">
        <f>SUM(B101:C101)</f>
        <v>#REF!</v>
      </c>
    </row>
    <row r="102">
      <c r="A102" t="str">
        <v>PAN MUERTO IND AZUCAR 50GR</v>
      </c>
      <c r="B102" t="e">
        <f>'EXISTENCIA EN SUCURSALES'!#REF!</f>
        <v>#REF!</v>
      </c>
      <c r="C102" t="e">
        <f>'GRAL. SUC. LOCALES'!#REF!</f>
        <v>#REF!</v>
      </c>
      <c r="D102" t="e">
        <f>SUM(B102:C102)</f>
        <v>#REF!</v>
      </c>
    </row>
    <row r="103">
      <c r="A103" t="str">
        <v>PAN MUERTO IND RELLENO NUTELLA 100gr</v>
      </c>
      <c r="B103" t="e">
        <f>'EXISTENCIA EN SUCURSALES'!#REF!</f>
        <v>#REF!</v>
      </c>
      <c r="C103" t="e">
        <f>'GRAL. SUC. LOCALES'!#REF!</f>
        <v>#REF!</v>
      </c>
      <c r="D103" t="e">
        <f>SUM(B103:C103)</f>
        <v>#REF!</v>
      </c>
    </row>
    <row r="104">
      <c r="A104" t="str">
        <v>PAN DE MUERTO IND RELLENO CAJETA 100GR</v>
      </c>
      <c r="B104" t="e">
        <f>'EXISTENCIA EN SUCURSALES'!#REF!</f>
        <v>#REF!</v>
      </c>
      <c r="C104" t="e">
        <f>'GRAL. SUC. LOCALES'!#REF!</f>
        <v>#REF!</v>
      </c>
      <c r="D104" t="e">
        <f>SUM(B104:C104)</f>
        <v>#REF!</v>
      </c>
    </row>
    <row r="105">
      <c r="A105" t="str">
        <v>HUESITOS PAN DE MUERTO</v>
      </c>
      <c r="B105" t="e">
        <f>'EXISTENCIA EN SUCURSALES'!#REF!</f>
        <v>#REF!</v>
      </c>
      <c r="C105" t="e">
        <f>'GRAL. SUC. LOCALES'!#REF!</f>
        <v>#REF!</v>
      </c>
      <c r="D105" t="e">
        <f>SUM(B105:C105)</f>
        <v>#REF!</v>
      </c>
    </row>
    <row r="106">
      <c r="A106" t="str">
        <v>PAN MUERTO AZUCAR GDE 250GR</v>
      </c>
      <c r="B106" t="e">
        <f>'EXISTENCIA EN SUCURSALES'!#REF!</f>
        <v>#REF!</v>
      </c>
      <c r="C106" t="e">
        <f>'GRAL. SUC. LOCALES'!#REF!</f>
        <v>#REF!</v>
      </c>
      <c r="D106" t="e">
        <f>SUM(B106:C106)</f>
        <v>#REF!</v>
      </c>
    </row>
    <row r="107">
      <c r="A107" t="str">
        <v>PAN MUERTO RELLENO NUTELLA GDE 250GR</v>
      </c>
      <c r="B107" t="e">
        <f>'EXISTENCIA EN SUCURSALES'!#REF!</f>
        <v>#REF!</v>
      </c>
      <c r="C107" t="e">
        <f>'GRAL. SUC. LOCALES'!#REF!</f>
        <v>#REF!</v>
      </c>
      <c r="D107" t="e">
        <f>SUM(B107:C107)</f>
        <v>#REF!</v>
      </c>
    </row>
    <row r="108">
      <c r="A108" t="str">
        <v>PAN DE MUERTO RELLENO CAJETA GDE 250GR</v>
      </c>
      <c r="B108" t="e">
        <f>'EXISTENCIA EN SUCURSALES'!#REF!</f>
        <v>#REF!</v>
      </c>
      <c r="C108" t="e">
        <f>'GRAL. SUC. LOCALES'!#REF!</f>
        <v>#REF!</v>
      </c>
      <c r="D108" t="e">
        <f>SUM(B108:C108)</f>
        <v>#REF!</v>
      </c>
    </row>
    <row r="109">
      <c r="A109" t="str">
        <v>CALAVERA CHOCOLATE</v>
      </c>
      <c r="B109" t="e">
        <f>'EXISTENCIA EN SUCURSALES'!#REF!</f>
        <v>#REF!</v>
      </c>
      <c r="C109" t="e">
        <f>'GRAL. SUC. LOCALES'!#REF!</f>
        <v>#REF!</v>
      </c>
      <c r="D109" t="e">
        <f>SUM(B109:C109)</f>
        <v>#REF!</v>
      </c>
    </row>
    <row r="110">
      <c r="A110" t="str">
        <v>CAJITA 3 LECHES CALABAZA</v>
      </c>
      <c r="B110" t="e">
        <f>'EXISTENCIA EN SUCURSALES'!#REF!</f>
        <v>#REF!</v>
      </c>
      <c r="C110" t="e">
        <f>'GRAL. SUC. LOCALES'!#REF!</f>
        <v>#REF!</v>
      </c>
      <c r="D110" t="e">
        <f>SUM(B110:C110)</f>
        <v>#REF!</v>
      </c>
    </row>
    <row r="111">
      <c r="A111" t="str">
        <v>PANQUE DE CALABAZA</v>
      </c>
      <c r="B111" t="e">
        <f>'EXISTENCIA EN SUCURSALES'!#REF!</f>
        <v>#REF!</v>
      </c>
      <c r="C111" t="e">
        <f>'GRAL. SUC. LOCALES'!#REF!</f>
        <v>#REF!</v>
      </c>
      <c r="D111" t="e">
        <f>SUM(B111:C111)</f>
        <v>#REF!</v>
      </c>
    </row>
    <row r="112">
      <c r="A112" t="str">
        <v>PASTEL DE CALABAZA CHICO</v>
      </c>
      <c r="B112" t="e">
        <f>'EXISTENCIA EN SUCURSALES'!#REF!</f>
        <v>#REF!</v>
      </c>
      <c r="C112" t="e">
        <f>'GRAL. SUC. LOCALES'!#REF!</f>
        <v>#REF!</v>
      </c>
      <c r="D112" t="e">
        <f>SUM(B112:C112)</f>
        <v>#REF!</v>
      </c>
    </row>
    <row r="113">
      <c r="A113" t="str">
        <v>PAY DE CALABAZA GDE</v>
      </c>
      <c r="B113" t="e">
        <f>'EXISTENCIA EN SUCURSALES'!#REF!</f>
        <v>#REF!</v>
      </c>
      <c r="C113" t="e">
        <f>'GRAL. SUC. LOCALES'!#REF!</f>
        <v>#REF!</v>
      </c>
      <c r="D113" t="e">
        <f>SUM(B113:C113)</f>
        <v>#REF!</v>
      </c>
    </row>
    <row r="114">
      <c r="A114" t="str">
        <v>CHAROLA C/8 PAN DE MUERTO</v>
      </c>
      <c r="B114" t="e">
        <f>'EXISTENCIA EN SUCURSALES'!#REF!</f>
        <v>#REF!</v>
      </c>
      <c r="C114" t="e">
        <f>'GRAL. SUC. LOCALES'!#REF!</f>
        <v>#REF!</v>
      </c>
      <c r="D114" t="e">
        <f>SUM(B114:C114)</f>
        <v>#REF!</v>
      </c>
    </row>
    <row r="115">
      <c r="A115" t="str">
        <v>DEDOS DE BRUJA</v>
      </c>
      <c r="B115" t="e">
        <f>'EXISTENCIA EN SUCURSALES'!#REF!</f>
        <v>#REF!</v>
      </c>
      <c r="C115" t="e">
        <f>'GRAL. SUC. LOCALES'!#REF!</f>
        <v>#REF!</v>
      </c>
      <c r="D115" t="e">
        <f>SUM(B115:C115)</f>
        <v>#REF!</v>
      </c>
    </row>
    <row r="116">
      <c r="A116" t="str">
        <v>PAN DE MUERTO IND CHOCOLATE</v>
      </c>
      <c r="B116" t="e">
        <f>'EXISTENCIA EN SUCURSALES'!#REF!</f>
        <v>#REF!</v>
      </c>
      <c r="C116" t="e">
        <f>'GRAL. SUC. LOCALES'!#REF!</f>
        <v>#REF!</v>
      </c>
      <c r="D116" t="e">
        <f>SUM(B116:C116)</f>
        <v>#REF!</v>
      </c>
    </row>
    <row r="117">
      <c r="A117" t="str">
        <v>PAN DE MUERTO CHOCOLATE GDE</v>
      </c>
      <c r="B117">
        <f>'EXISTENCIA EN SUCURSALES'!Z123</f>
        <v>99</v>
      </c>
      <c r="C117">
        <f>'GRAL. SUC. LOCALES'!N123</f>
        <v>12</v>
      </c>
      <c r="D117">
        <f>SUM(B117:C117)</f>
        <v>111</v>
      </c>
    </row>
    <row r="118">
      <c r="A118" t="str">
        <v>CAJA DE BROWNIES CON 4 PIEZAS</v>
      </c>
      <c r="B118" t="e">
        <f>'EXISTENCIA EN SUCURSALES'!#REF!</f>
        <v>#REF!</v>
      </c>
      <c r="C118" t="e">
        <f>'GRAL. SUC. LOCALES'!#REF!</f>
        <v>#REF!</v>
      </c>
      <c r="D118" t="e">
        <f>SUM(B118:C118)</f>
        <v>#REF!</v>
      </c>
    </row>
    <row r="119">
      <c r="A119" t="str">
        <v>IMPERIAL CHOCOLATE GDE</v>
      </c>
      <c r="B119" t="e">
        <f>'EXISTENCIA EN SUCURSALES'!#REF!</f>
        <v>#REF!</v>
      </c>
      <c r="C119" t="e">
        <f>'GRAL. SUC. LOCALES'!#REF!</f>
        <v>#REF!</v>
      </c>
      <c r="D119" t="e">
        <f>SUM(B119:C119)</f>
        <v>#REF!</v>
      </c>
    </row>
    <row r="120">
      <c r="A120" t="str">
        <v>IMPERIAL CHOCOLATE MED</v>
      </c>
      <c r="B120" t="e">
        <f>'EXISTENCIA EN SUCURSALES'!#REF!</f>
        <v>#REF!</v>
      </c>
      <c r="C120" t="e">
        <f>'GRAL. SUC. LOCALES'!#REF!</f>
        <v>#REF!</v>
      </c>
      <c r="D120" t="e">
        <f>SUM(B120:C120)</f>
        <v>#REF!</v>
      </c>
    </row>
    <row r="121">
      <c r="A121" t="str">
        <v>IMPERIAL CHOCOLATE CH</v>
      </c>
      <c r="B121" t="e">
        <f>'EXISTENCIA EN SUCURSALES'!#REF!</f>
        <v>#REF!</v>
      </c>
      <c r="C121" t="e">
        <f>'GRAL. SUC. LOCALES'!#REF!</f>
        <v>#REF!</v>
      </c>
      <c r="D121" t="e">
        <f>SUM(B121:C121)</f>
        <v>#REF!</v>
      </c>
    </row>
    <row r="122">
      <c r="B122" t="e">
        <f>'EXISTENCIA EN SUCURSALES'!#REF!</f>
        <v>#REF!</v>
      </c>
      <c r="C122" t="e">
        <f>'GRAL. SUC. LOCALES'!#REF!</f>
        <v>#REF!</v>
      </c>
      <c r="D122" t="e">
        <f>SUM(B122:C122)</f>
        <v>#REF!</v>
      </c>
    </row>
    <row r="123">
      <c r="B123" t="e">
        <f>'EXISTENCIA EN SUCURSALES'!#REF!</f>
        <v>#REF!</v>
      </c>
      <c r="C123" t="e">
        <f>'GRAL. SUC. LOCALES'!#REF!</f>
        <v>#REF!</v>
      </c>
      <c r="D123" t="e">
        <f>SUM(B123:C123)</f>
        <v>#REF!</v>
      </c>
    </row>
    <row r="124">
      <c r="B124" t="e">
        <f>'EXISTENCIA EN SUCURSALES'!#REF!</f>
        <v>#REF!</v>
      </c>
      <c r="C124" t="e">
        <f>'GRAL. SUC. LOCALES'!#REF!</f>
        <v>#REF!</v>
      </c>
      <c r="D124" t="e">
        <f>SUM(B124:C124)</f>
        <v>#REF!</v>
      </c>
    </row>
    <row r="125">
      <c r="B125">
        <f>'EXISTENCIA EN SUCURSALES'!Z124</f>
        <v>100</v>
      </c>
      <c r="C125">
        <f>'GRAL. SUC. LOCALES'!N124</f>
        <v>8</v>
      </c>
      <c r="D125">
        <f>SUM(B125:C125)</f>
        <v>108</v>
      </c>
    </row>
    <row r="126">
      <c r="B126">
        <f>'EXISTENCIA EN SUCURSALES'!Z125</f>
        <v>106</v>
      </c>
      <c r="C126">
        <f>'GRAL. SUC. LOCALES'!N125</f>
        <v>0</v>
      </c>
      <c r="D126">
        <f>SUM(B126:C126)</f>
        <v>106</v>
      </c>
    </row>
    <row r="127">
      <c r="B127">
        <f>'EXISTENCIA EN SUCURSALES'!Z126</f>
        <v>20</v>
      </c>
      <c r="C127">
        <f>'GRAL. SUC. LOCALES'!N126</f>
        <v>0</v>
      </c>
      <c r="D127">
        <f>SUM(B127:C127)</f>
        <v>20</v>
      </c>
    </row>
    <row r="128">
      <c r="B128">
        <f>'EXISTENCIA EN SUCURSALES'!Z127</f>
        <v>13</v>
      </c>
      <c r="C128">
        <f>'GRAL. SUC. LOCALES'!N127</f>
        <v>0</v>
      </c>
      <c r="D128">
        <f>SUM(B128:C128)</f>
        <v>13</v>
      </c>
    </row>
    <row r="129">
      <c r="B129" t="e">
        <f>'EXISTENCIA EN SUCURSALES'!#REF!</f>
        <v>#REF!</v>
      </c>
      <c r="C129" t="e">
        <f>'GRAL. SUC. LOCALES'!#REF!</f>
        <v>#REF!</v>
      </c>
      <c r="D129" t="e">
        <f>SUM(B129:C129)</f>
        <v>#REF!</v>
      </c>
    </row>
    <row r="130">
      <c r="B130" t="e">
        <f>'EXISTENCIA EN SUCURSALES'!#REF!</f>
        <v>#REF!</v>
      </c>
      <c r="C130" t="e">
        <f>'GRAL. SUC. LOCALES'!#REF!</f>
        <v>#REF!</v>
      </c>
      <c r="D130" t="e">
        <f>SUM(B130:C130)</f>
        <v>#REF!</v>
      </c>
    </row>
    <row r="131">
      <c r="B131" t="e">
        <f>'EXISTENCIA EN SUCURSALES'!#REF!</f>
        <v>#REF!</v>
      </c>
      <c r="C131" t="e">
        <f>'GRAL. SUC. LOCALES'!#REF!</f>
        <v>#REF!</v>
      </c>
      <c r="D131" t="e">
        <f>SUM(B131:C131)</f>
        <v>#REF!</v>
      </c>
    </row>
    <row r="132">
      <c r="B132" t="e">
        <f>'EXISTENCIA EN SUCURSALES'!#REF!</f>
        <v>#REF!</v>
      </c>
      <c r="C132" t="e">
        <f>'GRAL. SUC. LOCALES'!#REF!</f>
        <v>#REF!</v>
      </c>
      <c r="D132" t="e">
        <f>SUM(B132:C132)</f>
        <v>#REF!</v>
      </c>
    </row>
    <row r="133">
      <c r="B133" t="e">
        <f>'EXISTENCIA EN SUCURSALES'!#REF!</f>
        <v>#REF!</v>
      </c>
      <c r="C133" t="e">
        <f>'GRAL. SUC. LOCALES'!#REF!</f>
        <v>#REF!</v>
      </c>
      <c r="D133" t="e">
        <f>SUM(B133:C133)</f>
        <v>#REF!</v>
      </c>
    </row>
    <row r="134">
      <c r="B134" t="e">
        <f>'EXISTENCIA EN SUCURSALES'!#REF!</f>
        <v>#REF!</v>
      </c>
      <c r="C134" t="e">
        <f>'GRAL. SUC. LOCALES'!#REF!</f>
        <v>#REF!</v>
      </c>
      <c r="D134" t="e">
        <f>SUM(B134:C134)</f>
        <v>#REF!</v>
      </c>
    </row>
    <row r="135">
      <c r="B135" t="e">
        <f>'EXISTENCIA EN SUCURSALES'!#REF!</f>
        <v>#REF!</v>
      </c>
      <c r="C135" t="e">
        <f>'GRAL. SUC. LOCALES'!#REF!</f>
        <v>#REF!</v>
      </c>
      <c r="D135" t="e">
        <f>SUM(B135:C135)</f>
        <v>#REF!</v>
      </c>
    </row>
    <row r="136">
      <c r="B136" t="e">
        <f>'EXISTENCIA EN SUCURSALES'!#REF!</f>
        <v>#REF!</v>
      </c>
      <c r="C136" t="e">
        <f>'GRAL. SUC. LOCALES'!#REF!</f>
        <v>#REF!</v>
      </c>
      <c r="D136" t="e">
        <f>SUM(B136:C136)</f>
        <v>#REF!</v>
      </c>
    </row>
    <row r="137">
      <c r="B137" t="e">
        <f>'EXISTENCIA EN SUCURSALES'!#REF!</f>
        <v>#REF!</v>
      </c>
      <c r="C137" t="e">
        <f>'GRAL. SUC. LOCALES'!#REF!</f>
        <v>#REF!</v>
      </c>
      <c r="D137" t="e">
        <f>SUM(B137:C137)</f>
        <v>#REF!</v>
      </c>
    </row>
    <row r="138">
      <c r="B138" t="e">
        <f>'EXISTENCIA EN SUCURSALES'!#REF!</f>
        <v>#REF!</v>
      </c>
      <c r="C138" t="e">
        <f>'GRAL. SUC. LOCALES'!#REF!</f>
        <v>#REF!</v>
      </c>
      <c r="D138" t="e">
        <f>SUM(B138:C138)</f>
        <v>#REF!</v>
      </c>
    </row>
    <row r="139">
      <c r="B139" t="e">
        <f>SUM(B91:B138)</f>
        <v>#REF!</v>
      </c>
      <c r="C139" t="e">
        <f>SUM(C91:C138)</f>
        <v>#REF!</v>
      </c>
      <c r="D139" t="e">
        <f>SUM(D91:D138)</f>
        <v>#REF!</v>
      </c>
    </row>
    <row r="140">
      <c r="B140" t="e">
        <f>B90+B139</f>
        <v>#REF!</v>
      </c>
      <c r="C140" t="e">
        <f>C90+C139</f>
        <v>#REF!</v>
      </c>
      <c r="D140" t="e">
        <f>D90+D139</f>
        <v>#REF!</v>
      </c>
    </row>
  </sheetData>
  <pageMargins left="0.7" right="0.7" top="0.75" bottom="0.75" header="0.3" footer="0.3"/>
  <ignoredErrors>
    <ignoredError numberStoredAsText="1" sqref="A1:D14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140"/>
  <sheetViews>
    <sheetView workbookViewId="0"/>
  </sheetViews>
  <sheetData>
    <row r="1">
      <c r="A1" s="1">
        <f>+RAIZ!B1</f>
        <v>46301</v>
      </c>
      <c r="B1" t="str">
        <v>SUCURSALES</v>
      </c>
      <c r="E1" t="str">
        <v>LO QUE HABIA</v>
      </c>
      <c r="F1" t="str">
        <v>LO QUE QUEDA</v>
      </c>
    </row>
    <row r="2">
      <c r="A2" t="str">
        <v xml:space="preserve">PRODUCTO </v>
      </c>
      <c r="B2" t="str">
        <v>EXISTENCIA EN GENERAL</v>
      </c>
      <c r="C2" t="str">
        <v>PRODUCTO A DISTRIBUIR</v>
      </c>
      <c r="D2" t="str">
        <v>TOTAL A TENER</v>
      </c>
      <c r="E2" t="str">
        <v>EXISTENCIA CUARTO FRIO</v>
      </c>
      <c r="F2" t="str">
        <v>RESTANTE CUARTO FRIO</v>
      </c>
      <c r="G2" t="str">
        <v>TOTAL</v>
      </c>
    </row>
    <row r="3">
      <c r="A3" t="str">
        <v>PIÑA GDE</v>
      </c>
      <c r="B3">
        <f>IFERROR(VLOOKUP(A3,'EXISTENCIA EN SUCURSALES'!$A:$Z,23,0),0)</f>
        <v>1</v>
      </c>
      <c r="C3">
        <f>IFERROR(VLOOKUP(A3,'DISTRIBUCIÓN EN SUCURSALES'!$A:$Z,23,0),0)</f>
        <v>0</v>
      </c>
      <c r="D3">
        <f>C3+B3</f>
        <v>1</v>
      </c>
      <c r="E3">
        <f>IFERROR(VLOOKUP(A3,'GRAL. SUC. FORANEAS'!$A:$P,23,0),0)</f>
        <v>0</v>
      </c>
      <c r="F3">
        <f>IFERROR(VLOOKUP(A3,'GRAL. SUC. LOCALES'!$A:$N,27,0),0)</f>
        <v>0</v>
      </c>
      <c r="G3">
        <f>SUM(B3:C3)</f>
        <v>1</v>
      </c>
    </row>
    <row r="4">
      <c r="A4" t="str">
        <v>DURAZNO GDE</v>
      </c>
      <c r="B4">
        <f>IFERROR(VLOOKUP(A4,'EXISTENCIA EN SUCURSALES'!$A:$Z,23,0),0)</f>
        <v>1</v>
      </c>
      <c r="C4">
        <f>IFERROR(VLOOKUP(A4,'DISTRIBUCIÓN EN SUCURSALES'!$A:$Z,23,0),0)</f>
        <v>0</v>
      </c>
      <c r="D4">
        <f>C4+B4</f>
        <v>1</v>
      </c>
      <c r="E4">
        <f>IFERROR(VLOOKUP(A4,'GRAL. SUC. FORANEAS'!$A:$P,23,0),0)</f>
        <v>0</v>
      </c>
      <c r="F4">
        <f>IFERROR(VLOOKUP(A4,'GRAL. SUC. LOCALES'!$A:$N,27,0),0)</f>
        <v>0</v>
      </c>
      <c r="G4">
        <f>SUM(B4:C4)</f>
        <v>1</v>
      </c>
    </row>
    <row r="5">
      <c r="A5" t="str">
        <v>3 LECHES GDE</v>
      </c>
      <c r="B5">
        <f>IFERROR(VLOOKUP(A5,'EXISTENCIA EN SUCURSALES'!$A:$Z,23,0),0)</f>
        <v>1</v>
      </c>
      <c r="C5">
        <f>IFERROR(VLOOKUP(A5,'DISTRIBUCIÓN EN SUCURSALES'!$A:$Z,23,0),0)</f>
        <v>0</v>
      </c>
      <c r="D5">
        <f>C5+B5</f>
        <v>1</v>
      </c>
      <c r="E5">
        <f>IFERROR(VLOOKUP(A5,'GRAL. SUC. FORANEAS'!$A:$P,23,0),0)</f>
        <v>0</v>
      </c>
      <c r="F5">
        <f>IFERROR(VLOOKUP(A5,'GRAL. SUC. LOCALES'!$A:$N,27,0),0)</f>
        <v>0</v>
      </c>
      <c r="G5">
        <f>SUM(B5:C5)</f>
        <v>1</v>
      </c>
    </row>
    <row r="6">
      <c r="A6" t="str">
        <v>FRUTAS GDE</v>
      </c>
      <c r="B6">
        <f>IFERROR(VLOOKUP(A6,'EXISTENCIA EN SUCURSALES'!$A:$Z,23,0),0)</f>
        <v>1</v>
      </c>
      <c r="C6">
        <f>IFERROR(VLOOKUP(A6,'DISTRIBUCIÓN EN SUCURSALES'!$A:$Z,23,0),0)</f>
        <v>0</v>
      </c>
      <c r="D6">
        <f>C6+B6</f>
        <v>1</v>
      </c>
      <c r="E6">
        <f>IFERROR(VLOOKUP(A6,'GRAL. SUC. FORANEAS'!$A:$P,23,0),0)</f>
        <v>0</v>
      </c>
      <c r="F6">
        <f>IFERROR(VLOOKUP(A6,'GRAL. SUC. LOCALES'!$A:$N,27,0),0)</f>
        <v>0</v>
      </c>
      <c r="G6">
        <f>SUM(B6:C6)</f>
        <v>1</v>
      </c>
    </row>
    <row r="7">
      <c r="A7" t="str">
        <v>DUO DURAZNO GDE</v>
      </c>
      <c r="B7">
        <f>IFERROR(VLOOKUP(A7,'EXISTENCIA EN SUCURSALES'!$A:$Z,23,0),0)</f>
        <v>1</v>
      </c>
      <c r="C7">
        <f>IFERROR(VLOOKUP(A7,'DISTRIBUCIÓN EN SUCURSALES'!$A:$Z,23,0),0)</f>
        <v>0</v>
      </c>
      <c r="D7">
        <f>C7+B7</f>
        <v>1</v>
      </c>
      <c r="E7">
        <f>IFERROR(VLOOKUP(A7,'GRAL. SUC. FORANEAS'!$A:$P,23,0),0)</f>
        <v>0</v>
      </c>
      <c r="F7">
        <f>IFERROR(VLOOKUP(A7,'GRAL. SUC. LOCALES'!$A:$N,27,0),0)</f>
        <v>0</v>
      </c>
      <c r="G7">
        <f>SUM(B7:C7)</f>
        <v>1</v>
      </c>
    </row>
    <row r="8">
      <c r="A8" t="str">
        <v>MOKA GDE</v>
      </c>
      <c r="B8">
        <f>IFERROR(VLOOKUP(A8,'EXISTENCIA EN SUCURSALES'!$A:$Z,23,0),0)</f>
        <v>3</v>
      </c>
      <c r="C8">
        <f>IFERROR(VLOOKUP(A8,'DISTRIBUCIÓN EN SUCURSALES'!$A:$Z,23,0),0)</f>
        <v>0</v>
      </c>
      <c r="D8">
        <f>C8+B8</f>
        <v>3</v>
      </c>
      <c r="E8">
        <f>IFERROR(VLOOKUP(A8,'GRAL. SUC. FORANEAS'!$A:$P,23,0),0)</f>
        <v>0</v>
      </c>
      <c r="F8">
        <f>IFERROR(VLOOKUP(A8,'GRAL. SUC. LOCALES'!$A:$N,27,0),0)</f>
        <v>0</v>
      </c>
      <c r="G8">
        <f>SUM(B8:C8)</f>
        <v>3</v>
      </c>
    </row>
    <row r="9">
      <c r="A9" t="str">
        <v>NUTELA GDE</v>
      </c>
      <c r="B9">
        <f>IFERROR(VLOOKUP(A9,'EXISTENCIA EN SUCURSALES'!$A:$Z,23,0),0)</f>
        <v>2</v>
      </c>
      <c r="C9">
        <f>IFERROR(VLOOKUP(A9,'DISTRIBUCIÓN EN SUCURSALES'!$A:$Z,23,0),0)</f>
        <v>0</v>
      </c>
      <c r="D9">
        <f>C9+B9</f>
        <v>2</v>
      </c>
      <c r="E9">
        <f>IFERROR(VLOOKUP(A9,'GRAL. SUC. FORANEAS'!$A:$P,23,0),0)</f>
        <v>0</v>
      </c>
      <c r="F9">
        <f>IFERROR(VLOOKUP(A9,'GRAL. SUC. LOCALES'!$A:$N,27,0),0)</f>
        <v>0</v>
      </c>
      <c r="G9">
        <f>SUM(B9:C9)</f>
        <v>2</v>
      </c>
    </row>
    <row r="10">
      <c r="A10" t="str">
        <v>CHOCOLATE GDE</v>
      </c>
      <c r="B10">
        <f>IFERROR(VLOOKUP(A10,'EXISTENCIA EN SUCURSALES'!$A:$Z,23,0),0)</f>
        <v>2</v>
      </c>
      <c r="C10">
        <f>IFERROR(VLOOKUP(A10,'DISTRIBUCIÓN EN SUCURSALES'!$A:$Z,23,0),0)</f>
        <v>0</v>
      </c>
      <c r="D10">
        <f>C10+B10</f>
        <v>2</v>
      </c>
      <c r="E10">
        <f>IFERROR(VLOOKUP(A10,'GRAL. SUC. FORANEAS'!$A:$P,23,0),0)</f>
        <v>0</v>
      </c>
      <c r="F10">
        <f>IFERROR(VLOOKUP(A10,'GRAL. SUC. LOCALES'!$A:$N,27,0),0)</f>
        <v>0</v>
      </c>
      <c r="G10">
        <f>SUM(B10:C10)</f>
        <v>2</v>
      </c>
    </row>
    <row r="11">
      <c r="A11" t="str">
        <v>M &amp; M GDE</v>
      </c>
      <c r="B11">
        <f>IFERROR(VLOOKUP(A11,'EXISTENCIA EN SUCURSALES'!$A:$Z,23,0),0)</f>
        <v>1</v>
      </c>
      <c r="C11">
        <f>IFERROR(VLOOKUP(A11,'DISTRIBUCIÓN EN SUCURSALES'!$A:$Z,23,0),0)</f>
        <v>0</v>
      </c>
      <c r="D11">
        <f>C11+B11</f>
        <v>1</v>
      </c>
      <c r="E11">
        <f>IFERROR(VLOOKUP(A11,'GRAL. SUC. FORANEAS'!$A:$P,23,0),0)</f>
        <v>0</v>
      </c>
      <c r="F11">
        <f>IFERROR(VLOOKUP(A11,'GRAL. SUC. LOCALES'!$A:$N,27,0),0)</f>
        <v>0</v>
      </c>
      <c r="G11">
        <f>SUM(B11:C11)</f>
        <v>1</v>
      </c>
    </row>
    <row r="12">
      <c r="A12" t="str">
        <v xml:space="preserve">3 LECHES GRANDES </v>
      </c>
      <c r="B12">
        <f>SUM(B3:B11)</f>
        <v>13</v>
      </c>
      <c r="C12">
        <f>SUM(C3:C11)</f>
        <v>0</v>
      </c>
      <c r="D12">
        <f>SUM(D3:D11)</f>
        <v>13</v>
      </c>
      <c r="E12">
        <f>SUM(E3:E11)</f>
        <v>0</v>
      </c>
      <c r="F12">
        <f>SUM(F3:F11)</f>
        <v>0</v>
      </c>
      <c r="G12">
        <f>SUM(G3:G11)</f>
        <v>13</v>
      </c>
    </row>
    <row r="13">
      <c r="A13" t="str">
        <v>TRES LECHES MEDIANO</v>
      </c>
      <c r="B13">
        <f>IFERROR(VLOOKUP(A13,'EXISTENCIA EN SUCURSALES'!$A:$Z,23,0),0)</f>
        <v>2</v>
      </c>
      <c r="C13">
        <f>IFERROR(VLOOKUP(A13,'DISTRIBUCIÓN EN SUCURSALES'!$A:$Z,23,0),0)</f>
        <v>0</v>
      </c>
      <c r="D13">
        <f>C13+B13</f>
        <v>2</v>
      </c>
      <c r="E13">
        <f>IFERROR(VLOOKUP(A13,'GRAL. SUC. FORANEAS'!$A:$P,23,0),0)</f>
        <v>0</v>
      </c>
      <c r="F13">
        <f>IFERROR(VLOOKUP(A13,'GRAL. SUC. LOCALES'!$A:$N,27,0),0)</f>
        <v>0</v>
      </c>
      <c r="G13">
        <f>SUM(B13:C13)</f>
        <v>2</v>
      </c>
    </row>
    <row r="14">
      <c r="A14" t="str">
        <v>FRUTAS MED</v>
      </c>
      <c r="B14">
        <f>IFERROR(VLOOKUP(A14,'EXISTENCIA EN SUCURSALES'!$A:$Z,23,0),0)</f>
        <v>3</v>
      </c>
      <c r="C14">
        <f>IFERROR(VLOOKUP(A14,'DISTRIBUCIÓN EN SUCURSALES'!$A:$Z,23,0),0)</f>
        <v>0</v>
      </c>
      <c r="D14">
        <f>C14+B14</f>
        <v>3</v>
      </c>
      <c r="E14">
        <f>IFERROR(VLOOKUP(A14,'GRAL. SUC. FORANEAS'!$A:$P,23,0),0)</f>
        <v>0</v>
      </c>
      <c r="F14">
        <f>IFERROR(VLOOKUP(A14,'GRAL. SUC. LOCALES'!$A:$N,27,0),0)</f>
        <v>0</v>
      </c>
      <c r="G14">
        <f>SUM(B14:C14)</f>
        <v>3</v>
      </c>
    </row>
    <row r="15">
      <c r="A15" t="str">
        <v>DUO DURAZNO MEDIANO</v>
      </c>
      <c r="B15">
        <f>IFERROR(VLOOKUP(A15,'EXISTENCIA EN SUCURSALES'!$A:$Z,23,0),0)</f>
        <v>3</v>
      </c>
      <c r="C15">
        <f>IFERROR(VLOOKUP(A15,'DISTRIBUCIÓN EN SUCURSALES'!$A:$Z,23,0),0)</f>
        <v>0</v>
      </c>
      <c r="D15">
        <f>C15+B15</f>
        <v>3</v>
      </c>
      <c r="E15">
        <f>IFERROR(VLOOKUP(A15,'GRAL. SUC. FORANEAS'!$A:$P,23,0),0)</f>
        <v>0</v>
      </c>
      <c r="F15">
        <f>IFERROR(VLOOKUP(A15,'GRAL. SUC. LOCALES'!$A:$N,27,0),0)</f>
        <v>0</v>
      </c>
      <c r="G15">
        <f>SUM(B15:C15)</f>
        <v>3</v>
      </c>
    </row>
    <row r="16">
      <c r="A16" t="str">
        <v>PIÑA MED</v>
      </c>
      <c r="B16">
        <f>IFERROR(VLOOKUP(A16,'EXISTENCIA EN SUCURSALES'!$A:$Z,23,0),0)</f>
        <v>2</v>
      </c>
      <c r="C16">
        <f>IFERROR(VLOOKUP(A16,'DISTRIBUCIÓN EN SUCURSALES'!$A:$Z,23,0),0)</f>
        <v>0</v>
      </c>
      <c r="D16">
        <f>C16+B16</f>
        <v>2</v>
      </c>
      <c r="E16">
        <f>IFERROR(VLOOKUP(A16,'GRAL. SUC. FORANEAS'!$A:$P,23,0),0)</f>
        <v>0</v>
      </c>
      <c r="F16">
        <f>IFERROR(VLOOKUP(A16,'GRAL. SUC. LOCALES'!$A:$N,27,0),0)</f>
        <v>0</v>
      </c>
      <c r="G16">
        <f>SUM(B16:C16)</f>
        <v>2</v>
      </c>
    </row>
    <row r="17">
      <c r="A17" t="str">
        <v>NUEZ TRES LECHES MED</v>
      </c>
      <c r="B17">
        <f>IFERROR(VLOOKUP(A17,'EXISTENCIA EN SUCURSALES'!$A:$Z,23,0),0)</f>
        <v>0</v>
      </c>
      <c r="C17">
        <f>IFERROR(VLOOKUP(A17,'DISTRIBUCIÓN EN SUCURSALES'!$A:$Z,23,0),0)</f>
        <v>0</v>
      </c>
      <c r="D17">
        <f>C17+B17</f>
        <v>0</v>
      </c>
      <c r="E17">
        <f>IFERROR(VLOOKUP(A17,'GRAL. SUC. FORANEAS'!$A:$P,23,0),0)</f>
        <v>0</v>
      </c>
      <c r="F17">
        <f>IFERROR(VLOOKUP(A17,'GRAL. SUC. LOCALES'!$A:$N,27,0),0)</f>
        <v>0</v>
      </c>
      <c r="G17">
        <f>SUM(B17:C17)</f>
        <v>0</v>
      </c>
    </row>
    <row r="18">
      <c r="A18" t="str">
        <v>CHOCOLATE MED</v>
      </c>
      <c r="B18">
        <f>IFERROR(VLOOKUP(A18,'EXISTENCIA EN SUCURSALES'!$A:$Z,23,0),0)</f>
        <v>2</v>
      </c>
      <c r="C18">
        <f>IFERROR(VLOOKUP(A18,'DISTRIBUCIÓN EN SUCURSALES'!$A:$Z,23,0),0)</f>
        <v>0</v>
      </c>
      <c r="D18">
        <f>C18+B18</f>
        <v>2</v>
      </c>
      <c r="E18">
        <f>IFERROR(VLOOKUP(A18,'GRAL. SUC. FORANEAS'!$A:$P,23,0),0)</f>
        <v>0</v>
      </c>
      <c r="F18">
        <f>IFERROR(VLOOKUP(A18,'GRAL. SUC. LOCALES'!$A:$N,27,0),0)</f>
        <v>0</v>
      </c>
      <c r="G18">
        <f>SUM(B18:C18)</f>
        <v>2</v>
      </c>
    </row>
    <row r="19">
      <c r="A19" t="str">
        <v>M &amp; M MEDIANO</v>
      </c>
      <c r="B19">
        <f>IFERROR(VLOOKUP(A19,'EXISTENCIA EN SUCURSALES'!$A:$Z,23,0),0)</f>
        <v>0</v>
      </c>
      <c r="C19">
        <f>IFERROR(VLOOKUP(A19,'DISTRIBUCIÓN EN SUCURSALES'!$A:$Z,23,0),0)</f>
        <v>0</v>
      </c>
      <c r="D19">
        <f>C19+B19</f>
        <v>0</v>
      </c>
      <c r="E19">
        <f>IFERROR(VLOOKUP(A19,'GRAL. SUC. FORANEAS'!$A:$P,23,0),0)</f>
        <v>0</v>
      </c>
      <c r="F19">
        <f>IFERROR(VLOOKUP(A19,'GRAL. SUC. LOCALES'!$A:$N,27,0),0)</f>
        <v>0</v>
      </c>
      <c r="G19">
        <f>SUM(B19:C19)</f>
        <v>0</v>
      </c>
    </row>
    <row r="20">
      <c r="A20" t="str">
        <v>MOKA MEDIANO</v>
      </c>
      <c r="B20">
        <f>IFERROR(VLOOKUP(A20,'EXISTENCIA EN SUCURSALES'!$A:$Z,23,0),0)</f>
        <v>2</v>
      </c>
      <c r="C20">
        <f>IFERROR(VLOOKUP(A20,'DISTRIBUCIÓN EN SUCURSALES'!$A:$Z,23,0),0)</f>
        <v>0</v>
      </c>
      <c r="D20">
        <f>C20+B20</f>
        <v>2</v>
      </c>
      <c r="E20">
        <f>IFERROR(VLOOKUP(A20,'GRAL. SUC. FORANEAS'!$A:$P,23,0),0)</f>
        <v>0</v>
      </c>
      <c r="F20">
        <f>IFERROR(VLOOKUP(A20,'GRAL. SUC. LOCALES'!$A:$N,27,0),0)</f>
        <v>0</v>
      </c>
      <c r="G20">
        <f>SUM(B20:C20)</f>
        <v>2</v>
      </c>
    </row>
    <row r="21">
      <c r="A21" t="str">
        <v xml:space="preserve">3 LECHES MEDIANOS </v>
      </c>
      <c r="B21">
        <f>SUM(B13:B20)</f>
        <v>14</v>
      </c>
      <c r="C21">
        <f>SUM(C13:C20)</f>
        <v>0</v>
      </c>
      <c r="D21">
        <f>SUM(D13:D20)</f>
        <v>14</v>
      </c>
      <c r="E21">
        <f>SUM(E13:E20)</f>
        <v>0</v>
      </c>
      <c r="F21">
        <f>SUM(F13:F20)</f>
        <v>0</v>
      </c>
      <c r="G21">
        <f>SUM(G13:G20)</f>
        <v>14</v>
      </c>
    </row>
    <row r="22">
      <c r="A22" t="str">
        <v>PIÑA CH</v>
      </c>
      <c r="B22">
        <f>IFERROR(VLOOKUP(A22,'EXISTENCIA EN SUCURSALES'!$A:$Z,23,0),0)</f>
        <v>1</v>
      </c>
      <c r="C22">
        <f>IFERROR(VLOOKUP(A22,'DISTRIBUCIÓN EN SUCURSALES'!$A:$Z,23,0),0)</f>
        <v>0</v>
      </c>
      <c r="D22">
        <f>C22+B22</f>
        <v>1</v>
      </c>
      <c r="E22">
        <f>IFERROR(VLOOKUP(A22,'GRAL. SUC. FORANEAS'!$A:$P,23,0),0)</f>
        <v>0</v>
      </c>
      <c r="F22">
        <f>IFERROR(VLOOKUP(A22,'GRAL. SUC. LOCALES'!$A:$N,27,0),0)</f>
        <v>0</v>
      </c>
      <c r="G22">
        <f>SUM(B22:C22)</f>
        <v>1</v>
      </c>
    </row>
    <row r="23">
      <c r="A23" t="str">
        <v>DURAZNO CH</v>
      </c>
      <c r="B23">
        <f>IFERROR(VLOOKUP(A23,'EXISTENCIA EN SUCURSALES'!$A:$Z,23,0),0)</f>
        <v>2</v>
      </c>
      <c r="C23">
        <f>IFERROR(VLOOKUP(A23,'DISTRIBUCIÓN EN SUCURSALES'!$A:$Z,23,0),0)</f>
        <v>0</v>
      </c>
      <c r="D23">
        <f>C23+B23</f>
        <v>2</v>
      </c>
      <c r="E23">
        <f>IFERROR(VLOOKUP(A23,'GRAL. SUC. FORANEAS'!$A:$P,23,0),0)</f>
        <v>0</v>
      </c>
      <c r="F23">
        <f>IFERROR(VLOOKUP(A23,'GRAL. SUC. LOCALES'!$A:$N,27,0),0)</f>
        <v>0</v>
      </c>
      <c r="G23">
        <f>SUM(B23:C23)</f>
        <v>2</v>
      </c>
    </row>
    <row r="24">
      <c r="A24" t="str">
        <v>FRESA CH</v>
      </c>
      <c r="B24">
        <f>IFERROR(VLOOKUP(A24,'EXISTENCIA EN SUCURSALES'!$A:$Z,23,0),0)</f>
        <v>2</v>
      </c>
      <c r="C24">
        <f>IFERROR(VLOOKUP(A24,'DISTRIBUCIÓN EN SUCURSALES'!$A:$Z,23,0),0)</f>
        <v>0</v>
      </c>
      <c r="D24">
        <f>C24+B24</f>
        <v>2</v>
      </c>
      <c r="E24">
        <f>IFERROR(VLOOKUP(A24,'GRAL. SUC. FORANEAS'!$A:$P,23,0),0)</f>
        <v>0</v>
      </c>
      <c r="F24">
        <f>IFERROR(VLOOKUP(A24,'GRAL. SUC. LOCALES'!$A:$N,27,0),0)</f>
        <v>0</v>
      </c>
      <c r="G24">
        <f>SUM(B24:C24)</f>
        <v>2</v>
      </c>
    </row>
    <row r="25">
      <c r="A25" t="str">
        <v>3 LECHES CH</v>
      </c>
      <c r="B25">
        <f>IFERROR(VLOOKUP(A25,'EXISTENCIA EN SUCURSALES'!$A:$Z,23,0),0)</f>
        <v>2</v>
      </c>
      <c r="C25">
        <f>IFERROR(VLOOKUP(A25,'DISTRIBUCIÓN EN SUCURSALES'!$A:$Z,23,0),0)</f>
        <v>0</v>
      </c>
      <c r="D25">
        <f>C25+B25</f>
        <v>2</v>
      </c>
      <c r="E25">
        <f>IFERROR(VLOOKUP(A25,'GRAL. SUC. FORANEAS'!$A:$P,23,0),0)</f>
        <v>0</v>
      </c>
      <c r="F25">
        <f>IFERROR(VLOOKUP(A25,'GRAL. SUC. LOCALES'!$A:$N,27,0),0)</f>
        <v>0</v>
      </c>
      <c r="G25">
        <f>SUM(B25:C25)</f>
        <v>2</v>
      </c>
    </row>
    <row r="26">
      <c r="A26" t="str">
        <v>FRUTAS CH</v>
      </c>
      <c r="B26">
        <f>IFERROR(VLOOKUP(A26,'EXISTENCIA EN SUCURSALES'!$A:$Z,23,0),0)</f>
        <v>2</v>
      </c>
      <c r="C26">
        <f>IFERROR(VLOOKUP(A26,'DISTRIBUCIÓN EN SUCURSALES'!$A:$Z,23,0),0)</f>
        <v>0</v>
      </c>
      <c r="D26">
        <f>C26+B26</f>
        <v>2</v>
      </c>
      <c r="E26">
        <f>IFERROR(VLOOKUP(A26,'GRAL. SUC. FORANEAS'!$A:$P,23,0),0)</f>
        <v>0</v>
      </c>
      <c r="F26">
        <f>IFERROR(VLOOKUP(A26,'GRAL. SUC. LOCALES'!$A:$N,27,0),0)</f>
        <v>0</v>
      </c>
      <c r="G26">
        <f>SUM(B26:C26)</f>
        <v>2</v>
      </c>
    </row>
    <row r="27">
      <c r="A27" t="str">
        <v>MOKA CH</v>
      </c>
      <c r="B27">
        <f>IFERROR(VLOOKUP(A27,'EXISTENCIA EN SUCURSALES'!$A:$Z,23,0),0)</f>
        <v>2</v>
      </c>
      <c r="C27">
        <f>IFERROR(VLOOKUP(A27,'DISTRIBUCIÓN EN SUCURSALES'!$A:$Z,23,0),0)</f>
        <v>0</v>
      </c>
      <c r="D27">
        <f>C27+B27</f>
        <v>2</v>
      </c>
      <c r="E27">
        <f>IFERROR(VLOOKUP(A27,'GRAL. SUC. FORANEAS'!$A:$P,23,0),0)</f>
        <v>0</v>
      </c>
      <c r="F27">
        <f>IFERROR(VLOOKUP(A27,'GRAL. SUC. LOCALES'!$A:$N,27,0),0)</f>
        <v>0</v>
      </c>
      <c r="G27">
        <f>SUM(B27:C27)</f>
        <v>2</v>
      </c>
    </row>
    <row r="28">
      <c r="A28" t="str">
        <v>NUTELA CH</v>
      </c>
      <c r="B28">
        <f>IFERROR(VLOOKUP(A28,'EXISTENCIA EN SUCURSALES'!$A:$Z,23,0),0)</f>
        <v>1</v>
      </c>
      <c r="C28">
        <f>IFERROR(VLOOKUP(A28,'DISTRIBUCIÓN EN SUCURSALES'!$A:$Z,23,0),0)</f>
        <v>0</v>
      </c>
      <c r="D28">
        <f>C28+B28</f>
        <v>1</v>
      </c>
      <c r="E28">
        <f>IFERROR(VLOOKUP(A28,'GRAL. SUC. FORANEAS'!$A:$P,23,0),0)</f>
        <v>0</v>
      </c>
      <c r="F28">
        <f>IFERROR(VLOOKUP(A28,'GRAL. SUC. LOCALES'!$A:$N,27,0),0)</f>
        <v>0</v>
      </c>
      <c r="G28">
        <f>SUM(B28:C28)</f>
        <v>1</v>
      </c>
    </row>
    <row r="29">
      <c r="A29" t="str">
        <v>CHOCOLATE CH</v>
      </c>
      <c r="B29">
        <f>IFERROR(VLOOKUP(A29,'EXISTENCIA EN SUCURSALES'!$A:$Z,23,0),0)</f>
        <v>2</v>
      </c>
      <c r="C29">
        <f>IFERROR(VLOOKUP(A29,'DISTRIBUCIÓN EN SUCURSALES'!$A:$Z,23,0),0)</f>
        <v>0</v>
      </c>
      <c r="D29">
        <f>C29+B29</f>
        <v>2</v>
      </c>
      <c r="E29">
        <f>IFERROR(VLOOKUP(A29,'GRAL. SUC. FORANEAS'!$A:$P,23,0),0)</f>
        <v>0</v>
      </c>
      <c r="F29">
        <f>IFERROR(VLOOKUP(A29,'GRAL. SUC. LOCALES'!$A:$N,27,0),0)</f>
        <v>0</v>
      </c>
      <c r="G29">
        <f>SUM(B29:C29)</f>
        <v>2</v>
      </c>
    </row>
    <row r="30">
      <c r="A30" t="str">
        <v>M &amp; M CH</v>
      </c>
      <c r="B30">
        <f>IFERROR(VLOOKUP(A30,'EXISTENCIA EN SUCURSALES'!$A:$Z,23,0),0)</f>
        <v>2</v>
      </c>
      <c r="C30">
        <f>IFERROR(VLOOKUP(A30,'DISTRIBUCIÓN EN SUCURSALES'!$A:$Z,23,0),0)</f>
        <v>0</v>
      </c>
      <c r="D30">
        <f>C30+B30</f>
        <v>2</v>
      </c>
      <c r="E30">
        <f>IFERROR(VLOOKUP(A30,'GRAL. SUC. FORANEAS'!$A:$P,23,0),0)</f>
        <v>0</v>
      </c>
      <c r="F30">
        <f>IFERROR(VLOOKUP(A30,'GRAL. SUC. LOCALES'!$A:$N,27,0),0)</f>
        <v>0</v>
      </c>
      <c r="G30">
        <f>SUM(B30:C30)</f>
        <v>2</v>
      </c>
    </row>
    <row r="31">
      <c r="A31" t="str">
        <v>SNIKER CH</v>
      </c>
      <c r="B31">
        <f>IFERROR(VLOOKUP(A31,'EXISTENCIA EN SUCURSALES'!$A:$Z,23,0),0)</f>
        <v>0</v>
      </c>
      <c r="C31">
        <f>IFERROR(VLOOKUP(A31,'DISTRIBUCIÓN EN SUCURSALES'!$A:$Z,23,0),0)</f>
        <v>0</v>
      </c>
      <c r="D31">
        <f>C31+B31</f>
        <v>0</v>
      </c>
      <c r="E31">
        <f>IFERROR(VLOOKUP(A31,'GRAL. SUC. FORANEAS'!$A:$P,23,0),0)</f>
        <v>0</v>
      </c>
      <c r="F31">
        <f>IFERROR(VLOOKUP(A31,'GRAL. SUC. LOCALES'!$A:$N,27,0),0)</f>
        <v>0</v>
      </c>
      <c r="G31">
        <f>SUM(B31:C31)</f>
        <v>0</v>
      </c>
    </row>
    <row r="32">
      <c r="A32" t="str">
        <v xml:space="preserve">3 LECHES CHICOS </v>
      </c>
      <c r="B32">
        <f>SUM(B22:B31)</f>
        <v>16</v>
      </c>
      <c r="C32">
        <f>SUM(C22:C31)</f>
        <v>0</v>
      </c>
      <c r="D32">
        <f>SUM(D22:D31)</f>
        <v>16</v>
      </c>
      <c r="E32">
        <f>SUM(E22:E31)</f>
        <v>0</v>
      </c>
      <c r="F32">
        <f>SUM(F22:F31)</f>
        <v>0</v>
      </c>
      <c r="G32">
        <f>SUM(G22:G31)</f>
        <v>16</v>
      </c>
    </row>
    <row r="33">
      <c r="A33" t="str">
        <v>MINI MEDIANO PIÑERO</v>
      </c>
      <c r="B33">
        <f>IFERROR(VLOOKUP(A33,'EXISTENCIA EN SUCURSALES'!$A:$Z,23,0),0)</f>
        <v>6</v>
      </c>
      <c r="C33">
        <f>IFERROR(VLOOKUP(A33,'DISTRIBUCIÓN EN SUCURSALES'!$A:$Z,23,0),0)</f>
        <v>0</v>
      </c>
      <c r="D33">
        <f>C33+B33</f>
        <v>6</v>
      </c>
      <c r="E33">
        <f>IFERROR(VLOOKUP(A33,'GRAL. SUC. FORANEAS'!$A:$P,23,0),0)</f>
        <v>0</v>
      </c>
      <c r="F33">
        <f>IFERROR(VLOOKUP(A33,'GRAL. SUC. LOCALES'!$A:$N,27,0),0)</f>
        <v>0</v>
      </c>
      <c r="G33">
        <f>SUM(B33:C33)</f>
        <v>6</v>
      </c>
    </row>
    <row r="34">
      <c r="A34" t="str">
        <v>MINI MEDIANO CHOCOLATE</v>
      </c>
      <c r="B34">
        <f>IFERROR(VLOOKUP(A34,'EXISTENCIA EN SUCURSALES'!$A:$Z,23,0),0)</f>
        <v>3</v>
      </c>
      <c r="C34">
        <f>IFERROR(VLOOKUP(A34,'DISTRIBUCIÓN EN SUCURSALES'!$A:$Z,23,0),0)</f>
        <v>0</v>
      </c>
      <c r="D34">
        <f>C34+B34</f>
        <v>3</v>
      </c>
      <c r="E34">
        <f>IFERROR(VLOOKUP(A34,'GRAL. SUC. FORANEAS'!$A:$P,23,0),0)</f>
        <v>0</v>
      </c>
      <c r="F34">
        <f>IFERROR(VLOOKUP(A34,'GRAL. SUC. LOCALES'!$A:$N,27,0),0)</f>
        <v>0</v>
      </c>
      <c r="G34">
        <f>SUM(B34:C34)</f>
        <v>3</v>
      </c>
    </row>
    <row r="35">
      <c r="A35" t="str">
        <v>MINI MEDIANOS 3 LECHES</v>
      </c>
      <c r="B35">
        <f>SUM(B33:B34)</f>
        <v>9</v>
      </c>
      <c r="C35">
        <f>SUM(C33:C34)</f>
        <v>0</v>
      </c>
      <c r="D35">
        <f>SUM(D33:D34)</f>
        <v>9</v>
      </c>
      <c r="E35">
        <f>SUM(E33:E34)</f>
        <v>0</v>
      </c>
      <c r="F35">
        <f>SUM(F33:F34)</f>
        <v>0</v>
      </c>
      <c r="G35">
        <f>SUM(G33:G34)</f>
        <v>9</v>
      </c>
    </row>
    <row r="36">
      <c r="A36" t="str">
        <v>MINI PASTELITO PIÑERO</v>
      </c>
      <c r="B36">
        <f>IFERROR(VLOOKUP(A36,'EXISTENCIA EN SUCURSALES'!$A:$Z,23,0),0)</f>
        <v>4</v>
      </c>
      <c r="C36">
        <f>IFERROR(VLOOKUP(A36,'DISTRIBUCIÓN EN SUCURSALES'!$A:$Z,23,0),0)</f>
        <v>0</v>
      </c>
      <c r="D36">
        <f>C36+B36</f>
        <v>4</v>
      </c>
      <c r="E36">
        <f>IFERROR(VLOOKUP(A36,'GRAL. SUC. FORANEAS'!$A:$P,23,0),0)</f>
        <v>0</v>
      </c>
      <c r="F36">
        <f>IFERROR(VLOOKUP(A36,'GRAL. SUC. LOCALES'!$A:$N,27,0),0)</f>
        <v>0</v>
      </c>
      <c r="G36">
        <f>SUM(B36:C36)</f>
        <v>4</v>
      </c>
    </row>
    <row r="37">
      <c r="A37" t="str">
        <v>MINI PASTELITO CHOCOLATE</v>
      </c>
      <c r="B37">
        <f>IFERROR(VLOOKUP(A37,'EXISTENCIA EN SUCURSALES'!$A:$Z,23,0),0)</f>
        <v>5</v>
      </c>
      <c r="C37">
        <f>IFERROR(VLOOKUP(A37,'DISTRIBUCIÓN EN SUCURSALES'!$A:$Z,23,0),0)</f>
        <v>0</v>
      </c>
      <c r="D37">
        <f>C37+B37</f>
        <v>5</v>
      </c>
      <c r="E37">
        <f>IFERROR(VLOOKUP(A37,'GRAL. SUC. FORANEAS'!$A:$P,23,0),0)</f>
        <v>0</v>
      </c>
      <c r="F37">
        <f>IFERROR(VLOOKUP(A37,'GRAL. SUC. LOCALES'!$A:$N,27,0),0)</f>
        <v>0</v>
      </c>
      <c r="G37">
        <f>SUM(B37:C37)</f>
        <v>5</v>
      </c>
    </row>
    <row r="38">
      <c r="A38" t="str">
        <v xml:space="preserve">MINI MINI 3 LECHES </v>
      </c>
      <c r="B38">
        <f>SUM(B36:B37)</f>
        <v>9</v>
      </c>
      <c r="C38">
        <f>SUM(C36:C37)</f>
        <v>0</v>
      </c>
      <c r="D38">
        <f>SUM(D36:D37)</f>
        <v>9</v>
      </c>
      <c r="E38">
        <f>SUM(E36:E37)</f>
        <v>0</v>
      </c>
      <c r="F38">
        <f>SUM(F36:F37)</f>
        <v>0</v>
      </c>
      <c r="G38">
        <f>SUM(G36:G37)</f>
        <v>9</v>
      </c>
    </row>
    <row r="39">
      <c r="A39" t="str">
        <v>3 LECHES QUESO GDE</v>
      </c>
      <c r="B39">
        <f>IFERROR(VLOOKUP(A39,'EXISTENCIA EN SUCURSALES'!$A:$Z,23,0),0)</f>
        <v>1</v>
      </c>
      <c r="C39">
        <f>IFERROR(VLOOKUP(A39,'DISTRIBUCIÓN EN SUCURSALES'!$A:$Z,23,0),0)</f>
        <v>0</v>
      </c>
      <c r="D39">
        <f>C39+B39</f>
        <v>1</v>
      </c>
      <c r="E39">
        <f>IFERROR(VLOOKUP(A39,'GRAL. SUC. FORANEAS'!$A:$P,23,0),0)</f>
        <v>0</v>
      </c>
      <c r="F39">
        <f>IFERROR(VLOOKUP(A39,'GRAL. SUC. LOCALES'!$A:$N,27,0),0)</f>
        <v>0</v>
      </c>
      <c r="G39">
        <f>SUM(B39:C39)</f>
        <v>1</v>
      </c>
    </row>
    <row r="40">
      <c r="A40" t="str">
        <v>3 LECHES QUESO CH</v>
      </c>
      <c r="B40">
        <f>IFERROR(VLOOKUP(A40,'EXISTENCIA EN SUCURSALES'!$A:$Z,23,0),0)</f>
        <v>1</v>
      </c>
      <c r="C40">
        <f>IFERROR(VLOOKUP(A40,'DISTRIBUCIÓN EN SUCURSALES'!$A:$Z,23,0),0)</f>
        <v>0</v>
      </c>
      <c r="D40">
        <f>C40+B40</f>
        <v>1</v>
      </c>
      <c r="E40">
        <f>IFERROR(VLOOKUP(A40,'GRAL. SUC. FORANEAS'!$A:$P,23,0),0)</f>
        <v>0</v>
      </c>
      <c r="F40">
        <f>IFERROR(VLOOKUP(A40,'GRAL. SUC. LOCALES'!$A:$N,27,0),0)</f>
        <v>0</v>
      </c>
      <c r="G40">
        <f>SUM(B40:C40)</f>
        <v>1</v>
      </c>
    </row>
    <row r="41">
      <c r="A41" t="str">
        <v>SELVA NEGRA</v>
      </c>
      <c r="B41">
        <f>IFERROR(VLOOKUP(A41,'EXISTENCIA EN SUCURSALES'!$A:$Z,23,0),0)</f>
        <v>0</v>
      </c>
      <c r="C41">
        <f>IFERROR(VLOOKUP(A41,'DISTRIBUCIÓN EN SUCURSALES'!$A:$Z,23,0),0)</f>
        <v>0</v>
      </c>
      <c r="D41">
        <f>C41+B41</f>
        <v>0</v>
      </c>
      <c r="E41">
        <f>IFERROR(VLOOKUP(A41,'GRAL. SUC. FORANEAS'!$A:$P,23,0),0)</f>
        <v>0</v>
      </c>
      <c r="F41">
        <f>IFERROR(VLOOKUP(A41,'GRAL. SUC. LOCALES'!$A:$N,27,0),0)</f>
        <v>0</v>
      </c>
      <c r="G41">
        <f>SUM(B41:C41)</f>
        <v>0</v>
      </c>
    </row>
    <row r="42">
      <c r="A42" t="str">
        <v>SELVA NEGRA CH</v>
      </c>
      <c r="B42">
        <f>IFERROR(VLOOKUP(A42,'EXISTENCIA EN SUCURSALES'!$A:$Z,23,0),0)</f>
        <v>0</v>
      </c>
      <c r="C42">
        <f>IFERROR(VLOOKUP(A42,'DISTRIBUCIÓN EN SUCURSALES'!$A:$Z,23,0),0)</f>
        <v>0</v>
      </c>
      <c r="D42">
        <f>C42+B42</f>
        <v>0</v>
      </c>
      <c r="E42">
        <f>IFERROR(VLOOKUP(A42,'GRAL. SUC. FORANEAS'!$A:$P,23,0),0)</f>
        <v>0</v>
      </c>
      <c r="F42">
        <f>IFERROR(VLOOKUP(A42,'GRAL. SUC. LOCALES'!$A:$N,27,0),0)</f>
        <v>0</v>
      </c>
      <c r="G42">
        <f>SUM(B42:C42)</f>
        <v>0</v>
      </c>
    </row>
    <row r="43">
      <c r="A43" t="str">
        <v>CHOCOQUESO</v>
      </c>
      <c r="B43">
        <f>IFERROR(VLOOKUP(A43,'EXISTENCIA EN SUCURSALES'!$A:$Z,23,0),0)</f>
        <v>1</v>
      </c>
      <c r="C43">
        <f>IFERROR(VLOOKUP(A43,'DISTRIBUCIÓN EN SUCURSALES'!$A:$Z,23,0),0)</f>
        <v>0</v>
      </c>
      <c r="D43">
        <f>C43+B43</f>
        <v>1</v>
      </c>
      <c r="E43">
        <f>IFERROR(VLOOKUP(A43,'GRAL. SUC. FORANEAS'!$A:$P,23,0),0)</f>
        <v>0</v>
      </c>
      <c r="F43">
        <f>IFERROR(VLOOKUP(A43,'GRAL. SUC. LOCALES'!$A:$N,27,0),0)</f>
        <v>0</v>
      </c>
      <c r="G43">
        <f>SUM(B43:C43)</f>
        <v>1</v>
      </c>
    </row>
    <row r="44">
      <c r="A44" t="str">
        <v>CHOCOQUESO CH</v>
      </c>
      <c r="B44">
        <f>IFERROR(VLOOKUP(A44,'EXISTENCIA EN SUCURSALES'!$A:$Z,23,0),0)</f>
        <v>0</v>
      </c>
      <c r="C44">
        <f>IFERROR(VLOOKUP(A44,'DISTRIBUCIÓN EN SUCURSALES'!$A:$Z,23,0),0)</f>
        <v>0</v>
      </c>
      <c r="D44">
        <f>C44+B44</f>
        <v>0</v>
      </c>
      <c r="E44">
        <f>IFERROR(VLOOKUP(A44,'GRAL. SUC. FORANEAS'!$A:$P,23,0),0)</f>
        <v>0</v>
      </c>
      <c r="F44">
        <f>IFERROR(VLOOKUP(A44,'GRAL. SUC. LOCALES'!$A:$N,27,0),0)</f>
        <v>0</v>
      </c>
      <c r="G44">
        <f>SUM(B44:C44)</f>
        <v>0</v>
      </c>
    </row>
    <row r="45">
      <c r="A45" t="str">
        <v>RED VELVET CHEESE CAKE GDE</v>
      </c>
      <c r="B45">
        <f>IFERROR(VLOOKUP(A45,'EXISTENCIA EN SUCURSALES'!$A:$Z,23,0),0)</f>
        <v>1</v>
      </c>
      <c r="C45">
        <f>IFERROR(VLOOKUP(A45,'DISTRIBUCIÓN EN SUCURSALES'!$A:$Z,23,0),0)</f>
        <v>0</v>
      </c>
      <c r="D45">
        <f>C45+B45</f>
        <v>1</v>
      </c>
      <c r="E45">
        <f>IFERROR(VLOOKUP(A45,'GRAL. SUC. FORANEAS'!$A:$P,23,0),0)</f>
        <v>0</v>
      </c>
      <c r="F45">
        <f>IFERROR(VLOOKUP(A45,'GRAL. SUC. LOCALES'!$A:$N,27,0),0)</f>
        <v>0</v>
      </c>
      <c r="G45">
        <f>SUM(B45:C45)</f>
        <v>1</v>
      </c>
    </row>
    <row r="46">
      <c r="A46" t="str">
        <v>RED VELVET CHEESE CAKE MINI MEDIANO</v>
      </c>
      <c r="B46">
        <f>IFERROR(VLOOKUP(A46,'EXISTENCIA EN SUCURSALES'!$A:$Z,23,0),0)</f>
        <v>1</v>
      </c>
      <c r="C46">
        <f>IFERROR(VLOOKUP(A46,'DISTRIBUCIÓN EN SUCURSALES'!$A:$Z,23,0),0)</f>
        <v>0</v>
      </c>
      <c r="D46">
        <f>C46+B46</f>
        <v>1</v>
      </c>
      <c r="E46">
        <f>IFERROR(VLOOKUP(A46,'GRAL. SUC. FORANEAS'!$A:$P,23,0),0)</f>
        <v>0</v>
      </c>
      <c r="F46">
        <f>IFERROR(VLOOKUP(A46,'GRAL. SUC. LOCALES'!$A:$N,27,0),0)</f>
        <v>0</v>
      </c>
      <c r="G46">
        <f>SUM(B46:C46)</f>
        <v>1</v>
      </c>
    </row>
    <row r="47">
      <c r="A47" t="str">
        <v>CHESSECAKE GDE</v>
      </c>
      <c r="B47">
        <f>IFERROR(VLOOKUP(A47,'EXISTENCIA EN SUCURSALES'!$A:$Z,23,0),0)</f>
        <v>1</v>
      </c>
      <c r="C47">
        <f>IFERROR(VLOOKUP(A47,'DISTRIBUCIÓN EN SUCURSALES'!$A:$Z,23,0),0)</f>
        <v>0</v>
      </c>
      <c r="D47">
        <f>C47+B47</f>
        <v>1</v>
      </c>
      <c r="E47">
        <f>IFERROR(VLOOKUP(A47,'GRAL. SUC. FORANEAS'!$A:$P,23,0),0)</f>
        <v>0</v>
      </c>
      <c r="F47">
        <f>IFERROR(VLOOKUP(A47,'GRAL. SUC. LOCALES'!$A:$N,27,0),0)</f>
        <v>0</v>
      </c>
      <c r="G47">
        <f>SUM(B47:C47)</f>
        <v>1</v>
      </c>
    </row>
    <row r="48">
      <c r="A48" t="str">
        <v>CHESSECAKE MINIMED</v>
      </c>
      <c r="B48">
        <f>IFERROR(VLOOKUP(A48,'EXISTENCIA EN SUCURSALES'!$A:$Z,23,0),0)</f>
        <v>1</v>
      </c>
      <c r="C48">
        <f>IFERROR(VLOOKUP(A48,'DISTRIBUCIÓN EN SUCURSALES'!$A:$Z,23,0),0)</f>
        <v>0</v>
      </c>
      <c r="D48">
        <f>C48+B48</f>
        <v>1</v>
      </c>
      <c r="E48">
        <f>IFERROR(VLOOKUP(A48,'GRAL. SUC. FORANEAS'!$A:$P,23,0),0)</f>
        <v>0</v>
      </c>
      <c r="F48">
        <f>IFERROR(VLOOKUP(A48,'GRAL. SUC. LOCALES'!$A:$N,27,0),0)</f>
        <v>0</v>
      </c>
      <c r="G48">
        <f>SUM(B48:C48)</f>
        <v>1</v>
      </c>
    </row>
    <row r="49">
      <c r="A49" t="str">
        <v>CHESSECAKE PETIT</v>
      </c>
      <c r="B49">
        <f>IFERROR(VLOOKUP(A49,'EXISTENCIA EN SUCURSALES'!$A:$Z,23,0),0)</f>
        <v>4</v>
      </c>
      <c r="C49">
        <f>IFERROR(VLOOKUP(A49,'DISTRIBUCIÓN EN SUCURSALES'!$A:$Z,23,0),0)</f>
        <v>0</v>
      </c>
      <c r="D49">
        <f>C49+B49</f>
        <v>4</v>
      </c>
      <c r="E49">
        <f>IFERROR(VLOOKUP(A49,'GRAL. SUC. FORANEAS'!$A:$P,23,0),0)</f>
        <v>0</v>
      </c>
      <c r="F49">
        <f>IFERROR(VLOOKUP(A49,'GRAL. SUC. LOCALES'!$A:$N,27,0),0)</f>
        <v>0</v>
      </c>
      <c r="G49">
        <f>SUM(B49:C49)</f>
        <v>4</v>
      </c>
    </row>
    <row r="50">
      <c r="A50" t="str">
        <v>ZANAHORIA GDE</v>
      </c>
      <c r="B50">
        <f>IFERROR(VLOOKUP(A50,'EXISTENCIA EN SUCURSALES'!$A:$Z,23,0),0)</f>
        <v>2</v>
      </c>
      <c r="C50">
        <f>IFERROR(VLOOKUP(A50,'DISTRIBUCIÓN EN SUCURSALES'!$A:$Z,23,0),0)</f>
        <v>0</v>
      </c>
      <c r="D50">
        <f>C50+B50</f>
        <v>2</v>
      </c>
      <c r="E50">
        <f>IFERROR(VLOOKUP(A50,'GRAL. SUC. FORANEAS'!$A:$P,23,0),0)</f>
        <v>0</v>
      </c>
      <c r="F50">
        <f>IFERROR(VLOOKUP(A50,'GRAL. SUC. LOCALES'!$A:$N,27,0),0)</f>
        <v>0</v>
      </c>
      <c r="G50">
        <f>SUM(B50:C50)</f>
        <v>2</v>
      </c>
    </row>
    <row r="51">
      <c r="A51" t="str">
        <v>ZANAHORIA CH</v>
      </c>
      <c r="B51">
        <f>IFERROR(VLOOKUP(A51,'EXISTENCIA EN SUCURSALES'!$A:$Z,23,0),0)</f>
        <v>0</v>
      </c>
      <c r="C51">
        <f>IFERROR(VLOOKUP(A51,'DISTRIBUCIÓN EN SUCURSALES'!$A:$Z,23,0),0)</f>
        <v>0</v>
      </c>
      <c r="D51">
        <f>C51+B51</f>
        <v>0</v>
      </c>
      <c r="E51">
        <f>IFERROR(VLOOKUP(A51,'GRAL. SUC. FORANEAS'!$A:$P,23,0),0)</f>
        <v>0</v>
      </c>
      <c r="F51">
        <f>IFERROR(VLOOKUP(A51,'GRAL. SUC. LOCALES'!$A:$N,27,0),0)</f>
        <v>0</v>
      </c>
      <c r="G51">
        <f>SUM(B51:C51)</f>
        <v>0</v>
      </c>
    </row>
    <row r="52">
      <c r="A52" t="str">
        <v>ZANAHORIA PETIT</v>
      </c>
      <c r="B52">
        <f>IFERROR(VLOOKUP(A52,'EXISTENCIA EN SUCURSALES'!$A:$Z,23,0),0)</f>
        <v>4</v>
      </c>
      <c r="C52">
        <f>IFERROR(VLOOKUP(A52,'DISTRIBUCIÓN EN SUCURSALES'!$A:$Z,23,0),0)</f>
        <v>0</v>
      </c>
      <c r="D52">
        <f>C52+B52</f>
        <v>4</v>
      </c>
      <c r="E52">
        <f>IFERROR(VLOOKUP(A52,'GRAL. SUC. FORANEAS'!$A:$P,23,0),0)</f>
        <v>0</v>
      </c>
      <c r="F52">
        <f>IFERROR(VLOOKUP(A52,'GRAL. SUC. LOCALES'!$A:$N,27,0),0)</f>
        <v>0</v>
      </c>
      <c r="G52">
        <f>SUM(B52:C52)</f>
        <v>4</v>
      </c>
    </row>
    <row r="53">
      <c r="A53" t="str">
        <v>ROSCA C/CAJETA</v>
      </c>
      <c r="B53">
        <f>IFERROR(VLOOKUP(A53,'EXISTENCIA EN SUCURSALES'!$A:$Z,23,0),0)</f>
        <v>1</v>
      </c>
      <c r="C53">
        <f>IFERROR(VLOOKUP(A53,'DISTRIBUCIÓN EN SUCURSALES'!$A:$Z,23,0),0)</f>
        <v>0</v>
      </c>
      <c r="D53">
        <f>C53+B53</f>
        <v>1</v>
      </c>
      <c r="E53">
        <f>IFERROR(VLOOKUP(A53,'GRAL. SUC. FORANEAS'!$A:$P,23,0),0)</f>
        <v>0</v>
      </c>
      <c r="F53">
        <f>IFERROR(VLOOKUP(A53,'GRAL. SUC. LOCALES'!$A:$N,27,0),0)</f>
        <v>0</v>
      </c>
      <c r="G53">
        <f>SUM(B53:C53)</f>
        <v>1</v>
      </c>
    </row>
    <row r="54">
      <c r="A54" t="str">
        <v>CAJITA DE TRES LECHES</v>
      </c>
      <c r="B54">
        <f>IFERROR(VLOOKUP(A54,'EXISTENCIA EN SUCURSALES'!$A:$Z,23,0),0)</f>
        <v>7</v>
      </c>
      <c r="C54">
        <f>IFERROR(VLOOKUP(A54,'DISTRIBUCIÓN EN SUCURSALES'!$A:$Z,23,0),0)</f>
        <v>0</v>
      </c>
      <c r="D54">
        <f>C54+B54</f>
        <v>7</v>
      </c>
      <c r="E54">
        <f>IFERROR(VLOOKUP(A54,'GRAL. SUC. FORANEAS'!$A:$P,23,0),0)</f>
        <v>0</v>
      </c>
      <c r="F54">
        <f>IFERROR(VLOOKUP(A54,'GRAL. SUC. LOCALES'!$A:$N,27,0),0)</f>
        <v>0</v>
      </c>
      <c r="G54">
        <f>SUM(B54:C54)</f>
        <v>7</v>
      </c>
    </row>
    <row r="55">
      <c r="A55" t="str">
        <v>ESPECIALIDAD</v>
      </c>
      <c r="B55">
        <f>SUM(B39:B54)</f>
        <v>25</v>
      </c>
      <c r="C55">
        <f>SUM(C39:C54)</f>
        <v>0</v>
      </c>
      <c r="D55">
        <f>SUM(D39:D54)</f>
        <v>25</v>
      </c>
      <c r="E55">
        <f>SUM(E39:E54)</f>
        <v>0</v>
      </c>
      <c r="F55">
        <f>SUM(F39:F54)</f>
        <v>0</v>
      </c>
      <c r="G55">
        <f>SUM(G39:G54)</f>
        <v>25</v>
      </c>
    </row>
    <row r="56">
      <c r="A56" t="str">
        <v>Total Area</v>
      </c>
      <c r="B56">
        <f>B12+B21+B32+B35+B38+B55</f>
        <v>86</v>
      </c>
      <c r="C56">
        <f>C12+C21+C32+C35+C38+C55</f>
        <v>0</v>
      </c>
      <c r="D56">
        <f>D12+D21+D32+D35+D38+D55</f>
        <v>86</v>
      </c>
      <c r="E56">
        <f>E12+E21+E32+E35+E38+E55</f>
        <v>0</v>
      </c>
      <c r="F56">
        <f>F12+F21+F32+F35+F38+F55</f>
        <v>0</v>
      </c>
      <c r="G56">
        <f>G12+G21+G32+G35+G38+G55</f>
        <v>86</v>
      </c>
    </row>
    <row r="57">
      <c r="A57" t="str">
        <v>VAINILLAS</v>
      </c>
    </row>
    <row r="58">
      <c r="A58" t="str">
        <v>VAINILLA MARMOLEADO</v>
      </c>
      <c r="B58">
        <f>IFERROR(VLOOKUP(A58,'EXISTENCIA EN SUCURSALES'!$A:$Z,23,0),0)</f>
        <v>0</v>
      </c>
      <c r="C58">
        <f>IFERROR(VLOOKUP(A58,'DISTRIBUCIÓN EN SUCURSALES'!$A:$Z,23,0),0)</f>
        <v>0</v>
      </c>
      <c r="D58">
        <f>C58+B58</f>
        <v>0</v>
      </c>
      <c r="E58">
        <f>IFERROR(VLOOKUP(A58,'GRAL. SUC. FORANEAS'!$A:$P,23,0),0)</f>
        <v>0</v>
      </c>
      <c r="F58">
        <f>IFERROR(VLOOKUP(A58,'GRAL. SUC. LOCALES'!$A:$N,27,0),0)</f>
        <v>0</v>
      </c>
      <c r="G58">
        <f>SUM(B58:C58)</f>
        <v>0</v>
      </c>
    </row>
    <row r="59">
      <c r="A59" t="str">
        <v>VAINILLA NARANJA</v>
      </c>
      <c r="B59">
        <f>IFERROR(VLOOKUP(A59,'EXISTENCIA EN SUCURSALES'!$A:$Z,23,0),0)</f>
        <v>1</v>
      </c>
      <c r="C59">
        <f>IFERROR(VLOOKUP(A59,'DISTRIBUCIÓN EN SUCURSALES'!$A:$Z,23,0),0)</f>
        <v>0</v>
      </c>
      <c r="D59">
        <f>C59+B59</f>
        <v>1</v>
      </c>
      <c r="E59">
        <f>IFERROR(VLOOKUP(A59,'GRAL. SUC. FORANEAS'!$A:$P,23,0),0)</f>
        <v>0</v>
      </c>
      <c r="F59">
        <f>IFERROR(VLOOKUP(A59,'GRAL. SUC. LOCALES'!$A:$N,27,0),0)</f>
        <v>0</v>
      </c>
      <c r="G59">
        <f>SUM(B59:C59)</f>
        <v>1</v>
      </c>
    </row>
    <row r="60">
      <c r="A60" t="str">
        <v>PLANCHA 1/4</v>
      </c>
      <c r="B60">
        <f>IFERROR(VLOOKUP(A60,'EXISTENCIA EN SUCURSALES'!$A:$Z,23,0),0)</f>
        <v>0</v>
      </c>
      <c r="C60">
        <f>IFERROR(VLOOKUP(A60,'DISTRIBUCIÓN EN SUCURSALES'!$A:$Z,23,0),0)</f>
        <v>0</v>
      </c>
      <c r="D60">
        <f>C60+B60</f>
        <v>0</v>
      </c>
      <c r="E60">
        <f>IFERROR(VLOOKUP(A60,'GRAL. SUC. FORANEAS'!$A:$P,23,0),0)</f>
        <v>0</v>
      </c>
      <c r="F60">
        <f>IFERROR(VLOOKUP(A60,'GRAL. SUC. LOCALES'!$A:$N,27,0),0)</f>
        <v>0</v>
      </c>
      <c r="G60">
        <f>SUM(B60:C60)</f>
        <v>0</v>
      </c>
    </row>
    <row r="61">
      <c r="A61" t="str">
        <v>PLANCHA DE VAINILLA</v>
      </c>
      <c r="B61">
        <f>IFERROR(VLOOKUP(A61,'EXISTENCIA EN SUCURSALES'!$A:$Z,23,0),0)</f>
        <v>0</v>
      </c>
      <c r="C61">
        <f>IFERROR(VLOOKUP(A61,'DISTRIBUCIÓN EN SUCURSALES'!$A:$Z,23,0),0)</f>
        <v>0</v>
      </c>
      <c r="D61">
        <f>C61+B61</f>
        <v>0</v>
      </c>
      <c r="E61">
        <f>IFERROR(VLOOKUP(A61,'GRAL. SUC. FORANEAS'!$A:$P,23,0),0)</f>
        <v>0</v>
      </c>
      <c r="F61">
        <f>IFERROR(VLOOKUP(A61,'GRAL. SUC. LOCALES'!$A:$N,27,0),0)</f>
        <v>0</v>
      </c>
      <c r="G61">
        <f>SUM(B61:C61)</f>
        <v>0</v>
      </c>
    </row>
    <row r="62">
      <c r="A62" t="str">
        <v>VAINILLA NATURAL</v>
      </c>
      <c r="B62">
        <f>IFERROR(VLOOKUP(A62,'EXISTENCIA EN SUCURSALES'!$A:$Z,23,0),0)</f>
        <v>1</v>
      </c>
      <c r="C62">
        <f>IFERROR(VLOOKUP(A62,'DISTRIBUCIÓN EN SUCURSALES'!$A:$Z,23,0),0)</f>
        <v>0</v>
      </c>
      <c r="D62">
        <f>C62+B62</f>
        <v>1</v>
      </c>
      <c r="E62">
        <f>IFERROR(VLOOKUP(A62,'GRAL. SUC. FORANEAS'!$A:$P,23,0),0)</f>
        <v>0</v>
      </c>
      <c r="F62">
        <f>IFERROR(VLOOKUP(A62,'GRAL. SUC. LOCALES'!$A:$N,27,0),0)</f>
        <v>0</v>
      </c>
      <c r="G62">
        <f>SUM(B62:C62)</f>
        <v>1</v>
      </c>
    </row>
    <row r="63">
      <c r="A63" t="str">
        <v>PETIT DECORADO</v>
      </c>
      <c r="B63">
        <f>IFERROR(VLOOKUP(A63,'EXISTENCIA EN SUCURSALES'!$A:$Z,23,0),0)</f>
        <v>2</v>
      </c>
      <c r="C63">
        <f>IFERROR(VLOOKUP(A63,'DISTRIBUCIÓN EN SUCURSALES'!$A:$Z,23,0),0)</f>
        <v>0</v>
      </c>
      <c r="D63">
        <f>C63+B63</f>
        <v>2</v>
      </c>
      <c r="E63">
        <f>IFERROR(VLOOKUP(A63,'GRAL. SUC. FORANEAS'!$A:$P,23,0),0)</f>
        <v>0</v>
      </c>
      <c r="F63">
        <f>IFERROR(VLOOKUP(A63,'GRAL. SUC. LOCALES'!$A:$N,27,0),0)</f>
        <v>0</v>
      </c>
      <c r="G63">
        <f>SUM(B63:C63)</f>
        <v>2</v>
      </c>
    </row>
    <row r="64">
      <c r="A64" t="str">
        <v>Total Area</v>
      </c>
      <c r="B64">
        <f>SUM(B58:B63)</f>
        <v>4</v>
      </c>
      <c r="C64">
        <f>SUM(C58:C63)</f>
        <v>0</v>
      </c>
      <c r="D64">
        <f>SUM(D58:D63)</f>
        <v>4</v>
      </c>
      <c r="E64">
        <f>SUM(E58:E63)</f>
        <v>0</v>
      </c>
      <c r="F64">
        <f>SUM(F58:F63)</f>
        <v>0</v>
      </c>
      <c r="G64">
        <f>SUM(G58:G63)</f>
        <v>4</v>
      </c>
    </row>
    <row r="65">
      <c r="A65" t="str">
        <v xml:space="preserve">GELATINAS </v>
      </c>
    </row>
    <row r="66">
      <c r="A66" t="str">
        <v>GELATINA FRESA GDE</v>
      </c>
      <c r="B66">
        <f>IFERROR(VLOOKUP(A66,'EXISTENCIA EN SUCURSALES'!$A:$Z,23,0),0)</f>
        <v>0</v>
      </c>
      <c r="C66">
        <f>IFERROR(VLOOKUP(A66,'DISTRIBUCIÓN EN SUCURSALES'!$A:$Z,23,0),0)</f>
        <v>0</v>
      </c>
      <c r="D66">
        <f>C66+B66</f>
        <v>0</v>
      </c>
      <c r="E66">
        <f>IFERROR(VLOOKUP(A66,'GRAL. SUC. FORANEAS'!$A:$P,23,0),0)</f>
        <v>0</v>
      </c>
      <c r="F66">
        <f>IFERROR(VLOOKUP(A66,'GRAL. SUC. LOCALES'!$A:$N,27,0),0)</f>
        <v>0</v>
      </c>
      <c r="G66">
        <f>SUM(B66:C66)</f>
        <v>0</v>
      </c>
    </row>
    <row r="67">
      <c r="A67" t="str">
        <v>GELATINA MOSAICO GDE</v>
      </c>
      <c r="B67">
        <f>IFERROR(VLOOKUP(A67,'EXISTENCIA EN SUCURSALES'!$A:$Z,23,0),0)</f>
        <v>0</v>
      </c>
      <c r="C67">
        <f>IFERROR(VLOOKUP(A67,'DISTRIBUCIÓN EN SUCURSALES'!$A:$Z,23,0),0)</f>
        <v>0</v>
      </c>
      <c r="D67">
        <f>C67+B67</f>
        <v>0</v>
      </c>
      <c r="E67">
        <f>IFERROR(VLOOKUP(A67,'GRAL. SUC. FORANEAS'!$A:$P,23,0),0)</f>
        <v>0</v>
      </c>
      <c r="F67">
        <f>IFERROR(VLOOKUP(A67,'GRAL. SUC. LOCALES'!$A:$N,27,0),0)</f>
        <v>0</v>
      </c>
      <c r="G67">
        <f>SUM(B67:C67)</f>
        <v>0</v>
      </c>
    </row>
    <row r="68">
      <c r="A68" t="str">
        <v>GELATINA FRESA CH</v>
      </c>
      <c r="B68">
        <f>IFERROR(VLOOKUP(A68,'EXISTENCIA EN SUCURSALES'!$A:$Z,23,0),0)</f>
        <v>0</v>
      </c>
      <c r="C68">
        <f>IFERROR(VLOOKUP(A68,'DISTRIBUCIÓN EN SUCURSALES'!$A:$Z,23,0),0)</f>
        <v>0</v>
      </c>
      <c r="D68">
        <f>C68+B68</f>
        <v>0</v>
      </c>
      <c r="E68">
        <f>IFERROR(VLOOKUP(A68,'GRAL. SUC. FORANEAS'!$A:$P,23,0),0)</f>
        <v>0</v>
      </c>
      <c r="F68">
        <f>IFERROR(VLOOKUP(A68,'GRAL. SUC. LOCALES'!$A:$N,27,0),0)</f>
        <v>0</v>
      </c>
      <c r="G68">
        <f>SUM(B68:C68)</f>
        <v>0</v>
      </c>
    </row>
    <row r="69">
      <c r="A69" t="str">
        <v>GELATINA MOSAICO CH</v>
      </c>
      <c r="B69">
        <f>IFERROR(VLOOKUP(A69,'EXISTENCIA EN SUCURSALES'!$A:$Z,23,0),0)</f>
        <v>0</v>
      </c>
      <c r="C69">
        <f>IFERROR(VLOOKUP(A69,'DISTRIBUCIÓN EN SUCURSALES'!$A:$Z,23,0),0)</f>
        <v>0</v>
      </c>
      <c r="D69">
        <f>C69+B69</f>
        <v>0</v>
      </c>
      <c r="E69">
        <f>IFERROR(VLOOKUP(A69,'GRAL. SUC. FORANEAS'!$A:$P,23,0),0)</f>
        <v>0</v>
      </c>
      <c r="F69">
        <f>IFERROR(VLOOKUP(A69,'GRAL. SUC. LOCALES'!$A:$N,27,0),0)</f>
        <v>0</v>
      </c>
      <c r="G69">
        <f>SUM(B69:C69)</f>
        <v>0</v>
      </c>
    </row>
    <row r="70">
      <c r="A70" t="str">
        <v>GELATINA IND FRESA</v>
      </c>
      <c r="B70">
        <f>IFERROR(VLOOKUP(A70,'EXISTENCIA EN SUCURSALES'!$A:$Z,23,0),0)</f>
        <v>3</v>
      </c>
      <c r="C70">
        <f>IFERROR(VLOOKUP(A70,'DISTRIBUCIÓN EN SUCURSALES'!$A:$Z,23,0),0)</f>
        <v>0</v>
      </c>
      <c r="D70">
        <f>C70+B70</f>
        <v>3</v>
      </c>
      <c r="E70">
        <f>IFERROR(VLOOKUP(A70,'GRAL. SUC. FORANEAS'!$A:$P,23,0),0)</f>
        <v>0</v>
      </c>
      <c r="F70">
        <f>IFERROR(VLOOKUP(A70,'GRAL. SUC. LOCALES'!$A:$N,27,0),0)</f>
        <v>0</v>
      </c>
      <c r="G70">
        <f>SUM(B70:C70)</f>
        <v>3</v>
      </c>
    </row>
    <row r="71">
      <c r="A71" t="str">
        <v>GELATINA IND MOSAICO</v>
      </c>
      <c r="B71">
        <f>IFERROR(VLOOKUP(A71,'EXISTENCIA EN SUCURSALES'!$A:$Z,23,0),0)</f>
        <v>4</v>
      </c>
      <c r="C71">
        <f>IFERROR(VLOOKUP(A71,'DISTRIBUCIÓN EN SUCURSALES'!$A:$Z,23,0),0)</f>
        <v>0</v>
      </c>
      <c r="D71">
        <f>C71+B71</f>
        <v>4</v>
      </c>
      <c r="E71">
        <f>IFERROR(VLOOKUP(A71,'GRAL. SUC. FORANEAS'!$A:$P,23,0),0)</f>
        <v>0</v>
      </c>
      <c r="F71">
        <f>IFERROR(VLOOKUP(A71,'GRAL. SUC. LOCALES'!$A:$N,27,0),0)</f>
        <v>0</v>
      </c>
      <c r="G71">
        <f>SUM(B71:C71)</f>
        <v>4</v>
      </c>
    </row>
    <row r="72">
      <c r="A72" t="str">
        <v>GELATINA PROMO $90</v>
      </c>
      <c r="B72">
        <f>IFERROR(VLOOKUP(A72,'EXISTENCIA EN SUCURSALES'!$A:$Z,23,0),0)</f>
        <v>8</v>
      </c>
      <c r="C72">
        <f>IFERROR(VLOOKUP(A72,'DISTRIBUCIÓN EN SUCURSALES'!$A:$Z,23,0),0)</f>
        <v>0</v>
      </c>
      <c r="D72">
        <f>C72+B72</f>
        <v>8</v>
      </c>
      <c r="E72">
        <f>IFERROR(VLOOKUP(A72,'GRAL. SUC. FORANEAS'!$A:$P,23,0),0)</f>
        <v>0</v>
      </c>
      <c r="F72">
        <f>IFERROR(VLOOKUP(A72,'GRAL. SUC. LOCALES'!$A:$N,27,0),0)</f>
        <v>0</v>
      </c>
      <c r="G72">
        <f>SUM(B72:C72)</f>
        <v>8</v>
      </c>
    </row>
    <row r="73">
      <c r="A73" t="str">
        <v>GELATINA FRESA $150</v>
      </c>
      <c r="B73">
        <f>IFERROR(VLOOKUP(A73,'EXISTENCIA EN SUCURSALES'!$A:$Z,23,0),0)</f>
        <v>2</v>
      </c>
      <c r="C73">
        <f>IFERROR(VLOOKUP(A73,'DISTRIBUCIÓN EN SUCURSALES'!$A:$Z,23,0),0)</f>
        <v>0</v>
      </c>
      <c r="D73">
        <f>C73+B73</f>
        <v>2</v>
      </c>
      <c r="E73">
        <f>IFERROR(VLOOKUP(A73,'GRAL. SUC. FORANEAS'!$A:$P,23,0),0)</f>
        <v>0</v>
      </c>
      <c r="F73">
        <f>IFERROR(VLOOKUP(A73,'GRAL. SUC. LOCALES'!$A:$N,27,0),0)</f>
        <v>0</v>
      </c>
      <c r="G73">
        <f>SUM(B73:C73)</f>
        <v>2</v>
      </c>
    </row>
    <row r="74">
      <c r="A74" t="str">
        <v>Gelatina de promocion semana santa</v>
      </c>
      <c r="B74">
        <f>IFERROR(VLOOKUP(A74,'EXISTENCIA EN SUCURSALES'!$A:$Z,23,0),0)</f>
        <v>25</v>
      </c>
      <c r="C74">
        <f>IFERROR(VLOOKUP(A74,'DISTRIBUCIÓN EN SUCURSALES'!$A:$Z,23,0),0)</f>
        <v>0</v>
      </c>
      <c r="D74">
        <f>C74+B74</f>
        <v>25</v>
      </c>
      <c r="E74">
        <f>IFERROR(VLOOKUP(A74,'GRAL. SUC. FORANEAS'!$A:$P,23,0),0)</f>
        <v>0</v>
      </c>
      <c r="F74">
        <f>IFERROR(VLOOKUP(A74,'GRAL. SUC. LOCALES'!$A:$N,27,0),0)</f>
        <v>0</v>
      </c>
      <c r="G74">
        <f>SUM(B74:C74)</f>
        <v>25</v>
      </c>
    </row>
    <row r="75">
      <c r="A75" t="str">
        <v>PAY DE FRESA GDE</v>
      </c>
      <c r="B75">
        <f>IFERROR(VLOOKUP(A75,'EXISTENCIA EN SUCURSALES'!$A:$Z,23,0),0)</f>
        <v>1</v>
      </c>
      <c r="C75">
        <f>IFERROR(VLOOKUP(A75,'DISTRIBUCIÓN EN SUCURSALES'!$A:$Z,23,0),0)</f>
        <v>0</v>
      </c>
      <c r="D75">
        <f>C75+B75</f>
        <v>1</v>
      </c>
      <c r="E75">
        <f>IFERROR(VLOOKUP(A75,'GRAL. SUC. FORANEAS'!$A:$P,23,0),0)</f>
        <v>0</v>
      </c>
      <c r="F75">
        <f>IFERROR(VLOOKUP(A75,'GRAL. SUC. LOCALES'!$A:$N,27,0),0)</f>
        <v>0</v>
      </c>
      <c r="G75">
        <f>SUM(B75:C75)</f>
        <v>1</v>
      </c>
    </row>
    <row r="76">
      <c r="A76" t="str">
        <v>PAY DE GUAYABA GDE</v>
      </c>
      <c r="B76">
        <f>IFERROR(VLOOKUP(A76,'EXISTENCIA EN SUCURSALES'!$A:$Z,23,0),0)</f>
        <v>1</v>
      </c>
      <c r="C76">
        <f>IFERROR(VLOOKUP(A76,'DISTRIBUCIÓN EN SUCURSALES'!$A:$Z,23,0),0)</f>
        <v>0</v>
      </c>
      <c r="D76">
        <f>C76+B76</f>
        <v>1</v>
      </c>
      <c r="E76">
        <f>IFERROR(VLOOKUP(A76,'GRAL. SUC. FORANEAS'!$A:$P,23,0),0)</f>
        <v>0</v>
      </c>
      <c r="F76">
        <f>IFERROR(VLOOKUP(A76,'GRAL. SUC. LOCALES'!$A:$N,27,0),0)</f>
        <v>0</v>
      </c>
      <c r="G76">
        <f>SUM(B76:C76)</f>
        <v>1</v>
      </c>
    </row>
    <row r="77">
      <c r="A77" t="str">
        <v>tartaleta</v>
      </c>
      <c r="B77">
        <f>IFERROR(VLOOKUP(A77,'EXISTENCIA EN SUCURSALES'!$A:$Z,23,0),0)</f>
        <v>2</v>
      </c>
      <c r="C77">
        <f>IFERROR(VLOOKUP(A77,'DISTRIBUCIÓN EN SUCURSALES'!$A:$Z,23,0),0)</f>
        <v>0</v>
      </c>
      <c r="D77">
        <f>C77+B77</f>
        <v>2</v>
      </c>
      <c r="E77">
        <f>IFERROR(VLOOKUP(A77,'GRAL. SUC. FORANEAS'!$A:$P,23,0),0)</f>
        <v>0</v>
      </c>
      <c r="F77">
        <f>IFERROR(VLOOKUP(A77,'GRAL. SUC. LOCALES'!$A:$N,27,0),0)</f>
        <v>0</v>
      </c>
      <c r="G77">
        <f>SUM(B77:C77)</f>
        <v>2</v>
      </c>
    </row>
    <row r="78">
      <c r="A78" t="str">
        <v>Total Area</v>
      </c>
      <c r="B78">
        <f>SUM(B66:B77)</f>
        <v>46</v>
      </c>
      <c r="C78">
        <f>SUM(C66:C77)</f>
        <v>0</v>
      </c>
      <c r="D78">
        <f>SUM(D66:D77)</f>
        <v>46</v>
      </c>
      <c r="E78">
        <f>SUM(E66:E77)</f>
        <v>0</v>
      </c>
      <c r="F78">
        <f>SUM(F66:F77)</f>
        <v>0</v>
      </c>
      <c r="G78">
        <f>SUM(G66:G77)</f>
        <v>46</v>
      </c>
    </row>
    <row r="79">
      <c r="A79" t="str">
        <v xml:space="preserve">GALLETAS </v>
      </c>
    </row>
    <row r="80">
      <c r="A80" t="str">
        <v>BOCADITO PEPE 15 PIEZAS</v>
      </c>
      <c r="B80">
        <f>IFERROR(VLOOKUP(A80,'EXISTENCIA EN SUCURSALES'!$A:$Z,23,0),0)</f>
        <v>2</v>
      </c>
      <c r="C80">
        <f>IFERROR(VLOOKUP(A80,'DISTRIBUCIÓN EN SUCURSALES'!$A:$Z,23,0),0)</f>
        <v>0</v>
      </c>
      <c r="D80">
        <f>C80+B80</f>
        <v>2</v>
      </c>
      <c r="E80">
        <f>IFERROR(VLOOKUP(A80,'GRAL. SUC. FORANEAS'!$A:$P,23,0),0)</f>
        <v>0</v>
      </c>
      <c r="F80">
        <f>IFERROR(VLOOKUP(A80,'GRAL. SUC. LOCALES'!$A:$N,27,0),0)</f>
        <v>0</v>
      </c>
      <c r="G80">
        <f>SUM(B80:C80)</f>
        <v>2</v>
      </c>
    </row>
    <row r="81">
      <c r="A81" t="str">
        <v>PAY DE QUESO</v>
      </c>
      <c r="B81">
        <f>IFERROR(VLOOKUP(A81,'EXISTENCIA EN SUCURSALES'!$A:$Z,23,0),0)</f>
        <v>0</v>
      </c>
      <c r="C81">
        <f>IFERROR(VLOOKUP(A81,'DISTRIBUCIÓN EN SUCURSALES'!$A:$Z,23,0),0)</f>
        <v>0</v>
      </c>
      <c r="D81">
        <f>C81+B81</f>
        <v>0</v>
      </c>
      <c r="E81">
        <f>IFERROR(VLOOKUP(A81,'GRAL. SUC. FORANEAS'!$A:$P,23,0),0)</f>
        <v>0</v>
      </c>
      <c r="F81">
        <f>IFERROR(VLOOKUP(A81,'GRAL. SUC. LOCALES'!$A:$N,27,0),0)</f>
        <v>0</v>
      </c>
      <c r="G81">
        <f>SUM(B81:C81)</f>
        <v>0</v>
      </c>
    </row>
    <row r="82">
      <c r="A82" t="str">
        <v>bolsa de galleta de 60 grs</v>
      </c>
      <c r="B82">
        <f>IFERROR(VLOOKUP(A82,'EXISTENCIA EN SUCURSALES'!$A:$Z,23,0),0)</f>
        <v>0</v>
      </c>
      <c r="C82">
        <f>IFERROR(VLOOKUP(A82,'DISTRIBUCIÓN EN SUCURSALES'!$A:$Z,23,0),0)</f>
        <v>0</v>
      </c>
      <c r="D82">
        <f>C82+B82</f>
        <v>0</v>
      </c>
      <c r="E82">
        <f>IFERROR(VLOOKUP(A82,'GRAL. SUC. FORANEAS'!$A:$P,23,0),0)</f>
        <v>0</v>
      </c>
      <c r="F82">
        <f>IFERROR(VLOOKUP(A82,'GRAL. SUC. LOCALES'!$A:$N,27,0),0)</f>
        <v>0</v>
      </c>
      <c r="G82">
        <f>SUM(B82:C82)</f>
        <v>0</v>
      </c>
    </row>
    <row r="83">
      <c r="A83" t="str">
        <v>1/4 Kg de GALLETA</v>
      </c>
      <c r="B83">
        <f>IFERROR(VLOOKUP(A83,'EXISTENCIA EN SUCURSALES'!$A:$Z,23,0),0)</f>
        <v>8</v>
      </c>
      <c r="C83">
        <f>IFERROR(VLOOKUP(A83,'DISTRIBUCIÓN EN SUCURSALES'!$A:$Z,23,0),0)</f>
        <v>0</v>
      </c>
      <c r="D83">
        <f>C83+B83</f>
        <v>8</v>
      </c>
      <c r="E83">
        <f>IFERROR(VLOOKUP(A83,'GRAL. SUC. FORANEAS'!$A:$P,23,0),0)</f>
        <v>0</v>
      </c>
      <c r="F83">
        <f>IFERROR(VLOOKUP(A83,'GRAL. SUC. LOCALES'!$A:$N,27,0),0)</f>
        <v>0</v>
      </c>
      <c r="G83">
        <f>SUM(B83:C83)</f>
        <v>8</v>
      </c>
    </row>
    <row r="84">
      <c r="A84" t="str">
        <v>1/2 kg DE GALLETA</v>
      </c>
      <c r="B84">
        <f>IFERROR(VLOOKUP(A84,'EXISTENCIA EN SUCURSALES'!$A:$Z,23,0),0)</f>
        <v>6</v>
      </c>
      <c r="C84">
        <f>IFERROR(VLOOKUP(A84,'DISTRIBUCIÓN EN SUCURSALES'!$A:$Z,23,0),0)</f>
        <v>0</v>
      </c>
      <c r="D84">
        <f>C84+B84</f>
        <v>6</v>
      </c>
      <c r="E84">
        <f>IFERROR(VLOOKUP(A84,'GRAL. SUC. FORANEAS'!$A:$P,23,0),0)</f>
        <v>0</v>
      </c>
      <c r="F84">
        <f>IFERROR(VLOOKUP(A84,'GRAL. SUC. LOCALES'!$A:$N,27,0),0)</f>
        <v>0</v>
      </c>
      <c r="G84">
        <f>SUM(B84:C84)</f>
        <v>6</v>
      </c>
    </row>
    <row r="85">
      <c r="A85" t="str">
        <v xml:space="preserve">PALETA GALLETA </v>
      </c>
      <c r="B85">
        <f>IFERROR(VLOOKUP(A85,'EXISTENCIA EN SUCURSALES'!$A:$Z,23,0),0)</f>
        <v>0</v>
      </c>
      <c r="C85">
        <f>IFERROR(VLOOKUP(A85,'DISTRIBUCIÓN EN SUCURSALES'!$A:$Z,23,0),0)</f>
        <v>0</v>
      </c>
      <c r="D85">
        <f>C85+B85</f>
        <v>0</v>
      </c>
      <c r="E85">
        <f>IFERROR(VLOOKUP(A85,'GRAL. SUC. FORANEAS'!$A:$P,23,0),0)</f>
        <v>0</v>
      </c>
      <c r="F85">
        <f>IFERROR(VLOOKUP(A85,'GRAL. SUC. LOCALES'!$A:$N,27,0),0)</f>
        <v>0</v>
      </c>
      <c r="G85">
        <f>SUM(B85:C85)</f>
        <v>0</v>
      </c>
    </row>
    <row r="86">
      <c r="A86" t="str">
        <v>TRUFAS CON 9</v>
      </c>
      <c r="B86">
        <f>IFERROR(VLOOKUP(A86,'EXISTENCIA EN SUCURSALES'!$A:$Z,23,0),0)</f>
        <v>1</v>
      </c>
      <c r="C86">
        <f>IFERROR(VLOOKUP(A86,'DISTRIBUCIÓN EN SUCURSALES'!$A:$Z,23,0),0)</f>
        <v>0</v>
      </c>
      <c r="D86">
        <f>C86+B86</f>
        <v>1</v>
      </c>
      <c r="E86">
        <f>IFERROR(VLOOKUP(A86,'GRAL. SUC. FORANEAS'!$A:$P,23,0),0)</f>
        <v>0</v>
      </c>
      <c r="F86">
        <f>IFERROR(VLOOKUP(A86,'GRAL. SUC. LOCALES'!$A:$N,27,0),0)</f>
        <v>0</v>
      </c>
      <c r="G86">
        <f>SUM(B86:C86)</f>
        <v>1</v>
      </c>
    </row>
    <row r="87">
      <c r="A87" t="str">
        <v>Total Area</v>
      </c>
      <c r="B87">
        <f>SUM(B80:B86,B88:B89)</f>
        <v>26</v>
      </c>
      <c r="C87">
        <f>SUM(C80:C86,C88:C89)</f>
        <v>0</v>
      </c>
      <c r="D87">
        <f>SUM(D80:D86,D88:D89)</f>
        <v>26</v>
      </c>
      <c r="E87">
        <f>SUM(E80:E86,E88:E89)</f>
        <v>0</v>
      </c>
      <c r="F87">
        <f>SUM(F80:F86,F88:F89)</f>
        <v>0</v>
      </c>
      <c r="G87">
        <f>SUM(G80:G86,G88:G89)</f>
        <v>26</v>
      </c>
    </row>
    <row r="88">
      <c r="A88" t="str">
        <v>VASO DE ARROZ</v>
      </c>
      <c r="B88">
        <f>IFERROR(VLOOKUP(A88,'EXISTENCIA EN SUCURSALES'!$A:$Z,23,0),0)</f>
        <v>3</v>
      </c>
      <c r="C88">
        <f>IFERROR(VLOOKUP(A88,'DISTRIBUCIÓN EN SUCURSALES'!$A:$Z,23,0),0)</f>
        <v>0</v>
      </c>
      <c r="D88">
        <f>C88+B88</f>
        <v>3</v>
      </c>
      <c r="E88">
        <f>IFERROR(VLOOKUP(A88,'GRAL. SUC. FORANEAS'!$A:$P,23,0),0)</f>
        <v>0</v>
      </c>
      <c r="F88">
        <f>IFERROR(VLOOKUP(A88,'GRAL. SUC. LOCALES'!$A:$N,27,0),0)</f>
        <v>0</v>
      </c>
      <c r="G88">
        <f>SUM(B88:C88)</f>
        <v>3</v>
      </c>
    </row>
    <row r="89">
      <c r="A89" t="str">
        <v>FLAN EN VASO</v>
      </c>
      <c r="B89">
        <f>IFERROR(VLOOKUP(A89,'EXISTENCIA EN SUCURSALES'!$A:$Z,23,0),0)</f>
        <v>6</v>
      </c>
      <c r="C89">
        <f>IFERROR(VLOOKUP(A89,'DISTRIBUCIÓN EN SUCURSALES'!$A:$Z,23,0),0)</f>
        <v>0</v>
      </c>
      <c r="D89">
        <f>C89+B89</f>
        <v>6</v>
      </c>
      <c r="E89">
        <f>IFERROR(VLOOKUP(A89,'GRAL. SUC. FORANEAS'!$A:$P,23,0),0)</f>
        <v>0</v>
      </c>
      <c r="F89">
        <f>IFERROR(VLOOKUP(A89,'GRAL. SUC. LOCALES'!$A:$N,27,0),0)</f>
        <v>0</v>
      </c>
      <c r="G89">
        <f>SUM(B89:C89)</f>
        <v>6</v>
      </c>
    </row>
    <row r="90">
      <c r="A90" t="str">
        <v>SUMAS</v>
      </c>
      <c r="B90">
        <f>B56+B64+B78+B87</f>
        <v>162</v>
      </c>
      <c r="C90">
        <f>C56+C64+C78+C87</f>
        <v>0</v>
      </c>
      <c r="D90">
        <f>D56+D64+D78+D87</f>
        <v>162</v>
      </c>
      <c r="E90">
        <f>E56+E64+E78+E87</f>
        <v>0</v>
      </c>
      <c r="F90">
        <f>F56+F64+F78+F87</f>
        <v>0</v>
      </c>
      <c r="G90">
        <f>G56+G64+G78+G87</f>
        <v>162</v>
      </c>
    </row>
    <row r="91">
      <c r="A91" t="str">
        <v>QUESO TIRAMISU CH</v>
      </c>
      <c r="B91">
        <f>IFERROR(VLOOKUP(A91,'EXISTENCIA EN SUCURSALES'!$A:$Z,23,0),0)</f>
        <v>0</v>
      </c>
      <c r="C91">
        <f>IFERROR(VLOOKUP(A91,'DISTRIBUCIÓN EN SUCURSALES'!$A:$Z,23,0),0)</f>
        <v>0</v>
      </c>
      <c r="D91">
        <f>C91+B91</f>
        <v>0</v>
      </c>
      <c r="E91">
        <f>IFERROR(VLOOKUP(A91,'GRAL. SUC. FORANEAS'!$A:$P,23,0),0)</f>
        <v>0</v>
      </c>
      <c r="F91">
        <f>IFERROR(VLOOKUP(A91,'GRAL. SUC. LOCALES'!$A:$N,27,0),0)</f>
        <v>0</v>
      </c>
      <c r="G91">
        <f>SUM(B91:C91)</f>
        <v>0</v>
      </c>
    </row>
    <row r="92">
      <c r="A92" t="str">
        <v>QUESO TIRAMISU MMD</v>
      </c>
      <c r="B92">
        <f>IFERROR(VLOOKUP(A92,'EXISTENCIA EN SUCURSALES'!$A:$Z,23,0),0)</f>
        <v>0</v>
      </c>
      <c r="C92">
        <f>IFERROR(VLOOKUP(A92,'DISTRIBUCIÓN EN SUCURSALES'!$A:$Z,23,0),0)</f>
        <v>0</v>
      </c>
      <c r="D92">
        <f>C92+B92</f>
        <v>0</v>
      </c>
      <c r="E92">
        <f>IFERROR(VLOOKUP(A92,'GRAL. SUC. FORANEAS'!$A:$P,23,0),0)</f>
        <v>0</v>
      </c>
      <c r="F92">
        <f>IFERROR(VLOOKUP(A92,'GRAL. SUC. LOCALES'!$A:$N,27,0),0)</f>
        <v>0</v>
      </c>
      <c r="G92">
        <f>SUM(B92:C92)</f>
        <v>0</v>
      </c>
    </row>
    <row r="93">
      <c r="A93" t="str">
        <v>GELATINA PIÑA COLADA</v>
      </c>
      <c r="B93">
        <f>IFERROR(VLOOKUP(A93,'EXISTENCIA EN SUCURSALES'!$A:$Z,23,0),0)</f>
        <v>0</v>
      </c>
      <c r="C93">
        <f>IFERROR(VLOOKUP(A93,'DISTRIBUCIÓN EN SUCURSALES'!$A:$Z,23,0),0)</f>
        <v>0</v>
      </c>
      <c r="D93">
        <f>C93+B93</f>
        <v>0</v>
      </c>
      <c r="E93">
        <f>IFERROR(VLOOKUP(A93,'GRAL. SUC. FORANEAS'!$A:$P,23,0),0)</f>
        <v>0</v>
      </c>
      <c r="F93">
        <f>IFERROR(VLOOKUP(A93,'GRAL. SUC. LOCALES'!$A:$N,27,0),0)</f>
        <v>0</v>
      </c>
      <c r="G93">
        <f>SUM(B93:C93)</f>
        <v>0</v>
      </c>
    </row>
    <row r="94">
      <c r="A94" t="str">
        <v>GELATINA DE PIÑA IND</v>
      </c>
      <c r="B94">
        <f>IFERROR(VLOOKUP(A94,'EXISTENCIA EN SUCURSALES'!$A:$Z,23,0),0)</f>
        <v>0</v>
      </c>
      <c r="C94">
        <f>IFERROR(VLOOKUP(A94,'DISTRIBUCIÓN EN SUCURSALES'!$A:$Z,23,0),0)</f>
        <v>0</v>
      </c>
      <c r="D94">
        <f>C94+B94</f>
        <v>0</v>
      </c>
      <c r="E94">
        <f>IFERROR(VLOOKUP(A94,'GRAL. SUC. FORANEAS'!$A:$P,23,0),0)</f>
        <v>0</v>
      </c>
      <c r="F94">
        <f>IFERROR(VLOOKUP(A94,'GRAL. SUC. LOCALES'!$A:$N,27,0),0)</f>
        <v>0</v>
      </c>
      <c r="G94">
        <f>SUM(B94:C94)</f>
        <v>0</v>
      </c>
    </row>
    <row r="95">
      <c r="A95" t="str">
        <v>JERICALLA UN CUARTO $45</v>
      </c>
      <c r="B95">
        <f>IFERROR(VLOOKUP(A95,'EXISTENCIA EN SUCURSALES'!$A:$Z,23,0),0)</f>
        <v>5</v>
      </c>
      <c r="C95">
        <f>IFERROR(VLOOKUP(A95,'DISTRIBUCIÓN EN SUCURSALES'!$A:$Z,23,0),0)</f>
        <v>0</v>
      </c>
      <c r="D95">
        <f>C95+B95</f>
        <v>5</v>
      </c>
      <c r="E95">
        <f>IFERROR(VLOOKUP(A95,'GRAL. SUC. FORANEAS'!$A:$P,23,0),0)</f>
        <v>0</v>
      </c>
      <c r="F95">
        <f>IFERROR(VLOOKUP(A95,'GRAL. SUC. LOCALES'!$A:$N,27,0),0)</f>
        <v>0</v>
      </c>
      <c r="G95">
        <f>SUM(B95:C95)</f>
        <v>5</v>
      </c>
    </row>
    <row r="96">
      <c r="A96" t="str">
        <v>CHOCOFLAN MINI MEDIANO</v>
      </c>
      <c r="B96">
        <f>IFERROR(VLOOKUP(A96,'EXISTENCIA EN SUCURSALES'!$A:$Z,23,0),0)</f>
        <v>1</v>
      </c>
      <c r="C96">
        <f>IFERROR(VLOOKUP(A96,'DISTRIBUCIÓN EN SUCURSALES'!$A:$Z,23,0),0)</f>
        <v>0</v>
      </c>
      <c r="D96">
        <f>C96+B96</f>
        <v>1</v>
      </c>
      <c r="E96">
        <f>IFERROR(VLOOKUP(A96,'GRAL. SUC. FORANEAS'!$A:$P,23,0),0)</f>
        <v>0</v>
      </c>
      <c r="F96">
        <f>IFERROR(VLOOKUP(A96,'GRAL. SUC. LOCALES'!$A:$N,27,0),0)</f>
        <v>0</v>
      </c>
      <c r="G96">
        <f>SUM(B96:C96)</f>
        <v>1</v>
      </c>
    </row>
    <row r="97">
      <c r="A97" t="str">
        <v>PLANCHA 1/4 3 LECHES VAINILLA</v>
      </c>
      <c r="B97">
        <f>IFERROR(VLOOKUP(A97,'EXISTENCIA EN SUCURSALES'!$A:$Z,23,0),0)</f>
        <v>0</v>
      </c>
      <c r="C97">
        <f>IFERROR(VLOOKUP(A97,'DISTRIBUCIÓN EN SUCURSALES'!$A:$Z,23,0),0)</f>
        <v>0</v>
      </c>
      <c r="D97">
        <f>C97+B97</f>
        <v>0</v>
      </c>
      <c r="E97">
        <f>IFERROR(VLOOKUP(A97,'GRAL. SUC. FORANEAS'!$A:$P,23,0),0)</f>
        <v>0</v>
      </c>
      <c r="F97">
        <f>IFERROR(VLOOKUP(A97,'GRAL. SUC. LOCALES'!$A:$N,27,0),0)</f>
        <v>0</v>
      </c>
      <c r="G97">
        <f>SUM(B97:C97)</f>
        <v>0</v>
      </c>
    </row>
    <row r="98">
      <c r="A98" t="str">
        <v>PLANCHA 1/4 3 LECHES CHOCOLATE</v>
      </c>
      <c r="B98">
        <f>IFERROR(VLOOKUP(A98,'EXISTENCIA EN SUCURSALES'!$A:$Z,23,0),0)</f>
        <v>0</v>
      </c>
      <c r="C98">
        <f>IFERROR(VLOOKUP(A98,'DISTRIBUCIÓN EN SUCURSALES'!$A:$Z,23,0),0)</f>
        <v>0</v>
      </c>
      <c r="D98">
        <f>C98+B98</f>
        <v>0</v>
      </c>
      <c r="E98">
        <f>IFERROR(VLOOKUP(A98,'GRAL. SUC. FORANEAS'!$A:$P,23,0),0)</f>
        <v>0</v>
      </c>
      <c r="F98">
        <f>IFERROR(VLOOKUP(A98,'GRAL. SUC. LOCALES'!$A:$N,27,0),0)</f>
        <v>0</v>
      </c>
      <c r="G98">
        <f>SUM(B98:C98)</f>
        <v>0</v>
      </c>
    </row>
    <row r="99">
      <c r="A99" t="str">
        <v>PASTEL CASERO DE CHOCOLATE</v>
      </c>
      <c r="B99">
        <f>IFERROR(VLOOKUP(A99,'EXISTENCIA EN SUCURSALES'!$A:$Z,23,0),0)</f>
        <v>0</v>
      </c>
      <c r="C99">
        <f>IFERROR(VLOOKUP(A99,'DISTRIBUCIÓN EN SUCURSALES'!$A:$Z,23,0),0)</f>
        <v>0</v>
      </c>
      <c r="D99">
        <f>C99+B99</f>
        <v>0</v>
      </c>
      <c r="E99">
        <f>IFERROR(VLOOKUP(A99,'GRAL. SUC. FORANEAS'!$A:$P,23,0),0)</f>
        <v>0</v>
      </c>
      <c r="F99">
        <f>IFERROR(VLOOKUP(A99,'GRAL. SUC. LOCALES'!$A:$N,27,0),0)</f>
        <v>0</v>
      </c>
      <c r="G99">
        <f>SUM(B99:C99)</f>
        <v>0</v>
      </c>
    </row>
    <row r="100">
      <c r="A100" t="str">
        <v>PASTEL 3 LECHES CLASICO MED</v>
      </c>
      <c r="B100">
        <f>IFERROR(VLOOKUP(A100,'EXISTENCIA EN SUCURSALES'!$A:$Z,23,0),0)</f>
        <v>0</v>
      </c>
      <c r="C100">
        <f>IFERROR(VLOOKUP(A100,'DISTRIBUCIÓN EN SUCURSALES'!$A:$Z,23,0),0)</f>
        <v>0</v>
      </c>
      <c r="D100">
        <f>C100+B100</f>
        <v>0</v>
      </c>
      <c r="E100">
        <f>IFERROR(VLOOKUP(A100,'GRAL. SUC. FORANEAS'!$A:$P,23,0),0)</f>
        <v>0</v>
      </c>
      <c r="F100">
        <f>IFERROR(VLOOKUP(A100,'GRAL. SUC. LOCALES'!$A:$N,27,0),0)</f>
        <v>0</v>
      </c>
      <c r="G100">
        <f>SUM(B100:C100)</f>
        <v>0</v>
      </c>
    </row>
    <row r="101">
      <c r="A101" t="str">
        <v>PASTEL 3 LECHES CLASICO CH</v>
      </c>
      <c r="B101">
        <f>IFERROR(VLOOKUP(A101,'EXISTENCIA EN SUCURSALES'!$A:$Z,23,0),0)</f>
        <v>0</v>
      </c>
      <c r="C101">
        <f>IFERROR(VLOOKUP(A101,'DISTRIBUCIÓN EN SUCURSALES'!$A:$Z,23,0),0)</f>
        <v>0</v>
      </c>
      <c r="D101">
        <f>C101+B101</f>
        <v>0</v>
      </c>
      <c r="E101">
        <f>IFERROR(VLOOKUP(A101,'GRAL. SUC. FORANEAS'!$A:$P,23,0),0)</f>
        <v>0</v>
      </c>
      <c r="F101">
        <f>IFERROR(VLOOKUP(A101,'GRAL. SUC. LOCALES'!$A:$N,27,0),0)</f>
        <v>0</v>
      </c>
      <c r="G101">
        <f>SUM(B101:C101)</f>
        <v>0</v>
      </c>
    </row>
    <row r="102">
      <c r="A102" t="str">
        <v>PAN MUERTO IND AZUCAR 50GR</v>
      </c>
      <c r="B102">
        <f>IFERROR(VLOOKUP(A102,'EXISTENCIA EN SUCURSALES'!$A:$Z,23,0),0)</f>
        <v>3</v>
      </c>
      <c r="C102">
        <f>IFERROR(VLOOKUP(A102,'DISTRIBUCIÓN EN SUCURSALES'!$A:$Z,23,0),0)</f>
        <v>0</v>
      </c>
      <c r="D102">
        <f>C102+B102</f>
        <v>3</v>
      </c>
      <c r="E102">
        <f>IFERROR(VLOOKUP(A102,'GRAL. SUC. FORANEAS'!$A:$P,23,0),0)</f>
        <v>0</v>
      </c>
      <c r="F102">
        <f>IFERROR(VLOOKUP(A102,'GRAL. SUC. LOCALES'!$A:$N,27,0),0)</f>
        <v>0</v>
      </c>
      <c r="G102">
        <f>SUM(B102:C102)</f>
        <v>3</v>
      </c>
    </row>
    <row r="103">
      <c r="A103" t="str">
        <v>PAN MUERTO IND RELLENO NUTELLA 100gr</v>
      </c>
      <c r="B103">
        <f>IFERROR(VLOOKUP(A103,'EXISTENCIA EN SUCURSALES'!$A:$Z,23,0),0)</f>
        <v>1</v>
      </c>
      <c r="C103">
        <f>IFERROR(VLOOKUP(A103,'DISTRIBUCIÓN EN SUCURSALES'!$A:$Z,23,0),0)</f>
        <v>0</v>
      </c>
      <c r="D103">
        <f>C103+B103</f>
        <v>1</v>
      </c>
      <c r="E103">
        <f>IFERROR(VLOOKUP(A103,'GRAL. SUC. FORANEAS'!$A:$P,23,0),0)</f>
        <v>0</v>
      </c>
      <c r="F103">
        <f>IFERROR(VLOOKUP(A103,'GRAL. SUC. LOCALES'!$A:$N,27,0),0)</f>
        <v>0</v>
      </c>
      <c r="G103">
        <f>SUM(B103:C103)</f>
        <v>1</v>
      </c>
    </row>
    <row r="104">
      <c r="A104" t="str">
        <v>PAN DE MUERTO IND RELLENO CAJETA 100GR</v>
      </c>
      <c r="B104">
        <f>IFERROR(VLOOKUP(A104,'EXISTENCIA EN SUCURSALES'!$A:$Z,23,0),0)</f>
        <v>2</v>
      </c>
      <c r="C104">
        <f>IFERROR(VLOOKUP(A104,'DISTRIBUCIÓN EN SUCURSALES'!$A:$Z,23,0),0)</f>
        <v>0</v>
      </c>
      <c r="D104">
        <f>C104+B104</f>
        <v>2</v>
      </c>
      <c r="E104">
        <f>IFERROR(VLOOKUP(A104,'GRAL. SUC. FORANEAS'!$A:$P,23,0),0)</f>
        <v>0</v>
      </c>
      <c r="F104">
        <f>IFERROR(VLOOKUP(A104,'GRAL. SUC. LOCALES'!$A:$N,27,0),0)</f>
        <v>0</v>
      </c>
      <c r="G104">
        <f>SUM(B104:C104)</f>
        <v>2</v>
      </c>
    </row>
    <row r="105">
      <c r="A105" t="str">
        <v>HUESITOS PAN DE MUERTO</v>
      </c>
      <c r="B105">
        <f>IFERROR(VLOOKUP(A105,'EXISTENCIA EN SUCURSALES'!$A:$Z,23,0),0)</f>
        <v>2</v>
      </c>
      <c r="C105">
        <f>IFERROR(VLOOKUP(A105,'DISTRIBUCIÓN EN SUCURSALES'!$A:$Z,23,0),0)</f>
        <v>0</v>
      </c>
      <c r="D105">
        <f>C105+B105</f>
        <v>2</v>
      </c>
      <c r="E105">
        <f>IFERROR(VLOOKUP(A105,'GRAL. SUC. FORANEAS'!$A:$P,23,0),0)</f>
        <v>0</v>
      </c>
      <c r="F105">
        <f>IFERROR(VLOOKUP(A105,'GRAL. SUC. LOCALES'!$A:$N,27,0),0)</f>
        <v>0</v>
      </c>
      <c r="G105">
        <f>SUM(B105:C105)</f>
        <v>2</v>
      </c>
    </row>
    <row r="106">
      <c r="A106" t="str">
        <v>PAN MUERTO AZUCAR GDE 250GR</v>
      </c>
      <c r="B106">
        <f>IFERROR(VLOOKUP(A106,'EXISTENCIA EN SUCURSALES'!$A:$Z,23,0),0)</f>
        <v>0</v>
      </c>
      <c r="C106">
        <f>IFERROR(VLOOKUP(A106,'DISTRIBUCIÓN EN SUCURSALES'!$A:$Z,23,0),0)</f>
        <v>0</v>
      </c>
      <c r="D106">
        <f>C106+B106</f>
        <v>0</v>
      </c>
      <c r="E106">
        <f>IFERROR(VLOOKUP(A106,'GRAL. SUC. FORANEAS'!$A:$P,23,0),0)</f>
        <v>0</v>
      </c>
      <c r="F106">
        <f>IFERROR(VLOOKUP(A106,'GRAL. SUC. LOCALES'!$A:$N,27,0),0)</f>
        <v>0</v>
      </c>
      <c r="G106">
        <f>SUM(B106:C106)</f>
        <v>0</v>
      </c>
    </row>
    <row r="107">
      <c r="A107" t="str">
        <v>PAN MUERTO RELLENO NUTELLA GDE 250GR</v>
      </c>
      <c r="B107">
        <f>IFERROR(VLOOKUP(A107,'EXISTENCIA EN SUCURSALES'!$A:$Z,23,0),0)</f>
        <v>1</v>
      </c>
      <c r="C107">
        <f>IFERROR(VLOOKUP(A107,'DISTRIBUCIÓN EN SUCURSALES'!$A:$Z,23,0),0)</f>
        <v>0</v>
      </c>
      <c r="D107">
        <f>C107+B107</f>
        <v>1</v>
      </c>
      <c r="E107">
        <f>IFERROR(VLOOKUP(A107,'GRAL. SUC. FORANEAS'!$A:$P,23,0),0)</f>
        <v>0</v>
      </c>
      <c r="F107">
        <f>IFERROR(VLOOKUP(A107,'GRAL. SUC. LOCALES'!$A:$N,27,0),0)</f>
        <v>0</v>
      </c>
      <c r="G107">
        <f>SUM(B107:C107)</f>
        <v>1</v>
      </c>
    </row>
    <row r="108">
      <c r="A108" t="str">
        <v>PAN DE MUERTO RELLENO CAJETA GDE 250GR</v>
      </c>
      <c r="B108">
        <f>IFERROR(VLOOKUP(A108,'EXISTENCIA EN SUCURSALES'!$A:$Z,23,0),0)</f>
        <v>0</v>
      </c>
      <c r="C108">
        <f>IFERROR(VLOOKUP(A108,'DISTRIBUCIÓN EN SUCURSALES'!$A:$Z,23,0),0)</f>
        <v>0</v>
      </c>
      <c r="D108">
        <f>C108+B108</f>
        <v>0</v>
      </c>
      <c r="E108">
        <f>IFERROR(VLOOKUP(A108,'GRAL. SUC. FORANEAS'!$A:$P,23,0),0)</f>
        <v>0</v>
      </c>
      <c r="F108">
        <f>IFERROR(VLOOKUP(A108,'GRAL. SUC. LOCALES'!$A:$N,27,0),0)</f>
        <v>0</v>
      </c>
      <c r="G108">
        <f>SUM(B108:C108)</f>
        <v>0</v>
      </c>
    </row>
    <row r="109">
      <c r="A109" t="str">
        <v>CALAVERA CHOCOLATE</v>
      </c>
      <c r="B109">
        <f>IFERROR(VLOOKUP(A109,'EXISTENCIA EN SUCURSALES'!$A:$Z,23,0),0)</f>
        <v>2</v>
      </c>
      <c r="C109">
        <f>IFERROR(VLOOKUP(A109,'DISTRIBUCIÓN EN SUCURSALES'!$A:$Z,23,0),0)</f>
        <v>0</v>
      </c>
      <c r="D109">
        <f>C109+B109</f>
        <v>2</v>
      </c>
      <c r="E109">
        <f>IFERROR(VLOOKUP(A109,'GRAL. SUC. FORANEAS'!$A:$P,23,0),0)</f>
        <v>0</v>
      </c>
      <c r="F109">
        <f>IFERROR(VLOOKUP(A109,'GRAL. SUC. LOCALES'!$A:$N,27,0),0)</f>
        <v>0</v>
      </c>
      <c r="G109">
        <f>SUM(B109:C109)</f>
        <v>2</v>
      </c>
    </row>
    <row r="110">
      <c r="A110" t="str">
        <v>CAJITA 3 LECHES CALABAZA</v>
      </c>
      <c r="B110">
        <f>IFERROR(VLOOKUP(A110,'EXISTENCIA EN SUCURSALES'!$A:$Z,23,0),0)</f>
        <v>0</v>
      </c>
      <c r="C110">
        <f>IFERROR(VLOOKUP(A110,'DISTRIBUCIÓN EN SUCURSALES'!$A:$Z,23,0),0)</f>
        <v>0</v>
      </c>
      <c r="D110">
        <f>C110+B110</f>
        <v>0</v>
      </c>
      <c r="E110">
        <f>IFERROR(VLOOKUP(A110,'GRAL. SUC. FORANEAS'!$A:$P,23,0),0)</f>
        <v>0</v>
      </c>
      <c r="F110">
        <f>IFERROR(VLOOKUP(A110,'GRAL. SUC. LOCALES'!$A:$N,27,0),0)</f>
        <v>0</v>
      </c>
      <c r="G110">
        <f>SUM(B110:C110)</f>
        <v>0</v>
      </c>
    </row>
    <row r="111">
      <c r="A111" t="str">
        <v>PANQUE DE CALABAZA</v>
      </c>
      <c r="B111">
        <f>IFERROR(VLOOKUP(A111,'EXISTENCIA EN SUCURSALES'!$A:$Z,23,0),0)</f>
        <v>0</v>
      </c>
      <c r="C111">
        <f>IFERROR(VLOOKUP(A111,'DISTRIBUCIÓN EN SUCURSALES'!$A:$Z,23,0),0)</f>
        <v>0</v>
      </c>
      <c r="D111">
        <f>C111+B111</f>
        <v>0</v>
      </c>
      <c r="E111">
        <f>IFERROR(VLOOKUP(A111,'GRAL. SUC. FORANEAS'!$A:$P,23,0),0)</f>
        <v>0</v>
      </c>
      <c r="F111">
        <f>IFERROR(VLOOKUP(A111,'GRAL. SUC. LOCALES'!$A:$N,27,0),0)</f>
        <v>0</v>
      </c>
      <c r="G111">
        <f>SUM(B111:C111)</f>
        <v>0</v>
      </c>
    </row>
    <row r="112">
      <c r="A112" t="str">
        <v>PASTEL DE CALABAZA CHICO</v>
      </c>
      <c r="B112">
        <f>IFERROR(VLOOKUP(A112,'EXISTENCIA EN SUCURSALES'!$A:$Z,23,0),0)</f>
        <v>0</v>
      </c>
      <c r="C112">
        <f>IFERROR(VLOOKUP(A112,'DISTRIBUCIÓN EN SUCURSALES'!$A:$Z,23,0),0)</f>
        <v>0</v>
      </c>
      <c r="D112">
        <f>C112+B112</f>
        <v>0</v>
      </c>
      <c r="E112">
        <f>IFERROR(VLOOKUP(A112,'GRAL. SUC. FORANEAS'!$A:$P,23,0),0)</f>
        <v>0</v>
      </c>
      <c r="F112">
        <f>IFERROR(VLOOKUP(A112,'GRAL. SUC. LOCALES'!$A:$N,27,0),0)</f>
        <v>0</v>
      </c>
      <c r="G112">
        <f>SUM(B112:C112)</f>
        <v>0</v>
      </c>
    </row>
    <row r="113">
      <c r="A113" t="str">
        <v>PAY DE CALABAZA GDE</v>
      </c>
      <c r="B113">
        <f>IFERROR(VLOOKUP(A113,'EXISTENCIA EN SUCURSALES'!$A:$Z,23,0),0)</f>
        <v>0</v>
      </c>
      <c r="C113">
        <f>IFERROR(VLOOKUP(A113,'DISTRIBUCIÓN EN SUCURSALES'!$A:$Z,23,0),0)</f>
        <v>0</v>
      </c>
      <c r="D113">
        <f>C113+B113</f>
        <v>0</v>
      </c>
      <c r="E113">
        <f>IFERROR(VLOOKUP(A113,'GRAL. SUC. FORANEAS'!$A:$P,23,0),0)</f>
        <v>0</v>
      </c>
      <c r="F113">
        <f>IFERROR(VLOOKUP(A113,'GRAL. SUC. LOCALES'!$A:$N,27,0),0)</f>
        <v>0</v>
      </c>
      <c r="G113">
        <f>SUM(B113:C113)</f>
        <v>0</v>
      </c>
    </row>
    <row r="114">
      <c r="A114" t="str">
        <v>CHAROLA C/8 PAN DE MUERTO</v>
      </c>
      <c r="B114">
        <f>IFERROR(VLOOKUP(A114,'EXISTENCIA EN SUCURSALES'!$A:$Z,23,0),0)</f>
        <v>1</v>
      </c>
      <c r="C114">
        <f>IFERROR(VLOOKUP(A114,'DISTRIBUCIÓN EN SUCURSALES'!$A:$Z,23,0),0)</f>
        <v>0</v>
      </c>
      <c r="D114">
        <f>C114+B114</f>
        <v>1</v>
      </c>
      <c r="E114">
        <f>IFERROR(VLOOKUP(A114,'GRAL. SUC. FORANEAS'!$A:$P,23,0),0)</f>
        <v>0</v>
      </c>
      <c r="F114">
        <f>IFERROR(VLOOKUP(A114,'GRAL. SUC. LOCALES'!$A:$N,27,0),0)</f>
        <v>0</v>
      </c>
      <c r="G114">
        <f>SUM(B114:C114)</f>
        <v>1</v>
      </c>
    </row>
    <row r="115">
      <c r="A115" t="str">
        <v>DEDOS DE BRUJA</v>
      </c>
      <c r="B115">
        <f>IFERROR(VLOOKUP(A115,'EXISTENCIA EN SUCURSALES'!$A:$Z,23,0),0)</f>
        <v>0</v>
      </c>
      <c r="C115">
        <f>IFERROR(VLOOKUP(A115,'DISTRIBUCIÓN EN SUCURSALES'!$A:$Z,23,0),0)</f>
        <v>0</v>
      </c>
      <c r="D115">
        <f>C115+B115</f>
        <v>0</v>
      </c>
      <c r="E115">
        <f>IFERROR(VLOOKUP(A115,'GRAL. SUC. FORANEAS'!$A:$P,23,0),0)</f>
        <v>0</v>
      </c>
      <c r="F115">
        <f>IFERROR(VLOOKUP(A115,'GRAL. SUC. LOCALES'!$A:$N,27,0),0)</f>
        <v>0</v>
      </c>
      <c r="G115">
        <f>SUM(B115:C115)</f>
        <v>0</v>
      </c>
    </row>
    <row r="116">
      <c r="A116" t="str">
        <v>PAN DE MUERTO IND CHOCOLATE</v>
      </c>
      <c r="B116">
        <f>IFERROR(VLOOKUP(A116,'EXISTENCIA EN SUCURSALES'!$A:$Z,23,0),0)</f>
        <v>0</v>
      </c>
      <c r="C116">
        <f>IFERROR(VLOOKUP(A116,'DISTRIBUCIÓN EN SUCURSALES'!$A:$Z,23,0),0)</f>
        <v>0</v>
      </c>
      <c r="D116">
        <f>C116+B116</f>
        <v>0</v>
      </c>
      <c r="E116">
        <f>IFERROR(VLOOKUP(A116,'GRAL. SUC. FORANEAS'!$A:$P,23,0),0)</f>
        <v>0</v>
      </c>
      <c r="F116">
        <f>IFERROR(VLOOKUP(A116,'GRAL. SUC. LOCALES'!$A:$N,27,0),0)</f>
        <v>0</v>
      </c>
      <c r="G116">
        <f>SUM(B116:C116)</f>
        <v>0</v>
      </c>
    </row>
    <row r="117">
      <c r="A117" t="str">
        <v>PAN DE MUERTO CHOCOLATE GDE</v>
      </c>
      <c r="B117">
        <f>IFERROR(VLOOKUP(A117,'EXISTENCIA EN SUCURSALES'!$A:$Z,23,0),0)</f>
        <v>0</v>
      </c>
      <c r="C117">
        <f>IFERROR(VLOOKUP(A117,'DISTRIBUCIÓN EN SUCURSALES'!$A:$Z,23,0),0)</f>
        <v>0</v>
      </c>
      <c r="D117">
        <f>C117+B117</f>
        <v>0</v>
      </c>
      <c r="E117">
        <f>IFERROR(VLOOKUP(A117,'GRAL. SUC. FORANEAS'!$A:$P,23,0),0)</f>
        <v>0</v>
      </c>
      <c r="F117">
        <f>IFERROR(VLOOKUP(A117,'GRAL. SUC. LOCALES'!$A:$N,27,0),0)</f>
        <v>0</v>
      </c>
      <c r="G117">
        <f>SUM(B117:C117)</f>
        <v>0</v>
      </c>
    </row>
    <row r="118">
      <c r="A118" t="str">
        <v>CAJA DE BROWNIES CON 4 PIEZAS</v>
      </c>
      <c r="B118">
        <f>IFERROR(VLOOKUP(A118,'EXISTENCIA EN SUCURSALES'!$A:$Z,23,0),0)</f>
        <v>0</v>
      </c>
      <c r="C118">
        <f>IFERROR(VLOOKUP(A118,'DISTRIBUCIÓN EN SUCURSALES'!$A:$Z,23,0),0)</f>
        <v>0</v>
      </c>
      <c r="D118">
        <f>C118+B118</f>
        <v>0</v>
      </c>
      <c r="E118">
        <f>IFERROR(VLOOKUP(A118,'GRAL. SUC. FORANEAS'!$A:$P,23,0),0)</f>
        <v>0</v>
      </c>
      <c r="F118">
        <f>IFERROR(VLOOKUP(A118,'GRAL. SUC. LOCALES'!$A:$N,27,0),0)</f>
        <v>0</v>
      </c>
      <c r="G118">
        <f>SUM(B118:C118)</f>
        <v>0</v>
      </c>
    </row>
    <row r="119">
      <c r="A119" t="str">
        <v>IMPERIAL CHOCOLATE GDE</v>
      </c>
      <c r="B119">
        <f>IFERROR(VLOOKUP(A119,'EXISTENCIA EN SUCURSALES'!$A:$Z,23,0),0)</f>
        <v>0</v>
      </c>
      <c r="C119">
        <f>IFERROR(VLOOKUP(A119,'DISTRIBUCIÓN EN SUCURSALES'!$A:$Z,23,0),0)</f>
        <v>0</v>
      </c>
      <c r="D119">
        <f>C119+B119</f>
        <v>0</v>
      </c>
      <c r="E119">
        <f>IFERROR(VLOOKUP(A119,'GRAL. SUC. FORANEAS'!$A:$P,23,0),0)</f>
        <v>0</v>
      </c>
      <c r="F119">
        <f>IFERROR(VLOOKUP(A119,'GRAL. SUC. LOCALES'!$A:$N,27,0),0)</f>
        <v>0</v>
      </c>
      <c r="G119">
        <f>SUM(B119:C119)</f>
        <v>0</v>
      </c>
    </row>
    <row r="120">
      <c r="A120" t="str">
        <v>IMPERIAL CHOCOLATE MED</v>
      </c>
      <c r="B120">
        <f>IFERROR(VLOOKUP(A120,'EXISTENCIA EN SUCURSALES'!$A:$Z,23,0),0)</f>
        <v>0</v>
      </c>
      <c r="C120">
        <f>IFERROR(VLOOKUP(A120,'DISTRIBUCIÓN EN SUCURSALES'!$A:$Z,23,0),0)</f>
        <v>0</v>
      </c>
      <c r="D120">
        <f>C120+B120</f>
        <v>0</v>
      </c>
      <c r="E120">
        <f>IFERROR(VLOOKUP(A120,'GRAL. SUC. FORANEAS'!$A:$P,23,0),0)</f>
        <v>0</v>
      </c>
      <c r="F120">
        <f>IFERROR(VLOOKUP(A120,'GRAL. SUC. LOCALES'!$A:$N,27,0),0)</f>
        <v>0</v>
      </c>
      <c r="G120">
        <f>SUM(B120:C120)</f>
        <v>0</v>
      </c>
    </row>
    <row r="121">
      <c r="A121" t="str">
        <v>IMPERIAL CHOCOLATE CH</v>
      </c>
      <c r="B121">
        <f>IFERROR(VLOOKUP(A121,'EXISTENCIA EN SUCURSALES'!$A:$Z,23,0),0)</f>
        <v>0</v>
      </c>
      <c r="C121">
        <f>IFERROR(VLOOKUP(A121,'DISTRIBUCIÓN EN SUCURSALES'!$A:$Z,23,0),0)</f>
        <v>0</v>
      </c>
      <c r="D121">
        <f>C121+B121</f>
        <v>0</v>
      </c>
      <c r="E121">
        <f>IFERROR(VLOOKUP(A121,'GRAL. SUC. FORANEAS'!$A:$P,23,0),0)</f>
        <v>0</v>
      </c>
      <c r="F121">
        <f>IFERROR(VLOOKUP(A121,'GRAL. SUC. LOCALES'!$A:$N,27,0),0)</f>
        <v>0</v>
      </c>
      <c r="G121">
        <f>SUM(B121:C121)</f>
        <v>0</v>
      </c>
    </row>
    <row r="122">
      <c r="B122">
        <f>IFERROR(VLOOKUP(A122,'EXISTENCIA EN SUCURSALES'!$A:$Z,23,0),0)</f>
        <v>0</v>
      </c>
      <c r="C122">
        <f>IFERROR(VLOOKUP(A122,'DISTRIBUCIÓN EN SUCURSALES'!$A:$Z,23,0),0)</f>
        <v>0</v>
      </c>
      <c r="D122">
        <f>C122+B122</f>
        <v>0</v>
      </c>
      <c r="E122">
        <f>IFERROR(VLOOKUP(A122,'GRAL. SUC. FORANEAS'!$A:$P,23,0),0)</f>
        <v>0</v>
      </c>
      <c r="F122">
        <f>IFERROR(VLOOKUP(A122,'GRAL. SUC. LOCALES'!$A:$N,27,0),0)</f>
        <v>0</v>
      </c>
      <c r="G122">
        <f>SUM(B122:C122)</f>
        <v>0</v>
      </c>
    </row>
    <row r="123">
      <c r="B123">
        <f>IFERROR(VLOOKUP(A123,'EXISTENCIA EN SUCURSALES'!$A:$Z,23,0),0)</f>
        <v>0</v>
      </c>
      <c r="C123">
        <f>IFERROR(VLOOKUP(A123,'DISTRIBUCIÓN EN SUCURSALES'!$A:$Z,23,0),0)</f>
        <v>0</v>
      </c>
      <c r="D123">
        <f>C123+B123</f>
        <v>0</v>
      </c>
      <c r="E123">
        <f>IFERROR(VLOOKUP(A123,'GRAL. SUC. FORANEAS'!$A:$P,23,0),0)</f>
        <v>0</v>
      </c>
      <c r="F123">
        <f>IFERROR(VLOOKUP(A123,'GRAL. SUC. LOCALES'!$A:$N,27,0),0)</f>
        <v>0</v>
      </c>
      <c r="G123">
        <f>SUM(B123:C123)</f>
        <v>0</v>
      </c>
    </row>
    <row r="124">
      <c r="B124">
        <f>IFERROR(VLOOKUP(A124,'EXISTENCIA EN SUCURSALES'!$A:$Z,23,0),0)</f>
        <v>0</v>
      </c>
      <c r="C124">
        <f>IFERROR(VLOOKUP(A124,'DISTRIBUCIÓN EN SUCURSALES'!$A:$Z,23,0),0)</f>
        <v>0</v>
      </c>
      <c r="D124">
        <f>C124+B124</f>
        <v>0</v>
      </c>
      <c r="E124">
        <f>IFERROR(VLOOKUP(A124,'GRAL. SUC. FORANEAS'!$A:$P,23,0),0)</f>
        <v>0</v>
      </c>
      <c r="F124">
        <f>IFERROR(VLOOKUP(A124,'GRAL. SUC. LOCALES'!$A:$N,27,0),0)</f>
        <v>0</v>
      </c>
      <c r="G124">
        <f>SUM(B124:C124)</f>
        <v>0</v>
      </c>
    </row>
    <row r="125">
      <c r="B125">
        <f>IFERROR(VLOOKUP(A125,'EXISTENCIA EN SUCURSALES'!$A:$Z,23,0),0)</f>
        <v>0</v>
      </c>
      <c r="C125">
        <f>IFERROR(VLOOKUP(A125,'DISTRIBUCIÓN EN SUCURSALES'!$A:$Z,23,0),0)</f>
        <v>0</v>
      </c>
      <c r="D125">
        <f>C125+B125</f>
        <v>0</v>
      </c>
      <c r="E125">
        <f>IFERROR(VLOOKUP(A125,'GRAL. SUC. FORANEAS'!$A:$P,23,0),0)</f>
        <v>0</v>
      </c>
      <c r="F125">
        <f>IFERROR(VLOOKUP(A125,'GRAL. SUC. LOCALES'!$A:$N,27,0),0)</f>
        <v>0</v>
      </c>
      <c r="G125">
        <f>SUM(B125:C125)</f>
        <v>0</v>
      </c>
    </row>
    <row r="126">
      <c r="B126">
        <f>IFERROR(VLOOKUP(A126,'EXISTENCIA EN SUCURSALES'!$A:$Z,23,0),0)</f>
        <v>0</v>
      </c>
      <c r="C126">
        <f>IFERROR(VLOOKUP(A126,'DISTRIBUCIÓN EN SUCURSALES'!$A:$Z,23,0),0)</f>
        <v>0</v>
      </c>
      <c r="D126">
        <f>C126+B126</f>
        <v>0</v>
      </c>
      <c r="E126">
        <f>IFERROR(VLOOKUP(A126,'GRAL. SUC. FORANEAS'!$A:$P,23,0),0)</f>
        <v>0</v>
      </c>
      <c r="F126">
        <f>IFERROR(VLOOKUP(A126,'GRAL. SUC. LOCALES'!$A:$N,27,0),0)</f>
        <v>0</v>
      </c>
      <c r="G126">
        <f>SUM(B126:C126)</f>
        <v>0</v>
      </c>
    </row>
    <row r="127">
      <c r="B127">
        <f>IFERROR(VLOOKUP(A127,'EXISTENCIA EN SUCURSALES'!$A:$Z,23,0),0)</f>
        <v>0</v>
      </c>
      <c r="C127">
        <f>IFERROR(VLOOKUP(A127,'DISTRIBUCIÓN EN SUCURSALES'!$A:$Z,23,0),0)</f>
        <v>0</v>
      </c>
      <c r="D127">
        <f>C127+B127</f>
        <v>0</v>
      </c>
      <c r="E127">
        <f>IFERROR(VLOOKUP(A127,'GRAL. SUC. FORANEAS'!$A:$P,23,0),0)</f>
        <v>0</v>
      </c>
      <c r="F127">
        <f>IFERROR(VLOOKUP(A127,'GRAL. SUC. LOCALES'!$A:$N,27,0),0)</f>
        <v>0</v>
      </c>
    </row>
    <row r="128">
      <c r="B128">
        <f>IFERROR(VLOOKUP(A128,'EXISTENCIA EN SUCURSALES'!$A:$Z,23,0),0)</f>
        <v>0</v>
      </c>
      <c r="C128">
        <f>IFERROR(VLOOKUP(A128,'DISTRIBUCIÓN EN SUCURSALES'!$A:$Z,23,0),0)</f>
        <v>0</v>
      </c>
      <c r="D128">
        <f>C128+B128</f>
        <v>0</v>
      </c>
      <c r="E128">
        <f>IFERROR(VLOOKUP(A128,'GRAL. SUC. FORANEAS'!$A:$P,23,0),0)</f>
        <v>0</v>
      </c>
      <c r="F128">
        <f>IFERROR(VLOOKUP(A128,'GRAL. SUC. LOCALES'!$A:$N,27,0),0)</f>
        <v>0</v>
      </c>
    </row>
    <row r="129">
      <c r="B129">
        <f>IFERROR(VLOOKUP(A129,'EXISTENCIA EN SUCURSALES'!$A:$Z,23,0),0)</f>
        <v>0</v>
      </c>
      <c r="C129">
        <f>IFERROR(VLOOKUP(A129,'DISTRIBUCIÓN EN SUCURSALES'!$A:$Z,23,0),0)</f>
        <v>0</v>
      </c>
      <c r="D129">
        <f>C129+B129</f>
        <v>0</v>
      </c>
      <c r="E129">
        <f>IFERROR(VLOOKUP(A129,'GRAL. SUC. FORANEAS'!$A:$P,23,0),0)</f>
        <v>0</v>
      </c>
      <c r="F129">
        <f>IFERROR(VLOOKUP(A129,'GRAL. SUC. LOCALES'!$A:$N,27,0),0)</f>
        <v>0</v>
      </c>
    </row>
    <row r="130">
      <c r="B130">
        <f>IFERROR(VLOOKUP(A130,'EXISTENCIA EN SUCURSALES'!$A:$Z,23,0),0)</f>
        <v>0</v>
      </c>
      <c r="C130">
        <f>IFERROR(VLOOKUP(A130,'DISTRIBUCIÓN EN SUCURSALES'!$A:$Z,23,0),0)</f>
        <v>0</v>
      </c>
      <c r="D130">
        <f>C130+B130</f>
        <v>0</v>
      </c>
      <c r="E130">
        <f>IFERROR(VLOOKUP(A130,'GRAL. SUC. FORANEAS'!$A:$P,23,0),0)</f>
        <v>0</v>
      </c>
      <c r="F130">
        <f>IFERROR(VLOOKUP(A130,'GRAL. SUC. LOCALES'!$A:$N,27,0),0)</f>
        <v>0</v>
      </c>
    </row>
    <row r="131">
      <c r="B131">
        <f>IFERROR(VLOOKUP(A131,'EXISTENCIA EN SUCURSALES'!$A:$Z,23,0),0)</f>
        <v>0</v>
      </c>
      <c r="C131">
        <f>IFERROR(VLOOKUP(A131,'DISTRIBUCIÓN EN SUCURSALES'!$A:$Z,23,0),0)</f>
        <v>0</v>
      </c>
      <c r="D131">
        <f>C131+B131</f>
        <v>0</v>
      </c>
      <c r="E131">
        <f>IFERROR(VLOOKUP(A131,'GRAL. SUC. FORANEAS'!$A:$P,23,0),0)</f>
        <v>0</v>
      </c>
      <c r="F131">
        <f>IFERROR(VLOOKUP(A131,'GRAL. SUC. LOCALES'!$A:$N,27,0),0)</f>
        <v>0</v>
      </c>
    </row>
    <row r="132">
      <c r="B132">
        <f>IFERROR(VLOOKUP(A132,'EXISTENCIA EN SUCURSALES'!$A:$Z,23,0),0)</f>
        <v>0</v>
      </c>
      <c r="C132">
        <f>IFERROR(VLOOKUP(A132,'DISTRIBUCIÓN EN SUCURSALES'!$A:$Z,23,0),0)</f>
        <v>0</v>
      </c>
      <c r="D132">
        <f>C132+B132</f>
        <v>0</v>
      </c>
      <c r="E132">
        <f>IFERROR(VLOOKUP(A132,'GRAL. SUC. FORANEAS'!$A:$P,23,0),0)</f>
        <v>0</v>
      </c>
      <c r="F132">
        <f>IFERROR(VLOOKUP(A132,'GRAL. SUC. LOCALES'!$A:$N,27,0),0)</f>
        <v>0</v>
      </c>
    </row>
    <row r="133">
      <c r="B133">
        <f>IFERROR(VLOOKUP(A133,'EXISTENCIA EN SUCURSALES'!$A:$Z,23,0),0)</f>
        <v>0</v>
      </c>
      <c r="C133">
        <f>IFERROR(VLOOKUP(A133,'DISTRIBUCIÓN EN SUCURSALES'!$A:$Z,23,0),0)</f>
        <v>0</v>
      </c>
      <c r="D133">
        <f>C133+B133</f>
        <v>0</v>
      </c>
      <c r="E133">
        <f>IFERROR(VLOOKUP(A133,'GRAL. SUC. FORANEAS'!$A:$P,23,0),0)</f>
        <v>0</v>
      </c>
      <c r="F133">
        <f>IFERROR(VLOOKUP(A133,'GRAL. SUC. LOCALES'!$A:$N,27,0),0)</f>
        <v>0</v>
      </c>
    </row>
    <row r="134">
      <c r="B134">
        <f>IFERROR(VLOOKUP(A134,'EXISTENCIA EN SUCURSALES'!$A:$Z,23,0),0)</f>
        <v>0</v>
      </c>
      <c r="C134">
        <f>IFERROR(VLOOKUP(A134,'DISTRIBUCIÓN EN SUCURSALES'!$A:$Z,23,0),0)</f>
        <v>0</v>
      </c>
      <c r="D134">
        <f>C134+B134</f>
        <v>0</v>
      </c>
      <c r="E134">
        <f>IFERROR(VLOOKUP(A134,'GRAL. SUC. FORANEAS'!$A:$P,23,0),0)</f>
        <v>0</v>
      </c>
      <c r="F134">
        <f>IFERROR(VLOOKUP(A134,'GRAL. SUC. LOCALES'!$A:$N,27,0),0)</f>
        <v>0</v>
      </c>
    </row>
    <row r="135">
      <c r="B135">
        <f>IFERROR(VLOOKUP(A135,'EXISTENCIA EN SUCURSALES'!$A:$Z,23,0),0)</f>
        <v>0</v>
      </c>
      <c r="C135">
        <f>IFERROR(VLOOKUP(A135,'DISTRIBUCIÓN EN SUCURSALES'!$A:$Z,23,0),0)</f>
        <v>0</v>
      </c>
      <c r="D135">
        <f>C135+B135</f>
        <v>0</v>
      </c>
      <c r="E135">
        <f>IFERROR(VLOOKUP(A135,'GRAL. SUC. FORANEAS'!$A:$P,23,0),0)</f>
        <v>0</v>
      </c>
      <c r="F135">
        <f>IFERROR(VLOOKUP(A135,'GRAL. SUC. LOCALES'!$A:$N,27,0),0)</f>
        <v>0</v>
      </c>
    </row>
    <row r="136">
      <c r="B136">
        <f>IFERROR(VLOOKUP(A136,'EXISTENCIA EN SUCURSALES'!$A:$Z,23,0),0)</f>
        <v>0</v>
      </c>
      <c r="C136">
        <f>IFERROR(VLOOKUP(A136,'DISTRIBUCIÓN EN SUCURSALES'!$A:$Z,23,0),0)</f>
        <v>0</v>
      </c>
      <c r="D136">
        <f>C136+B136</f>
        <v>0</v>
      </c>
      <c r="E136">
        <f>IFERROR(VLOOKUP(A136,'GRAL. SUC. FORANEAS'!$A:$P,23,0),0)</f>
        <v>0</v>
      </c>
      <c r="F136">
        <f>IFERROR(VLOOKUP(A136,'GRAL. SUC. LOCALES'!$A:$N,27,0),0)</f>
        <v>0</v>
      </c>
    </row>
    <row r="137">
      <c r="B137">
        <f>IFERROR(VLOOKUP(A137,'EXISTENCIA EN SUCURSALES'!$A:$Z,23,0),0)</f>
        <v>0</v>
      </c>
      <c r="C137">
        <f>IFERROR(VLOOKUP(A137,'DISTRIBUCIÓN EN SUCURSALES'!$A:$Z,23,0),0)</f>
        <v>0</v>
      </c>
      <c r="D137">
        <f>C137+B137</f>
        <v>0</v>
      </c>
      <c r="E137">
        <f>IFERROR(VLOOKUP(A137,'GRAL. SUC. FORANEAS'!$A:$P,23,0),0)</f>
        <v>0</v>
      </c>
      <c r="F137">
        <f>IFERROR(VLOOKUP(A137,'GRAL. SUC. LOCALES'!$A:$N,27,0),0)</f>
        <v>0</v>
      </c>
      <c r="G137">
        <f>SUM(B137:C137)</f>
        <v>0</v>
      </c>
    </row>
    <row r="138">
      <c r="B138">
        <f>IFERROR(VLOOKUP(A138,'EXISTENCIA EN SUCURSALES'!$A:$Z,23,0),0)</f>
        <v>0</v>
      </c>
      <c r="C138">
        <f>IFERROR(VLOOKUP(A138,'DISTRIBUCIÓN EN SUCURSALES'!$A:$Z,23,0),0)</f>
        <v>0</v>
      </c>
      <c r="D138">
        <f>C138+B138</f>
        <v>0</v>
      </c>
      <c r="E138">
        <f>IFERROR(VLOOKUP(A138,'GRAL. SUC. FORANEAS'!$A:$P,23,0),0)</f>
        <v>0</v>
      </c>
      <c r="F138">
        <f>IFERROR(VLOOKUP(A138,'GRAL. SUC. LOCALES'!$A:$N,27,0),0)</f>
        <v>0</v>
      </c>
      <c r="G138">
        <f>SUM(B138:C138)</f>
        <v>0</v>
      </c>
    </row>
    <row r="139">
      <c r="B139">
        <f>SUM(B91:B138)</f>
        <v>18</v>
      </c>
      <c r="C139">
        <f>SUM(C91:C138)</f>
        <v>0</v>
      </c>
      <c r="D139">
        <f>SUM(D91:D138)</f>
        <v>18</v>
      </c>
      <c r="E139">
        <f>SUM(E91:E138)</f>
        <v>0</v>
      </c>
      <c r="F139">
        <f>SUM(F91:F138)</f>
        <v>0</v>
      </c>
      <c r="G139">
        <f>SUM(G91:G138)</f>
        <v>18</v>
      </c>
    </row>
    <row r="140">
      <c r="B140">
        <f>B90+B139</f>
        <v>180</v>
      </c>
      <c r="C140">
        <f>C90+C139</f>
        <v>0</v>
      </c>
      <c r="D140">
        <f>D90+D139</f>
        <v>180</v>
      </c>
      <c r="E140">
        <f>E90+E139</f>
        <v>0</v>
      </c>
      <c r="F140">
        <f>F90+F139</f>
        <v>0</v>
      </c>
      <c r="G140">
        <f>G90+G139</f>
        <v>180</v>
      </c>
    </row>
  </sheetData>
  <mergeCells count="1">
    <mergeCell ref="B1:D1"/>
  </mergeCells>
  <pageMargins left="0.7" right="0.7" top="0.75" bottom="0.75" header="0.3" footer="0.3"/>
  <ignoredErrors>
    <ignoredError numberStoredAsText="1" sqref="A1:G14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C2:C9"/>
  <sheetViews>
    <sheetView workbookViewId="0"/>
  </sheetViews>
  <sheetData>
    <row r="2">
      <c r="C2" t="str">
        <v>TODOS</v>
      </c>
    </row>
    <row r="3">
      <c r="C3" t="str">
        <v>LUNES</v>
      </c>
    </row>
    <row r="4">
      <c r="C4" t="str">
        <v>MARTES</v>
      </c>
    </row>
    <row r="5">
      <c r="C5" t="str">
        <v>MIÉRCOLES</v>
      </c>
    </row>
    <row r="6">
      <c r="C6" t="str">
        <v>JUEVES</v>
      </c>
    </row>
    <row r="7">
      <c r="C7" t="str">
        <v>VIERNES</v>
      </c>
    </row>
    <row r="8">
      <c r="C8" t="str">
        <v>SÁBADO</v>
      </c>
    </row>
    <row r="9">
      <c r="C9" t="str">
        <v>DOMINGO</v>
      </c>
    </row>
  </sheetData>
  <pageMargins left="0.7" right="0.7" top="0.75" bottom="0.75" header="0.3" footer="0.3"/>
  <ignoredErrors>
    <ignoredError numberStoredAsText="1" sqref="C2:C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 A TENER SUC.(EXIST.+DIST)</vt:lpstr>
      <vt:lpstr>EXIST. SUCURSALES Y RESTANTE CF</vt:lpstr>
      <vt:lpstr>EXIST. SUC.-DISTR.-C.F.-RESTANT</vt:lpstr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